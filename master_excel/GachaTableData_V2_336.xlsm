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460" windowWidth="25100" windowHeight="14640" tabRatio="943" activeTab="5"/>
  </bookViews>
  <sheets>
    <sheet name="確率の考え方" sheetId="110" r:id="rId1"/>
    <sheet name="Sheet1" sheetId="107" r:id="rId2"/>
    <sheet name="output" sheetId="103" r:id="rId3"/>
    <sheet name="input_336100" sheetId="106" r:id="rId4"/>
    <sheet name="tables_336100" sheetId="82" r:id="rId5"/>
    <sheet name="tables_settle_336100" sheetId="12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tables_336100!$A$1:$V$271</definedName>
    <definedName name="_xlnm._FilterDatabase" localSheetId="5" hidden="1">tables_settle_336100!$A$1:$V$1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3" l="1"/>
  <c r="E3" i="103"/>
  <c r="P2" i="129"/>
  <c r="P3" i="129"/>
  <c r="I2" i="129"/>
  <c r="D2" i="129"/>
  <c r="J2" i="129"/>
  <c r="E2" i="129"/>
  <c r="F2" i="129"/>
  <c r="C2" i="129"/>
  <c r="I3" i="129"/>
  <c r="D3" i="129"/>
  <c r="J3" i="129"/>
  <c r="E3" i="129"/>
  <c r="F3" i="129"/>
  <c r="C3" i="129"/>
  <c r="I4" i="129"/>
  <c r="D4" i="129"/>
  <c r="J4" i="129"/>
  <c r="E4" i="129"/>
  <c r="F4" i="129"/>
  <c r="C4" i="129"/>
  <c r="I5" i="129"/>
  <c r="D5" i="129"/>
  <c r="J5" i="129"/>
  <c r="E5" i="129"/>
  <c r="F5" i="129"/>
  <c r="C5" i="129"/>
  <c r="I6" i="129"/>
  <c r="D6" i="129"/>
  <c r="J6" i="129"/>
  <c r="E6" i="129"/>
  <c r="F6" i="129"/>
  <c r="C6" i="129"/>
  <c r="I7" i="129"/>
  <c r="D7" i="129"/>
  <c r="J7" i="129"/>
  <c r="E7" i="129"/>
  <c r="F7" i="129"/>
  <c r="C7" i="129"/>
  <c r="P7" i="129"/>
  <c r="N7" i="129"/>
  <c r="M7" i="129"/>
  <c r="L7" i="129"/>
  <c r="K7" i="129"/>
  <c r="H7" i="129"/>
  <c r="P6" i="129"/>
  <c r="N6" i="129"/>
  <c r="M6" i="129"/>
  <c r="L6" i="129"/>
  <c r="K6" i="129"/>
  <c r="H6" i="129"/>
  <c r="P5" i="129"/>
  <c r="N5" i="129"/>
  <c r="M5" i="129"/>
  <c r="L5" i="129"/>
  <c r="K5" i="129"/>
  <c r="H5" i="129"/>
  <c r="P4" i="129"/>
  <c r="N4" i="129"/>
  <c r="M4" i="129"/>
  <c r="L4" i="129"/>
  <c r="K4" i="129"/>
  <c r="H4" i="129"/>
  <c r="N3" i="129"/>
  <c r="M3" i="129"/>
  <c r="L3" i="129"/>
  <c r="K3" i="129"/>
  <c r="H3" i="129"/>
  <c r="N2" i="129"/>
  <c r="M2" i="129"/>
  <c r="L2" i="129"/>
  <c r="K2" i="129"/>
  <c r="H2" i="129"/>
  <c r="E29" i="106"/>
  <c r="B29" i="106"/>
  <c r="F29" i="106"/>
  <c r="B23" i="106"/>
  <c r="B22" i="106"/>
  <c r="B19" i="106"/>
  <c r="E6" i="106"/>
  <c r="E5" i="106"/>
  <c r="B10" i="106"/>
  <c r="A2" i="106"/>
  <c r="A272" i="82"/>
  <c r="A273" i="82"/>
  <c r="A274" i="82"/>
  <c r="A275" i="82"/>
  <c r="A276" i="82"/>
  <c r="A277" i="82"/>
  <c r="I272" i="82"/>
  <c r="D272" i="82"/>
  <c r="J272" i="82"/>
  <c r="E272" i="82"/>
  <c r="F272" i="82"/>
  <c r="C272" i="82"/>
  <c r="H272" i="82"/>
  <c r="K272" i="82"/>
  <c r="L272" i="82"/>
  <c r="M272" i="82"/>
  <c r="N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F5" i="106"/>
  <c r="F6" i="106"/>
  <c r="A36" i="106"/>
  <c r="G29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E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V6" i="106"/>
  <c r="G22" i="106"/>
  <c r="E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<sst xmlns="http://schemas.openxmlformats.org/spreadsheetml/2006/main" count="349" uniqueCount="233">
  <si>
    <t>character_id</t>
  </si>
  <si>
    <t>character_id</t>
    <phoneticPr fontId="14"/>
  </si>
  <si>
    <t>weight</t>
    <phoneticPr fontId="1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</si>
  <si>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</si>
  <si>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</si>
  <si>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</si>
  <si>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</si>
  <si>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</si>
  <si>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</si>
  <si>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</si>
  <si>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4"/>
  </si>
  <si>
    <t>bonus_table_no</t>
    <phoneticPr fontId="14"/>
  </si>
  <si>
    <t>weight</t>
    <phoneticPr fontId="14"/>
  </si>
  <si>
    <t>gift_id</t>
    <phoneticPr fontId="14"/>
  </si>
  <si>
    <t>gift_id</t>
    <phoneticPr fontId="14"/>
  </si>
  <si>
    <t>gift_type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</si>
  <si>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</si>
  <si>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</si>
  <si>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</si>
  <si>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</si>
  <si>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</si>
  <si>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</si>
  <si>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gift_id</t>
    <phoneticPr fontId="14"/>
  </si>
  <si>
    <t>gift_value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</si>
  <si>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</si>
  <si>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</si>
  <si>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</si>
  <si>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</si>
  <si>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</si>
  <si>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</si>
  <si>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gift_type</t>
    <phoneticPr fontId="14"/>
  </si>
  <si>
    <t>備考</t>
    <rPh sb="0" eb="2">
      <t>ビコウ</t>
    </rPh>
    <phoneticPr fontId="14"/>
  </si>
  <si>
    <t>character_id</t>
    <phoneticPr fontId="14"/>
  </si>
  <si>
    <t>name</t>
    <phoneticPr fontId="14"/>
  </si>
  <si>
    <t>drop_label</t>
    <phoneticPr fontId="14"/>
  </si>
  <si>
    <t>rare</t>
    <phoneticPr fontId="14"/>
  </si>
  <si>
    <t>character_type_id</t>
    <phoneticPr fontId="14"/>
  </si>
  <si>
    <t>character_tribe_id</t>
    <phoneticPr fontId="14"/>
  </si>
  <si>
    <t>unit_level</t>
    <phoneticPr fontId="14"/>
  </si>
  <si>
    <t>weight</t>
    <phoneticPr fontId="14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</si>
  <si>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</si>
  <si>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</si>
  <si>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</si>
  <si>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</si>
  <si>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</si>
  <si>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</si>
  <si>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</si>
  <si>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</si>
  <si>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gacha_bonus_tables</t>
    <phoneticPr fontId="47"/>
  </si>
  <si>
    <t>gifts_tmp_</t>
    <phoneticPr fontId="14"/>
  </si>
  <si>
    <t>gifts_i18n_</t>
    <phoneticPr fontId="1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</si>
  <si>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4"/>
  </si>
  <si>
    <t>出力flg</t>
    <rPh sb="0" eb="2">
      <t>シュツリョク</t>
    </rPh>
    <phoneticPr fontId="47"/>
  </si>
  <si>
    <t>color</t>
    <phoneticPr fontId="14"/>
  </si>
  <si>
    <t>レアリティ別確率</t>
    <rPh sb="5" eb="6">
      <t>ベツ</t>
    </rPh>
    <rPh sb="6" eb="8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</si>
  <si>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</si>
  <si>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SSS</t>
    <phoneticPr fontId="14"/>
  </si>
  <si>
    <t>SS</t>
    <phoneticPr fontId="14"/>
  </si>
  <si>
    <t>ラベル*レアリティ標準確率</t>
    <rPh sb="9" eb="11">
      <t>ヒョウジュン</t>
    </rPh>
    <rPh sb="11" eb="13">
      <t>カクリツ</t>
    </rPh>
    <phoneticPr fontId="14"/>
  </si>
  <si>
    <t>性別</t>
    <rPh sb="0" eb="2">
      <t>セイベツ</t>
    </rPh>
    <phoneticPr fontId="14"/>
  </si>
  <si>
    <t>合計</t>
    <rPh sb="0" eb="2">
      <t>ゴウケイ</t>
    </rPh>
    <phoneticPr fontId="14"/>
  </si>
  <si>
    <t>グループ</t>
    <phoneticPr fontId="14"/>
  </si>
  <si>
    <t>ピックアップ確率</t>
    <rPh sb="6" eb="8">
      <t>カクリツ</t>
    </rPh>
    <phoneticPr fontId="14"/>
  </si>
  <si>
    <t>残り確率</t>
    <rPh sb="0" eb="1">
      <t>ノコ</t>
    </rPh>
    <rPh sb="2" eb="4">
      <t>カクリツ</t>
    </rPh>
    <phoneticPr fontId="14"/>
  </si>
  <si>
    <t>確率</t>
    <rPh sb="0" eb="2">
      <t>カクリツ</t>
    </rPh>
    <phoneticPr fontId="14"/>
  </si>
  <si>
    <t>所属グループ</t>
    <rPh sb="0" eb="2">
      <t>ショゾク</t>
    </rPh>
    <phoneticPr fontId="14"/>
  </si>
  <si>
    <t>名前</t>
    <rPh sb="0" eb="2">
      <t>ナマエ</t>
    </rPh>
    <phoneticPr fontId="14"/>
  </si>
  <si>
    <t>レアリティ</t>
    <phoneticPr fontId="14"/>
  </si>
  <si>
    <t>ラベル</t>
    <phoneticPr fontId="14"/>
  </si>
  <si>
    <t>R3</t>
    <phoneticPr fontId="14"/>
  </si>
  <si>
    <t>R4</t>
    <phoneticPr fontId="14"/>
  </si>
  <si>
    <t>R5</t>
    <phoneticPr fontId="14"/>
  </si>
  <si>
    <t>個別確率</t>
    <rPh sb="0" eb="4">
      <t>コベツカクリツ</t>
    </rPh>
    <phoneticPr fontId="14"/>
  </si>
  <si>
    <t>該当数(ピックアップ除く)</t>
    <rPh sb="0" eb="2">
      <t>ガイトウ</t>
    </rPh>
    <rPh sb="2" eb="3">
      <t>スウ</t>
    </rPh>
    <rPh sb="10" eb="11">
      <t>ノゾ</t>
    </rPh>
    <phoneticPr fontId="14"/>
  </si>
  <si>
    <t>個別weight</t>
    <rPh sb="0" eb="2">
      <t>コベツ</t>
    </rPh>
    <phoneticPr fontId="14"/>
  </si>
  <si>
    <t>グループweight</t>
    <phoneticPr fontId="14"/>
  </si>
  <si>
    <t>端数</t>
    <rPh sb="0" eb="2">
      <t>ハスウ</t>
    </rPh>
    <phoneticPr fontId="14"/>
  </si>
  <si>
    <t>確率</t>
    <rPh sb="0" eb="2">
      <t>カクリツ</t>
    </rPh>
    <phoneticPr fontId="14"/>
  </si>
  <si>
    <t>--検算用--</t>
    <rPh sb="3" eb="6">
      <t>ケンザンヨウ</t>
    </rPh>
    <phoneticPr fontId="14"/>
  </si>
  <si>
    <t>端数逆数</t>
    <rPh sb="0" eb="2">
      <t>ハスウ</t>
    </rPh>
    <rPh sb="2" eb="4">
      <t>ギャクスウ</t>
    </rPh>
    <phoneticPr fontId="14"/>
  </si>
  <si>
    <t>テーブルを増やしたい場合</t>
    <rPh sb="5" eb="6">
      <t>フ</t>
    </rPh>
    <rPh sb="10" eb="12">
      <t>バアイ</t>
    </rPh>
    <phoneticPr fontId="1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</si>
  <si>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</si>
  <si>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4"/>
  </si>
  <si>
    <t>３．outputシートで２で作ったtablesを指定する</t>
    <rPh sb="14" eb="15">
      <t>ツク</t>
    </rPh>
    <rPh sb="24" eb="26">
      <t>シテイ</t>
    </rPh>
    <phoneticPr fontId="14"/>
  </si>
  <si>
    <t>テーブルid</t>
    <phoneticPr fontId="14"/>
  </si>
  <si>
    <t>→ピックアップの確率は右のほうにいます</t>
    <rPh sb="8" eb="10">
      <t>カクリツ</t>
    </rPh>
    <rPh sb="11" eb="12">
      <t>ミギ</t>
    </rPh>
    <phoneticPr fontId="14"/>
  </si>
  <si>
    <t>table_no</t>
    <phoneticPr fontId="14"/>
  </si>
  <si>
    <t>table_no</t>
    <phoneticPr fontId="14"/>
  </si>
  <si>
    <t>skill_level</t>
  </si>
  <si>
    <t>level</t>
  </si>
  <si>
    <t>hp_plus</t>
    <phoneticPr fontId="47"/>
  </si>
  <si>
    <t>attack_plus</t>
    <phoneticPr fontId="47"/>
  </si>
  <si>
    <t>heal_plus</t>
    <phoneticPr fontId="47"/>
  </si>
  <si>
    <t>defense_plus</t>
    <phoneticPr fontId="47"/>
  </si>
  <si>
    <t>level</t>
    <phoneticPr fontId="47"/>
  </si>
  <si>
    <t>skill_level</t>
    <phoneticPr fontId="47"/>
  </si>
  <si>
    <t>bug</t>
    <phoneticPr fontId="47"/>
  </si>
  <si>
    <t>drop_label2</t>
    <phoneticPr fontId="14"/>
  </si>
  <si>
    <t>Premium</t>
    <phoneticPr fontId="14"/>
  </si>
  <si>
    <t>Premium3</t>
    <phoneticPr fontId="14"/>
  </si>
  <si>
    <t>Premium4</t>
    <phoneticPr fontId="14"/>
  </si>
  <si>
    <t>Premium5</t>
    <phoneticPr fontId="14"/>
  </si>
  <si>
    <t>グループ確率</t>
    <rPh sb="4" eb="6">
      <t>カクリツ</t>
    </rPh>
    <phoneticPr fontId="14"/>
  </si>
  <si>
    <t>レア度別確率</t>
    <rPh sb="2" eb="4">
      <t>ドベツ</t>
    </rPh>
    <rPh sb="4" eb="6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</si>
  <si>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</si>
  <si>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color2</t>
    <phoneticPr fontId="14"/>
  </si>
  <si>
    <t>Premium3</t>
  </si>
  <si>
    <t>Premium4</t>
  </si>
  <si>
    <t>Premium5</t>
  </si>
  <si>
    <t>PremiumSS4</t>
    <phoneticPr fontId="14"/>
  </si>
  <si>
    <t>PremiumSS5</t>
    <phoneticPr fontId="14"/>
  </si>
  <si>
    <t>PremiumSSS5</t>
    <phoneticPr fontId="14"/>
  </si>
  <si>
    <t>PremiumSS4</t>
    <phoneticPr fontId="14"/>
  </si>
  <si>
    <t>PremiumSSS4</t>
    <phoneticPr fontId="14"/>
  </si>
  <si>
    <t>PremiumSS5</t>
    <phoneticPr fontId="14"/>
  </si>
  <si>
    <t>PremiumSSS5</t>
    <phoneticPr fontId="14"/>
  </si>
  <si>
    <t>gacha_select_tables_</t>
    <phoneticPr fontId="14"/>
  </si>
  <si>
    <t>ラベル確率で考えましょう</t>
    <rPh sb="6" eb="7">
      <t>カンガエマショウ</t>
    </rPh>
    <phoneticPr fontId="47"/>
  </si>
  <si>
    <t>ラベル</t>
    <phoneticPr fontId="47"/>
  </si>
  <si>
    <t>レアリティ</t>
    <phoneticPr fontId="47"/>
  </si>
  <si>
    <t>{W}</t>
    <phoneticPr fontId="47"/>
  </si>
  <si>
    <t>{N,S}</t>
    <phoneticPr fontId="47"/>
  </si>
  <si>
    <t>{N,S}R3less</t>
    <phoneticPr fontId="47"/>
  </si>
  <si>
    <t>{N,S}R6release</t>
    <phoneticPr fontId="47"/>
  </si>
  <si>
    <t>{SS}</t>
    <phoneticPr fontId="47"/>
  </si>
  <si>
    <t>{SS}R6only</t>
    <phoneticPr fontId="47"/>
  </si>
  <si>
    <t>小計</t>
    <rPh sb="0" eb="2">
      <t>ショウケイ</t>
    </rPh>
    <phoneticPr fontId="47"/>
  </si>
  <si>
    <t>A</t>
    <phoneticPr fontId="47"/>
  </si>
  <si>
    <t>C</t>
    <phoneticPr fontId="47"/>
  </si>
  <si>
    <t>H</t>
    <phoneticPr fontId="47"/>
  </si>
  <si>
    <t>B</t>
    <phoneticPr fontId="47"/>
  </si>
  <si>
    <t>D</t>
    <phoneticPr fontId="47"/>
  </si>
  <si>
    <t>F</t>
    <phoneticPr fontId="47"/>
  </si>
  <si>
    <t>I</t>
    <phoneticPr fontId="47"/>
  </si>
  <si>
    <t>K</t>
    <phoneticPr fontId="47"/>
  </si>
  <si>
    <t>E</t>
    <phoneticPr fontId="47"/>
  </si>
  <si>
    <t>G</t>
    <phoneticPr fontId="47"/>
  </si>
  <si>
    <t>J</t>
    <phoneticPr fontId="47"/>
  </si>
  <si>
    <t>L</t>
    <phoneticPr fontId="47"/>
  </si>
  <si>
    <t>M</t>
    <phoneticPr fontId="47"/>
  </si>
  <si>
    <t>→</t>
    <phoneticPr fontId="47"/>
  </si>
  <si>
    <t>1-SS率</t>
    <rPh sb="4" eb="5">
      <t>リツ</t>
    </rPh>
    <phoneticPr fontId="47"/>
  </si>
  <si>
    <t>SS率</t>
    <rPh sb="2" eb="3">
      <t>リツ</t>
    </rPh>
    <phoneticPr fontId="47"/>
  </si>
  <si>
    <t>考え方を変える</t>
    <rPh sb="0" eb="1">
      <t>カンガエカタ</t>
    </rPh>
    <rPh sb="4" eb="5">
      <t>カエル</t>
    </rPh>
    <phoneticPr fontId="47"/>
  </si>
  <si>
    <t>SS4%は確定事項</t>
    <rPh sb="5" eb="7">
      <t>カクテイ</t>
    </rPh>
    <rPh sb="7" eb="9">
      <t>ジコウ</t>
    </rPh>
    <phoneticPr fontId="47"/>
  </si>
  <si>
    <t>当たりは分配</t>
    <rPh sb="0" eb="1">
      <t>アタリ</t>
    </rPh>
    <rPh sb="4" eb="6">
      <t>ブンパイ</t>
    </rPh>
    <phoneticPr fontId="47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</si>
  <si>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7"/>
  </si>
  <si>
    <t>=</t>
    <phoneticPr fontId="47"/>
  </si>
  <si>
    <t>X*{SS R5only}</t>
    <phoneticPr fontId="47"/>
  </si>
  <si>
    <t>K</t>
    <phoneticPr fontId="47"/>
  </si>
  <si>
    <t>=</t>
    <phoneticPr fontId="47"/>
  </si>
  <si>
    <t>X*{SS}*(R3率+R4率)</t>
    <rPh sb="10" eb="11">
      <t>リツ</t>
    </rPh>
    <rPh sb="14" eb="15">
      <t>リツ</t>
    </rPh>
    <phoneticPr fontId="47"/>
  </si>
  <si>
    <t>L</t>
    <phoneticPr fontId="47"/>
  </si>
  <si>
    <t>X*{SS}*R5率</t>
    <rPh sb="9" eb="10">
      <t>リツ</t>
    </rPh>
    <phoneticPr fontId="47"/>
  </si>
  <si>
    <t>X*{R6release}*R3率</t>
    <rPh sb="16" eb="17">
      <t>リツ</t>
    </rPh>
    <phoneticPr fontId="47"/>
  </si>
  <si>
    <t>X*{R6release}*R4率</t>
    <rPh sb="16" eb="17">
      <t>リツ</t>
    </rPh>
    <phoneticPr fontId="47"/>
  </si>
  <si>
    <t>J</t>
    <phoneticPr fontId="47"/>
  </si>
  <si>
    <t>X*{R6release}*R5率</t>
    <rPh sb="16" eb="17">
      <t>リツ</t>
    </rPh>
    <phoneticPr fontId="47"/>
  </si>
  <si>
    <t>ハズレで確率を整える</t>
    <rPh sb="4" eb="6">
      <t>カクリツ</t>
    </rPh>
    <rPh sb="7" eb="8">
      <t>トトノエル</t>
    </rPh>
    <phoneticPr fontId="47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</si>
  <si>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7"/>
  </si>
  <si>
    <t>A + C</t>
    <phoneticPr fontId="47"/>
  </si>
  <si>
    <t>=</t>
    <phoneticPr fontId="47"/>
  </si>
  <si>
    <t>50%-H</t>
    <phoneticPr fontId="47"/>
  </si>
  <si>
    <t>①</t>
    <phoneticPr fontId="47"/>
  </si>
  <si>
    <t>B + D + F</t>
    <phoneticPr fontId="47"/>
  </si>
  <si>
    <t>45%-I-K</t>
    <phoneticPr fontId="47"/>
  </si>
  <si>
    <t>②</t>
    <phoneticPr fontId="47"/>
  </si>
  <si>
    <t>E+G</t>
    <phoneticPr fontId="47"/>
  </si>
  <si>
    <t>5%-J-L-M</t>
    <phoneticPr fontId="47"/>
  </si>
  <si>
    <t>③</t>
    <phoneticPr fontId="47"/>
  </si>
  <si>
    <t>A+B</t>
    <phoneticPr fontId="47"/>
  </si>
  <si>
    <t>Y*{W}</t>
    <phoneticPr fontId="47"/>
  </si>
  <si>
    <t>④</t>
    <phoneticPr fontId="47"/>
  </si>
  <si>
    <t>C+D+E</t>
    <phoneticPr fontId="47"/>
  </si>
  <si>
    <t>Y*{N,S}</t>
    <phoneticPr fontId="47"/>
  </si>
  <si>
    <t>⑤</t>
    <phoneticPr fontId="47"/>
  </si>
  <si>
    <t>F+G</t>
    <phoneticPr fontId="47"/>
  </si>
  <si>
    <t>Y*{N,S R3less}</t>
    <phoneticPr fontId="47"/>
  </si>
  <si>
    <t>⑥</t>
    <phoneticPr fontId="47"/>
  </si>
  <si>
    <t>A+B+C+D+E+F+G</t>
    <phoneticPr fontId="47"/>
  </si>
  <si>
    <t>⑦</t>
    <phoneticPr fontId="47"/>
  </si>
  <si>
    <t>←これは4,5,6で作れるのでダメだわ</t>
    <rPh sb="10" eb="11">
      <t>ツクレル</t>
    </rPh>
    <phoneticPr fontId="47"/>
  </si>
  <si>
    <t>E*R3率/R5率</t>
    <rPh sb="4" eb="5">
      <t>リツ</t>
    </rPh>
    <rPh sb="8" eb="9">
      <t>リツ</t>
    </rPh>
    <phoneticPr fontId="47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</si>
  <si>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7"/>
  </si>
  <si>
    <t>E*R4率/R5率</t>
    <rPh sb="4" eb="5">
      <t>リツ</t>
    </rPh>
    <rPh sb="8" eb="9">
      <t>リツ</t>
    </rPh>
    <phoneticPr fontId="47"/>
  </si>
  <si>
    <t>∴</t>
    <phoneticPr fontId="47"/>
  </si>
  <si>
    <t>E</t>
    <phoneticPr fontId="47"/>
  </si>
  <si>
    <t>Y*{N,S}*R5率</t>
    <rPh sb="10" eb="11">
      <t>リツ</t>
    </rPh>
    <phoneticPr fontId="47"/>
  </si>
  <si>
    <t>Y*{N,S}*R4率</t>
    <rPh sb="10" eb="11">
      <t>リツ</t>
    </rPh>
    <phoneticPr fontId="47"/>
  </si>
  <si>
    <t>Y*{N,S}*R3率</t>
    <rPh sb="10" eb="11">
      <t>リツ</t>
    </rPh>
    <phoneticPr fontId="47"/>
  </si>
  <si>
    <t>50%-H-C</t>
    <phoneticPr fontId="47"/>
  </si>
  <si>
    <t>Y*{W}-A</t>
    <phoneticPr fontId="47"/>
  </si>
  <si>
    <t>5%-J-L-M-E</t>
    <phoneticPr fontId="47"/>
  </si>
  <si>
    <t>Y*{N,S R3less} - G</t>
    <phoneticPr fontId="47"/>
  </si>
  <si>
    <t>R6境界前後</t>
    <rPh sb="2" eb="4">
      <t>キョウカイ</t>
    </rPh>
    <rPh sb="4" eb="6">
      <t>ゼンゴ</t>
    </rPh>
    <phoneticPr fontId="14"/>
  </si>
  <si>
    <t>R6事後開放N,S</t>
    <rPh sb="2" eb="6">
      <t>ジゴカイホウ</t>
    </rPh>
    <phoneticPr fontId="14"/>
  </si>
  <si>
    <t>PremiumW3</t>
    <phoneticPr fontId="14"/>
  </si>
  <si>
    <t>PremiumW4</t>
    <phoneticPr fontId="14"/>
  </si>
  <si>
    <t>ラベル確率</t>
    <rPh sb="3" eb="5">
      <t>カクリツ</t>
    </rPh>
    <phoneticPr fontId="14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</si>
  <si>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</si>
  <si>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</si>
  <si>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</si>
  <si>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</si>
  <si>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</si>
  <si>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4"/>
  </si>
  <si>
    <t>PremiumSS5R5only</t>
  </si>
  <si>
    <t>計算用中間データ</t>
    <rPh sb="0" eb="3">
      <t>ケイサンヨウ</t>
    </rPh>
    <rPh sb="3" eb="5">
      <t>チュウカン</t>
    </rPh>
    <phoneticPr fontId="14"/>
  </si>
  <si>
    <t>X</t>
    <phoneticPr fontId="14"/>
  </si>
  <si>
    <t>Y</t>
    <phoneticPr fontId="14"/>
  </si>
  <si>
    <t>対象数</t>
    <rPh sb="0" eb="3">
      <t>タイショウスウ</t>
    </rPh>
    <phoneticPr fontId="14"/>
  </si>
  <si>
    <t>PremiumW</t>
    <phoneticPr fontId="14"/>
  </si>
  <si>
    <t>PremiumN</t>
    <phoneticPr fontId="14"/>
  </si>
  <si>
    <t>PremiumS</t>
    <phoneticPr fontId="14"/>
  </si>
  <si>
    <t>PremiumSS</t>
    <phoneticPr fontId="14"/>
  </si>
  <si>
    <t>weight</t>
    <phoneticPr fontId="14"/>
  </si>
  <si>
    <t>←R6分はここから差し引く</t>
    <rPh sb="3" eb="4">
      <t>ブン</t>
    </rPh>
    <rPh sb="9" eb="10">
      <t>サシヒク</t>
    </rPh>
    <phoneticPr fontId="14"/>
  </si>
  <si>
    <t>除外確率</t>
    <rPh sb="0" eb="2">
      <t>ジョガイ</t>
    </rPh>
    <rPh sb="2" eb="4">
      <t>カクリツ</t>
    </rPh>
    <phoneticPr fontId="14"/>
  </si>
  <si>
    <t>除外数</t>
    <rPh sb="0" eb="3">
      <t>ジョガイスウ</t>
    </rPh>
    <phoneticPr fontId="14"/>
  </si>
  <si>
    <t>もうここは手で入れよう…</t>
    <rPh sb="5" eb="6">
      <t>テ</t>
    </rPh>
    <rPh sb="7" eb="8">
      <t>イレヨウ</t>
    </rPh>
    <phoneticPr fontId="14"/>
  </si>
  <si>
    <t>通常weight</t>
    <rPh sb="0" eb="2">
      <t>ツウジョウ</t>
    </rPh>
    <phoneticPr fontId="14"/>
  </si>
  <si>
    <t>335103</t>
  </si>
  <si>
    <t>ja</t>
  </si>
  <si>
    <t>ガチャ特典</t>
    <rPh sb="3" eb="5">
      <t>トクテン</t>
    </rPh>
    <phoneticPr fontId="14"/>
  </si>
  <si>
    <t>item</t>
    <phoneticPr fontId="14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</si>
  <si>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4"/>
  </si>
  <si>
    <t>old</t>
    <phoneticPr fontId="14"/>
  </si>
  <si>
    <t>★6覚醒ユニット50%券x1</t>
    <rPh sb="2" eb="4">
      <t>カクセイ</t>
    </rPh>
    <rPh sb="11" eb="12">
      <t>ケン</t>
    </rPh>
    <phoneticPr fontId="14"/>
  </si>
  <si>
    <t>skip</t>
    <phoneticPr fontId="14"/>
  </si>
  <si>
    <t>hogehoge</t>
    <phoneticPr fontId="14"/>
  </si>
  <si>
    <t>いつもの確率</t>
    <rPh sb="4" eb="6">
      <t>カクリツ</t>
    </rPh>
    <phoneticPr fontId="14"/>
  </si>
  <si>
    <t>tables_336100</t>
    <phoneticPr fontId="14"/>
  </si>
  <si>
    <t>gacha_settle_tables_</t>
    <phoneticPr fontId="14"/>
  </si>
  <si>
    <t>tables_settle_336100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</si>
</sst>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3" fillId="0" borderId="0"/>
    <xf numFmtId="0" fontId="17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2" fillId="0" borderId="0"/>
    <xf numFmtId="0" fontId="24" fillId="5" borderId="2" applyNumberFormat="0" applyAlignment="0" applyProtection="0"/>
    <xf numFmtId="0" fontId="25" fillId="6" borderId="0" applyNumberFormat="0" applyBorder="0" applyAlignment="0" applyProtection="0"/>
    <xf numFmtId="0" fontId="26" fillId="7" borderId="3" applyNumberFormat="0" applyAlignment="0" applyProtection="0"/>
    <xf numFmtId="0" fontId="27" fillId="0" borderId="0" applyNumberFormat="0" applyFill="0" applyBorder="0" applyAlignment="0" applyProtection="0"/>
    <xf numFmtId="0" fontId="28" fillId="8" borderId="0" applyNumberFormat="0" applyBorder="0" applyAlignment="0" applyProtection="0"/>
    <xf numFmtId="0" fontId="29" fillId="9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7" borderId="0" applyNumberFormat="0" applyBorder="0" applyAlignment="0" applyProtection="0"/>
    <xf numFmtId="0" fontId="34" fillId="6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5" borderId="0" applyNumberFormat="0" applyBorder="0" applyAlignment="0" applyProtection="0"/>
    <xf numFmtId="0" fontId="34" fillId="7" borderId="0" applyNumberFormat="0" applyBorder="0" applyAlignment="0" applyProtection="0"/>
    <xf numFmtId="0" fontId="34" fillId="12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3" borderId="0" applyNumberFormat="0" applyBorder="0" applyAlignment="0" applyProtection="0"/>
    <xf numFmtId="0" fontId="34" fillId="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4" borderId="0" applyNumberFormat="0" applyBorder="0" applyAlignment="0" applyProtection="0"/>
    <xf numFmtId="0" fontId="35" fillId="6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6" fillId="17" borderId="0" applyNumberFormat="0" applyBorder="0" applyAlignment="0" applyProtection="0"/>
    <xf numFmtId="0" fontId="25" fillId="6" borderId="0" applyNumberFormat="0" applyBorder="0" applyAlignment="0" applyProtection="0"/>
    <xf numFmtId="0" fontId="37" fillId="0" borderId="8" applyNumberFormat="0" applyFill="0" applyAlignment="0" applyProtection="0"/>
    <xf numFmtId="0" fontId="38" fillId="7" borderId="9" applyNumberFormat="0" applyAlignment="0" applyProtection="0"/>
    <xf numFmtId="0" fontId="38" fillId="18" borderId="9" applyNumberFormat="0" applyAlignment="0" applyProtection="0"/>
    <xf numFmtId="0" fontId="26" fillId="6" borderId="3" applyNumberFormat="0" applyAlignment="0" applyProtection="0"/>
    <xf numFmtId="0" fontId="39" fillId="0" borderId="10" applyNumberFormat="0" applyFill="0" applyAlignment="0" applyProtection="0"/>
    <xf numFmtId="0" fontId="40" fillId="18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2" fillId="0" borderId="0" applyFont="0" applyFill="0" applyBorder="0" applyAlignment="0" applyProtection="0">
      <alignment vertical="center"/>
    </xf>
    <xf numFmtId="0" fontId="43" fillId="19" borderId="0" applyNumberFormat="0" applyBorder="0" applyAlignment="0" applyProtection="0"/>
    <xf numFmtId="0" fontId="44" fillId="20" borderId="0" applyNumberFormat="0" applyBorder="0" applyAlignment="0" applyProtection="0"/>
    <xf numFmtId="0" fontId="12" fillId="0" borderId="0"/>
    <xf numFmtId="0" fontId="45" fillId="20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0"/>
    <xf numFmtId="0" fontId="48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" fillId="0" borderId="0"/>
    <xf numFmtId="38" fontId="49" fillId="0" borderId="0" applyFont="0" applyFill="0" applyBorder="0" applyAlignment="0" applyProtection="0"/>
  </cellStyleXfs>
  <cellXfs count="86">
    <xf numFmtId="0" fontId="0" fillId="0" borderId="0" xfId="0"/>
    <xf numFmtId="0" fontId="19" fillId="0" borderId="0" xfId="2" applyFont="1" applyAlignment="1">
      <alignment vertical="center"/>
    </xf>
    <xf numFmtId="0" fontId="19" fillId="0" borderId="1" xfId="2" applyFont="1" applyBorder="1" applyAlignment="1">
      <alignment vertical="center"/>
    </xf>
    <xf numFmtId="0" fontId="19" fillId="3" borderId="1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0" fontId="19" fillId="4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horizontal="right" vertical="center"/>
    </xf>
    <xf numFmtId="0" fontId="19" fillId="3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vertical="center"/>
    </xf>
    <xf numFmtId="0" fontId="19" fillId="0" borderId="13" xfId="2" applyFont="1" applyBorder="1" applyAlignment="1">
      <alignment vertical="center"/>
    </xf>
    <xf numFmtId="0" fontId="18" fillId="4" borderId="12" xfId="0" applyFont="1" applyFill="1" applyBorder="1" applyAlignment="1">
      <alignment horizontal="right" vertical="center"/>
    </xf>
    <xf numFmtId="0" fontId="18" fillId="4" borderId="14" xfId="0" applyFont="1" applyFill="1" applyBorder="1" applyAlignment="1">
      <alignment horizontal="right" vertical="center"/>
    </xf>
    <xf numFmtId="0" fontId="19" fillId="0" borderId="15" xfId="2" applyFont="1" applyBorder="1" applyAlignment="1">
      <alignment vertical="center"/>
    </xf>
    <xf numFmtId="0" fontId="19" fillId="2" borderId="1" xfId="2" applyFont="1" applyFill="1" applyBorder="1" applyAlignment="1">
      <alignment horizontal="left" vertical="center"/>
    </xf>
    <xf numFmtId="0" fontId="46" fillId="21" borderId="1" xfId="0" applyFont="1" applyFill="1" applyBorder="1" applyAlignment="1">
      <alignment horizontal="left" vertical="center"/>
    </xf>
    <xf numFmtId="0" fontId="19" fillId="2" borderId="1" xfId="2" applyFont="1" applyFill="1" applyBorder="1" applyAlignment="1">
      <alignment horizontal="center" vertical="center"/>
    </xf>
    <xf numFmtId="0" fontId="21" fillId="22" borderId="1" xfId="2978" applyFont="1" applyFill="1" applyBorder="1"/>
    <xf numFmtId="0" fontId="7" fillId="22" borderId="1" xfId="2978" applyFill="1" applyBorder="1"/>
    <xf numFmtId="0" fontId="7" fillId="0" borderId="0" xfId="2978"/>
    <xf numFmtId="0" fontId="7" fillId="0" borderId="1" xfId="2978" applyBorder="1"/>
    <xf numFmtId="0" fontId="7" fillId="2" borderId="1" xfId="2978" applyFill="1" applyBorder="1"/>
    <xf numFmtId="0" fontId="11" fillId="2" borderId="1" xfId="19" applyFont="1" applyFill="1" applyBorder="1"/>
    <xf numFmtId="0" fontId="12" fillId="2" borderId="1" xfId="19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6" fillId="0" borderId="1" xfId="2978" applyFont="1" applyBorder="1"/>
    <xf numFmtId="0" fontId="21" fillId="22" borderId="1" xfId="0" applyFont="1" applyFill="1" applyBorder="1"/>
    <xf numFmtId="0" fontId="46" fillId="23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6" fillId="30" borderId="1" xfId="0" applyFont="1" applyFill="1" applyBorder="1" applyAlignment="1">
      <alignment horizontal="left" vertical="center"/>
    </xf>
    <xf numFmtId="0" fontId="19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8" fillId="25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0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1" fillId="32" borderId="1" xfId="0" applyNumberFormat="1" applyFont="1" applyFill="1" applyBorder="1"/>
    <xf numFmtId="38" fontId="19" fillId="4" borderId="1" xfId="3663" quotePrefix="1" applyFont="1" applyFill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 wrapText="1"/>
    </xf>
    <xf numFmtId="0" fontId="1" fillId="0" borderId="1" xfId="3036" applyFont="1" applyBorder="1"/>
    <xf numFmtId="0" fontId="1" fillId="0" borderId="1" xfId="2978" applyFont="1" applyBorder="1"/>
    <xf numFmtId="178" fontId="0" fillId="4" borderId="0" xfId="0" applyNumberFormat="1" applyFill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DropWisSS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unknown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unknown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unknown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unknown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Drop1W</v>
          </cell>
          <cell r="K985" t="str">
            <v>balance</v>
          </cell>
          <cell r="L985" t="str">
            <v>バランスタイプ</v>
          </cell>
          <cell r="M985" t="str">
            <v>human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green</v>
          </cell>
          <cell r="I986">
            <v>6</v>
          </cell>
          <cell r="J986" t="str">
            <v>Drop1W</v>
          </cell>
          <cell r="K986" t="str">
            <v>heal</v>
          </cell>
          <cell r="L986" t="str">
            <v>回復タイプ</v>
          </cell>
          <cell r="M986" t="str">
            <v>machine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animal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unknown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unknown</v>
          </cell>
        </row>
        <row r="991">
          <cell r="A991">
            <v>8013</v>
          </cell>
          <cell r="B991" t="str">
            <v>ja</v>
          </cell>
          <cell r="C991" t="str">
            <v>初音ミクV3</v>
          </cell>
          <cell r="D991" t="str">
            <v>ガチャ:ミクコラボ01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green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初音ミクV3</v>
          </cell>
          <cell r="D992" t="str">
            <v>ガチャ:ミクコラボ01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green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初音ミク・アペンド</v>
          </cell>
          <cell r="D993" t="str">
            <v>ガチャ:ミクコラボ01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初音ミク・アペンド</v>
          </cell>
          <cell r="D994" t="str">
            <v>ガチャ:ミクコラボ01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初音ミク</v>
          </cell>
          <cell r="D995" t="str">
            <v>ガチャ:ミクコラボ01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初音ミク</v>
          </cell>
          <cell r="D996" t="str">
            <v>ガチャ:ミクコラボ01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鏡音リン</v>
          </cell>
          <cell r="D997" t="str">
            <v>ガチャ:ミクコラボ01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鏡音リン</v>
          </cell>
          <cell r="D998" t="str">
            <v>ガチャ:ミクコラボ01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鏡音レン</v>
          </cell>
          <cell r="D999" t="str">
            <v>ガチャ:ミクコラボ01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鏡音レン</v>
          </cell>
          <cell r="D1000" t="str">
            <v>ガチャ:ミクコラボ01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巡音ルカ</v>
          </cell>
          <cell r="D1001" t="str">
            <v>ガチャ:ミクコラボ01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巡音ルカ</v>
          </cell>
          <cell r="D1002" t="str">
            <v>ガチャ:ミクコラボ01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MEIKO</v>
          </cell>
          <cell r="D1003" t="str">
            <v>ガチャ:ミクコラボ01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MEIKO</v>
          </cell>
          <cell r="D1004" t="str">
            <v>ガチャ:ミクコラボ01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KAITO</v>
          </cell>
          <cell r="D1005" t="str">
            <v>イベント:ミクコラボ01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Drop2N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KAITO</v>
          </cell>
          <cell r="D1006" t="str">
            <v>イベント:ミクコラボ01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Drop2N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Expoミク</v>
          </cell>
          <cell r="D1007" t="str">
            <v>イベント:ミクコラボ01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green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Expoミク</v>
          </cell>
          <cell r="D1008" t="str">
            <v>イベント:ミクコラボ01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green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E20" sqref="E2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2" t="s">
        <v>225</v>
      </c>
      <c r="B2" s="61" t="s">
        <v>116</v>
      </c>
      <c r="C2" s="50" t="str">
        <f>RIGHT(F2,6)</f>
        <v>336100</v>
      </c>
      <c r="D2" s="19" t="s">
        <v>46</v>
      </c>
      <c r="E2" s="17" t="str">
        <f t="shared" ref="E2:E6" si="0">B2&amp;C2&amp;D2</f>
        <v>gacha_select_tables_336100.tmp</v>
      </c>
      <c r="F2" s="85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2" t="s">
        <v>225</v>
      </c>
      <c r="B3" s="83" t="s">
        <v>231</v>
      </c>
      <c r="C3" s="50" t="str">
        <f>RIGHT(F3,6)</f>
        <v>336100</v>
      </c>
      <c r="D3" s="19" t="s">
        <v>46</v>
      </c>
      <c r="E3" s="17" t="str">
        <f t="shared" ref="E3" si="1">B3&amp;C3&amp;D3</f>
        <v>gacha_settle_tables_336100.tmp</v>
      </c>
      <c r="F3" s="85" t="s">
        <v>232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B272" sqref="B272:B27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336100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>
        <v>848</v>
      </c>
      <c r="M3" s="37" t="str">
        <f>VLOOKUP(L3,[1]characters!$A:$C,3,FALSE)</f>
        <v>メタトロン</v>
      </c>
      <c r="N3" s="63">
        <v>1.2999999999999999E-2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VLOOKUP(L3,tables_336100!B:C,2,FALSE)</f>
        <v>PremiumSS5R5only</v>
      </c>
      <c r="R3" s="62">
        <f t="shared" ref="R3:R20" si="0">N3*A$36</f>
        <v>65416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>
        <v>850</v>
      </c>
      <c r="M4" s="37" t="str">
        <f>VLOOKUP(L4,[1]characters!$A:$C,3,FALSE)</f>
        <v>バアル</v>
      </c>
      <c r="N4" s="63">
        <v>1.2999999999999999E-2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VLOOKUP(L4,tables_336100!B:C,2,FALSE)</f>
        <v>PremiumSS5R5only</v>
      </c>
      <c r="R4" s="62">
        <f t="shared" si="0"/>
        <v>65416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1.1764705882352942E-4</v>
      </c>
      <c r="F5">
        <f>(COUNTIF(tables_336100!C:C,input_336100!A26)+COUNTIF(tables_336100!C:C,input_336100!A28)+COUNTIF(tables_336100!C:C,input_336100!A29))</f>
        <v>36</v>
      </c>
      <c r="H5" s="84">
        <v>2.5999999999999999E-2</v>
      </c>
      <c r="I5" s="31">
        <v>2</v>
      </c>
      <c r="L5" s="1">
        <v>852</v>
      </c>
      <c r="M5" s="37" t="str">
        <f>VLOOKUP(L5,[1]characters!$A:$C,3,FALSE)</f>
        <v>サキエル</v>
      </c>
      <c r="N5" s="63">
        <v>8.9999999999999993E-3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VLOOKUP(L5,tables_336100!B:C,2,FALSE)</f>
        <v>Premium4R3less</v>
      </c>
      <c r="R5" s="62">
        <f>N5*A$36</f>
        <v>45288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1.2837837837837837E-2</v>
      </c>
      <c r="F6">
        <f>(COUNTIF(tables_336100!C:C,input_336100!A18)+COUNTIF(tables_336100!C:C,input_336100!A20)+COUNTIF(tables_336100!C:C,input_336100!A22))</f>
        <v>76</v>
      </c>
      <c r="H6" s="84">
        <v>0.02</v>
      </c>
      <c r="I6" s="31">
        <v>2</v>
      </c>
      <c r="L6" s="1">
        <v>853</v>
      </c>
      <c r="M6" s="37" t="str">
        <f>VLOOKUP(L6,[1]characters!$A:$C,3,FALSE)</f>
        <v>サキエル</v>
      </c>
      <c r="N6" s="63">
        <v>1E-3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VLOOKUP(L6,tables_336100!B:C,2,FALSE)</f>
        <v>Premium5R3less</v>
      </c>
      <c r="R6" s="62">
        <f t="shared" si="0"/>
        <v>5032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>
        <v>854</v>
      </c>
      <c r="M7" s="37" t="str">
        <f>VLOOKUP(L7,[1]characters!$A:$C,3,FALSE)</f>
        <v>フラウロス</v>
      </c>
      <c r="N7" s="63">
        <v>8.9999999999999993E-3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VLOOKUP(L7,tables_336100!B:C,2,FALSE)</f>
        <v>Premium4R3less</v>
      </c>
      <c r="R7" s="62">
        <f t="shared" si="0"/>
        <v>45288</v>
      </c>
      <c r="S7">
        <v>597</v>
      </c>
      <c r="U7" s="32" t="s">
        <v>202</v>
      </c>
      <c r="V7" s="54">
        <f t="shared" si="1"/>
        <v>1.7999999999999999E-2</v>
      </c>
    </row>
    <row r="8" spans="1:22" x14ac:dyDescent="0.15">
      <c r="A8" s="57"/>
      <c r="B8" s="71"/>
      <c r="L8" s="1">
        <v>855</v>
      </c>
      <c r="M8" s="37" t="str">
        <f>VLOOKUP(L8,[1]characters!$A:$C,3,FALSE)</f>
        <v>フラウロス</v>
      </c>
      <c r="N8" s="63">
        <v>1E-3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VLOOKUP(L8,tables_336100!B:C,2,FALSE)</f>
        <v>Premium5R3less</v>
      </c>
      <c r="R8" s="62">
        <f t="shared" si="0"/>
        <v>5032</v>
      </c>
      <c r="S8">
        <v>598</v>
      </c>
      <c r="U8" s="32" t="s">
        <v>203</v>
      </c>
      <c r="V8" s="54">
        <f t="shared" si="1"/>
        <v>2E-3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VLOOKUP(L9,tables_336100!B:C,2,FALSE)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VLOOKUP(L10,tables_336100!B:C,2,FALSE)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VLOOKUP(L11,tables_336100!B:C,2,FALSE)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VLOOKUP(L12,tables_336100!B:C,2,FALSE)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VLOOKUP(L13,tables_336100!B:C,2,FALSE)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VLOOKUP(L14,tables_336100!B:C,2,FALSE)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2.5999999999999999E-2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VLOOKUP(L15,tables_336100!B:C,2,FALSE)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VLOOKUP(L16,tables_336100!B:C,2,FALSE)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0.16598092209856918</v>
      </c>
      <c r="C17" s="74">
        <f t="shared" ref="C17:C31" si="2">SUMIF(Q:Q,A17,N:N)</f>
        <v>0</v>
      </c>
      <c r="D17" s="75">
        <f t="shared" ref="D17:D26" si="3">B17-C17</f>
        <v>0.16598092209856918</v>
      </c>
      <c r="E17">
        <f>COUNTIF(tables_336100!C:C,input_336100!A17)-COUNTIF(Q:Q,A17)</f>
        <v>20</v>
      </c>
      <c r="F17" s="43">
        <f>IFERROR(B17/E17,0)</f>
        <v>8.2990461049284592E-3</v>
      </c>
      <c r="G17">
        <f>A$36*B17</f>
        <v>835216.00000000012</v>
      </c>
      <c r="H17">
        <f t="shared" ref="H17:H26" si="4">IFERROR(ROUND(G17/E17,5),0)</f>
        <v>41760.800000000003</v>
      </c>
      <c r="I17">
        <f t="shared" ref="I17:I31" si="5">MOD(H17,1)</f>
        <v>0.80000000000291038</v>
      </c>
      <c r="J17">
        <f t="shared" ref="J17:J26" si="6">IFERROR(1/I17,1)</f>
        <v>1.2499999999954525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VLOOKUP(L17,tables_336100!B:C,2,FALSE)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9.077583465818756E-2</v>
      </c>
      <c r="C18" s="74">
        <f t="shared" si="2"/>
        <v>0</v>
      </c>
      <c r="D18" s="75">
        <f t="shared" si="3"/>
        <v>9.077583465818756E-2</v>
      </c>
      <c r="E18">
        <f>COUNTIF(tables_336100!C:C,input_336100!A18)-COUNTIF(Q:Q,A18)</f>
        <v>20</v>
      </c>
      <c r="F18" s="43">
        <f t="shared" ref="F18:F31" si="7">IFERROR(B18/E18,0)</f>
        <v>4.5387917329093776E-3</v>
      </c>
      <c r="G18">
        <f t="shared" ref="G18:G31" si="8">A$36*B18</f>
        <v>456783.99999999983</v>
      </c>
      <c r="H18">
        <f t="shared" si="4"/>
        <v>22839.200000000001</v>
      </c>
      <c r="I18">
        <f t="shared" si="5"/>
        <v>0.2000000000007276</v>
      </c>
      <c r="J18">
        <f t="shared" si="6"/>
        <v>4.9999999999818101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VLOOKUP(L18,tables_336100!B:C,2,FALSE)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0.33378378378378376</v>
      </c>
      <c r="C19" s="74">
        <f t="shared" si="2"/>
        <v>0</v>
      </c>
      <c r="D19" s="75">
        <f t="shared" si="3"/>
        <v>0.33378378378378376</v>
      </c>
      <c r="E19">
        <f>COUNTIF(tables_336100!C:C,input_336100!A19)-COUNTIF(Q:Q,A19)</f>
        <v>52</v>
      </c>
      <c r="F19" s="43">
        <f t="shared" si="7"/>
        <v>6.4189189189189184E-3</v>
      </c>
      <c r="G19">
        <f t="shared" si="8"/>
        <v>1679600</v>
      </c>
      <c r="H19">
        <f t="shared" si="4"/>
        <v>32300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VLOOKUP(L19,tables_336100!B:C,2,FALSE)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0.30040540540540539</v>
      </c>
      <c r="C20" s="74">
        <f t="shared" si="2"/>
        <v>0</v>
      </c>
      <c r="D20" s="75">
        <f t="shared" si="3"/>
        <v>0.30040540540540539</v>
      </c>
      <c r="E20">
        <f>COUNTIF(tables_336100!C:C,input_336100!A20)-COUNTIF(Q:Q,A20)</f>
        <v>52</v>
      </c>
      <c r="F20" s="43">
        <f t="shared" si="7"/>
        <v>5.777027027027027E-3</v>
      </c>
      <c r="G20">
        <f t="shared" si="8"/>
        <v>1511640</v>
      </c>
      <c r="H20">
        <f t="shared" si="4"/>
        <v>29070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VLOOKUP(L20,tables_336100!B:C,2,FALSE)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3.3378378378378377E-2</v>
      </c>
      <c r="C21" s="74">
        <f t="shared" si="2"/>
        <v>0</v>
      </c>
      <c r="D21" s="75">
        <f t="shared" si="3"/>
        <v>3.3378378378378377E-2</v>
      </c>
      <c r="E21">
        <f>COUNTIF(tables_336100!C:C,input_336100!A21)-COUNTIF(Q:Q,A21)</f>
        <v>52</v>
      </c>
      <c r="F21" s="43">
        <f t="shared" si="7"/>
        <v>6.4189189189189184E-4</v>
      </c>
      <c r="G21">
        <f t="shared" si="8"/>
        <v>167960</v>
      </c>
      <c r="H21">
        <f t="shared" si="4"/>
        <v>3230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9.4775834658187529E-3</v>
      </c>
      <c r="C22" s="74">
        <f t="shared" si="2"/>
        <v>1.7999999999999999E-2</v>
      </c>
      <c r="D22" s="75">
        <f t="shared" si="3"/>
        <v>-8.5224165341812458E-3</v>
      </c>
      <c r="E22">
        <f>COUNTIF(tables_336100!C:C,input_336100!A22)-COUNTIF(Q:Q,A22)</f>
        <v>2</v>
      </c>
      <c r="F22" s="43">
        <f t="shared" si="7"/>
        <v>4.7387917329093764E-3</v>
      </c>
      <c r="G22">
        <f t="shared" si="8"/>
        <v>47691.199999999968</v>
      </c>
      <c r="H22">
        <f t="shared" si="4"/>
        <v>23845.599999999999</v>
      </c>
      <c r="I22">
        <f t="shared" si="5"/>
        <v>0.59999999999854481</v>
      </c>
      <c r="J22">
        <f t="shared" si="6"/>
        <v>1.6666666666707088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1.6198092209856921E-2</v>
      </c>
      <c r="C23" s="74">
        <f t="shared" si="2"/>
        <v>2E-3</v>
      </c>
      <c r="D23" s="75">
        <f t="shared" si="3"/>
        <v>1.4198092209856921E-2</v>
      </c>
      <c r="E23">
        <f>COUNTIF(tables_336100!C:C,input_336100!A23)-COUNTIF(Q:Q,A23)</f>
        <v>2</v>
      </c>
      <c r="F23" s="43">
        <f t="shared" si="7"/>
        <v>8.0990461049284604E-3</v>
      </c>
      <c r="G23">
        <f t="shared" si="8"/>
        <v>81508.800000000032</v>
      </c>
      <c r="H23">
        <f t="shared" si="4"/>
        <v>40754.400000000001</v>
      </c>
      <c r="I23">
        <f t="shared" si="5"/>
        <v>0.40000000000145519</v>
      </c>
      <c r="J23">
        <f t="shared" si="6"/>
        <v>2.4999999999909051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E$5*COUNTIF(tables_336100!C:C,input_336100!A24)*B5</f>
        <v>2.3529411764705883E-4</v>
      </c>
      <c r="C24" s="74">
        <f t="shared" si="2"/>
        <v>0</v>
      </c>
      <c r="D24" s="75">
        <f t="shared" si="3"/>
        <v>2.3529411764705883E-4</v>
      </c>
      <c r="E24">
        <f>COUNTIF(tables_336100!C:C,input_336100!A24)-COUNTIF(Q:Q,A24)</f>
        <v>4</v>
      </c>
      <c r="F24" s="43">
        <f t="shared" si="7"/>
        <v>5.8823529411764708E-5</v>
      </c>
      <c r="G24">
        <f t="shared" si="8"/>
        <v>1184</v>
      </c>
      <c r="H24">
        <f t="shared" si="4"/>
        <v>296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2.1176470588235295E-4</v>
      </c>
      <c r="C25" s="74">
        <f t="shared" si="2"/>
        <v>0</v>
      </c>
      <c r="D25" s="75">
        <f t="shared" si="3"/>
        <v>2.1176470588235295E-4</v>
      </c>
      <c r="E25">
        <f>COUNTIF(tables_336100!C:C,input_336100!A25)-COUNTIF(Q:Q,A25)</f>
        <v>4</v>
      </c>
      <c r="F25" s="43">
        <f t="shared" si="7"/>
        <v>5.2941176470588237E-5</v>
      </c>
      <c r="G25">
        <f t="shared" si="8"/>
        <v>1065.6000000000001</v>
      </c>
      <c r="H25">
        <f t="shared" si="4"/>
        <v>266.39999999999998</v>
      </c>
      <c r="I25">
        <f t="shared" si="5"/>
        <v>0.39999999999997726</v>
      </c>
      <c r="J25">
        <f t="shared" si="6"/>
        <v>2.5000000000001421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2.3529411764705884E-5</v>
      </c>
      <c r="C26" s="74">
        <f t="shared" si="2"/>
        <v>0</v>
      </c>
      <c r="D26" s="75">
        <f t="shared" si="3"/>
        <v>2.3529411764705884E-5</v>
      </c>
      <c r="E26">
        <f>COUNTIF(tables_336100!C:C,input_336100!A26)-COUNTIF(Q:Q,A26)</f>
        <v>4</v>
      </c>
      <c r="F26" s="43">
        <f t="shared" si="7"/>
        <v>5.8823529411764709E-6</v>
      </c>
      <c r="G26">
        <f t="shared" si="8"/>
        <v>118.4</v>
      </c>
      <c r="H26">
        <f t="shared" si="4"/>
        <v>29.6</v>
      </c>
      <c r="I26">
        <f t="shared" si="5"/>
        <v>0.60000000000000142</v>
      </c>
      <c r="J26">
        <f t="shared" si="6"/>
        <v>1.6666666666666627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3.1294117647058823E-3</v>
      </c>
      <c r="C27" s="74">
        <f t="shared" si="2"/>
        <v>0</v>
      </c>
      <c r="D27" s="75">
        <f t="shared" ref="D27:D29" si="9">B27-C27</f>
        <v>3.1294117647058823E-3</v>
      </c>
      <c r="E27">
        <f>COUNTIF(tables_336100!C:C,input_336100!A27)-COUNTIF(Q:Q,A27)</f>
        <v>28</v>
      </c>
      <c r="F27" s="43">
        <f>IFERROR(B27/E27,0)</f>
        <v>1.1176470588235294E-4</v>
      </c>
      <c r="G27">
        <f t="shared" si="8"/>
        <v>15747.199999999999</v>
      </c>
      <c r="H27">
        <f t="shared" ref="H27:H29" si="10">IFERROR(ROUND(G27/E27,5),0)</f>
        <v>562.4</v>
      </c>
      <c r="I27">
        <f t="shared" si="5"/>
        <v>0.39999999999997726</v>
      </c>
      <c r="J27">
        <f t="shared" ref="J27:J29" si="11">IFERROR(1/I27,1)</f>
        <v>2.5000000000001421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1.6470588235294119E-4</v>
      </c>
      <c r="C28" s="74">
        <f t="shared" si="2"/>
        <v>0</v>
      </c>
      <c r="D28" s="75">
        <f t="shared" si="9"/>
        <v>1.6470588235294119E-4</v>
      </c>
      <c r="E28">
        <f>COUNTIF(tables_336100!C:C,input_336100!A28)-COUNTIF(Q:Q,A28)</f>
        <v>28</v>
      </c>
      <c r="F28" s="43">
        <f t="shared" si="7"/>
        <v>5.8823529411764709E-6</v>
      </c>
      <c r="G28">
        <f t="shared" si="8"/>
        <v>828.80000000000007</v>
      </c>
      <c r="H28">
        <f t="shared" si="10"/>
        <v>29.6</v>
      </c>
      <c r="I28">
        <f t="shared" si="5"/>
        <v>0.60000000000000142</v>
      </c>
      <c r="J28">
        <f t="shared" si="11"/>
        <v>1.6666666666666627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2.3529411764705883E-4</v>
      </c>
      <c r="C29" s="74">
        <f t="shared" si="2"/>
        <v>2.5999999999999999E-2</v>
      </c>
      <c r="D29" s="75">
        <f t="shared" si="9"/>
        <v>-2.576470588235294E-2</v>
      </c>
      <c r="E29">
        <f>COUNTIF(tables_336100!C:C,input_336100!A29)-COUNTIF(Q:Q,A29)</f>
        <v>2</v>
      </c>
      <c r="F29" s="43">
        <f>IFERROR(B29/E29,0)</f>
        <v>1.1764705882352942E-4</v>
      </c>
      <c r="G29">
        <f t="shared" si="8"/>
        <v>1184</v>
      </c>
      <c r="H29">
        <f t="shared" si="10"/>
        <v>592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COUNTIF(tables_336100!C:C,input_336100!A30)-COUNTIF(Q:Q,A30)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COUNTIF(tables_336100!C:C,input_336100!A31)-COUNTIF(Q:Q,A31)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0.95400000000000018</v>
      </c>
      <c r="C32" s="41">
        <f>SUM(C19:C31)</f>
        <v>4.5999999999999999E-2</v>
      </c>
      <c r="D32" s="42">
        <f t="shared" ref="D32" si="15">B32-C32</f>
        <v>0.90800000000000014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5032000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SUMIF(tables_336100!C:C,input_336100!A40,tables_336100!O:O)</f>
        <v>1679600</v>
      </c>
      <c r="C40" s="54">
        <f t="shared" ref="C40:C46" ca="1" si="16">B40/B$47</f>
        <v>0.49754486079645094</v>
      </c>
      <c r="E40">
        <v>3</v>
      </c>
      <c r="F40">
        <f ca="1">SUMIF(tables_336100!J:J,input_336100!E40,tables_336100!O:O)</f>
        <v>2516000</v>
      </c>
      <c r="G40">
        <f ca="1">F40/A36</f>
        <v>0.5</v>
      </c>
    </row>
    <row r="41" spans="1:7" x14ac:dyDescent="0.15">
      <c r="A41" s="32" t="s">
        <v>107</v>
      </c>
      <c r="B41">
        <f ca="1">SUMIF(tables_336100!C:C,input_336100!A41,tables_336100!O:O)</f>
        <v>1511640</v>
      </c>
      <c r="C41" s="54">
        <f t="shared" ca="1" si="16"/>
        <v>0.44779037471680583</v>
      </c>
      <c r="E41">
        <v>4</v>
      </c>
      <c r="F41">
        <f ca="1">SUMIF(tables_336100!J:J,input_336100!E41,tables_336100!O:O)</f>
        <v>2123503.9999999977</v>
      </c>
      <c r="G41">
        <f ca="1">F41/A36</f>
        <v>0.42199999999999954</v>
      </c>
    </row>
    <row r="42" spans="1:7" x14ac:dyDescent="0.15">
      <c r="A42" s="32" t="s">
        <v>112</v>
      </c>
      <c r="B42">
        <f ca="1">SUMIF(tables_336100!C:C,input_336100!A42,tables_336100!O:O)</f>
        <v>15747.199999999993</v>
      </c>
      <c r="C42" s="54">
        <f t="shared" ca="1" si="16"/>
        <v>4.6647644867431944E-3</v>
      </c>
      <c r="E42">
        <v>5</v>
      </c>
      <c r="F42">
        <f ca="1">SUMIF(tables_336100!J:J,input_336100!E42,tables_336100!O:O)</f>
        <v>392496.00000000012</v>
      </c>
      <c r="G42">
        <f ca="1">F42/A36</f>
        <v>7.8000000000000028E-2</v>
      </c>
    </row>
    <row r="43" spans="1:7" x14ac:dyDescent="0.15">
      <c r="A43" s="32" t="s">
        <v>113</v>
      </c>
      <c r="B43">
        <f>SUMIF(tables_336100!C:C,input_336100!A43,tables_336100!O:O)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SUMIF(tables_336100!C:C,input_336100!A44,tables_336100!O:O)</f>
        <v>167960</v>
      </c>
      <c r="C44" s="54">
        <f t="shared" ca="1" si="16"/>
        <v>4.9754486079645097E-2</v>
      </c>
      <c r="E44" t="s">
        <v>104</v>
      </c>
      <c r="F44" s="55"/>
    </row>
    <row r="45" spans="1:7" x14ac:dyDescent="0.15">
      <c r="A45" s="32" t="s">
        <v>114</v>
      </c>
      <c r="B45">
        <f ca="1">SUMIF(tables_336100!C:C,input_336100!A45,tables_336100!O:O)</f>
        <v>828.80000000000041</v>
      </c>
      <c r="C45" s="54">
        <f t="shared" ca="1" si="16"/>
        <v>2.4551392035490518E-4</v>
      </c>
      <c r="E45" t="s">
        <v>210</v>
      </c>
      <c r="F45" s="55">
        <f ca="1">SUMIF(tables_336100!I:I,input_336100!E45,tables_336100!P:P)</f>
        <v>0.25243068362480137</v>
      </c>
    </row>
    <row r="46" spans="1:7" x14ac:dyDescent="0.15">
      <c r="A46" s="32" t="s">
        <v>115</v>
      </c>
      <c r="B46">
        <f>SUMIF(tables_336100!C:C,input_336100!A46,tables_336100!O:O)</f>
        <v>0</v>
      </c>
      <c r="C46" s="54">
        <f t="shared" ca="1" si="16"/>
        <v>0</v>
      </c>
      <c r="E46" t="s">
        <v>211</v>
      </c>
      <c r="F46" s="55">
        <f ca="1">SUMIF(tables_336100!I:I,input_336100!E46,tables_336100!P:P)</f>
        <v>0.21859618441971385</v>
      </c>
    </row>
    <row r="47" spans="1:7" x14ac:dyDescent="0.15">
      <c r="A47" s="39" t="s">
        <v>60</v>
      </c>
      <c r="B47">
        <f ca="1">SUM(B40:B46)</f>
        <v>3375776</v>
      </c>
      <c r="C47" s="55">
        <f ca="1">SUM(C40:C46)</f>
        <v>0.99999999999999989</v>
      </c>
      <c r="E47" t="s">
        <v>212</v>
      </c>
      <c r="F47" s="55">
        <f ca="1">SUMIF(tables_336100!I:I,input_336100!E47,tables_336100!P:P)</f>
        <v>0.49511764705882411</v>
      </c>
    </row>
    <row r="48" spans="1:7" x14ac:dyDescent="0.15">
      <c r="E48" t="s">
        <v>213</v>
      </c>
      <c r="F48" s="55">
        <f ca="1">SUMIF(tables_336100!I:I,input_336100!E48,tables_336100!P:P)</f>
        <v>2.952941176470588E-2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B272" sqref="B272:B277"/>
      <selection pane="bottomLeft" activeCell="B272" sqref="B272:B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input_336100!A$2</f>
        <v>336100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IFERROR(VLOOKUP(B2,input_336100!L:R,7,FALSE),VLOOKUP(tables_336100!C2,input_336100!A:H,8,FALSE))</f>
        <v>41760.800000000003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input_336100!A$2</f>
        <v>336100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IFERROR(VLOOKUP(B3,input_336100!L:R,7,FALSE),VLOOKUP(tables_336100!C3,input_336100!A:H,8,FALSE))</f>
        <v>22839.200000000001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input_336100!A$2</f>
        <v>336100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IFERROR(VLOOKUP(B4,input_336100!L:R,7,FALSE),VLOOKUP(tables_336100!C4,input_336100!A:H,8,FALSE))</f>
        <v>41760.800000000003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input_336100!A$2</f>
        <v>336100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IFERROR(VLOOKUP(B5,input_336100!L:R,7,FALSE),VLOOKUP(tables_336100!C5,input_336100!A:H,8,FALSE))</f>
        <v>22839.200000000001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input_336100!A$2</f>
        <v>336100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IFERROR(VLOOKUP(B6,input_336100!L:R,7,FALSE),VLOOKUP(tables_336100!C6,input_336100!A:H,8,FALSE))</f>
        <v>41760.800000000003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input_336100!A$2</f>
        <v>336100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IFERROR(VLOOKUP(B7,input_336100!L:R,7,FALSE),VLOOKUP(tables_336100!C7,input_336100!A:H,8,FALSE))</f>
        <v>22839.200000000001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input_336100!A$2</f>
        <v>336100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IFERROR(VLOOKUP(B8,input_336100!L:R,7,FALSE),VLOOKUP(tables_336100!C8,input_336100!A:H,8,FALSE))</f>
        <v>41760.800000000003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input_336100!A$2</f>
        <v>336100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IFERROR(VLOOKUP(B9,input_336100!L:R,7,FALSE),VLOOKUP(tables_336100!C9,input_336100!A:H,8,FALSE))</f>
        <v>22839.200000000001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input_336100!A$2</f>
        <v>336100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IFERROR(VLOOKUP(B10,input_336100!L:R,7,FALSE),VLOOKUP(tables_336100!C10,input_336100!A:H,8,FALSE))</f>
        <v>41760.800000000003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input_336100!A$2</f>
        <v>336100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IFERROR(VLOOKUP(B11,input_336100!L:R,7,FALSE),VLOOKUP(tables_336100!C11,input_336100!A:H,8,FALSE))</f>
        <v>22839.200000000001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input_336100!A$2</f>
        <v>336100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IFERROR(VLOOKUP(B12,input_336100!L:R,7,FALSE),VLOOKUP(tables_336100!C12,input_336100!A:H,8,FALSE))</f>
        <v>41760.800000000003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input_336100!A$2</f>
        <v>336100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IFERROR(VLOOKUP(B13,input_336100!L:R,7,FALSE),VLOOKUP(tables_336100!C13,input_336100!A:H,8,FALSE))</f>
        <v>22839.200000000001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input_336100!A$2</f>
        <v>336100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IFERROR(VLOOKUP(B14,input_336100!L:R,7,FALSE),VLOOKUP(tables_336100!C14,input_336100!A:H,8,FALSE))</f>
        <v>41760.800000000003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input_336100!A$2</f>
        <v>336100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IFERROR(VLOOKUP(B15,input_336100!L:R,7,FALSE),VLOOKUP(tables_336100!C15,input_336100!A:H,8,FALSE))</f>
        <v>22839.200000000001</v>
      </c>
      <c r="P15" s="46">
        <f t="shared" ref="P15:P78" ca="1" si="2">O15/SUM(O:O)</f>
        <v>4.5387917329093802E-3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input_336100!A$2</f>
        <v>336100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IFERROR(VLOOKUP(B16,input_336100!L:R,7,FALSE),VLOOKUP(tables_336100!C16,input_336100!A:H,8,FALSE))</f>
        <v>41760.800000000003</v>
      </c>
      <c r="P16" s="46">
        <f t="shared" ca="1" si="2"/>
        <v>8.2990461049284592E-3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input_336100!A$2</f>
        <v>336100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IFERROR(VLOOKUP(B17,input_336100!L:R,7,FALSE),VLOOKUP(tables_336100!C17,input_336100!A:H,8,FALSE))</f>
        <v>22839.200000000001</v>
      </c>
      <c r="P17" s="46">
        <f t="shared" ca="1" si="2"/>
        <v>4.5387917329093802E-3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input_336100!A$2</f>
        <v>336100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IFERROR(VLOOKUP(B18,input_336100!L:R,7,FALSE),VLOOKUP(tables_336100!C18,input_336100!A:H,8,FALSE))</f>
        <v>41760.800000000003</v>
      </c>
      <c r="P18" s="46">
        <f t="shared" ca="1" si="2"/>
        <v>8.2990461049284592E-3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input_336100!A$2</f>
        <v>336100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IFERROR(VLOOKUP(B19,input_336100!L:R,7,FALSE),VLOOKUP(tables_336100!C19,input_336100!A:H,8,FALSE))</f>
        <v>22839.200000000001</v>
      </c>
      <c r="P19" s="46">
        <f t="shared" ca="1" si="2"/>
        <v>4.5387917329093802E-3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input_336100!A$2</f>
        <v>336100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IFERROR(VLOOKUP(B20,input_336100!L:R,7,FALSE),VLOOKUP(tables_336100!C20,input_336100!A:H,8,FALSE))</f>
        <v>41760.800000000003</v>
      </c>
      <c r="P20" s="46">
        <f t="shared" ca="1" si="2"/>
        <v>8.2990461049284592E-3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input_336100!A$2</f>
        <v>336100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IFERROR(VLOOKUP(B21,input_336100!L:R,7,FALSE),VLOOKUP(tables_336100!C21,input_336100!A:H,8,FALSE))</f>
        <v>22839.200000000001</v>
      </c>
      <c r="P21" s="46">
        <f t="shared" ca="1" si="2"/>
        <v>4.5387917329093802E-3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input_336100!A$2</f>
        <v>336100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IFERROR(VLOOKUP(B22,input_336100!L:R,7,FALSE),VLOOKUP(tables_336100!C22,input_336100!A:H,8,FALSE))</f>
        <v>41760.800000000003</v>
      </c>
      <c r="P22" s="46">
        <f t="shared" ca="1" si="2"/>
        <v>8.2990461049284592E-3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input_336100!A$2</f>
        <v>336100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IFERROR(VLOOKUP(B23,input_336100!L:R,7,FALSE),VLOOKUP(tables_336100!C23,input_336100!A:H,8,FALSE))</f>
        <v>22839.200000000001</v>
      </c>
      <c r="P23" s="46">
        <f t="shared" ca="1" si="2"/>
        <v>4.5387917329093802E-3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input_336100!A$2</f>
        <v>336100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IFERROR(VLOOKUP(B24,input_336100!L:R,7,FALSE),VLOOKUP(tables_336100!C24,input_336100!A:H,8,FALSE))</f>
        <v>41760.800000000003</v>
      </c>
      <c r="P24" s="46">
        <f t="shared" ca="1" si="2"/>
        <v>8.2990461049284592E-3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input_336100!A$2</f>
        <v>336100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IFERROR(VLOOKUP(B25,input_336100!L:R,7,FALSE),VLOOKUP(tables_336100!C25,input_336100!A:H,8,FALSE))</f>
        <v>22839.200000000001</v>
      </c>
      <c r="P25" s="46">
        <f t="shared" ca="1" si="2"/>
        <v>4.5387917329093802E-3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input_336100!A$2</f>
        <v>336100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IFERROR(VLOOKUP(B26,input_336100!L:R,7,FALSE),VLOOKUP(tables_336100!C26,input_336100!A:H,8,FALSE))</f>
        <v>41760.800000000003</v>
      </c>
      <c r="P26" s="46">
        <f t="shared" ca="1" si="2"/>
        <v>8.2990461049284592E-3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input_336100!A$2</f>
        <v>336100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IFERROR(VLOOKUP(B27,input_336100!L:R,7,FALSE),VLOOKUP(tables_336100!C27,input_336100!A:H,8,FALSE))</f>
        <v>22839.200000000001</v>
      </c>
      <c r="P27" s="46">
        <f t="shared" ca="1" si="2"/>
        <v>4.5387917329093802E-3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input_336100!A$2</f>
        <v>336100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IFERROR(VLOOKUP(B28,input_336100!L:R,7,FALSE),VLOOKUP(tables_336100!C28,input_336100!A:H,8,FALSE))</f>
        <v>41760.800000000003</v>
      </c>
      <c r="P28" s="46">
        <f t="shared" ca="1" si="2"/>
        <v>8.2990461049284592E-3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input_336100!A$2</f>
        <v>336100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IFERROR(VLOOKUP(B29,input_336100!L:R,7,FALSE),VLOOKUP(tables_336100!C29,input_336100!A:H,8,FALSE))</f>
        <v>22839.200000000001</v>
      </c>
      <c r="P29" s="46">
        <f t="shared" ca="1" si="2"/>
        <v>4.5387917329093802E-3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input_336100!A$2</f>
        <v>336100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IFERROR(VLOOKUP(B30,input_336100!L:R,7,FALSE),VLOOKUP(tables_336100!C30,input_336100!A:H,8,FALSE))</f>
        <v>41760.800000000003</v>
      </c>
      <c r="P30" s="46">
        <f t="shared" ca="1" si="2"/>
        <v>8.2990461049284592E-3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input_336100!A$2</f>
        <v>336100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IFERROR(VLOOKUP(B31,input_336100!L:R,7,FALSE),VLOOKUP(tables_336100!C31,input_336100!A:H,8,FALSE))</f>
        <v>22839.200000000001</v>
      </c>
      <c r="P31" s="46">
        <f t="shared" ca="1" si="2"/>
        <v>4.5387917329093802E-3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input_336100!A$2</f>
        <v>336100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IFERROR(VLOOKUP(B32,input_336100!L:R,7,FALSE),VLOOKUP(tables_336100!C32,input_336100!A:H,8,FALSE))</f>
        <v>41760.800000000003</v>
      </c>
      <c r="P32" s="46">
        <f t="shared" ca="1" si="2"/>
        <v>8.2990461049284592E-3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input_336100!A$2</f>
        <v>336100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IFERROR(VLOOKUP(B33,input_336100!L:R,7,FALSE),VLOOKUP(tables_336100!C33,input_336100!A:H,8,FALSE))</f>
        <v>22839.200000000001</v>
      </c>
      <c r="P33" s="46">
        <f t="shared" ca="1" si="2"/>
        <v>4.5387917329093802E-3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input_336100!A$2</f>
        <v>336100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IFERROR(VLOOKUP(B34,input_336100!L:R,7,FALSE),VLOOKUP(tables_336100!C34,input_336100!A:H,8,FALSE))</f>
        <v>41760.800000000003</v>
      </c>
      <c r="P34" s="46">
        <f t="shared" ca="1" si="2"/>
        <v>8.2990461049284592E-3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input_336100!A$2</f>
        <v>336100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IFERROR(VLOOKUP(B35,input_336100!L:R,7,FALSE),VLOOKUP(tables_336100!C35,input_336100!A:H,8,FALSE))</f>
        <v>22839.200000000001</v>
      </c>
      <c r="P35" s="46">
        <f t="shared" ca="1" si="2"/>
        <v>4.5387917329093802E-3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input_336100!A$2</f>
        <v>336100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IFERROR(VLOOKUP(B36,input_336100!L:R,7,FALSE),VLOOKUP(tables_336100!C36,input_336100!A:H,8,FALSE))</f>
        <v>41760.800000000003</v>
      </c>
      <c r="P36" s="46">
        <f t="shared" ca="1" si="2"/>
        <v>8.2990461049284592E-3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input_336100!A$2</f>
        <v>336100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IFERROR(VLOOKUP(B37,input_336100!L:R,7,FALSE),VLOOKUP(tables_336100!C37,input_336100!A:H,8,FALSE))</f>
        <v>22839.200000000001</v>
      </c>
      <c r="P37" s="46">
        <f t="shared" ca="1" si="2"/>
        <v>4.5387917329093802E-3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input_336100!A$2</f>
        <v>336100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IFERROR(VLOOKUP(B38,input_336100!L:R,7,FALSE),VLOOKUP(tables_336100!C38,input_336100!A:H,8,FALSE))</f>
        <v>41760.800000000003</v>
      </c>
      <c r="P38" s="46">
        <f t="shared" ca="1" si="2"/>
        <v>8.2990461049284592E-3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input_336100!A$2</f>
        <v>336100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IFERROR(VLOOKUP(B39,input_336100!L:R,7,FALSE),VLOOKUP(tables_336100!C39,input_336100!A:H,8,FALSE))</f>
        <v>22839.200000000001</v>
      </c>
      <c r="P39" s="46">
        <f t="shared" ca="1" si="2"/>
        <v>4.5387917329093802E-3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input_336100!A$2</f>
        <v>336100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IFERROR(VLOOKUP(B40,input_336100!L:R,7,FALSE),VLOOKUP(tables_336100!C40,input_336100!A:H,8,FALSE))</f>
        <v>41760.800000000003</v>
      </c>
      <c r="P40" s="46">
        <f t="shared" ca="1" si="2"/>
        <v>8.2990461049284592E-3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input_336100!A$2</f>
        <v>336100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IFERROR(VLOOKUP(B41,input_336100!L:R,7,FALSE),VLOOKUP(tables_336100!C41,input_336100!A:H,8,FALSE))</f>
        <v>22839.200000000001</v>
      </c>
      <c r="P41" s="46">
        <f t="shared" ca="1" si="2"/>
        <v>4.5387917329093802E-3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input_336100!A$2</f>
        <v>336100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IFERROR(VLOOKUP(B42,input_336100!L:R,7,FALSE),VLOOKUP(tables_336100!C42,input_336100!A:H,8,FALSE))</f>
        <v>296</v>
      </c>
      <c r="P42" s="46">
        <f t="shared" ca="1" si="2"/>
        <v>5.8823529411764708E-5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input_336100!A$2</f>
        <v>336100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IFERROR(VLOOKUP(B43,input_336100!L:R,7,FALSE),VLOOKUP(tables_336100!C43,input_336100!A:H,8,FALSE))</f>
        <v>266.39999999999998</v>
      </c>
      <c r="P43" s="46">
        <f t="shared" ca="1" si="2"/>
        <v>5.2941176470588231E-5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input_336100!A$2</f>
        <v>336100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IFERROR(VLOOKUP(B44,input_336100!L:R,7,FALSE),VLOOKUP(tables_336100!C44,input_336100!A:H,8,FALSE))</f>
        <v>29.6</v>
      </c>
      <c r="P44" s="46">
        <f t="shared" ca="1" si="2"/>
        <v>5.8823529411764709E-6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input_336100!A$2</f>
        <v>336100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IFERROR(VLOOKUP(B45,input_336100!L:R,7,FALSE),VLOOKUP(tables_336100!C45,input_336100!A:H,8,FALSE))</f>
        <v>296</v>
      </c>
      <c r="P45" s="46">
        <f t="shared" ca="1" si="2"/>
        <v>5.8823529411764708E-5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input_336100!A$2</f>
        <v>336100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IFERROR(VLOOKUP(B46,input_336100!L:R,7,FALSE),VLOOKUP(tables_336100!C46,input_336100!A:H,8,FALSE))</f>
        <v>266.39999999999998</v>
      </c>
      <c r="P46" s="46">
        <f t="shared" ca="1" si="2"/>
        <v>5.2941176470588231E-5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input_336100!A$2</f>
        <v>336100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IFERROR(VLOOKUP(B47,input_336100!L:R,7,FALSE),VLOOKUP(tables_336100!C47,input_336100!A:H,8,FALSE))</f>
        <v>29.6</v>
      </c>
      <c r="P47" s="46">
        <f t="shared" ca="1" si="2"/>
        <v>5.8823529411764709E-6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input_336100!A$2</f>
        <v>336100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IFERROR(VLOOKUP(B48,input_336100!L:R,7,FALSE),VLOOKUP(tables_336100!C48,input_336100!A:H,8,FALSE))</f>
        <v>296</v>
      </c>
      <c r="P48" s="46">
        <f t="shared" ca="1" si="2"/>
        <v>5.8823529411764708E-5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input_336100!A$2</f>
        <v>336100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IFERROR(VLOOKUP(B49,input_336100!L:R,7,FALSE),VLOOKUP(tables_336100!C49,input_336100!A:H,8,FALSE))</f>
        <v>266.39999999999998</v>
      </c>
      <c r="P49" s="46">
        <f t="shared" ca="1" si="2"/>
        <v>5.2941176470588231E-5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input_336100!A$2</f>
        <v>336100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IFERROR(VLOOKUP(B50,input_336100!L:R,7,FALSE),VLOOKUP(tables_336100!C50,input_336100!A:H,8,FALSE))</f>
        <v>29.6</v>
      </c>
      <c r="P50" s="46">
        <f t="shared" ca="1" si="2"/>
        <v>5.8823529411764709E-6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input_336100!A$2</f>
        <v>336100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IFERROR(VLOOKUP(B51,input_336100!L:R,7,FALSE),VLOOKUP(tables_336100!C51,input_336100!A:H,8,FALSE))</f>
        <v>32300</v>
      </c>
      <c r="P51" s="46">
        <f t="shared" ca="1" si="2"/>
        <v>6.4189189189189193E-3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input_336100!A$2</f>
        <v>336100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IFERROR(VLOOKUP(B52,input_336100!L:R,7,FALSE),VLOOKUP(tables_336100!C52,input_336100!A:H,8,FALSE))</f>
        <v>29070</v>
      </c>
      <c r="P52" s="46">
        <f t="shared" ca="1" si="2"/>
        <v>5.777027027027027E-3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input_336100!A$2</f>
        <v>336100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IFERROR(VLOOKUP(B53,input_336100!L:R,7,FALSE),VLOOKUP(tables_336100!C53,input_336100!A:H,8,FALSE))</f>
        <v>3230</v>
      </c>
      <c r="P53" s="46">
        <f t="shared" ca="1" si="2"/>
        <v>6.4189189189189184E-4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input_336100!A$2</f>
        <v>336100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IFERROR(VLOOKUP(B54,input_336100!L:R,7,FALSE),VLOOKUP(tables_336100!C54,input_336100!A:H,8,FALSE))</f>
        <v>32300</v>
      </c>
      <c r="P54" s="46">
        <f t="shared" ca="1" si="2"/>
        <v>6.4189189189189193E-3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input_336100!A$2</f>
        <v>336100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IFERROR(VLOOKUP(B55,input_336100!L:R,7,FALSE),VLOOKUP(tables_336100!C55,input_336100!A:H,8,FALSE))</f>
        <v>29070</v>
      </c>
      <c r="P55" s="46">
        <f t="shared" ca="1" si="2"/>
        <v>5.777027027027027E-3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input_336100!A$2</f>
        <v>336100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IFERROR(VLOOKUP(B56,input_336100!L:R,7,FALSE),VLOOKUP(tables_336100!C56,input_336100!A:H,8,FALSE))</f>
        <v>3230</v>
      </c>
      <c r="P56" s="46">
        <f t="shared" ca="1" si="2"/>
        <v>6.4189189189189184E-4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input_336100!A$2</f>
        <v>336100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IFERROR(VLOOKUP(B57,input_336100!L:R,7,FALSE),VLOOKUP(tables_336100!C57,input_336100!A:H,8,FALSE))</f>
        <v>32300</v>
      </c>
      <c r="P57" s="46">
        <f t="shared" ca="1" si="2"/>
        <v>6.4189189189189193E-3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input_336100!A$2</f>
        <v>336100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IFERROR(VLOOKUP(B58,input_336100!L:R,7,FALSE),VLOOKUP(tables_336100!C58,input_336100!A:H,8,FALSE))</f>
        <v>29070</v>
      </c>
      <c r="P58" s="46">
        <f t="shared" ca="1" si="2"/>
        <v>5.777027027027027E-3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input_336100!A$2</f>
        <v>336100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IFERROR(VLOOKUP(B59,input_336100!L:R,7,FALSE),VLOOKUP(tables_336100!C59,input_336100!A:H,8,FALSE))</f>
        <v>3230</v>
      </c>
      <c r="P59" s="46">
        <f t="shared" ca="1" si="2"/>
        <v>6.4189189189189184E-4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input_336100!A$2</f>
        <v>336100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IFERROR(VLOOKUP(B60,input_336100!L:R,7,FALSE),VLOOKUP(tables_336100!C60,input_336100!A:H,8,FALSE))</f>
        <v>32300</v>
      </c>
      <c r="P60" s="46">
        <f t="shared" ca="1" si="2"/>
        <v>6.4189189189189193E-3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input_336100!A$2</f>
        <v>336100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IFERROR(VLOOKUP(B61,input_336100!L:R,7,FALSE),VLOOKUP(tables_336100!C61,input_336100!A:H,8,FALSE))</f>
        <v>29070</v>
      </c>
      <c r="P61" s="46">
        <f t="shared" ca="1" si="2"/>
        <v>5.777027027027027E-3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input_336100!A$2</f>
        <v>336100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IFERROR(VLOOKUP(B62,input_336100!L:R,7,FALSE),VLOOKUP(tables_336100!C62,input_336100!A:H,8,FALSE))</f>
        <v>3230</v>
      </c>
      <c r="P62" s="46">
        <f t="shared" ca="1" si="2"/>
        <v>6.4189189189189184E-4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input_336100!A$2</f>
        <v>336100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IFERROR(VLOOKUP(B63,input_336100!L:R,7,FALSE),VLOOKUP(tables_336100!C63,input_336100!A:H,8,FALSE))</f>
        <v>32300</v>
      </c>
      <c r="P63" s="46">
        <f t="shared" ca="1" si="2"/>
        <v>6.4189189189189193E-3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input_336100!A$2</f>
        <v>336100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IFERROR(VLOOKUP(B64,input_336100!L:R,7,FALSE),VLOOKUP(tables_336100!C64,input_336100!A:H,8,FALSE))</f>
        <v>29070</v>
      </c>
      <c r="P64" s="46">
        <f t="shared" ca="1" si="2"/>
        <v>5.777027027027027E-3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input_336100!A$2</f>
        <v>336100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IFERROR(VLOOKUP(B65,input_336100!L:R,7,FALSE),VLOOKUP(tables_336100!C65,input_336100!A:H,8,FALSE))</f>
        <v>3230</v>
      </c>
      <c r="P65" s="46">
        <f t="shared" ca="1" si="2"/>
        <v>6.4189189189189184E-4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input_336100!A$2</f>
        <v>336100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IFERROR(VLOOKUP(B66,input_336100!L:R,7,FALSE),VLOOKUP(tables_336100!C66,input_336100!A:H,8,FALSE))</f>
        <v>32300</v>
      </c>
      <c r="P66" s="46">
        <f t="shared" ca="1" si="2"/>
        <v>6.4189189189189193E-3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input_336100!A$2</f>
        <v>336100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IFERROR(VLOOKUP(B67,input_336100!L:R,7,FALSE),VLOOKUP(tables_336100!C67,input_336100!A:H,8,FALSE))</f>
        <v>29070</v>
      </c>
      <c r="P67" s="46">
        <f t="shared" ca="1" si="2"/>
        <v>5.777027027027027E-3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input_336100!A$2</f>
        <v>336100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IFERROR(VLOOKUP(B68,input_336100!L:R,7,FALSE),VLOOKUP(tables_336100!C68,input_336100!A:H,8,FALSE))</f>
        <v>3230</v>
      </c>
      <c r="P68" s="46">
        <f t="shared" ca="1" si="2"/>
        <v>6.4189189189189184E-4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input_336100!A$2</f>
        <v>336100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IFERROR(VLOOKUP(B69,input_336100!L:R,7,FALSE),VLOOKUP(tables_336100!C69,input_336100!A:H,8,FALSE))</f>
        <v>32300</v>
      </c>
      <c r="P69" s="46">
        <f t="shared" ca="1" si="2"/>
        <v>6.4189189189189193E-3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input_336100!A$2</f>
        <v>336100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IFERROR(VLOOKUP(B70,input_336100!L:R,7,FALSE),VLOOKUP(tables_336100!C70,input_336100!A:H,8,FALSE))</f>
        <v>29070</v>
      </c>
      <c r="P70" s="46">
        <f t="shared" ca="1" si="2"/>
        <v>5.777027027027027E-3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input_336100!A$2</f>
        <v>336100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IFERROR(VLOOKUP(B71,input_336100!L:R,7,FALSE),VLOOKUP(tables_336100!C71,input_336100!A:H,8,FALSE))</f>
        <v>3230</v>
      </c>
      <c r="P71" s="46">
        <f t="shared" ca="1" si="2"/>
        <v>6.4189189189189184E-4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input_336100!A$2</f>
        <v>336100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IFERROR(VLOOKUP(B72,input_336100!L:R,7,FALSE),VLOOKUP(tables_336100!C72,input_336100!A:H,8,FALSE))</f>
        <v>32300</v>
      </c>
      <c r="P72" s="46">
        <f t="shared" ca="1" si="2"/>
        <v>6.4189189189189193E-3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input_336100!A$2</f>
        <v>336100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IFERROR(VLOOKUP(B73,input_336100!L:R,7,FALSE),VLOOKUP(tables_336100!C73,input_336100!A:H,8,FALSE))</f>
        <v>29070</v>
      </c>
      <c r="P73" s="46">
        <f t="shared" ca="1" si="2"/>
        <v>5.777027027027027E-3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input_336100!A$2</f>
        <v>336100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IFERROR(VLOOKUP(B74,input_336100!L:R,7,FALSE),VLOOKUP(tables_336100!C74,input_336100!A:H,8,FALSE))</f>
        <v>3230</v>
      </c>
      <c r="P74" s="46">
        <f t="shared" ca="1" si="2"/>
        <v>6.4189189189189184E-4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input_336100!A$2</f>
        <v>336100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IFERROR(VLOOKUP(B75,input_336100!L:R,7,FALSE),VLOOKUP(tables_336100!C75,input_336100!A:H,8,FALSE))</f>
        <v>32300</v>
      </c>
      <c r="P75" s="46">
        <f t="shared" ca="1" si="2"/>
        <v>6.4189189189189193E-3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input_336100!A$2</f>
        <v>336100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IFERROR(VLOOKUP(B76,input_336100!L:R,7,FALSE),VLOOKUP(tables_336100!C76,input_336100!A:H,8,FALSE))</f>
        <v>29070</v>
      </c>
      <c r="P76" s="46">
        <f t="shared" ca="1" si="2"/>
        <v>5.777027027027027E-3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input_336100!A$2</f>
        <v>336100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IFERROR(VLOOKUP(B77,input_336100!L:R,7,FALSE),VLOOKUP(tables_336100!C77,input_336100!A:H,8,FALSE))</f>
        <v>3230</v>
      </c>
      <c r="P77" s="46">
        <f t="shared" ca="1" si="2"/>
        <v>6.4189189189189184E-4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input_336100!A$2</f>
        <v>336100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IFERROR(VLOOKUP(B78,input_336100!L:R,7,FALSE),VLOOKUP(tables_336100!C78,input_336100!A:H,8,FALSE))</f>
        <v>32300</v>
      </c>
      <c r="P78" s="46">
        <f t="shared" ca="1" si="2"/>
        <v>6.4189189189189193E-3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input_336100!A$2</f>
        <v>336100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IFERROR(VLOOKUP(B79,input_336100!L:R,7,FALSE),VLOOKUP(tables_336100!C79,input_336100!A:H,8,FALSE))</f>
        <v>29070</v>
      </c>
      <c r="P79" s="46">
        <f t="shared" ref="P79:P142" ca="1" si="5">O79/SUM(O:O)</f>
        <v>5.777027027027027E-3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input_336100!A$2</f>
        <v>336100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IFERROR(VLOOKUP(B80,input_336100!L:R,7,FALSE),VLOOKUP(tables_336100!C80,input_336100!A:H,8,FALSE))</f>
        <v>3230</v>
      </c>
      <c r="P80" s="46">
        <f t="shared" ca="1" si="5"/>
        <v>6.4189189189189184E-4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input_336100!A$2</f>
        <v>336100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IFERROR(VLOOKUP(B81,input_336100!L:R,7,FALSE),VLOOKUP(tables_336100!C81,input_336100!A:H,8,FALSE))</f>
        <v>32300</v>
      </c>
      <c r="P81" s="46">
        <f t="shared" ca="1" si="5"/>
        <v>6.4189189189189193E-3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input_336100!A$2</f>
        <v>336100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IFERROR(VLOOKUP(B82,input_336100!L:R,7,FALSE),VLOOKUP(tables_336100!C82,input_336100!A:H,8,FALSE))</f>
        <v>29070</v>
      </c>
      <c r="P82" s="46">
        <f t="shared" ca="1" si="5"/>
        <v>5.777027027027027E-3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input_336100!A$2</f>
        <v>336100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IFERROR(VLOOKUP(B83,input_336100!L:R,7,FALSE),VLOOKUP(tables_336100!C83,input_336100!A:H,8,FALSE))</f>
        <v>3230</v>
      </c>
      <c r="P83" s="46">
        <f t="shared" ca="1" si="5"/>
        <v>6.4189189189189184E-4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input_336100!A$2</f>
        <v>336100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IFERROR(VLOOKUP(B84,input_336100!L:R,7,FALSE),VLOOKUP(tables_336100!C84,input_336100!A:H,8,FALSE))</f>
        <v>32300</v>
      </c>
      <c r="P84" s="46">
        <f t="shared" ca="1" si="5"/>
        <v>6.4189189189189193E-3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input_336100!A$2</f>
        <v>336100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IFERROR(VLOOKUP(B85,input_336100!L:R,7,FALSE),VLOOKUP(tables_336100!C85,input_336100!A:H,8,FALSE))</f>
        <v>29070</v>
      </c>
      <c r="P85" s="46">
        <f t="shared" ca="1" si="5"/>
        <v>5.777027027027027E-3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input_336100!A$2</f>
        <v>336100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IFERROR(VLOOKUP(B86,input_336100!L:R,7,FALSE),VLOOKUP(tables_336100!C86,input_336100!A:H,8,FALSE))</f>
        <v>3230</v>
      </c>
      <c r="P86" s="46">
        <f t="shared" ca="1" si="5"/>
        <v>6.4189189189189184E-4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input_336100!A$2</f>
        <v>336100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IFERROR(VLOOKUP(B87,input_336100!L:R,7,FALSE),VLOOKUP(tables_336100!C87,input_336100!A:H,8,FALSE))</f>
        <v>32300</v>
      </c>
      <c r="P87" s="46">
        <f t="shared" ca="1" si="5"/>
        <v>6.4189189189189193E-3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input_336100!A$2</f>
        <v>336100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IFERROR(VLOOKUP(B88,input_336100!L:R,7,FALSE),VLOOKUP(tables_336100!C88,input_336100!A:H,8,FALSE))</f>
        <v>29070</v>
      </c>
      <c r="P88" s="46">
        <f t="shared" ca="1" si="5"/>
        <v>5.777027027027027E-3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input_336100!A$2</f>
        <v>336100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IFERROR(VLOOKUP(B89,input_336100!L:R,7,FALSE),VLOOKUP(tables_336100!C89,input_336100!A:H,8,FALSE))</f>
        <v>3230</v>
      </c>
      <c r="P89" s="46">
        <f t="shared" ca="1" si="5"/>
        <v>6.4189189189189184E-4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input_336100!A$2</f>
        <v>336100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IFERROR(VLOOKUP(B90,input_336100!L:R,7,FALSE),VLOOKUP(tables_336100!C90,input_336100!A:H,8,FALSE))</f>
        <v>32300</v>
      </c>
      <c r="P90" s="46">
        <f t="shared" ca="1" si="5"/>
        <v>6.4189189189189193E-3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input_336100!A$2</f>
        <v>336100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IFERROR(VLOOKUP(B91,input_336100!L:R,7,FALSE),VLOOKUP(tables_336100!C91,input_336100!A:H,8,FALSE))</f>
        <v>29070</v>
      </c>
      <c r="P91" s="46">
        <f t="shared" ca="1" si="5"/>
        <v>5.777027027027027E-3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input_336100!A$2</f>
        <v>336100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IFERROR(VLOOKUP(B92,input_336100!L:R,7,FALSE),VLOOKUP(tables_336100!C92,input_336100!A:H,8,FALSE))</f>
        <v>3230</v>
      </c>
      <c r="P92" s="46">
        <f t="shared" ca="1" si="5"/>
        <v>6.4189189189189184E-4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input_336100!A$2</f>
        <v>336100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IFERROR(VLOOKUP(B93,input_336100!L:R,7,FALSE),VLOOKUP(tables_336100!C93,input_336100!A:H,8,FALSE))</f>
        <v>32300</v>
      </c>
      <c r="P93" s="46">
        <f t="shared" ca="1" si="5"/>
        <v>6.4189189189189193E-3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input_336100!A$2</f>
        <v>336100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IFERROR(VLOOKUP(B94,input_336100!L:R,7,FALSE),VLOOKUP(tables_336100!C94,input_336100!A:H,8,FALSE))</f>
        <v>29070</v>
      </c>
      <c r="P94" s="46">
        <f t="shared" ca="1" si="5"/>
        <v>5.777027027027027E-3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input_336100!A$2</f>
        <v>336100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IFERROR(VLOOKUP(B95,input_336100!L:R,7,FALSE),VLOOKUP(tables_336100!C95,input_336100!A:H,8,FALSE))</f>
        <v>3230</v>
      </c>
      <c r="P95" s="46">
        <f t="shared" ca="1" si="5"/>
        <v>6.4189189189189184E-4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input_336100!A$2</f>
        <v>336100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IFERROR(VLOOKUP(B96,input_336100!L:R,7,FALSE),VLOOKUP(tables_336100!C96,input_336100!A:H,8,FALSE))</f>
        <v>32300</v>
      </c>
      <c r="P96" s="46">
        <f t="shared" ca="1" si="5"/>
        <v>6.4189189189189193E-3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input_336100!A$2</f>
        <v>336100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IFERROR(VLOOKUP(B97,input_336100!L:R,7,FALSE),VLOOKUP(tables_336100!C97,input_336100!A:H,8,FALSE))</f>
        <v>29070</v>
      </c>
      <c r="P97" s="46">
        <f t="shared" ca="1" si="5"/>
        <v>5.777027027027027E-3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input_336100!A$2</f>
        <v>336100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IFERROR(VLOOKUP(B98,input_336100!L:R,7,FALSE),VLOOKUP(tables_336100!C98,input_336100!A:H,8,FALSE))</f>
        <v>3230</v>
      </c>
      <c r="P98" s="46">
        <f t="shared" ca="1" si="5"/>
        <v>6.4189189189189184E-4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input_336100!A$2</f>
        <v>336100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IFERROR(VLOOKUP(B99,input_336100!L:R,7,FALSE),VLOOKUP(tables_336100!C99,input_336100!A:H,8,FALSE))</f>
        <v>32300</v>
      </c>
      <c r="P99" s="46">
        <f t="shared" ca="1" si="5"/>
        <v>6.4189189189189193E-3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input_336100!A$2</f>
        <v>336100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IFERROR(VLOOKUP(B100,input_336100!L:R,7,FALSE),VLOOKUP(tables_336100!C100,input_336100!A:H,8,FALSE))</f>
        <v>29070</v>
      </c>
      <c r="P100" s="46">
        <f t="shared" ca="1" si="5"/>
        <v>5.777027027027027E-3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input_336100!A$2</f>
        <v>336100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IFERROR(VLOOKUP(B101,input_336100!L:R,7,FALSE),VLOOKUP(tables_336100!C101,input_336100!A:H,8,FALSE))</f>
        <v>3230</v>
      </c>
      <c r="P101" s="46">
        <f t="shared" ca="1" si="5"/>
        <v>6.4189189189189184E-4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input_336100!A$2</f>
        <v>336100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IFERROR(VLOOKUP(B102,input_336100!L:R,7,FALSE),VLOOKUP(tables_336100!C102,input_336100!A:H,8,FALSE))</f>
        <v>32300</v>
      </c>
      <c r="P102" s="46">
        <f t="shared" ca="1" si="5"/>
        <v>6.4189189189189193E-3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input_336100!A$2</f>
        <v>336100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IFERROR(VLOOKUP(B103,input_336100!L:R,7,FALSE),VLOOKUP(tables_336100!C103,input_336100!A:H,8,FALSE))</f>
        <v>29070</v>
      </c>
      <c r="P103" s="46">
        <f t="shared" ca="1" si="5"/>
        <v>5.777027027027027E-3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input_336100!A$2</f>
        <v>336100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IFERROR(VLOOKUP(B104,input_336100!L:R,7,FALSE),VLOOKUP(tables_336100!C104,input_336100!A:H,8,FALSE))</f>
        <v>3230</v>
      </c>
      <c r="P104" s="46">
        <f t="shared" ca="1" si="5"/>
        <v>6.4189189189189184E-4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input_336100!A$2</f>
        <v>336100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IFERROR(VLOOKUP(B105,input_336100!L:R,7,FALSE),VLOOKUP(tables_336100!C105,input_336100!A:H,8,FALSE))</f>
        <v>32300</v>
      </c>
      <c r="P105" s="46">
        <f t="shared" ca="1" si="5"/>
        <v>6.4189189189189193E-3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input_336100!A$2</f>
        <v>336100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IFERROR(VLOOKUP(B106,input_336100!L:R,7,FALSE),VLOOKUP(tables_336100!C106,input_336100!A:H,8,FALSE))</f>
        <v>29070</v>
      </c>
      <c r="P106" s="46">
        <f t="shared" ca="1" si="5"/>
        <v>5.777027027027027E-3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input_336100!A$2</f>
        <v>336100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IFERROR(VLOOKUP(B107,input_336100!L:R,7,FALSE),VLOOKUP(tables_336100!C107,input_336100!A:H,8,FALSE))</f>
        <v>3230</v>
      </c>
      <c r="P107" s="46">
        <f t="shared" ca="1" si="5"/>
        <v>6.4189189189189184E-4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input_336100!A$2</f>
        <v>336100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IFERROR(VLOOKUP(B108,input_336100!L:R,7,FALSE),VLOOKUP(tables_336100!C108,input_336100!A:H,8,FALSE))</f>
        <v>32300</v>
      </c>
      <c r="P108" s="46">
        <f t="shared" ca="1" si="5"/>
        <v>6.4189189189189193E-3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input_336100!A$2</f>
        <v>336100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IFERROR(VLOOKUP(B109,input_336100!L:R,7,FALSE),VLOOKUP(tables_336100!C109,input_336100!A:H,8,FALSE))</f>
        <v>29070</v>
      </c>
      <c r="P109" s="46">
        <f t="shared" ca="1" si="5"/>
        <v>5.777027027027027E-3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input_336100!A$2</f>
        <v>336100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IFERROR(VLOOKUP(B110,input_336100!L:R,7,FALSE),VLOOKUP(tables_336100!C110,input_336100!A:H,8,FALSE))</f>
        <v>3230</v>
      </c>
      <c r="P110" s="46">
        <f t="shared" ca="1" si="5"/>
        <v>6.4189189189189184E-4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input_336100!A$2</f>
        <v>336100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IFERROR(VLOOKUP(B111,input_336100!L:R,7,FALSE),VLOOKUP(tables_336100!C111,input_336100!A:H,8,FALSE))</f>
        <v>296</v>
      </c>
      <c r="P111" s="46">
        <f t="shared" ca="1" si="5"/>
        <v>5.8823529411764708E-5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input_336100!A$2</f>
        <v>336100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IFERROR(VLOOKUP(B112,input_336100!L:R,7,FALSE),VLOOKUP(tables_336100!C112,input_336100!A:H,8,FALSE))</f>
        <v>266.39999999999998</v>
      </c>
      <c r="P112" s="46">
        <f t="shared" ca="1" si="5"/>
        <v>5.2941176470588231E-5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input_336100!A$2</f>
        <v>336100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IFERROR(VLOOKUP(B113,input_336100!L:R,7,FALSE),VLOOKUP(tables_336100!C113,input_336100!A:H,8,FALSE))</f>
        <v>29.6</v>
      </c>
      <c r="P113" s="46">
        <f t="shared" ca="1" si="5"/>
        <v>5.8823529411764709E-6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input_336100!A$2</f>
        <v>336100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IFERROR(VLOOKUP(B114,input_336100!L:R,7,FALSE),VLOOKUP(tables_336100!C114,input_336100!A:H,8,FALSE))</f>
        <v>32300</v>
      </c>
      <c r="P114" s="46">
        <f t="shared" ca="1" si="5"/>
        <v>6.4189189189189193E-3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input_336100!A$2</f>
        <v>336100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IFERROR(VLOOKUP(B115,input_336100!L:R,7,FALSE),VLOOKUP(tables_336100!C115,input_336100!A:H,8,FALSE))</f>
        <v>29070</v>
      </c>
      <c r="P115" s="46">
        <f t="shared" ca="1" si="5"/>
        <v>5.777027027027027E-3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input_336100!A$2</f>
        <v>336100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IFERROR(VLOOKUP(B116,input_336100!L:R,7,FALSE),VLOOKUP(tables_336100!C116,input_336100!A:H,8,FALSE))</f>
        <v>3230</v>
      </c>
      <c r="P116" s="46">
        <f t="shared" ca="1" si="5"/>
        <v>6.4189189189189184E-4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input_336100!A$2</f>
        <v>336100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IFERROR(VLOOKUP(B117,input_336100!L:R,7,FALSE),VLOOKUP(tables_336100!C117,input_336100!A:H,8,FALSE))</f>
        <v>32300</v>
      </c>
      <c r="P117" s="46">
        <f t="shared" ca="1" si="5"/>
        <v>6.4189189189189193E-3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input_336100!A$2</f>
        <v>336100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IFERROR(VLOOKUP(B118,input_336100!L:R,7,FALSE),VLOOKUP(tables_336100!C118,input_336100!A:H,8,FALSE))</f>
        <v>29070</v>
      </c>
      <c r="P118" s="46">
        <f t="shared" ca="1" si="5"/>
        <v>5.777027027027027E-3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input_336100!A$2</f>
        <v>336100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IFERROR(VLOOKUP(B119,input_336100!L:R,7,FALSE),VLOOKUP(tables_336100!C119,input_336100!A:H,8,FALSE))</f>
        <v>3230</v>
      </c>
      <c r="P119" s="46">
        <f t="shared" ca="1" si="5"/>
        <v>6.4189189189189184E-4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input_336100!A$2</f>
        <v>336100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IFERROR(VLOOKUP(B120,input_336100!L:R,7,FALSE),VLOOKUP(tables_336100!C120,input_336100!A:H,8,FALSE))</f>
        <v>32300</v>
      </c>
      <c r="P120" s="46">
        <f t="shared" ca="1" si="5"/>
        <v>6.4189189189189193E-3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input_336100!A$2</f>
        <v>336100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IFERROR(VLOOKUP(B121,input_336100!L:R,7,FALSE),VLOOKUP(tables_336100!C121,input_336100!A:H,8,FALSE))</f>
        <v>29070</v>
      </c>
      <c r="P121" s="46">
        <f t="shared" ca="1" si="5"/>
        <v>5.777027027027027E-3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input_336100!A$2</f>
        <v>336100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IFERROR(VLOOKUP(B122,input_336100!L:R,7,FALSE),VLOOKUP(tables_336100!C122,input_336100!A:H,8,FALSE))</f>
        <v>3230</v>
      </c>
      <c r="P122" s="46">
        <f t="shared" ca="1" si="5"/>
        <v>6.4189189189189184E-4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input_336100!A$2</f>
        <v>336100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IFERROR(VLOOKUP(B123,input_336100!L:R,7,FALSE),VLOOKUP(tables_336100!C123,input_336100!A:H,8,FALSE))</f>
        <v>32300</v>
      </c>
      <c r="P123" s="46">
        <f t="shared" ca="1" si="5"/>
        <v>6.4189189189189193E-3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input_336100!A$2</f>
        <v>336100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IFERROR(VLOOKUP(B124,input_336100!L:R,7,FALSE),VLOOKUP(tables_336100!C124,input_336100!A:H,8,FALSE))</f>
        <v>29070</v>
      </c>
      <c r="P124" s="46">
        <f t="shared" ca="1" si="5"/>
        <v>5.777027027027027E-3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input_336100!A$2</f>
        <v>336100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IFERROR(VLOOKUP(B125,input_336100!L:R,7,FALSE),VLOOKUP(tables_336100!C125,input_336100!A:H,8,FALSE))</f>
        <v>3230</v>
      </c>
      <c r="P125" s="46">
        <f t="shared" ca="1" si="5"/>
        <v>6.4189189189189184E-4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input_336100!A$2</f>
        <v>336100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IFERROR(VLOOKUP(B126,input_336100!L:R,7,FALSE),VLOOKUP(tables_336100!C126,input_336100!A:H,8,FALSE))</f>
        <v>32300</v>
      </c>
      <c r="P126" s="46">
        <f t="shared" ca="1" si="5"/>
        <v>6.4189189189189193E-3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input_336100!A$2</f>
        <v>336100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IFERROR(VLOOKUP(B127,input_336100!L:R,7,FALSE),VLOOKUP(tables_336100!C127,input_336100!A:H,8,FALSE))</f>
        <v>29070</v>
      </c>
      <c r="P127" s="46">
        <f t="shared" ca="1" si="5"/>
        <v>5.777027027027027E-3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input_336100!A$2</f>
        <v>336100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IFERROR(VLOOKUP(B128,input_336100!L:R,7,FALSE),VLOOKUP(tables_336100!C128,input_336100!A:H,8,FALSE))</f>
        <v>3230</v>
      </c>
      <c r="P128" s="46">
        <f t="shared" ca="1" si="5"/>
        <v>6.4189189189189184E-4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input_336100!A$2</f>
        <v>336100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IFERROR(VLOOKUP(B129,input_336100!L:R,7,FALSE),VLOOKUP(tables_336100!C129,input_336100!A:H,8,FALSE))</f>
        <v>32300</v>
      </c>
      <c r="P129" s="46">
        <f t="shared" ca="1" si="5"/>
        <v>6.4189189189189193E-3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input_336100!A$2</f>
        <v>336100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IFERROR(VLOOKUP(B130,input_336100!L:R,7,FALSE),VLOOKUP(tables_336100!C130,input_336100!A:H,8,FALSE))</f>
        <v>29070</v>
      </c>
      <c r="P130" s="46">
        <f t="shared" ca="1" si="5"/>
        <v>5.777027027027027E-3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input_336100!A$2</f>
        <v>336100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IFERROR(VLOOKUP(B131,input_336100!L:R,7,FALSE),VLOOKUP(tables_336100!C131,input_336100!A:H,8,FALSE))</f>
        <v>3230</v>
      </c>
      <c r="P131" s="46">
        <f t="shared" ca="1" si="5"/>
        <v>6.4189189189189184E-4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input_336100!A$2</f>
        <v>336100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IFERROR(VLOOKUP(B132,input_336100!L:R,7,FALSE),VLOOKUP(tables_336100!C132,input_336100!A:H,8,FALSE))</f>
        <v>32300</v>
      </c>
      <c r="P132" s="46">
        <f t="shared" ca="1" si="5"/>
        <v>6.4189189189189193E-3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input_336100!A$2</f>
        <v>336100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IFERROR(VLOOKUP(B133,input_336100!L:R,7,FALSE),VLOOKUP(tables_336100!C133,input_336100!A:H,8,FALSE))</f>
        <v>29070</v>
      </c>
      <c r="P133" s="46">
        <f t="shared" ca="1" si="5"/>
        <v>5.777027027027027E-3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input_336100!A$2</f>
        <v>336100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IFERROR(VLOOKUP(B134,input_336100!L:R,7,FALSE),VLOOKUP(tables_336100!C134,input_336100!A:H,8,FALSE))</f>
        <v>3230</v>
      </c>
      <c r="P134" s="46">
        <f t="shared" ca="1" si="5"/>
        <v>6.4189189189189184E-4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input_336100!A$2</f>
        <v>336100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IFERROR(VLOOKUP(B135,input_336100!L:R,7,FALSE),VLOOKUP(tables_336100!C135,input_336100!A:H,8,FALSE))</f>
        <v>32300</v>
      </c>
      <c r="P135" s="46">
        <f t="shared" ca="1" si="5"/>
        <v>6.4189189189189193E-3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input_336100!A$2</f>
        <v>336100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IFERROR(VLOOKUP(B136,input_336100!L:R,7,FALSE),VLOOKUP(tables_336100!C136,input_336100!A:H,8,FALSE))</f>
        <v>29070</v>
      </c>
      <c r="P136" s="46">
        <f t="shared" ca="1" si="5"/>
        <v>5.777027027027027E-3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input_336100!A$2</f>
        <v>336100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IFERROR(VLOOKUP(B137,input_336100!L:R,7,FALSE),VLOOKUP(tables_336100!C137,input_336100!A:H,8,FALSE))</f>
        <v>3230</v>
      </c>
      <c r="P137" s="46">
        <f t="shared" ca="1" si="5"/>
        <v>6.4189189189189184E-4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input_336100!A$2</f>
        <v>336100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IFERROR(VLOOKUP(B138,input_336100!L:R,7,FALSE),VLOOKUP(tables_336100!C138,input_336100!A:H,8,FALSE))</f>
        <v>562.4</v>
      </c>
      <c r="P138" s="46">
        <f t="shared" ca="1" si="5"/>
        <v>1.1176470588235293E-4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input_336100!A$2</f>
        <v>336100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IFERROR(VLOOKUP(B139,input_336100!L:R,7,FALSE),VLOOKUP(tables_336100!C139,input_336100!A:H,8,FALSE))</f>
        <v>29.6</v>
      </c>
      <c r="P139" s="46">
        <f t="shared" ca="1" si="5"/>
        <v>5.8823529411764709E-6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input_336100!A$2</f>
        <v>336100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IFERROR(VLOOKUP(B140,input_336100!L:R,7,FALSE),VLOOKUP(tables_336100!C140,input_336100!A:H,8,FALSE))</f>
        <v>562.4</v>
      </c>
      <c r="P140" s="46">
        <f t="shared" ca="1" si="5"/>
        <v>1.1176470588235293E-4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input_336100!A$2</f>
        <v>336100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IFERROR(VLOOKUP(B141,input_336100!L:R,7,FALSE),VLOOKUP(tables_336100!C141,input_336100!A:H,8,FALSE))</f>
        <v>29.6</v>
      </c>
      <c r="P141" s="46">
        <f t="shared" ca="1" si="5"/>
        <v>5.8823529411764709E-6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input_336100!A$2</f>
        <v>336100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IFERROR(VLOOKUP(B142,input_336100!L:R,7,FALSE),VLOOKUP(tables_336100!C142,input_336100!A:H,8,FALSE))</f>
        <v>562.4</v>
      </c>
      <c r="P142" s="46">
        <f t="shared" ca="1" si="5"/>
        <v>1.1176470588235293E-4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input_336100!A$2</f>
        <v>336100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IFERROR(VLOOKUP(B143,input_336100!L:R,7,FALSE),VLOOKUP(tables_336100!C143,input_336100!A:H,8,FALSE))</f>
        <v>29.6</v>
      </c>
      <c r="P143" s="46">
        <f t="shared" ref="P143:P206" ca="1" si="8">O143/SUM(O:O)</f>
        <v>5.8823529411764709E-6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input_336100!A$2</f>
        <v>336100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IFERROR(VLOOKUP(B144,input_336100!L:R,7,FALSE),VLOOKUP(tables_336100!C144,input_336100!A:H,8,FALSE))</f>
        <v>562.4</v>
      </c>
      <c r="P144" s="46">
        <f t="shared" ca="1" si="8"/>
        <v>1.1176470588235293E-4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input_336100!A$2</f>
        <v>336100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IFERROR(VLOOKUP(B145,input_336100!L:R,7,FALSE),VLOOKUP(tables_336100!C145,input_336100!A:H,8,FALSE))</f>
        <v>29.6</v>
      </c>
      <c r="P145" s="46">
        <f t="shared" ca="1" si="8"/>
        <v>5.8823529411764709E-6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input_336100!A$2</f>
        <v>336100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IFERROR(VLOOKUP(B146,input_336100!L:R,7,FALSE),VLOOKUP(tables_336100!C146,input_336100!A:H,8,FALSE))</f>
        <v>32300</v>
      </c>
      <c r="P146" s="46">
        <f t="shared" ca="1" si="8"/>
        <v>6.4189189189189193E-3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input_336100!A$2</f>
        <v>336100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IFERROR(VLOOKUP(B147,input_336100!L:R,7,FALSE),VLOOKUP(tables_336100!C147,input_336100!A:H,8,FALSE))</f>
        <v>29070</v>
      </c>
      <c r="P147" s="46">
        <f t="shared" ca="1" si="8"/>
        <v>5.777027027027027E-3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input_336100!A$2</f>
        <v>336100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IFERROR(VLOOKUP(B148,input_336100!L:R,7,FALSE),VLOOKUP(tables_336100!C148,input_336100!A:H,8,FALSE))</f>
        <v>3230</v>
      </c>
      <c r="P148" s="46">
        <f t="shared" ca="1" si="8"/>
        <v>6.4189189189189184E-4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input_336100!A$2</f>
        <v>336100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IFERROR(VLOOKUP(B149,input_336100!L:R,7,FALSE),VLOOKUP(tables_336100!C149,input_336100!A:H,8,FALSE))</f>
        <v>562.4</v>
      </c>
      <c r="P149" s="46">
        <f t="shared" ca="1" si="8"/>
        <v>1.1176470588235293E-4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input_336100!A$2</f>
        <v>336100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IFERROR(VLOOKUP(B150,input_336100!L:R,7,FALSE),VLOOKUP(tables_336100!C150,input_336100!A:H,8,FALSE))</f>
        <v>29.6</v>
      </c>
      <c r="P150" s="46">
        <f t="shared" ca="1" si="8"/>
        <v>5.8823529411764709E-6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input_336100!A$2</f>
        <v>336100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IFERROR(VLOOKUP(B151,input_336100!L:R,7,FALSE),VLOOKUP(tables_336100!C151,input_336100!A:H,8,FALSE))</f>
        <v>562.4</v>
      </c>
      <c r="P151" s="46">
        <f t="shared" ca="1" si="8"/>
        <v>1.1176470588235293E-4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input_336100!A$2</f>
        <v>336100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IFERROR(VLOOKUP(B152,input_336100!L:R,7,FALSE),VLOOKUP(tables_336100!C152,input_336100!A:H,8,FALSE))</f>
        <v>29.6</v>
      </c>
      <c r="P152" s="46">
        <f t="shared" ca="1" si="8"/>
        <v>5.8823529411764709E-6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input_336100!A$2</f>
        <v>336100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IFERROR(VLOOKUP(B153,input_336100!L:R,7,FALSE),VLOOKUP(tables_336100!C153,input_336100!A:H,8,FALSE))</f>
        <v>32300</v>
      </c>
      <c r="P153" s="46">
        <f t="shared" ca="1" si="8"/>
        <v>6.4189189189189193E-3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input_336100!A$2</f>
        <v>336100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IFERROR(VLOOKUP(B154,input_336100!L:R,7,FALSE),VLOOKUP(tables_336100!C154,input_336100!A:H,8,FALSE))</f>
        <v>29070</v>
      </c>
      <c r="P154" s="46">
        <f t="shared" ca="1" si="8"/>
        <v>5.777027027027027E-3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input_336100!A$2</f>
        <v>336100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IFERROR(VLOOKUP(B155,input_336100!L:R,7,FALSE),VLOOKUP(tables_336100!C155,input_336100!A:H,8,FALSE))</f>
        <v>3230</v>
      </c>
      <c r="P155" s="46">
        <f t="shared" ca="1" si="8"/>
        <v>6.4189189189189184E-4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input_336100!A$2</f>
        <v>336100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IFERROR(VLOOKUP(B156,input_336100!L:R,7,FALSE),VLOOKUP(tables_336100!C156,input_336100!A:H,8,FALSE))</f>
        <v>562.4</v>
      </c>
      <c r="P156" s="46">
        <f t="shared" ca="1" si="8"/>
        <v>1.1176470588235293E-4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input_336100!A$2</f>
        <v>336100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IFERROR(VLOOKUP(B157,input_336100!L:R,7,FALSE),VLOOKUP(tables_336100!C157,input_336100!A:H,8,FALSE))</f>
        <v>29.6</v>
      </c>
      <c r="P157" s="46">
        <f t="shared" ca="1" si="8"/>
        <v>5.8823529411764709E-6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input_336100!A$2</f>
        <v>336100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IFERROR(VLOOKUP(B158,input_336100!L:R,7,FALSE),VLOOKUP(tables_336100!C158,input_336100!A:H,8,FALSE))</f>
        <v>32300</v>
      </c>
      <c r="P158" s="46">
        <f t="shared" ca="1" si="8"/>
        <v>6.4189189189189193E-3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input_336100!A$2</f>
        <v>336100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IFERROR(VLOOKUP(B159,input_336100!L:R,7,FALSE),VLOOKUP(tables_336100!C159,input_336100!A:H,8,FALSE))</f>
        <v>29070</v>
      </c>
      <c r="P159" s="46">
        <f t="shared" ca="1" si="8"/>
        <v>5.777027027027027E-3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input_336100!A$2</f>
        <v>336100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IFERROR(VLOOKUP(B160,input_336100!L:R,7,FALSE),VLOOKUP(tables_336100!C160,input_336100!A:H,8,FALSE))</f>
        <v>3230</v>
      </c>
      <c r="P160" s="46">
        <f t="shared" ca="1" si="8"/>
        <v>6.4189189189189184E-4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input_336100!A$2</f>
        <v>336100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IFERROR(VLOOKUP(B161,input_336100!L:R,7,FALSE),VLOOKUP(tables_336100!C161,input_336100!A:H,8,FALSE))</f>
        <v>32300</v>
      </c>
      <c r="P161" s="46">
        <f t="shared" ca="1" si="8"/>
        <v>6.4189189189189193E-3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input_336100!A$2</f>
        <v>336100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IFERROR(VLOOKUP(B162,input_336100!L:R,7,FALSE),VLOOKUP(tables_336100!C162,input_336100!A:H,8,FALSE))</f>
        <v>29070</v>
      </c>
      <c r="P162" s="46">
        <f t="shared" ca="1" si="8"/>
        <v>5.777027027027027E-3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input_336100!A$2</f>
        <v>336100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IFERROR(VLOOKUP(B163,input_336100!L:R,7,FALSE),VLOOKUP(tables_336100!C163,input_336100!A:H,8,FALSE))</f>
        <v>3230</v>
      </c>
      <c r="P163" s="46">
        <f t="shared" ca="1" si="8"/>
        <v>6.4189189189189184E-4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input_336100!A$2</f>
        <v>336100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IFERROR(VLOOKUP(B164,input_336100!L:R,7,FALSE),VLOOKUP(tables_336100!C164,input_336100!A:H,8,FALSE))</f>
        <v>562.4</v>
      </c>
      <c r="P164" s="46">
        <f t="shared" ca="1" si="8"/>
        <v>1.1176470588235293E-4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input_336100!A$2</f>
        <v>336100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IFERROR(VLOOKUP(B165,input_336100!L:R,7,FALSE),VLOOKUP(tables_336100!C165,input_336100!A:H,8,FALSE))</f>
        <v>29.6</v>
      </c>
      <c r="P165" s="46">
        <f t="shared" ca="1" si="8"/>
        <v>5.8823529411764709E-6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input_336100!A$2</f>
        <v>336100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IFERROR(VLOOKUP(B166,input_336100!L:R,7,FALSE),VLOOKUP(tables_336100!C166,input_336100!A:H,8,FALSE))</f>
        <v>32300</v>
      </c>
      <c r="P166" s="46">
        <f t="shared" ca="1" si="8"/>
        <v>6.4189189189189193E-3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input_336100!A$2</f>
        <v>336100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IFERROR(VLOOKUP(B167,input_336100!L:R,7,FALSE),VLOOKUP(tables_336100!C167,input_336100!A:H,8,FALSE))</f>
        <v>29070</v>
      </c>
      <c r="P167" s="46">
        <f t="shared" ca="1" si="8"/>
        <v>5.777027027027027E-3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input_336100!A$2</f>
        <v>336100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IFERROR(VLOOKUP(B168,input_336100!L:R,7,FALSE),VLOOKUP(tables_336100!C168,input_336100!A:H,8,FALSE))</f>
        <v>3230</v>
      </c>
      <c r="P168" s="46">
        <f t="shared" ca="1" si="8"/>
        <v>6.4189189189189184E-4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input_336100!A$2</f>
        <v>336100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IFERROR(VLOOKUP(B169,input_336100!L:R,7,FALSE),VLOOKUP(tables_336100!C169,input_336100!A:H,8,FALSE))</f>
        <v>562.4</v>
      </c>
      <c r="P169" s="46">
        <f t="shared" ca="1" si="8"/>
        <v>1.1176470588235293E-4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input_336100!A$2</f>
        <v>336100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IFERROR(VLOOKUP(B170,input_336100!L:R,7,FALSE),VLOOKUP(tables_336100!C170,input_336100!A:H,8,FALSE))</f>
        <v>29.6</v>
      </c>
      <c r="P170" s="46">
        <f t="shared" ca="1" si="8"/>
        <v>5.8823529411764709E-6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input_336100!A$2</f>
        <v>336100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IFERROR(VLOOKUP(B171,input_336100!L:R,7,FALSE),VLOOKUP(tables_336100!C171,input_336100!A:H,8,FALSE))</f>
        <v>32300</v>
      </c>
      <c r="P171" s="46">
        <f t="shared" ca="1" si="8"/>
        <v>6.4189189189189193E-3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input_336100!A$2</f>
        <v>336100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IFERROR(VLOOKUP(B172,input_336100!L:R,7,FALSE),VLOOKUP(tables_336100!C172,input_336100!A:H,8,FALSE))</f>
        <v>29070</v>
      </c>
      <c r="P172" s="46">
        <f t="shared" ca="1" si="8"/>
        <v>5.777027027027027E-3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input_336100!A$2</f>
        <v>336100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IFERROR(VLOOKUP(B173,input_336100!L:R,7,FALSE),VLOOKUP(tables_336100!C173,input_336100!A:H,8,FALSE))</f>
        <v>3230</v>
      </c>
      <c r="P173" s="46">
        <f t="shared" ca="1" si="8"/>
        <v>6.4189189189189184E-4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input_336100!A$2</f>
        <v>336100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IFERROR(VLOOKUP(B174,input_336100!L:R,7,FALSE),VLOOKUP(tables_336100!C174,input_336100!A:H,8,FALSE))</f>
        <v>562.4</v>
      </c>
      <c r="P174" s="46">
        <f t="shared" ca="1" si="8"/>
        <v>1.1176470588235293E-4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input_336100!A$2</f>
        <v>336100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IFERROR(VLOOKUP(B175,input_336100!L:R,7,FALSE),VLOOKUP(tables_336100!C175,input_336100!A:H,8,FALSE))</f>
        <v>29.6</v>
      </c>
      <c r="P175" s="46">
        <f t="shared" ca="1" si="8"/>
        <v>5.8823529411764709E-6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input_336100!A$2</f>
        <v>336100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IFERROR(VLOOKUP(B176,input_336100!L:R,7,FALSE),VLOOKUP(tables_336100!C176,input_336100!A:H,8,FALSE))</f>
        <v>562.4</v>
      </c>
      <c r="P176" s="46">
        <f t="shared" ca="1" si="8"/>
        <v>1.1176470588235293E-4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input_336100!A$2</f>
        <v>336100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IFERROR(VLOOKUP(B177,input_336100!L:R,7,FALSE),VLOOKUP(tables_336100!C177,input_336100!A:H,8,FALSE))</f>
        <v>29.6</v>
      </c>
      <c r="P177" s="46">
        <f t="shared" ca="1" si="8"/>
        <v>5.8823529411764709E-6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input_336100!A$2</f>
        <v>336100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IFERROR(VLOOKUP(B178,input_336100!L:R,7,FALSE),VLOOKUP(tables_336100!C178,input_336100!A:H,8,FALSE))</f>
        <v>32300</v>
      </c>
      <c r="P178" s="46">
        <f t="shared" ca="1" si="8"/>
        <v>6.4189189189189193E-3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input_336100!A$2</f>
        <v>336100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IFERROR(VLOOKUP(B179,input_336100!L:R,7,FALSE),VLOOKUP(tables_336100!C179,input_336100!A:H,8,FALSE))</f>
        <v>29070</v>
      </c>
      <c r="P179" s="46">
        <f t="shared" ca="1" si="8"/>
        <v>5.777027027027027E-3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input_336100!A$2</f>
        <v>336100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IFERROR(VLOOKUP(B180,input_336100!L:R,7,FALSE),VLOOKUP(tables_336100!C180,input_336100!A:H,8,FALSE))</f>
        <v>3230</v>
      </c>
      <c r="P180" s="46">
        <f t="shared" ca="1" si="8"/>
        <v>6.4189189189189184E-4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input_336100!A$2</f>
        <v>336100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IFERROR(VLOOKUP(B181,input_336100!L:R,7,FALSE),VLOOKUP(tables_336100!C181,input_336100!A:H,8,FALSE))</f>
        <v>32300</v>
      </c>
      <c r="P181" s="46">
        <f t="shared" ca="1" si="8"/>
        <v>6.4189189189189193E-3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input_336100!A$2</f>
        <v>336100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IFERROR(VLOOKUP(B182,input_336100!L:R,7,FALSE),VLOOKUP(tables_336100!C182,input_336100!A:H,8,FALSE))</f>
        <v>29070</v>
      </c>
      <c r="P182" s="46">
        <f t="shared" ca="1" si="8"/>
        <v>5.777027027027027E-3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input_336100!A$2</f>
        <v>336100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IFERROR(VLOOKUP(B183,input_336100!L:R,7,FALSE),VLOOKUP(tables_336100!C183,input_336100!A:H,8,FALSE))</f>
        <v>3230</v>
      </c>
      <c r="P183" s="46">
        <f t="shared" ca="1" si="8"/>
        <v>6.4189189189189184E-4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input_336100!A$2</f>
        <v>336100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IFERROR(VLOOKUP(B184,input_336100!L:R,7,FALSE),VLOOKUP(tables_336100!C184,input_336100!A:H,8,FALSE))</f>
        <v>562.4</v>
      </c>
      <c r="P184" s="46">
        <f t="shared" ca="1" si="8"/>
        <v>1.1176470588235293E-4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input_336100!A$2</f>
        <v>336100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IFERROR(VLOOKUP(B185,input_336100!L:R,7,FALSE),VLOOKUP(tables_336100!C185,input_336100!A:H,8,FALSE))</f>
        <v>29.6</v>
      </c>
      <c r="P185" s="46">
        <f t="shared" ca="1" si="8"/>
        <v>5.8823529411764709E-6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input_336100!A$2</f>
        <v>336100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IFERROR(VLOOKUP(B186,input_336100!L:R,7,FALSE),VLOOKUP(tables_336100!C186,input_336100!A:H,8,FALSE))</f>
        <v>32300</v>
      </c>
      <c r="P186" s="46">
        <f t="shared" ca="1" si="8"/>
        <v>6.4189189189189193E-3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input_336100!A$2</f>
        <v>336100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IFERROR(VLOOKUP(B187,input_336100!L:R,7,FALSE),VLOOKUP(tables_336100!C187,input_336100!A:H,8,FALSE))</f>
        <v>29070</v>
      </c>
      <c r="P187" s="46">
        <f t="shared" ca="1" si="8"/>
        <v>5.777027027027027E-3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input_336100!A$2</f>
        <v>336100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IFERROR(VLOOKUP(B188,input_336100!L:R,7,FALSE),VLOOKUP(tables_336100!C188,input_336100!A:H,8,FALSE))</f>
        <v>3230</v>
      </c>
      <c r="P188" s="46">
        <f t="shared" ca="1" si="8"/>
        <v>6.4189189189189184E-4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input_336100!A$2</f>
        <v>336100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IFERROR(VLOOKUP(B189,input_336100!L:R,7,FALSE),VLOOKUP(tables_336100!C189,input_336100!A:H,8,FALSE))</f>
        <v>562.4</v>
      </c>
      <c r="P189" s="46">
        <f t="shared" ca="1" si="8"/>
        <v>1.1176470588235293E-4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input_336100!A$2</f>
        <v>336100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IFERROR(VLOOKUP(B190,input_336100!L:R,7,FALSE),VLOOKUP(tables_336100!C190,input_336100!A:H,8,FALSE))</f>
        <v>29.6</v>
      </c>
      <c r="P190" s="46">
        <f t="shared" ca="1" si="8"/>
        <v>5.8823529411764709E-6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input_336100!A$2</f>
        <v>336100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IFERROR(VLOOKUP(B191,input_336100!L:R,7,FALSE),VLOOKUP(tables_336100!C191,input_336100!A:H,8,FALSE))</f>
        <v>562.4</v>
      </c>
      <c r="P191" s="46">
        <f t="shared" ca="1" si="8"/>
        <v>1.1176470588235293E-4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input_336100!A$2</f>
        <v>336100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IFERROR(VLOOKUP(B192,input_336100!L:R,7,FALSE),VLOOKUP(tables_336100!C192,input_336100!A:H,8,FALSE))</f>
        <v>29.6</v>
      </c>
      <c r="P192" s="46">
        <f t="shared" ca="1" si="8"/>
        <v>5.8823529411764709E-6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input_336100!A$2</f>
        <v>336100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IFERROR(VLOOKUP(B193,input_336100!L:R,7,FALSE),VLOOKUP(tables_336100!C193,input_336100!A:H,8,FALSE))</f>
        <v>32300</v>
      </c>
      <c r="P193" s="46">
        <f t="shared" ca="1" si="8"/>
        <v>6.4189189189189193E-3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input_336100!A$2</f>
        <v>336100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IFERROR(VLOOKUP(B194,input_336100!L:R,7,FALSE),VLOOKUP(tables_336100!C194,input_336100!A:H,8,FALSE))</f>
        <v>29070</v>
      </c>
      <c r="P194" s="46">
        <f t="shared" ca="1" si="8"/>
        <v>5.777027027027027E-3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input_336100!A$2</f>
        <v>336100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IFERROR(VLOOKUP(B195,input_336100!L:R,7,FALSE),VLOOKUP(tables_336100!C195,input_336100!A:H,8,FALSE))</f>
        <v>3230</v>
      </c>
      <c r="P195" s="46">
        <f t="shared" ca="1" si="8"/>
        <v>6.4189189189189184E-4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input_336100!A$2</f>
        <v>336100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IFERROR(VLOOKUP(B196,input_336100!L:R,7,FALSE),VLOOKUP(tables_336100!C196,input_336100!A:H,8,FALSE))</f>
        <v>562.4</v>
      </c>
      <c r="P196" s="46">
        <f t="shared" ca="1" si="8"/>
        <v>1.1176470588235293E-4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input_336100!A$2</f>
        <v>336100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IFERROR(VLOOKUP(B197,input_336100!L:R,7,FALSE),VLOOKUP(tables_336100!C197,input_336100!A:H,8,FALSE))</f>
        <v>29.6</v>
      </c>
      <c r="P197" s="46">
        <f t="shared" ca="1" si="8"/>
        <v>5.8823529411764709E-6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input_336100!A$2</f>
        <v>336100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IFERROR(VLOOKUP(B198,input_336100!L:R,7,FALSE),VLOOKUP(tables_336100!C198,input_336100!A:H,8,FALSE))</f>
        <v>32300</v>
      </c>
      <c r="P198" s="46">
        <f t="shared" ca="1" si="8"/>
        <v>6.4189189189189193E-3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input_336100!A$2</f>
        <v>336100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IFERROR(VLOOKUP(B199,input_336100!L:R,7,FALSE),VLOOKUP(tables_336100!C199,input_336100!A:H,8,FALSE))</f>
        <v>29070</v>
      </c>
      <c r="P199" s="46">
        <f t="shared" ca="1" si="8"/>
        <v>5.777027027027027E-3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input_336100!A$2</f>
        <v>336100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IFERROR(VLOOKUP(B200,input_336100!L:R,7,FALSE),VLOOKUP(tables_336100!C200,input_336100!A:H,8,FALSE))</f>
        <v>3230</v>
      </c>
      <c r="P200" s="46">
        <f t="shared" ca="1" si="8"/>
        <v>6.4189189189189184E-4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input_336100!A$2</f>
        <v>336100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IFERROR(VLOOKUP(B201,input_336100!L:R,7,FALSE),VLOOKUP(tables_336100!C201,input_336100!A:H,8,FALSE))</f>
        <v>562.4</v>
      </c>
      <c r="P201" s="46">
        <f t="shared" ca="1" si="8"/>
        <v>1.1176470588235293E-4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input_336100!A$2</f>
        <v>336100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IFERROR(VLOOKUP(B202,input_336100!L:R,7,FALSE),VLOOKUP(tables_336100!C202,input_336100!A:H,8,FALSE))</f>
        <v>29.6</v>
      </c>
      <c r="P202" s="46">
        <f t="shared" ca="1" si="8"/>
        <v>5.8823529411764709E-6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input_336100!A$2</f>
        <v>336100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IFERROR(VLOOKUP(B203,input_336100!L:R,7,FALSE),VLOOKUP(tables_336100!C203,input_336100!A:H,8,FALSE))</f>
        <v>32300</v>
      </c>
      <c r="P203" s="46">
        <f t="shared" ca="1" si="8"/>
        <v>6.4189189189189193E-3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input_336100!A$2</f>
        <v>336100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IFERROR(VLOOKUP(B204,input_336100!L:R,7,FALSE),VLOOKUP(tables_336100!C204,input_336100!A:H,8,FALSE))</f>
        <v>29070</v>
      </c>
      <c r="P204" s="46">
        <f t="shared" ca="1" si="8"/>
        <v>5.777027027027027E-3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input_336100!A$2</f>
        <v>336100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IFERROR(VLOOKUP(B205,input_336100!L:R,7,FALSE),VLOOKUP(tables_336100!C205,input_336100!A:H,8,FALSE))</f>
        <v>3230</v>
      </c>
      <c r="P205" s="46">
        <f t="shared" ca="1" si="8"/>
        <v>6.4189189189189184E-4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input_336100!A$2</f>
        <v>336100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IFERROR(VLOOKUP(B206,input_336100!L:R,7,FALSE),VLOOKUP(tables_336100!C206,input_336100!A:H,8,FALSE))</f>
        <v>562.4</v>
      </c>
      <c r="P206" s="46">
        <f t="shared" ca="1" si="8"/>
        <v>1.1176470588235293E-4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input_336100!A$2</f>
        <v>336100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IFERROR(VLOOKUP(B207,input_336100!L:R,7,FALSE),VLOOKUP(tables_336100!C207,input_336100!A:H,8,FALSE))</f>
        <v>29.6</v>
      </c>
      <c r="P207" s="46">
        <f t="shared" ref="P207:P270" ca="1" si="11">O207/SUM(O:O)</f>
        <v>5.8823529411764709E-6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input_336100!A$2</f>
        <v>336100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IFERROR(VLOOKUP(B208,input_336100!L:R,7,FALSE),VLOOKUP(tables_336100!C208,input_336100!A:H,8,FALSE))</f>
        <v>562.4</v>
      </c>
      <c r="P208" s="46">
        <f t="shared" ca="1" si="11"/>
        <v>1.1176470588235293E-4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input_336100!A$2</f>
        <v>336100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IFERROR(VLOOKUP(B209,input_336100!L:R,7,FALSE),VLOOKUP(tables_336100!C209,input_336100!A:H,8,FALSE))</f>
        <v>29.6</v>
      </c>
      <c r="P209" s="46">
        <f t="shared" ca="1" si="11"/>
        <v>5.8823529411764709E-6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input_336100!A$2</f>
        <v>336100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IFERROR(VLOOKUP(B210,input_336100!L:R,7,FALSE),VLOOKUP(tables_336100!C210,input_336100!A:H,8,FALSE))</f>
        <v>32300</v>
      </c>
      <c r="P210" s="46">
        <f t="shared" ca="1" si="11"/>
        <v>6.4189189189189193E-3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input_336100!A$2</f>
        <v>336100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IFERROR(VLOOKUP(B211,input_336100!L:R,7,FALSE),VLOOKUP(tables_336100!C211,input_336100!A:H,8,FALSE))</f>
        <v>29070</v>
      </c>
      <c r="P211" s="46">
        <f t="shared" ca="1" si="11"/>
        <v>5.777027027027027E-3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input_336100!A$2</f>
        <v>336100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IFERROR(VLOOKUP(B212,input_336100!L:R,7,FALSE),VLOOKUP(tables_336100!C212,input_336100!A:H,8,FALSE))</f>
        <v>3230</v>
      </c>
      <c r="P212" s="46">
        <f t="shared" ca="1" si="11"/>
        <v>6.4189189189189184E-4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input_336100!A$2</f>
        <v>336100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IFERROR(VLOOKUP(B213,input_336100!L:R,7,FALSE),VLOOKUP(tables_336100!C213,input_336100!A:H,8,FALSE))</f>
        <v>562.4</v>
      </c>
      <c r="P213" s="46">
        <f t="shared" ca="1" si="11"/>
        <v>1.1176470588235293E-4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input_336100!A$2</f>
        <v>336100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IFERROR(VLOOKUP(B214,input_336100!L:R,7,FALSE),VLOOKUP(tables_336100!C214,input_336100!A:H,8,FALSE))</f>
        <v>29.6</v>
      </c>
      <c r="P214" s="46">
        <f t="shared" ca="1" si="11"/>
        <v>5.8823529411764709E-6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input_336100!A$2</f>
        <v>336100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IFERROR(VLOOKUP(B215,input_336100!L:R,7,FALSE),VLOOKUP(tables_336100!C215,input_336100!A:H,8,FALSE))</f>
        <v>562.4</v>
      </c>
      <c r="P215" s="46">
        <f t="shared" ca="1" si="11"/>
        <v>1.1176470588235293E-4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input_336100!A$2</f>
        <v>336100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IFERROR(VLOOKUP(B216,input_336100!L:R,7,FALSE),VLOOKUP(tables_336100!C216,input_336100!A:H,8,FALSE))</f>
        <v>29.6</v>
      </c>
      <c r="P216" s="46">
        <f t="shared" ca="1" si="11"/>
        <v>5.8823529411764709E-6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input_336100!A$2</f>
        <v>336100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IFERROR(VLOOKUP(B217,input_336100!L:R,7,FALSE),VLOOKUP(tables_336100!C217,input_336100!A:H,8,FALSE))</f>
        <v>32300</v>
      </c>
      <c r="P217" s="46">
        <f t="shared" ca="1" si="11"/>
        <v>6.4189189189189193E-3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input_336100!A$2</f>
        <v>336100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IFERROR(VLOOKUP(B218,input_336100!L:R,7,FALSE),VLOOKUP(tables_336100!C218,input_336100!A:H,8,FALSE))</f>
        <v>29070</v>
      </c>
      <c r="P218" s="46">
        <f t="shared" ca="1" si="11"/>
        <v>5.777027027027027E-3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input_336100!A$2</f>
        <v>336100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IFERROR(VLOOKUP(B219,input_336100!L:R,7,FALSE),VLOOKUP(tables_336100!C219,input_336100!A:H,8,FALSE))</f>
        <v>3230</v>
      </c>
      <c r="P219" s="46">
        <f t="shared" ca="1" si="11"/>
        <v>6.4189189189189184E-4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input_336100!A$2</f>
        <v>336100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IFERROR(VLOOKUP(B220,input_336100!L:R,7,FALSE),VLOOKUP(tables_336100!C220,input_336100!A:H,8,FALSE))</f>
        <v>32300</v>
      </c>
      <c r="P220" s="46">
        <f t="shared" ca="1" si="11"/>
        <v>6.4189189189189193E-3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input_336100!A$2</f>
        <v>336100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IFERROR(VLOOKUP(B221,input_336100!L:R,7,FALSE),VLOOKUP(tables_336100!C221,input_336100!A:H,8,FALSE))</f>
        <v>29070</v>
      </c>
      <c r="P221" s="46">
        <f t="shared" ca="1" si="11"/>
        <v>5.777027027027027E-3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input_336100!A$2</f>
        <v>336100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IFERROR(VLOOKUP(B222,input_336100!L:R,7,FALSE),VLOOKUP(tables_336100!C222,input_336100!A:H,8,FALSE))</f>
        <v>3230</v>
      </c>
      <c r="P222" s="46">
        <f t="shared" ca="1" si="11"/>
        <v>6.4189189189189184E-4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input_336100!A$2</f>
        <v>336100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IFERROR(VLOOKUP(B223,input_336100!L:R,7,FALSE),VLOOKUP(tables_336100!C223,input_336100!A:H,8,FALSE))</f>
        <v>562.4</v>
      </c>
      <c r="P223" s="46">
        <f t="shared" ca="1" si="11"/>
        <v>1.1176470588235293E-4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input_336100!A$2</f>
        <v>336100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IFERROR(VLOOKUP(B224,input_336100!L:R,7,FALSE),VLOOKUP(tables_336100!C224,input_336100!A:H,8,FALSE))</f>
        <v>29.6</v>
      </c>
      <c r="P224" s="46">
        <f t="shared" ca="1" si="11"/>
        <v>5.8823529411764709E-6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input_336100!A$2</f>
        <v>336100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IFERROR(VLOOKUP(B225,input_336100!L:R,7,FALSE),VLOOKUP(tables_336100!C225,input_336100!A:H,8,FALSE))</f>
        <v>32300</v>
      </c>
      <c r="P225" s="46">
        <f t="shared" ca="1" si="11"/>
        <v>6.4189189189189193E-3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input_336100!A$2</f>
        <v>336100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IFERROR(VLOOKUP(B226,input_336100!L:R,7,FALSE),VLOOKUP(tables_336100!C226,input_336100!A:H,8,FALSE))</f>
        <v>29070</v>
      </c>
      <c r="P226" s="46">
        <f t="shared" ca="1" si="11"/>
        <v>5.777027027027027E-3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input_336100!A$2</f>
        <v>336100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IFERROR(VLOOKUP(B227,input_336100!L:R,7,FALSE),VLOOKUP(tables_336100!C227,input_336100!A:H,8,FALSE))</f>
        <v>3230</v>
      </c>
      <c r="P227" s="46">
        <f t="shared" ca="1" si="11"/>
        <v>6.4189189189189184E-4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input_336100!A$2</f>
        <v>336100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IFERROR(VLOOKUP(B228,input_336100!L:R,7,FALSE),VLOOKUP(tables_336100!C228,input_336100!A:H,8,FALSE))</f>
        <v>32300</v>
      </c>
      <c r="P228" s="46">
        <f t="shared" ca="1" si="11"/>
        <v>6.4189189189189193E-3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input_336100!A$2</f>
        <v>336100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IFERROR(VLOOKUP(B229,input_336100!L:R,7,FALSE),VLOOKUP(tables_336100!C229,input_336100!A:H,8,FALSE))</f>
        <v>29070</v>
      </c>
      <c r="P229" s="46">
        <f t="shared" ca="1" si="11"/>
        <v>5.777027027027027E-3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input_336100!A$2</f>
        <v>336100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IFERROR(VLOOKUP(B230,input_336100!L:R,7,FALSE),VLOOKUP(tables_336100!C230,input_336100!A:H,8,FALSE))</f>
        <v>3230</v>
      </c>
      <c r="P230" s="46">
        <f t="shared" ca="1" si="11"/>
        <v>6.4189189189189184E-4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input_336100!A$2</f>
        <v>336100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IFERROR(VLOOKUP(B231,input_336100!L:R,7,FALSE),VLOOKUP(tables_336100!C231,input_336100!A:H,8,FALSE))</f>
        <v>562.4</v>
      </c>
      <c r="P231" s="46">
        <f t="shared" ca="1" si="11"/>
        <v>1.1176470588235293E-4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input_336100!A$2</f>
        <v>336100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IFERROR(VLOOKUP(B232,input_336100!L:R,7,FALSE),VLOOKUP(tables_336100!C232,input_336100!A:H,8,FALSE))</f>
        <v>29.6</v>
      </c>
      <c r="P232" s="46">
        <f t="shared" ca="1" si="11"/>
        <v>5.8823529411764709E-6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input_336100!A$2</f>
        <v>336100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IFERROR(VLOOKUP(B233,input_336100!L:R,7,FALSE),VLOOKUP(tables_336100!C233,input_336100!A:H,8,FALSE))</f>
        <v>32300</v>
      </c>
      <c r="P233" s="46">
        <f t="shared" ca="1" si="11"/>
        <v>6.4189189189189193E-3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input_336100!A$2</f>
        <v>336100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IFERROR(VLOOKUP(B234,input_336100!L:R,7,FALSE),VLOOKUP(tables_336100!C234,input_336100!A:H,8,FALSE))</f>
        <v>29070</v>
      </c>
      <c r="P234" s="46">
        <f t="shared" ca="1" si="11"/>
        <v>5.777027027027027E-3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input_336100!A$2</f>
        <v>336100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IFERROR(VLOOKUP(B235,input_336100!L:R,7,FALSE),VLOOKUP(tables_336100!C235,input_336100!A:H,8,FALSE))</f>
        <v>3230</v>
      </c>
      <c r="P235" s="46">
        <f t="shared" ca="1" si="11"/>
        <v>6.4189189189189184E-4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input_336100!A$2</f>
        <v>336100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IFERROR(VLOOKUP(B236,input_336100!L:R,7,FALSE),VLOOKUP(tables_336100!C236,input_336100!A:H,8,FALSE))</f>
        <v>562.4</v>
      </c>
      <c r="P236" s="46">
        <f t="shared" ca="1" si="11"/>
        <v>1.1176470588235293E-4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input_336100!A$2</f>
        <v>336100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IFERROR(VLOOKUP(B237,input_336100!L:R,7,FALSE),VLOOKUP(tables_336100!C237,input_336100!A:H,8,FALSE))</f>
        <v>29.6</v>
      </c>
      <c r="P237" s="46">
        <f t="shared" ca="1" si="11"/>
        <v>5.8823529411764709E-6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input_336100!A$2</f>
        <v>336100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IFERROR(VLOOKUP(B238,input_336100!L:R,7,FALSE),VLOOKUP(tables_336100!C238,input_336100!A:H,8,FALSE))</f>
        <v>562.4</v>
      </c>
      <c r="P238" s="46">
        <f t="shared" ca="1" si="11"/>
        <v>1.1176470588235293E-4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input_336100!A$2</f>
        <v>336100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IFERROR(VLOOKUP(B239,input_336100!L:R,7,FALSE),VLOOKUP(tables_336100!C239,input_336100!A:H,8,FALSE))</f>
        <v>29.6</v>
      </c>
      <c r="P239" s="46">
        <f t="shared" ca="1" si="11"/>
        <v>5.8823529411764709E-6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input_336100!A$2</f>
        <v>336100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IFERROR(VLOOKUP(B240,input_336100!L:R,7,FALSE),VLOOKUP(tables_336100!C240,input_336100!A:H,8,FALSE))</f>
        <v>32300</v>
      </c>
      <c r="P240" s="46">
        <f t="shared" ca="1" si="11"/>
        <v>6.4189189189189193E-3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input_336100!A$2</f>
        <v>336100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IFERROR(VLOOKUP(B241,input_336100!L:R,7,FALSE),VLOOKUP(tables_336100!C241,input_336100!A:H,8,FALSE))</f>
        <v>29070</v>
      </c>
      <c r="P241" s="46">
        <f t="shared" ca="1" si="11"/>
        <v>5.777027027027027E-3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input_336100!A$2</f>
        <v>336100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IFERROR(VLOOKUP(B242,input_336100!L:R,7,FALSE),VLOOKUP(tables_336100!C242,input_336100!A:H,8,FALSE))</f>
        <v>3230</v>
      </c>
      <c r="P242" s="46">
        <f t="shared" ca="1" si="11"/>
        <v>6.4189189189189184E-4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input_336100!A$2</f>
        <v>336100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IFERROR(VLOOKUP(B243,input_336100!L:R,7,FALSE),VLOOKUP(tables_336100!C243,input_336100!A:H,8,FALSE))</f>
        <v>32300</v>
      </c>
      <c r="P243" s="46">
        <f t="shared" ca="1" si="11"/>
        <v>6.4189189189189193E-3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input_336100!A$2</f>
        <v>336100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IFERROR(VLOOKUP(B244,input_336100!L:R,7,FALSE),VLOOKUP(tables_336100!C244,input_336100!A:H,8,FALSE))</f>
        <v>29070</v>
      </c>
      <c r="P244" s="46">
        <f t="shared" ca="1" si="11"/>
        <v>5.777027027027027E-3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input_336100!A$2</f>
        <v>336100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IFERROR(VLOOKUP(B245,input_336100!L:R,7,FALSE),VLOOKUP(tables_336100!C245,input_336100!A:H,8,FALSE))</f>
        <v>3230</v>
      </c>
      <c r="P245" s="46">
        <f t="shared" ca="1" si="11"/>
        <v>6.4189189189189184E-4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input_336100!A$2</f>
        <v>336100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IFERROR(VLOOKUP(B246,input_336100!L:R,7,FALSE),VLOOKUP(tables_336100!C246,input_336100!A:H,8,FALSE))</f>
        <v>32300</v>
      </c>
      <c r="P246" s="46">
        <f t="shared" ca="1" si="11"/>
        <v>6.4189189189189193E-3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input_336100!A$2</f>
        <v>336100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IFERROR(VLOOKUP(B247,input_336100!L:R,7,FALSE),VLOOKUP(tables_336100!C247,input_336100!A:H,8,FALSE))</f>
        <v>29070</v>
      </c>
      <c r="P247" s="46">
        <f t="shared" ca="1" si="11"/>
        <v>5.777027027027027E-3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input_336100!A$2</f>
        <v>336100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IFERROR(VLOOKUP(B248,input_336100!L:R,7,FALSE),VLOOKUP(tables_336100!C248,input_336100!A:H,8,FALSE))</f>
        <v>3230</v>
      </c>
      <c r="P248" s="46">
        <f t="shared" ca="1" si="11"/>
        <v>6.4189189189189184E-4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input_336100!A$2</f>
        <v>336100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IFERROR(VLOOKUP(B249,input_336100!L:R,7,FALSE),VLOOKUP(tables_336100!C249,input_336100!A:H,8,FALSE))</f>
        <v>32300</v>
      </c>
      <c r="P249" s="46">
        <f t="shared" ca="1" si="11"/>
        <v>6.4189189189189193E-3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input_336100!A$2</f>
        <v>336100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IFERROR(VLOOKUP(B250,input_336100!L:R,7,FALSE),VLOOKUP(tables_336100!C250,input_336100!A:H,8,FALSE))</f>
        <v>29070</v>
      </c>
      <c r="P250" s="46">
        <f t="shared" ca="1" si="11"/>
        <v>5.777027027027027E-3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input_336100!A$2</f>
        <v>336100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IFERROR(VLOOKUP(B251,input_336100!L:R,7,FALSE),VLOOKUP(tables_336100!C251,input_336100!A:H,8,FALSE))</f>
        <v>3230</v>
      </c>
      <c r="P251" s="46">
        <f t="shared" ca="1" si="11"/>
        <v>6.4189189189189184E-4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input_336100!A$2</f>
        <v>336100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IFERROR(VLOOKUP(B252,input_336100!L:R,7,FALSE),VLOOKUP(tables_336100!C252,input_336100!A:H,8,FALSE))</f>
        <v>562.4</v>
      </c>
      <c r="P252" s="46">
        <f t="shared" ca="1" si="11"/>
        <v>1.1176470588235293E-4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input_336100!A$2</f>
        <v>336100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IFERROR(VLOOKUP(B253,input_336100!L:R,7,FALSE),VLOOKUP(tables_336100!C253,input_336100!A:H,8,FALSE))</f>
        <v>29.6</v>
      </c>
      <c r="P253" s="46">
        <f t="shared" ca="1" si="11"/>
        <v>5.8823529411764709E-6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input_336100!A$2</f>
        <v>336100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IFERROR(VLOOKUP(B254,input_336100!L:R,7,FALSE),VLOOKUP(tables_336100!C254,input_336100!A:H,8,FALSE))</f>
        <v>562.4</v>
      </c>
      <c r="P254" s="46">
        <f t="shared" ca="1" si="11"/>
        <v>1.1176470588235293E-4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input_336100!A$2</f>
        <v>336100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IFERROR(VLOOKUP(B255,input_336100!L:R,7,FALSE),VLOOKUP(tables_336100!C255,input_336100!A:H,8,FALSE))</f>
        <v>29.6</v>
      </c>
      <c r="P255" s="46">
        <f t="shared" ca="1" si="11"/>
        <v>5.8823529411764709E-6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input_336100!A$2</f>
        <v>336100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IFERROR(VLOOKUP(B256,input_336100!L:R,7,FALSE),VLOOKUP(tables_336100!C256,input_336100!A:H,8,FALSE))</f>
        <v>23845.599999999999</v>
      </c>
      <c r="P256" s="46">
        <f t="shared" ca="1" si="11"/>
        <v>4.7387917329093799E-3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input_336100!A$2</f>
        <v>336100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IFERROR(VLOOKUP(B257,input_336100!L:R,7,FALSE),VLOOKUP(tables_336100!C257,input_336100!A:H,8,FALSE))</f>
        <v>40754.400000000001</v>
      </c>
      <c r="P257" s="46">
        <f t="shared" ca="1" si="11"/>
        <v>8.0990461049284587E-3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input_336100!A$2</f>
        <v>336100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IFERROR(VLOOKUP(B258,input_336100!L:R,7,FALSE),VLOOKUP(tables_336100!C258,input_336100!A:H,8,FALSE))</f>
        <v>23845.599999999999</v>
      </c>
      <c r="P258" s="46">
        <f t="shared" ca="1" si="11"/>
        <v>4.7387917329093799E-3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input_336100!A$2</f>
        <v>336100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IFERROR(VLOOKUP(B259,input_336100!L:R,7,FALSE),VLOOKUP(tables_336100!C259,input_336100!A:H,8,FALSE))</f>
        <v>40754.400000000001</v>
      </c>
      <c r="P259" s="46">
        <f t="shared" ca="1" si="11"/>
        <v>8.0990461049284587E-3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input_336100!A$2</f>
        <v>336100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IFERROR(VLOOKUP(B260,input_336100!L:R,7,FALSE),VLOOKUP(tables_336100!C260,input_336100!A:H,8,FALSE))</f>
        <v>592</v>
      </c>
      <c r="P260" s="46">
        <f t="shared" ca="1" si="11"/>
        <v>1.1764705882352942E-4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input_336100!A$2</f>
        <v>336100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IFERROR(VLOOKUP(B261,input_336100!L:R,7,FALSE),VLOOKUP(tables_336100!C261,input_336100!A:H,8,FALSE))</f>
        <v>592</v>
      </c>
      <c r="P261" s="46">
        <f t="shared" ca="1" si="11"/>
        <v>1.1764705882352942E-4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input_336100!A$2</f>
        <v>336100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IFERROR(VLOOKUP(B262,input_336100!L:R,7,FALSE),VLOOKUP(tables_336100!C262,input_336100!A:H,8,FALSE))</f>
        <v>562.4</v>
      </c>
      <c r="P262" s="46">
        <f t="shared" ca="1" si="11"/>
        <v>1.1176470588235293E-4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input_336100!A$2</f>
        <v>336100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IFERROR(VLOOKUP(B263,input_336100!L:R,7,FALSE),VLOOKUP(tables_336100!C263,input_336100!A:H,8,FALSE))</f>
        <v>29.6</v>
      </c>
      <c r="P263" s="46">
        <f t="shared" ca="1" si="11"/>
        <v>5.8823529411764709E-6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input_336100!A$2</f>
        <v>336100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IFERROR(VLOOKUP(B264,input_336100!L:R,7,FALSE),VLOOKUP(tables_336100!C264,input_336100!A:H,8,FALSE))</f>
        <v>562.4</v>
      </c>
      <c r="P264" s="46">
        <f t="shared" ca="1" si="11"/>
        <v>1.1176470588235293E-4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input_336100!A$2</f>
        <v>336100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IFERROR(VLOOKUP(B265,input_336100!L:R,7,FALSE),VLOOKUP(tables_336100!C265,input_336100!A:H,8,FALSE))</f>
        <v>29.6</v>
      </c>
      <c r="P265" s="46">
        <f t="shared" ca="1" si="11"/>
        <v>5.8823529411764709E-6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input_336100!A$2</f>
        <v>336100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IFERROR(VLOOKUP(B266,input_336100!L:R,7,FALSE),VLOOKUP(tables_336100!C266,input_336100!A:H,8,FALSE))</f>
        <v>32300</v>
      </c>
      <c r="P266" s="46">
        <f t="shared" ca="1" si="11"/>
        <v>6.4189189189189193E-3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input_336100!A$2</f>
        <v>336100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IFERROR(VLOOKUP(B267,input_336100!L:R,7,FALSE),VLOOKUP(tables_336100!C267,input_336100!A:H,8,FALSE))</f>
        <v>29070</v>
      </c>
      <c r="P267" s="46">
        <f t="shared" ca="1" si="11"/>
        <v>5.777027027027027E-3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input_336100!A$2</f>
        <v>336100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IFERROR(VLOOKUP(B268,input_336100!L:R,7,FALSE),VLOOKUP(tables_336100!C268,input_336100!A:H,8,FALSE))</f>
        <v>3230</v>
      </c>
      <c r="P268" s="46">
        <f t="shared" ca="1" si="11"/>
        <v>6.4189189189189184E-4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input_336100!A$2</f>
        <v>336100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IFERROR(VLOOKUP(B269,input_336100!L:R,7,FALSE),VLOOKUP(tables_336100!C269,input_336100!A:H,8,FALSE))</f>
        <v>32300</v>
      </c>
      <c r="P269" s="46">
        <f t="shared" ca="1" si="11"/>
        <v>6.4189189189189193E-3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input_336100!A$2</f>
        <v>336100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IFERROR(VLOOKUP(B270,input_336100!L:R,7,FALSE),VLOOKUP(tables_336100!C270,input_336100!A:H,8,FALSE))</f>
        <v>29070</v>
      </c>
      <c r="P270" s="46">
        <f t="shared" ca="1" si="11"/>
        <v>5.777027027027027E-3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input_336100!A$2</f>
        <v>336100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IFERROR(VLOOKUP(B271,input_336100!L:R,7,FALSE),VLOOKUP(tables_336100!C271,input_336100!A:H,8,FALSE))</f>
        <v>3230</v>
      </c>
      <c r="P271" s="46">
        <f t="shared" ref="P271" ca="1" si="14">O271/SUM(O:O)</f>
        <v>6.4189189189189184E-4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input_336100!A$2</f>
        <v>336100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IFERROR(VLOOKUP(B272,input_336100!L:R,7,FALSE),VLOOKUP(tables_336100!C272,input_336100!A:H,8,FALSE))</f>
        <v>65416</v>
      </c>
      <c r="P272" s="46">
        <f t="shared" ref="P272:P277" ca="1" si="17">O272/SUM(O:O)</f>
        <v>1.2999999999999999E-2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input_336100!A$2</f>
        <v>336100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>IFERROR(VLOOKUP(B273,input_336100!L:R,7,FALSE),VLOOKUP(tables_336100!C273,input_336100!A:H,8,FALSE))</f>
        <v>65416</v>
      </c>
      <c r="P273" s="46">
        <f t="shared" ca="1" si="17"/>
        <v>1.2999999999999999E-2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input_336100!A$2</f>
        <v>336100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>IFERROR(VLOOKUP(B274,input_336100!L:R,7,FALSE),VLOOKUP(tables_336100!C274,input_336100!A:H,8,FALSE))</f>
        <v>45288</v>
      </c>
      <c r="P274" s="46">
        <f t="shared" ca="1" si="17"/>
        <v>8.9999999999999993E-3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input_336100!A$2</f>
        <v>336100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サキエル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>IFERROR(VLOOKUP(B275,input_336100!L:R,7,FALSE),VLOOKUP(tables_336100!C275,input_336100!A:H,8,FALSE))</f>
        <v>5032</v>
      </c>
      <c r="P275" s="46">
        <f t="shared" ca="1" si="17"/>
        <v>1E-3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input_336100!A$2</f>
        <v>336100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>IFERROR(VLOOKUP(B276,input_336100!L:R,7,FALSE),VLOOKUP(tables_336100!C276,input_336100!A:H,8,FALSE))</f>
        <v>45288</v>
      </c>
      <c r="P276" s="46">
        <f t="shared" ca="1" si="17"/>
        <v>8.9999999999999993E-3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input_336100!A$2</f>
        <v>336100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>IFERROR(VLOOKUP(B277,input_336100!L:R,7,FALSE),VLOOKUP(tables_336100!C277,input_336100!A:H,8,FALSE))</f>
        <v>5032</v>
      </c>
      <c r="P277" s="46">
        <f t="shared" ca="1" si="17"/>
        <v>1E-3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7"/>
  <sheetViews>
    <sheetView showGridLines="0" tabSelected="1" zoomScale="75" zoomScaleNormal="75" zoomScalePageLayoutView="75" workbookViewId="0">
      <pane ySplit="1" topLeftCell="A2" activePane="bottomLeft" state="frozen"/>
      <selection activeCell="B272" sqref="B272:B277"/>
      <selection pane="bottomLeft" activeCell="F18" sqref="F1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336100</v>
      </c>
      <c r="B2" s="1">
        <v>848</v>
      </c>
      <c r="C2" s="7" t="str">
        <f t="shared" ref="C2:C7" si="0">D2&amp;J2&amp;E2&amp;F2&amp;G2</f>
        <v>PremiumSS5R5only</v>
      </c>
      <c r="D2" s="7" t="str">
        <f t="shared" ref="D2:D7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メタトロン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5</v>
      </c>
      <c r="P2" s="46">
        <f>O2/SUM(O:O)</f>
        <v>0.05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336100</v>
      </c>
      <c r="B3" s="1">
        <v>850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IF(COUNTIF('R6追加前'!A:A,B3)=0,IF(I3="PremiumSS","R5only","R3less"),"")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バアル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technical</v>
      </c>
      <c r="M3" s="7" t="str">
        <f>VLOOKUP(B3,[1]characters!$A:$M,13,FALSE)</f>
        <v>god</v>
      </c>
      <c r="N3" s="7" t="str">
        <f>VLOOKUP(B3,[1]characters!$A:$G,7,FALSE)</f>
        <v>男性</v>
      </c>
      <c r="O3" s="45">
        <v>10</v>
      </c>
      <c r="P3" s="46">
        <f>O3/SUM(O:O)</f>
        <v>0.1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336100</v>
      </c>
      <c r="B4" s="1">
        <v>852</v>
      </c>
      <c r="C4" s="7" t="str">
        <f t="shared" si="0"/>
        <v>Premium4R3less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サキエル</v>
      </c>
      <c r="I4" s="7" t="str">
        <f>VLOOKUP(B4,[1]characters!$A:$J,10,FALSE)</f>
        <v>PremiumS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hp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36</v>
      </c>
      <c r="P4" s="46">
        <f>O4/SUM(O:O)</f>
        <v>0.36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336100</v>
      </c>
      <c r="B5" s="1">
        <v>853</v>
      </c>
      <c r="C5" s="7" t="str">
        <f t="shared" si="0"/>
        <v>Premium5R3less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サキエル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45">
        <v>4</v>
      </c>
      <c r="P5" s="46">
        <f>O5/SUM(O:O)</f>
        <v>0.04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336100</v>
      </c>
      <c r="B6" s="1">
        <v>854</v>
      </c>
      <c r="C6" s="7" t="str">
        <f t="shared" si="0"/>
        <v>Premium4R3less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フラウロス</v>
      </c>
      <c r="I6" s="7" t="str">
        <f>VLOOKUP(B6,[1]characters!$A:$J,10,FALSE)</f>
        <v>PremiumS</v>
      </c>
      <c r="J6" s="7">
        <f>VLOOKUP(B6,[1]characters!$A:$I,9,FALSE)</f>
        <v>4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男性</v>
      </c>
      <c r="O6" s="45">
        <v>40</v>
      </c>
      <c r="P6" s="46">
        <f>O6/SUM(O:O)</f>
        <v>0.4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336100</v>
      </c>
      <c r="B7" s="1">
        <v>855</v>
      </c>
      <c r="C7" s="7" t="str">
        <f t="shared" si="0"/>
        <v>Premium5R3less</v>
      </c>
      <c r="D7" s="7" t="str">
        <f t="shared" si="1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フラウロス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男性</v>
      </c>
      <c r="O7" s="45">
        <v>5</v>
      </c>
      <c r="P7" s="46">
        <f>O7/SUM(O:O)</f>
        <v>0.05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</sheetData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input_336100</vt:lpstr>
      <vt:lpstr>tables_336100</vt:lpstr>
      <vt:lpstr>tables_settle_336100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2016-05-01T05:54:23Z</dcterms:modified>
</cp:coreProperties>
</file>