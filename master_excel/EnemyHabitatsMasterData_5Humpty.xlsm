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7640" yWindow="600" windowWidth="28800" windowHeight="20080" tabRatio="740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8" l="1"/>
  <c r="C3" i="18"/>
  <c r="D3" i="18"/>
  <c r="B33" i="21"/>
  <c r="C33" i="21"/>
  <c r="D33" i="21"/>
  <c r="F33" i="21"/>
  <c r="G33" i="21"/>
  <c r="I33" i="21"/>
  <c r="J33" i="21"/>
  <c r="B34" i="21"/>
  <c r="C34" i="21"/>
  <c r="D34" i="21"/>
  <c r="F34" i="21"/>
  <c r="G34" i="21"/>
  <c r="I34" i="21"/>
  <c r="J34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B14" i="21"/>
  <c r="C14" i="21"/>
  <c r="D14" i="21"/>
  <c r="F14" i="21"/>
  <c r="G14" i="21"/>
  <c r="I14" i="21"/>
  <c r="J14" i="21"/>
  <c r="B15" i="21"/>
  <c r="C15" i="21"/>
  <c r="D15" i="21"/>
  <c r="F15" i="21"/>
  <c r="G15" i="21"/>
  <c r="I15" i="21"/>
  <c r="J15" i="21"/>
  <c r="B16" i="21"/>
  <c r="C16" i="21"/>
  <c r="D16" i="21"/>
  <c r="F16" i="21"/>
  <c r="G16" i="21"/>
  <c r="I16" i="21"/>
  <c r="J16" i="21"/>
  <c r="B17" i="21"/>
  <c r="C17" i="21"/>
  <c r="D17" i="21"/>
  <c r="F17" i="21"/>
  <c r="G17" i="21"/>
  <c r="I17" i="21"/>
  <c r="J17" i="21"/>
  <c r="B18" i="21"/>
  <c r="C18" i="21"/>
  <c r="D18" i="21"/>
  <c r="F18" i="21"/>
  <c r="G18" i="21"/>
  <c r="I18" i="21"/>
  <c r="J18" i="21"/>
  <c r="B19" i="21"/>
  <c r="C19" i="21"/>
  <c r="D19" i="21"/>
  <c r="F19" i="21"/>
  <c r="G19" i="21"/>
  <c r="I19" i="21"/>
  <c r="J19" i="21"/>
  <c r="B20" i="21"/>
  <c r="C20" i="21"/>
  <c r="D20" i="21"/>
  <c r="F20" i="21"/>
  <c r="G20" i="21"/>
  <c r="I20" i="21"/>
  <c r="J20" i="21"/>
  <c r="B21" i="21"/>
  <c r="C21" i="21"/>
  <c r="D21" i="21"/>
  <c r="F21" i="21"/>
  <c r="G21" i="21"/>
  <c r="I21" i="21"/>
  <c r="J21" i="21"/>
  <c r="B22" i="21"/>
  <c r="C22" i="21"/>
  <c r="D22" i="21"/>
  <c r="F22" i="21"/>
  <c r="G22" i="21"/>
  <c r="I22" i="21"/>
  <c r="J22" i="21"/>
  <c r="B23" i="21"/>
  <c r="C23" i="21"/>
  <c r="D23" i="21"/>
  <c r="F23" i="21"/>
  <c r="G23" i="21"/>
  <c r="I23" i="21"/>
  <c r="J23" i="21"/>
  <c r="B24" i="21"/>
  <c r="C24" i="21"/>
  <c r="D24" i="21"/>
  <c r="F24" i="21"/>
  <c r="G24" i="21"/>
  <c r="I24" i="21"/>
  <c r="J24" i="21"/>
  <c r="B25" i="21"/>
  <c r="C25" i="21"/>
  <c r="D25" i="21"/>
  <c r="F25" i="21"/>
  <c r="G25" i="21"/>
  <c r="I25" i="21"/>
  <c r="J25" i="21"/>
  <c r="B26" i="21"/>
  <c r="C26" i="21"/>
  <c r="D26" i="21"/>
  <c r="F26" i="21"/>
  <c r="G26" i="21"/>
  <c r="I26" i="21"/>
  <c r="J26" i="21"/>
  <c r="B27" i="21"/>
  <c r="C27" i="21"/>
  <c r="D27" i="21"/>
  <c r="F27" i="21"/>
  <c r="G27" i="21"/>
  <c r="I27" i="21"/>
  <c r="J27" i="21"/>
  <c r="B28" i="21"/>
  <c r="C28" i="21"/>
  <c r="D28" i="21"/>
  <c r="F28" i="21"/>
  <c r="G28" i="21"/>
  <c r="I28" i="21"/>
  <c r="J28" i="21"/>
  <c r="B29" i="21"/>
  <c r="C29" i="21"/>
  <c r="D29" i="21"/>
  <c r="F29" i="21"/>
  <c r="G29" i="21"/>
  <c r="I29" i="21"/>
  <c r="J29" i="21"/>
  <c r="B30" i="21"/>
  <c r="C30" i="21"/>
  <c r="D30" i="21"/>
  <c r="F30" i="21"/>
  <c r="G30" i="21"/>
  <c r="I30" i="21"/>
  <c r="J30" i="21"/>
  <c r="B31" i="21"/>
  <c r="C31" i="21"/>
  <c r="D31" i="21"/>
  <c r="F31" i="21"/>
  <c r="G31" i="21"/>
  <c r="I31" i="21"/>
  <c r="J31" i="21"/>
  <c r="B32" i="21"/>
  <c r="C32" i="21"/>
  <c r="D32" i="21"/>
  <c r="F32" i="21"/>
  <c r="G32" i="21"/>
  <c r="I32" i="21"/>
  <c r="J32" i="21"/>
  <c r="I2" i="21"/>
  <c r="B2" i="21"/>
  <c r="J2" i="21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2" i="9"/>
  <c r="D2" i="9"/>
  <c r="E2" i="9"/>
  <c r="G2" i="9"/>
  <c r="H2" i="9"/>
  <c r="I2" i="9"/>
  <c r="J2" i="9"/>
  <c r="K2" i="9"/>
  <c r="L2" i="9"/>
  <c r="M2" i="9"/>
  <c r="N2" i="9"/>
  <c r="J2" i="11"/>
  <c r="O2" i="9"/>
  <c r="G2" i="2"/>
  <c r="A2" i="2"/>
  <c r="G3" i="2"/>
  <c r="A3" i="2"/>
  <c r="G4" i="2"/>
  <c r="A4" i="2"/>
  <c r="G5" i="2"/>
  <c r="A5" i="2"/>
  <c r="G6" i="2"/>
  <c r="A6" i="2"/>
  <c r="AD28" i="1"/>
  <c r="AF28" i="1"/>
  <c r="AI28" i="1"/>
  <c r="AG28" i="1"/>
  <c r="AE28" i="1"/>
  <c r="AC28" i="1"/>
  <c r="Y28" i="1"/>
  <c r="X28" i="1"/>
  <c r="V28" i="1"/>
  <c r="T28" i="1"/>
  <c r="Q28" i="1"/>
  <c r="P28" i="1"/>
  <c r="O28" i="1"/>
  <c r="N28" i="1"/>
  <c r="M28" i="1"/>
  <c r="H28" i="1"/>
  <c r="J28" i="1"/>
  <c r="I28" i="1"/>
  <c r="D28" i="1"/>
  <c r="F28" i="1"/>
  <c r="E28" i="1"/>
  <c r="A28" i="1"/>
  <c r="AD27" i="1"/>
  <c r="AF27" i="1"/>
  <c r="AI27" i="1"/>
  <c r="AG27" i="1"/>
  <c r="AE27" i="1"/>
  <c r="AC27" i="1"/>
  <c r="Y27" i="1"/>
  <c r="X27" i="1"/>
  <c r="V27" i="1"/>
  <c r="T27" i="1"/>
  <c r="Q27" i="1"/>
  <c r="P27" i="1"/>
  <c r="O27" i="1"/>
  <c r="N27" i="1"/>
  <c r="M27" i="1"/>
  <c r="H27" i="1"/>
  <c r="J27" i="1"/>
  <c r="I27" i="1"/>
  <c r="D27" i="1"/>
  <c r="F27" i="1"/>
  <c r="E27" i="1"/>
  <c r="A27" i="1"/>
  <c r="AD26" i="1"/>
  <c r="AF26" i="1"/>
  <c r="AI26" i="1"/>
  <c r="AG26" i="1"/>
  <c r="AE26" i="1"/>
  <c r="AC26" i="1"/>
  <c r="Y26" i="1"/>
  <c r="X26" i="1"/>
  <c r="V26" i="1"/>
  <c r="T26" i="1"/>
  <c r="Q26" i="1"/>
  <c r="P26" i="1"/>
  <c r="O26" i="1"/>
  <c r="N26" i="1"/>
  <c r="M26" i="1"/>
  <c r="H26" i="1"/>
  <c r="J26" i="1"/>
  <c r="I26" i="1"/>
  <c r="D26" i="1"/>
  <c r="F26" i="1"/>
  <c r="E26" i="1"/>
  <c r="A26" i="1"/>
  <c r="AD25" i="1"/>
  <c r="AF25" i="1"/>
  <c r="AI25" i="1"/>
  <c r="AG25" i="1"/>
  <c r="AE25" i="1"/>
  <c r="AC25" i="1"/>
  <c r="Y25" i="1"/>
  <c r="X25" i="1"/>
  <c r="V25" i="1"/>
  <c r="T25" i="1"/>
  <c r="Q25" i="1"/>
  <c r="P25" i="1"/>
  <c r="O25" i="1"/>
  <c r="N25" i="1"/>
  <c r="M25" i="1"/>
  <c r="H25" i="1"/>
  <c r="J25" i="1"/>
  <c r="I25" i="1"/>
  <c r="D25" i="1"/>
  <c r="F25" i="1"/>
  <c r="E25" i="1"/>
  <c r="A25" i="1"/>
  <c r="AD24" i="1"/>
  <c r="AF24" i="1"/>
  <c r="AI24" i="1"/>
  <c r="AG24" i="1"/>
  <c r="AE24" i="1"/>
  <c r="AC24" i="1"/>
  <c r="Y24" i="1"/>
  <c r="X24" i="1"/>
  <c r="V24" i="1"/>
  <c r="T24" i="1"/>
  <c r="Q24" i="1"/>
  <c r="P24" i="1"/>
  <c r="O24" i="1"/>
  <c r="N24" i="1"/>
  <c r="M24" i="1"/>
  <c r="H24" i="1"/>
  <c r="J24" i="1"/>
  <c r="I24" i="1"/>
  <c r="D24" i="1"/>
  <c r="F24" i="1"/>
  <c r="E24" i="1"/>
  <c r="A24" i="1"/>
  <c r="AD23" i="1"/>
  <c r="AF23" i="1"/>
  <c r="AI23" i="1"/>
  <c r="AG23" i="1"/>
  <c r="AE23" i="1"/>
  <c r="AC23" i="1"/>
  <c r="Y23" i="1"/>
  <c r="X23" i="1"/>
  <c r="V23" i="1"/>
  <c r="T23" i="1"/>
  <c r="Q23" i="1"/>
  <c r="P23" i="1"/>
  <c r="O23" i="1"/>
  <c r="N23" i="1"/>
  <c r="M23" i="1"/>
  <c r="H23" i="1"/>
  <c r="J23" i="1"/>
  <c r="I23" i="1"/>
  <c r="D23" i="1"/>
  <c r="F23" i="1"/>
  <c r="E23" i="1"/>
  <c r="A23" i="1"/>
  <c r="AD22" i="1"/>
  <c r="AF22" i="1"/>
  <c r="AI22" i="1"/>
  <c r="AG22" i="1"/>
  <c r="AE22" i="1"/>
  <c r="AC22" i="1"/>
  <c r="Y22" i="1"/>
  <c r="X22" i="1"/>
  <c r="V22" i="1"/>
  <c r="T22" i="1"/>
  <c r="Q22" i="1"/>
  <c r="P22" i="1"/>
  <c r="O22" i="1"/>
  <c r="N22" i="1"/>
  <c r="M22" i="1"/>
  <c r="H22" i="1"/>
  <c r="J22" i="1"/>
  <c r="I22" i="1"/>
  <c r="D22" i="1"/>
  <c r="F22" i="1"/>
  <c r="E22" i="1"/>
  <c r="A22" i="1"/>
  <c r="AD21" i="1"/>
  <c r="AF21" i="1"/>
  <c r="AI21" i="1"/>
  <c r="AG21" i="1"/>
  <c r="AE21" i="1"/>
  <c r="AC21" i="1"/>
  <c r="Y21" i="1"/>
  <c r="X21" i="1"/>
  <c r="V21" i="1"/>
  <c r="T21" i="1"/>
  <c r="Q21" i="1"/>
  <c r="P21" i="1"/>
  <c r="O21" i="1"/>
  <c r="N21" i="1"/>
  <c r="M21" i="1"/>
  <c r="H21" i="1"/>
  <c r="J21" i="1"/>
  <c r="I21" i="1"/>
  <c r="D21" i="1"/>
  <c r="F21" i="1"/>
  <c r="E21" i="1"/>
  <c r="A21" i="1"/>
  <c r="AD20" i="1"/>
  <c r="AF20" i="1"/>
  <c r="AI20" i="1"/>
  <c r="AG20" i="1"/>
  <c r="AE20" i="1"/>
  <c r="AC20" i="1"/>
  <c r="Y20" i="1"/>
  <c r="X20" i="1"/>
  <c r="V20" i="1"/>
  <c r="T20" i="1"/>
  <c r="Q20" i="1"/>
  <c r="P20" i="1"/>
  <c r="O20" i="1"/>
  <c r="N20" i="1"/>
  <c r="M20" i="1"/>
  <c r="H20" i="1"/>
  <c r="J20" i="1"/>
  <c r="I20" i="1"/>
  <c r="D20" i="1"/>
  <c r="F20" i="1"/>
  <c r="E20" i="1"/>
  <c r="A20" i="1"/>
  <c r="AD19" i="1"/>
  <c r="AF19" i="1"/>
  <c r="AI19" i="1"/>
  <c r="AG19" i="1"/>
  <c r="AE19" i="1"/>
  <c r="AC19" i="1"/>
  <c r="Y19" i="1"/>
  <c r="X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AC18" i="1"/>
  <c r="Y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AC17" i="1"/>
  <c r="Y17" i="1"/>
  <c r="X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AC16" i="1"/>
  <c r="Y16" i="1"/>
  <c r="X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AC15" i="1"/>
  <c r="Y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AC14" i="1"/>
  <c r="Y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AC13" i="1"/>
  <c r="Y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AC12" i="1"/>
  <c r="Y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AC11" i="1"/>
  <c r="Y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AC10" i="1"/>
  <c r="Y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AC9" i="1"/>
  <c r="Y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AC8" i="1"/>
  <c r="Y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AC7" i="1"/>
  <c r="Y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AC6" i="1"/>
  <c r="Y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AC5" i="1"/>
  <c r="Y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AC4" i="1"/>
  <c r="Y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AC3" i="1"/>
  <c r="Y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6" i="2"/>
  <c r="E6" i="2"/>
  <c r="D6" i="2"/>
  <c r="H2" i="1"/>
  <c r="B6" i="2"/>
  <c r="H5" i="2"/>
  <c r="E5" i="2"/>
  <c r="D5" i="2"/>
  <c r="B5" i="2"/>
  <c r="H4" i="2"/>
  <c r="E4" i="2"/>
  <c r="D4" i="2"/>
  <c r="B4" i="2"/>
  <c r="H3" i="2"/>
  <c r="E3" i="2"/>
  <c r="D3" i="2"/>
  <c r="B3" i="2"/>
  <c r="V2" i="1"/>
  <c r="T2" i="1"/>
  <c r="N3" i="22"/>
  <c r="G3" i="22"/>
  <c r="F3" i="22"/>
  <c r="D3" i="22"/>
  <c r="C3" i="22"/>
  <c r="A3" i="22"/>
  <c r="C13" i="16"/>
  <c r="E13" i="16"/>
  <c r="N2" i="22"/>
  <c r="G2" i="22"/>
  <c r="F2" i="22"/>
  <c r="D2" i="22"/>
  <c r="C2" i="22"/>
  <c r="A2" i="22"/>
  <c r="C12" i="16"/>
  <c r="G2" i="21"/>
  <c r="F2" i="21"/>
  <c r="D2" i="21"/>
  <c r="C2" i="21"/>
  <c r="E12" i="16"/>
  <c r="C10" i="16"/>
  <c r="C11" i="16"/>
  <c r="E11" i="16"/>
  <c r="E10" i="16"/>
  <c r="A2" i="18"/>
  <c r="C2" i="18"/>
  <c r="D2" i="18"/>
  <c r="C4" i="16"/>
  <c r="C5" i="16"/>
  <c r="C6" i="16"/>
  <c r="C7" i="16"/>
  <c r="C8" i="16"/>
  <c r="C9" i="16"/>
  <c r="C3" i="16"/>
  <c r="E9" i="16"/>
  <c r="Y2" i="1"/>
  <c r="X2" i="1"/>
  <c r="AD2" i="1"/>
  <c r="AG2" i="1"/>
  <c r="AF2" i="1"/>
  <c r="AE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E8" i="16"/>
  <c r="E7" i="16"/>
  <c r="E6" i="16"/>
  <c r="E5" i="16"/>
  <c r="E4" i="16"/>
  <c r="E3" i="16"/>
  <c r="E2" i="16"/>
  <c r="A2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<sst xmlns="http://schemas.openxmlformats.org/spreadsheetml/2006/main" count="610" uniqueCount="336">
  <si>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</si>
  <si>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</si>
  <si>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</si>
  <si>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</si>
  <si>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</si>
  <si>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</si>
  <si>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</si>
  <si>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</si>
  <si>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</si>
  <si>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</si>
  <si>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</si>
  <si>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</si>
  <si>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</si>
  <si>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</si>
  <si>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</si>
  <si>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</si>
  <si>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</si>
  <si>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</si>
  <si>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</si>
  <si>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</si>
  <si>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</si>
  <si>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</si>
  <si>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</si>
  <si>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</si>
  <si>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</si>
  <si>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</si>
  <si>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</si>
  <si>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</si>
  <si>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</si>
  <si>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</si>
  <si>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</si>
  <si>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</si>
  <si>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</si>
  <si>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</si>
  <si>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</si>
  <si>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</si>
  <si>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</si>
  <si>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</si>
  <si>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</si>
  <si>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</si>
  <si>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</si>
  <si>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</si>
  <si>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</si>
  <si>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</si>
  <si>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</si>
  <si>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</si>
  <si>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</si>
  <si>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</si>
  <si>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</si>
  <si>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</si>
  <si>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</si>
  <si>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</si>
  <si>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</si>
  <si>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</si>
  <si>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</si>
  <si>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</si>
  <si>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</si>
  <si>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</si>
  <si>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</si>
  <si>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</si>
  <si>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</si>
  <si>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</si>
  <si>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</si>
  <si>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</si>
  <si>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</si>
  <si>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</si>
  <si>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</si>
  <si>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</si>
  <si>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</si>
  <si>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</si>
  <si>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</si>
  <si>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</si>
  <si>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</si>
  <si>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</si>
  <si>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</si>
  <si>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</si>
  <si>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</si>
  <si>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</si>
  <si>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</si>
  <si>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</si>
  <si>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</si>
  <si>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</si>
  <si>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</si>
  <si>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</si>
  <si>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</si>
  <si>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</si>
  <si>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</si>
  <si>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</si>
  <si>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</si>
  <si>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</si>
  <si>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</si>
  <si>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</si>
  <si>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</si>
  <si>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</si>
  <si>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</si>
  <si>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</si>
  <si>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</si>
  <si>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</si>
  <si>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</si>
  <si>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</si>
  <si>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</si>
  <si>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</si>
  <si>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</si>
  <si>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</si>
  <si>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</si>
  <si>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</si>
  <si>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</si>
  <si>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</si>
  <si>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</si>
  <si>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</si>
  <si>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</si>
  <si>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</si>
  <si>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</si>
  <si>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</si>
  <si>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</si>
  <si>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</si>
  <si>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</si>
  <si>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</si>
  <si>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</si>
  <si>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</si>
  <si>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</si>
  <si>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</si>
  <si>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</si>
  <si>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</si>
  <si>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</si>
  <si>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</si>
  <si>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</si>
  <si>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</si>
  <si>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</si>
  <si>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</si>
  <si>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</si>
  <si>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</si>
  <si>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</si>
  <si>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</si>
  <si>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</si>
  <si>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</si>
  <si>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</si>
  <si>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</si>
  <si>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</si>
  <si>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</si>
  <si>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</si>
  <si>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</si>
  <si>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</si>
  <si>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</si>
  <si>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</si>
  <si>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</si>
  <si>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</si>
  <si>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</si>
  <si>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</si>
  <si>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</si>
  <si>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</si>
  <si>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</si>
  <si>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</si>
  <si>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</si>
  <si>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</si>
  <si>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</si>
  <si>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</si>
  <si>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</si>
  <si>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</si>
  <si>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</si>
  <si>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</si>
  <si>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</si>
  <si>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</si>
  <si>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</si>
  <si>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</si>
  <si>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</si>
  <si>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</si>
  <si>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</si>
  <si>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</si>
  <si>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</si>
  <si>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</si>
  <si>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</si>
  <si>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</si>
  <si>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</si>
  <si>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</si>
  <si>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</si>
  <si>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</si>
  <si>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</si>
  <si>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</si>
  <si>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</si>
  <si>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</si>
  <si>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</si>
  <si>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</si>
  <si>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</si>
  <si>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</si>
  <si>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</si>
  <si>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</si>
  <si>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</si>
  <si>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</si>
  <si>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</si>
  <si>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</si>
  <si>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</si>
  <si>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</si>
  <si>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</si>
  <si>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</si>
  <si>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</si>
  <si>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</si>
  <si>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</si>
  <si>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</si>
  <si>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</si>
  <si>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</si>
  <si>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</si>
  <si>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</si>
  <si>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</si>
  <si>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</si>
  <si>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</si>
  <si>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</si>
  <si>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</si>
  <si>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</si>
  <si>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</si>
  <si>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</si>
  <si>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</si>
  <si>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</si>
  <si>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</si>
  <si>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</si>
  <si>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</si>
  <si>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</si>
  <si>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</si>
  <si>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</si>
  <si>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</si>
  <si>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</si>
  <si>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</si>
  <si>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</si>
  <si>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</si>
  <si>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</si>
  <si>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</si>
  <si>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</si>
  <si>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</si>
  <si>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</si>
  <si>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</si>
  <si>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</si>
  <si>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</si>
  <si>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</si>
  <si>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</si>
  <si>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</si>
  <si>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</si>
  <si>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</si>
  <si>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</si>
  <si>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</si>
  <si>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</si>
  <si>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</si>
  <si>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</si>
  <si>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</si>
  <si>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</si>
  <si>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</si>
  <si>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</si>
  <si>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</si>
  <si>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</si>
  <si>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</si>
  <si>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</si>
  <si>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</si>
  <si>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</si>
  <si>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</si>
  <si>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  <phoneticPr fontId="5"/>
  </si>
  <si>
    <t>[effect:nothing]</t>
    <phoneticPr fontId="5"/>
  </si>
  <si>
    <t>うっとり妄想タイム</t>
    <phoneticPr fontId="5"/>
  </si>
  <si>
    <t>舞踏会に想いを馳せている</t>
    <phoneticPr fontId="5"/>
  </si>
  <si>
    <t>[effect:critical, val:1.5.0, animation:enemy_critical]</t>
    <phoneticPr fontId="5"/>
  </si>
  <si>
    <t>煌きの一蹴</t>
    <phoneticPr fontId="5"/>
  </si>
  <si>
    <t>攻撃力×1.5倍の攻撃</t>
    <phoneticPr fontId="5"/>
  </si>
  <si>
    <t>[effect:dis_heart, turn:7, rate:1.0, animation:enemy_dis_heart]</t>
    <phoneticPr fontId="5"/>
  </si>
  <si>
    <t>ディスハート</t>
    <phoneticPr fontId="5"/>
  </si>
  <si>
    <t>ハートパネルで回復できない</t>
    <phoneticPr fontId="5"/>
  </si>
  <si>
    <t>null</t>
    <phoneticPr fontId="5"/>
  </si>
  <si>
    <t>null</t>
    <phoneticPr fontId="5"/>
  </si>
  <si>
    <t>null</t>
    <phoneticPr fontId="5"/>
  </si>
  <si>
    <t>old</t>
  </si>
  <si>
    <t>null</t>
    <phoneticPr fontId="5"/>
  </si>
  <si>
    <t>complete</t>
  </si>
  <si>
    <t>ターゲット</t>
  </si>
  <si>
    <t>ユニット強化の属性ボーナス</t>
  </si>
  <si>
    <t>メタルダックで経験値を獲得</t>
  </si>
  <si>
    <t>ゲリラクエストは要チェック</t>
  </si>
  <si>
    <t>ゴールドダックでビットを獲得</t>
  </si>
  <si>
    <t>土日に大量のビットを獲得</t>
  </si>
  <si>
    <t>ユニットのお気に入り登録</t>
  </si>
  <si>
    <t>ユニットの覚醒</t>
  </si>
  <si>
    <t>覚醒するにはレベルを最大に</t>
  </si>
  <si>
    <t>覚醒素材を獲得</t>
  </si>
  <si>
    <t>マルチプレイのメリット（その1）</t>
  </si>
  <si>
    <t>リンクガチャ</t>
  </si>
  <si>
    <t>マルチプレイのメリット（その2）</t>
  </si>
  <si>
    <t>マルチプレイのメリット（その3）</t>
  </si>
  <si>
    <t>スキルを有効に</t>
  </si>
  <si>
    <t>フィーバーで一発逆転（その1）</t>
  </si>
  <si>
    <t>フィーバーで一発逆転（その2）</t>
  </si>
  <si>
    <t>りんごを使って限界突破</t>
  </si>
  <si>
    <t>スキルレベルアップ</t>
  </si>
  <si>
    <t>スキルレベルの効果</t>
  </si>
  <si>
    <t>ホーム画面からデッキを編成</t>
  </si>
  <si>
    <t>ステータス情報は長押しで</t>
  </si>
  <si>
    <t>「バグ」のメリット</t>
  </si>
  <si>
    <t>「バグ」の増やし方</t>
  </si>
  <si>
    <t>イベントはお知らせでチェック</t>
  </si>
  <si>
    <t>敵の連続攻撃には</t>
  </si>
  <si>
    <t>敵のカウンター攻撃には</t>
  </si>
  <si>
    <t>ステータスをスキルで下げられたら</t>
  </si>
  <si>
    <t>敵のステータスがスキルで上がったら</t>
  </si>
  <si>
    <t>限界突破値の引き継ぎ</t>
  </si>
  <si>
    <t>unit</t>
    <phoneticPr fontId="5"/>
  </si>
  <si>
    <t>bit</t>
    <phoneticPr fontId="5"/>
  </si>
  <si>
    <t>マルチプレイならリンクが2倍もらえます
リンクガチャをたくさん回しましょう</t>
    <phoneticPr fontId="5"/>
  </si>
  <si>
    <t>無料のリンクガチャを回して
経験値素材や売却素材を獲得しましょう</t>
    <phoneticPr fontId="5"/>
  </si>
  <si>
    <t>敵ユニットをタップすると
その敵を狙い撃ちできます</t>
    <phoneticPr fontId="5"/>
  </si>
  <si>
    <t>同属性ユニットを強化素材にすると
経験値が多くもらえます</t>
    <phoneticPr fontId="5"/>
  </si>
  <si>
    <t>「メタルなアヒル」を強化素材にすると
大量の経験値がもらえます</t>
    <phoneticPr fontId="5"/>
  </si>
  <si>
    <t>時間限定の「アヒル捕獲作戦」では
経験値素材ユニットが多く手に入ります</t>
    <phoneticPr fontId="5"/>
  </si>
  <si>
    <t>「ゴールドなアヒル」を売却すると
大量のビットがもらえます</t>
    <phoneticPr fontId="5"/>
  </si>
  <si>
    <t>土日限定の「ゴールドカジノ」では
売却素材ユニットが多く手に入ります</t>
    <phoneticPr fontId="5"/>
  </si>
  <si>
    <t>ユニットを覚醒させると
比べものにならない強さが手に入ります</t>
    <phoneticPr fontId="5"/>
  </si>
  <si>
    <t>大事なユニットを誤って消さないように
フォルダから「お気に入り登録」しましょう</t>
    <phoneticPr fontId="5"/>
  </si>
  <si>
    <t>覚醒するにはユニットのレベルを
最大まで上げる必要があります</t>
    <phoneticPr fontId="5"/>
  </si>
  <si>
    <t>他のプレイヤーとマルチプレイで遊ぶと
ポリゴンがもらえます（100人まで）</t>
    <phoneticPr fontId="5"/>
  </si>
  <si>
    <t>「曜日クエスト」では
ユニットの覚醒に必要な素材が手に入ります</t>
    <phoneticPr fontId="5"/>
  </si>
  <si>
    <t>マルチプレイへの参加はエナジー消費ゼロ
いつでも好きなだけ遊ぶことができます</t>
    <phoneticPr fontId="5"/>
  </si>
  <si>
    <t>フィーバーは攻撃と回復を兼ね備えます
ピンチからの一発逆転を狙いましょう</t>
    <phoneticPr fontId="5"/>
  </si>
  <si>
    <t>ターン経過でユニットのスキルが使えます
強力スキルでバトルを有利に進めましょう</t>
    <phoneticPr fontId="5"/>
  </si>
  <si>
    <t>赤りんご(攻撃力) 青りんご(回復力)
緑りんご(体力)をユニット強化に使うと
ステータスが限界突破します（計99個迄）</t>
    <phoneticPr fontId="5"/>
  </si>
  <si>
    <t>フィーバー中は虹色のボムパネルを狙って
画面上のパネルを一気に破壊しましょう</t>
    <phoneticPr fontId="5"/>
  </si>
  <si>
    <t>「クリスタルのりんご」を強化に使うと
スキルレベルを上げることができます</t>
    <phoneticPr fontId="5"/>
  </si>
  <si>
    <t>同じユニット同士を強化で合成すると
「バグ」を増やすことができます</t>
    <phoneticPr fontId="5"/>
  </si>
  <si>
    <t>ステータスダウンのスキルを受けたら
ステータスアップスキルで上書きしましょう</t>
    <phoneticPr fontId="5"/>
  </si>
  <si>
    <t>カウンターブレイクスキルを持っていれば
敵のカウンターを解除して攻撃ができます</t>
    <phoneticPr fontId="5"/>
  </si>
  <si>
    <t>カウンタースキルを持つユニットがいれば
ダメージ回数分の反撃ができます</t>
    <phoneticPr fontId="5"/>
  </si>
  <si>
    <t>イベント限定ユニットを取り忘れないように
お知らせをこまめにチェックしましょう</t>
    <phoneticPr fontId="5"/>
  </si>
  <si>
    <t>hint</t>
    <phoneticPr fontId="5"/>
  </si>
  <si>
    <t>敵のステータスがスキルでアップしたときは
ステータスダウンスキルで上書きしましょう</t>
    <phoneticPr fontId="5"/>
  </si>
  <si>
    <t>同じユニットを強化で合成すると
限界突破値を引き継げます（覚醒前後も可）</t>
    <phoneticPr fontId="5"/>
  </si>
  <si>
    <t>ユニットの「バグ」を増やすと
報酬をもらえる確率がアップします</t>
    <phoneticPr fontId="5"/>
  </si>
  <si>
    <t>ユニットのアイコンを長押しすると
ステータス情報を確認することができます</t>
    <phoneticPr fontId="5"/>
  </si>
  <si>
    <t>ホーム画面でユニットを長押しすると
すぐにパーティ編成に移動できます</t>
    <phoneticPr fontId="5"/>
  </si>
  <si>
    <t>スキルレベルが上がると
短いターンでスキルを使うことができます</t>
    <phoneticPr fontId="5"/>
  </si>
  <si>
    <t>タワーオブザクイーンのボス</t>
    <phoneticPr fontId="5"/>
  </si>
  <si>
    <t>ソロ専用タワーオブザクイーン</t>
    <phoneticPr fontId="5"/>
  </si>
  <si>
    <t>ソロ専用の「タワーオブザクイーン」は
期間限定で定期的に開催されます
ここでしか獲得できない報酬もあるようです</t>
    <phoneticPr fontId="5"/>
  </si>
  <si>
    <t>「タワーオブザクイーン」最上階のボスは
15階の初回クリア報酬で獲得できるほか
その階にて低確率でドロップもします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</si>
</sst>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176" fontId="4" fillId="32" borderId="3" xfId="0" applyNumberFormat="1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6" fillId="33" borderId="3" xfId="0" applyFont="1" applyFill="1" applyBorder="1" applyAlignment="1">
      <alignment vertical="center"/>
    </xf>
    <xf numFmtId="0" fontId="4" fillId="32" borderId="7" xfId="0" applyFont="1" applyFill="1" applyBorder="1" applyAlignment="1">
      <alignment horizontal="center" vertical="center"/>
    </xf>
    <xf numFmtId="0" fontId="6" fillId="32" borderId="7" xfId="0" applyFont="1" applyFill="1" applyBorder="1" applyAlignment="1">
      <alignment vertical="center"/>
    </xf>
    <xf numFmtId="0" fontId="6" fillId="33" borderId="9" xfId="0" applyFont="1" applyFill="1" applyBorder="1" applyAlignment="1">
      <alignment vertical="center"/>
    </xf>
    <xf numFmtId="0" fontId="8" fillId="32" borderId="4" xfId="0" applyFont="1" applyFill="1" applyBorder="1" applyAlignment="1">
      <alignment vertical="center"/>
    </xf>
    <xf numFmtId="177" fontId="8" fillId="32" borderId="4" xfId="0" applyNumberFormat="1" applyFont="1" applyFill="1" applyBorder="1" applyAlignment="1">
      <alignment vertical="center"/>
    </xf>
    <xf numFmtId="176" fontId="4" fillId="34" borderId="3" xfId="0" applyNumberFormat="1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center" vertical="center"/>
    </xf>
    <xf numFmtId="0" fontId="6" fillId="35" borderId="3" xfId="0" applyFont="1" applyFill="1" applyBorder="1" applyAlignment="1">
      <alignment vertical="center"/>
    </xf>
    <xf numFmtId="0" fontId="4" fillId="34" borderId="7" xfId="0" applyFont="1" applyFill="1" applyBorder="1" applyAlignment="1">
      <alignment horizontal="center" vertical="center"/>
    </xf>
    <xf numFmtId="0" fontId="6" fillId="34" borderId="7" xfId="0" applyFont="1" applyFill="1" applyBorder="1" applyAlignment="1">
      <alignment vertical="center"/>
    </xf>
    <xf numFmtId="0" fontId="6" fillId="35" borderId="9" xfId="0" applyFont="1" applyFill="1" applyBorder="1" applyAlignment="1">
      <alignment vertical="center"/>
    </xf>
    <xf numFmtId="0" fontId="8" fillId="34" borderId="4" xfId="0" applyFont="1" applyFill="1" applyBorder="1" applyAlignment="1">
      <alignment vertical="center"/>
    </xf>
    <xf numFmtId="177" fontId="8" fillId="34" borderId="4" xfId="0" applyNumberFormat="1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4" fillId="13" borderId="6" xfId="0" applyFont="1" applyFill="1" applyBorder="1" applyAlignment="1">
      <alignment vertical="center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  <row r="1598">
          <cell r="A1598">
            <v>10003</v>
          </cell>
        </row>
        <row r="1599">
          <cell r="A1599">
            <v>10004</v>
          </cell>
        </row>
        <row r="1600">
          <cell r="A1600">
            <v>10005</v>
          </cell>
        </row>
        <row r="1601">
          <cell r="A1601">
            <v>10006</v>
          </cell>
        </row>
        <row r="1602">
          <cell r="A1602">
            <v>10007</v>
          </cell>
        </row>
        <row r="1603">
          <cell r="A1603">
            <v>10008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24" sqref="H24"/>
    </sheetView>
  </sheetViews>
  <sheetFormatPr baseColWidth="12" defaultRowHeight="15" x14ac:dyDescent="0.15"/>
  <cols>
    <col min="2" max="2" width="2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253</v>
      </c>
      <c r="B2" s="57" t="s">
        <v>107</v>
      </c>
      <c r="C2" s="62">
        <v>11017</v>
      </c>
      <c r="D2" s="57" t="s">
        <v>108</v>
      </c>
      <c r="E2" s="56" t="str">
        <f>B2&amp;C2&amp;D2</f>
        <v>floors_11017.tmp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253</v>
      </c>
      <c r="B3" s="57" t="s">
        <v>110</v>
      </c>
      <c r="C3" s="62">
        <f>C$2</f>
        <v>11017</v>
      </c>
      <c r="D3" s="57" t="s">
        <v>108</v>
      </c>
      <c r="E3" s="56" t="str">
        <f>B3&amp;C3&amp;D3</f>
        <v>enemy_habitats_11017.tmp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187</v>
      </c>
      <c r="B4" s="57" t="s">
        <v>112</v>
      </c>
      <c r="C4" s="62">
        <f t="shared" ref="C4:C13" si="0">C$2</f>
        <v>11017</v>
      </c>
      <c r="D4" s="57" t="s">
        <v>108</v>
      </c>
      <c r="E4" s="56" t="str">
        <f>B4&amp;C4&amp;D4</f>
        <v>enemy_habitat_S_11017.tmp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266</v>
      </c>
      <c r="B5" s="57" t="s">
        <v>114</v>
      </c>
      <c r="C5" s="62">
        <f t="shared" si="0"/>
        <v>11017</v>
      </c>
      <c r="D5" s="57" t="s">
        <v>108</v>
      </c>
      <c r="E5" s="56" t="str">
        <f>B5&amp;C5&amp;D5</f>
        <v>enemy_skill_sets_11017.tmp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266</v>
      </c>
      <c r="B6" s="57" t="s">
        <v>116</v>
      </c>
      <c r="C6" s="62">
        <f t="shared" si="0"/>
        <v>11017</v>
      </c>
      <c r="D6" s="57" t="s">
        <v>117</v>
      </c>
      <c r="E6" s="56" t="str">
        <f t="shared" ref="E6:E10" si="1">B6&amp;C6&amp;D6</f>
        <v>enemy_skills_tmp_11017.tmp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266</v>
      </c>
      <c r="B7" s="57" t="s">
        <v>118</v>
      </c>
      <c r="C7" s="62">
        <f t="shared" si="0"/>
        <v>11017</v>
      </c>
      <c r="D7" s="57" t="s">
        <v>108</v>
      </c>
      <c r="E7" s="56" t="str">
        <f>B7&amp;C7&amp;D7</f>
        <v>enemy_skills_i18n_11017.tmp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266</v>
      </c>
      <c r="B8" s="57" t="s">
        <v>120</v>
      </c>
      <c r="C8" s="62">
        <f t="shared" si="0"/>
        <v>11017</v>
      </c>
      <c r="D8" s="57" t="s">
        <v>121</v>
      </c>
      <c r="E8" s="56" t="str">
        <f t="shared" si="1"/>
        <v>enemy_skill_triggers_11017.tmp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266</v>
      </c>
      <c r="B9" s="67" t="s">
        <v>177</v>
      </c>
      <c r="C9" s="62">
        <f t="shared" si="0"/>
        <v>11017</v>
      </c>
      <c r="D9" s="67" t="s">
        <v>171</v>
      </c>
      <c r="E9" s="68" t="str">
        <f t="shared" si="1"/>
        <v>stage_bug_bonuses_11017.tmp</v>
      </c>
      <c r="F9" s="67" t="s">
        <v>172</v>
      </c>
      <c r="G9" s="64" t="s">
        <v>151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266</v>
      </c>
      <c r="B10" s="67" t="s">
        <v>199</v>
      </c>
      <c r="C10" s="62">
        <f>C$2</f>
        <v>11017</v>
      </c>
      <c r="D10" s="67" t="s">
        <v>180</v>
      </c>
      <c r="E10" s="68" t="str">
        <f t="shared" si="1"/>
        <v>stage_hints_data_c_11017.tmp</v>
      </c>
      <c r="F10" s="67" t="s">
        <v>207</v>
      </c>
      <c r="G10" s="72" t="s">
        <v>181</v>
      </c>
      <c r="H10" s="72" t="s">
        <v>173</v>
      </c>
      <c r="I10" s="73" t="s">
        <v>182</v>
      </c>
      <c r="J10" s="66" t="s">
        <v>183</v>
      </c>
      <c r="K10" s="66" t="s">
        <v>184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1" t="s">
        <v>266</v>
      </c>
      <c r="B11" s="67" t="s">
        <v>200</v>
      </c>
      <c r="C11" s="62">
        <f t="shared" si="0"/>
        <v>11017</v>
      </c>
      <c r="D11" s="67" t="s">
        <v>171</v>
      </c>
      <c r="E11" s="68" t="str">
        <f t="shared" ref="E11:E13" si="2">B11&amp;C11&amp;D11</f>
        <v>stage_hints_data_f_11017.tmp</v>
      </c>
      <c r="F11" s="67" t="s">
        <v>208</v>
      </c>
      <c r="G11" s="72" t="s">
        <v>181</v>
      </c>
      <c r="H11" s="72" t="s">
        <v>173</v>
      </c>
      <c r="I11" s="73" t="s">
        <v>182</v>
      </c>
      <c r="J11" s="66" t="s">
        <v>183</v>
      </c>
      <c r="K11" s="66" t="s">
        <v>184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1" t="s">
        <v>266</v>
      </c>
      <c r="B12" s="67" t="s">
        <v>201</v>
      </c>
      <c r="C12" s="62">
        <f t="shared" si="0"/>
        <v>11017</v>
      </c>
      <c r="D12" s="67" t="s">
        <v>171</v>
      </c>
      <c r="E12" s="68" t="str">
        <f t="shared" si="2"/>
        <v>stage_hints_i18n_11017.tmp</v>
      </c>
      <c r="F12" s="67" t="s">
        <v>209</v>
      </c>
      <c r="G12" s="73" t="s">
        <v>202</v>
      </c>
      <c r="H12" s="92" t="s">
        <v>203</v>
      </c>
      <c r="I12" s="72" t="s">
        <v>204</v>
      </c>
      <c r="J12" s="100" t="s">
        <v>205</v>
      </c>
      <c r="K12" s="66" t="s">
        <v>206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1" t="s">
        <v>187</v>
      </c>
      <c r="B13" s="67" t="s">
        <v>250</v>
      </c>
      <c r="C13" s="62">
        <f t="shared" si="0"/>
        <v>11017</v>
      </c>
      <c r="D13" s="67" t="s">
        <v>231</v>
      </c>
      <c r="E13" s="68" t="str">
        <f t="shared" si="2"/>
        <v>stage_bonuses_11017.tmp</v>
      </c>
      <c r="F13" s="67" t="s">
        <v>230</v>
      </c>
      <c r="G13" s="72" t="s">
        <v>232</v>
      </c>
      <c r="H13" s="72" t="s">
        <v>233</v>
      </c>
      <c r="I13" s="72" t="s">
        <v>234</v>
      </c>
      <c r="J13" s="72" t="s">
        <v>235</v>
      </c>
      <c r="K13" s="72" t="s">
        <v>236</v>
      </c>
      <c r="L13" s="72" t="s">
        <v>237</v>
      </c>
      <c r="M13" s="72" t="s">
        <v>238</v>
      </c>
      <c r="N13" s="72" t="s">
        <v>239</v>
      </c>
      <c r="O13" s="72" t="s">
        <v>240</v>
      </c>
      <c r="P13" s="72" t="s">
        <v>241</v>
      </c>
      <c r="Q13" s="72" t="s">
        <v>242</v>
      </c>
      <c r="R13" s="72" t="s">
        <v>243</v>
      </c>
      <c r="S13" s="72" t="s">
        <v>244</v>
      </c>
      <c r="T13" s="72" t="s">
        <v>245</v>
      </c>
      <c r="U13" s="72" t="s">
        <v>246</v>
      </c>
      <c r="V13" s="72" t="s">
        <v>247</v>
      </c>
      <c r="W13" s="72" t="s">
        <v>248</v>
      </c>
      <c r="X13" s="72" t="s">
        <v>249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H15" sqref="H1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11017_1-1</v>
      </c>
      <c r="B2" s="16" t="str">
        <f>IF(COUNTIF(enemy_habitats!$H:$H,A2),"OK","NG")</f>
        <v>OK</v>
      </c>
      <c r="C2" s="7">
        <v>11017</v>
      </c>
      <c r="D2" s="11" t="str">
        <f ca="1">VLOOKUP($C2,OFFSET([2]quests!$A$1,0,0,COUNTA([2]quests!$A:$A),MATCH(D$1,[2]quests!$1:$1,0)-MATCH($C$1,[2]quests!$1:$1,0)+1),MATCH(D$1,[2]quests!$1:$1,0)-MATCH($C$1,[2]quests!$1:$1,0)+1,FALSE)</f>
        <v>【期間限定】リトルハンプティを追え！</v>
      </c>
      <c r="E2" s="18" t="str">
        <f ca="1">VLOOKUP($C2,OFFSET([2]quests!$A$1,0,0,COUNTA([2]quests!$A:$A),MATCH(E$1,[2]quests!$1:$1,0)-MATCH($C$1,[2]quests!$1:$1,0)+1),MATCH(E$1,[2]quests!$1:$1,0)-MATCH($C$1,[2]quests!$1:$1,0)+1,FALSE)</f>
        <v>期間限定クエスト</v>
      </c>
      <c r="F2" s="21">
        <v>1</v>
      </c>
      <c r="G2" s="23" t="str">
        <f>C2&amp;"_"&amp;F2</f>
        <v>11017_1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【上級】リトルハンプティを追え！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6" si="0">G3&amp;"-"&amp;I3</f>
        <v>11017_1-2</v>
      </c>
      <c r="B3" s="16" t="str">
        <f>IF(COUNTIF(enemy_habitats!$H:$H,A3),"OK","NG")</f>
        <v>OK</v>
      </c>
      <c r="C3" s="7">
        <v>11017</v>
      </c>
      <c r="D3" s="11" t="str">
        <f ca="1">VLOOKUP($C3,OFFSET([2]quests!$A$1,0,0,COUNTA([2]quests!$A:$A),MATCH(D$1,[2]quests!$1:$1,0)-MATCH($C$1,[2]quests!$1:$1,0)+1),MATCH(D$1,[2]quests!$1:$1,0)-MATCH($C$1,[2]quests!$1:$1,0)+1,FALSE)</f>
        <v>【期間限定】リトルハンプティを追え！</v>
      </c>
      <c r="E3" s="18" t="str">
        <f ca="1">VLOOKUP($C3,OFFSET([2]quests!$A$1,0,0,COUNTA([2]quests!$A:$A),MATCH(E$1,[2]quests!$1:$1,0)-MATCH($C$1,[2]quests!$1:$1,0)+1),MATCH(E$1,[2]quests!$1:$1,0)-MATCH($C$1,[2]quests!$1:$1,0)+1,FALSE)</f>
        <v>期間限定クエスト</v>
      </c>
      <c r="F3" s="21">
        <v>1</v>
      </c>
      <c r="G3" s="23" t="str">
        <f t="shared" ref="G3:G6" si="1">C3&amp;"_"&amp;F3</f>
        <v>11017_1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【上級】リトルハンプティを追え！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11017_1-3</v>
      </c>
      <c r="B4" s="16" t="str">
        <f>IF(COUNTIF(enemy_habitats!$H:$H,A4),"OK","NG")</f>
        <v>OK</v>
      </c>
      <c r="C4" s="7">
        <v>11017</v>
      </c>
      <c r="D4" s="11" t="str">
        <f ca="1">VLOOKUP($C4,OFFSET([2]quests!$A$1,0,0,COUNTA([2]quests!$A:$A),MATCH(D$1,[2]quests!$1:$1,0)-MATCH($C$1,[2]quests!$1:$1,0)+1),MATCH(D$1,[2]quests!$1:$1,0)-MATCH($C$1,[2]quests!$1:$1,0)+1,FALSE)</f>
        <v>【期間限定】リトルハンプティを追え！</v>
      </c>
      <c r="E4" s="18" t="str">
        <f ca="1">VLOOKUP($C4,OFFSET([2]quests!$A$1,0,0,COUNTA([2]quests!$A:$A),MATCH(E$1,[2]quests!$1:$1,0)-MATCH($C$1,[2]quests!$1:$1,0)+1),MATCH(E$1,[2]quests!$1:$1,0)-MATCH($C$1,[2]quests!$1:$1,0)+1,FALSE)</f>
        <v>期間限定クエスト</v>
      </c>
      <c r="F4" s="21">
        <v>1</v>
      </c>
      <c r="G4" s="23" t="str">
        <f t="shared" si="1"/>
        <v>11017_1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【上級】リトルハンプティを追え！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11017_1-4</v>
      </c>
      <c r="B5" s="16" t="str">
        <f>IF(COUNTIF(enemy_habitats!$H:$H,A5),"OK","NG")</f>
        <v>OK</v>
      </c>
      <c r="C5" s="7">
        <v>11017</v>
      </c>
      <c r="D5" s="11" t="str">
        <f ca="1">VLOOKUP($C5,OFFSET([2]quests!$A$1,0,0,COUNTA([2]quests!$A:$A),MATCH(D$1,[2]quests!$1:$1,0)-MATCH($C$1,[2]quests!$1:$1,0)+1),MATCH(D$1,[2]quests!$1:$1,0)-MATCH($C$1,[2]quests!$1:$1,0)+1,FALSE)</f>
        <v>【期間限定】リトルハンプティを追え！</v>
      </c>
      <c r="E5" s="18" t="str">
        <f ca="1">VLOOKUP($C5,OFFSET([2]quests!$A$1,0,0,COUNTA([2]quests!$A:$A),MATCH(E$1,[2]quests!$1:$1,0)-MATCH($C$1,[2]quests!$1:$1,0)+1),MATCH(E$1,[2]quests!$1:$1,0)-MATCH($C$1,[2]quests!$1:$1,0)+1,FALSE)</f>
        <v>期間限定クエスト</v>
      </c>
      <c r="F5" s="21">
        <v>1</v>
      </c>
      <c r="G5" s="23" t="str">
        <f t="shared" si="1"/>
        <v>11017_1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【上級】リトルハンプティを追え！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11017_1-5</v>
      </c>
      <c r="B6" s="16" t="str">
        <f>IF(COUNTIF(enemy_habitats!$H:$H,A6),"OK","NG")</f>
        <v>OK</v>
      </c>
      <c r="C6" s="7">
        <v>11017</v>
      </c>
      <c r="D6" s="11" t="str">
        <f ca="1">VLOOKUP($C6,OFFSET([2]quests!$A$1,0,0,COUNTA([2]quests!$A:$A),MATCH(D$1,[2]quests!$1:$1,0)-MATCH($C$1,[2]quests!$1:$1,0)+1),MATCH(D$1,[2]quests!$1:$1,0)-MATCH($C$1,[2]quests!$1:$1,0)+1,FALSE)</f>
        <v>【期間限定】リトルハンプティを追え！</v>
      </c>
      <c r="E6" s="18" t="str">
        <f ca="1">VLOOKUP($C6,OFFSET([2]quests!$A$1,0,0,COUNTA([2]quests!$A:$A),MATCH(E$1,[2]quests!$1:$1,0)-MATCH($C$1,[2]quests!$1:$1,0)+1),MATCH(E$1,[2]quests!$1:$1,0)-MATCH($C$1,[2]quests!$1:$1,0)+1,FALSE)</f>
        <v>期間限定クエスト</v>
      </c>
      <c r="F6" s="21">
        <v>1</v>
      </c>
      <c r="G6" s="23" t="str">
        <f t="shared" si="1"/>
        <v>11017_1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【上級】リトルハンプティを追え！</v>
      </c>
      <c r="I6" s="21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8"/>
  <sheetViews>
    <sheetView showGridLines="0" zoomScale="112" zoomScaleNormal="90" zoomScalePageLayoutView="9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B1" sqref="B1"/>
    </sheetView>
  </sheetViews>
  <sheetFormatPr baseColWidth="12" defaultColWidth="13" defaultRowHeight="21" customHeight="1" outlineLevelCol="1" x14ac:dyDescent="0.15"/>
  <cols>
    <col min="1" max="1" width="22.164062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251</v>
      </c>
      <c r="U1" s="26" t="s">
        <v>50</v>
      </c>
      <c r="V1" s="101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ca="1">B2&amp;"_"&amp;C2&amp;"-"&amp;G2&amp;"/"&amp;L2&amp;"&lt;lv"&amp;R2&amp;"&gt;s"&amp;AC2</f>
        <v>11017_1-1/113&lt;lv30&gt;s1</v>
      </c>
      <c r="B2" s="22">
        <v>11017</v>
      </c>
      <c r="C2" s="21">
        <v>1</v>
      </c>
      <c r="D2" s="2" t="str">
        <f>B2&amp;"_"&amp;C2</f>
        <v>11017_1</v>
      </c>
      <c r="E2" s="4" t="str">
        <f ca="1">VLOOKUP($B2,OFFSET([2]quests!$A$1,0,0,COUNTA([2]quests!$A:$A),MATCH(E$1,[2]quests!$1:$1,0)-MATCH($B$1,[2]quests!$1:$1,0)+1),MATCH(E$1,[2]quests!$1:$1,0)-MATCH($B$1,[2]quests!$1:$1,0)+1,FALSE)</f>
        <v>【期間限定】リトルハンプティを追え！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【上級】リトルハンプティを追え！</v>
      </c>
      <c r="G2" s="21">
        <v>1</v>
      </c>
      <c r="H2" s="15" t="str">
        <f>B2&amp;"_"&amp;C2&amp;"-"&amp;G2</f>
        <v>11017_1-1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113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イエローチェシャ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30</v>
      </c>
      <c r="S2" s="25">
        <v>1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6174</v>
      </c>
      <c r="U2" s="25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2386</v>
      </c>
      <c r="W2" s="5">
        <v>0</v>
      </c>
      <c r="X2" s="4" t="str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" s="4">
        <f ca="1">VLOOKUP($L2,OFFSET([3]enemies!$A$1,0,0,COUNTA([3]enemies!$A:$A),MATCH(Y$1,[3]enemies!$1:$1,0)-MATCH($L$1,[3]enemies!$1:$1,0)+1),MATCH(Y$1,[3]enemies!$1:$1,0)-MATCH($L$1,[3]enemies!$1:$1,0)+1,FALSE)</f>
        <v>0</v>
      </c>
      <c r="Z2" s="6">
        <v>0</v>
      </c>
      <c r="AA2" s="6">
        <v>100</v>
      </c>
      <c r="AB2" s="6">
        <v>0</v>
      </c>
      <c r="AC2" s="17">
        <f ca="1">VLOOKUP($L2,OFFSET([3]enemies!$A$1,0,0,COUNTA([3]enemies!$A:$A),MATCH(AC$1,[3]enemies!$1:$1,0)-MATCH($L$1,[3]enemies!$1:$1,0)+1),MATCH(AC$1,[3]enemies!$1:$1,0)-MATCH($L$1,[3]enemies!$1:$1,0)+1,FALSE)</f>
        <v>1</v>
      </c>
      <c r="AD2" s="24">
        <f>L2</f>
        <v>113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イエローチェシャ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" s="7">
        <v>1</v>
      </c>
      <c r="AI2" s="24">
        <f ca="1">AF2</f>
        <v>2</v>
      </c>
      <c r="AJ2" s="8">
        <v>10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ref="A3:A6" ca="1" si="0">B3&amp;"_"&amp;C3&amp;"-"&amp;G3&amp;"/"&amp;L3&amp;"&lt;lv"&amp;R3&amp;"&gt;s"&amp;AC3</f>
        <v>11017_1-1/114&lt;lv30&gt;s2</v>
      </c>
      <c r="B3" s="22">
        <v>11017</v>
      </c>
      <c r="C3" s="21">
        <v>1</v>
      </c>
      <c r="D3" s="2" t="str">
        <f t="shared" ref="D3:D6" si="1">B3&amp;"_"&amp;C3</f>
        <v>11017_1</v>
      </c>
      <c r="E3" s="4" t="str">
        <f ca="1">VLOOKUP($B3,OFFSET([2]quests!$A$1,0,0,COUNTA([2]quests!$A:$A),MATCH(E$1,[2]quests!$1:$1,0)-MATCH($B$1,[2]quests!$1:$1,0)+1),MATCH(E$1,[2]quests!$1:$1,0)-MATCH($B$1,[2]quests!$1:$1,0)+1,FALSE)</f>
        <v>【期間限定】リトルハンプティを追え！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【上級】リトルハンプティを追え！</v>
      </c>
      <c r="G3" s="21">
        <v>1</v>
      </c>
      <c r="H3" s="15" t="str">
        <f t="shared" ref="H3:H6" si="2">B3&amp;"_"&amp;C3&amp;"-"&amp;G3</f>
        <v>11017_1-1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114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イエローラビット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30</v>
      </c>
      <c r="S3" s="25">
        <v>1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8644</v>
      </c>
      <c r="U3" s="25">
        <v>1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2386</v>
      </c>
      <c r="W3" s="5">
        <v>0</v>
      </c>
      <c r="X3" s="4" t="str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3" s="4">
        <f ca="1">VLOOKUP($L3,OFFSET([3]enemies!$A$1,0,0,COUNTA([3]enemies!$A:$A),MATCH(Y$1,[3]enemies!$1:$1,0)-MATCH($L$1,[3]enemies!$1:$1,0)+1),MATCH(Y$1,[3]enemies!$1:$1,0)-MATCH($L$1,[3]enemies!$1:$1,0)+1,FALSE)</f>
        <v>0</v>
      </c>
      <c r="Z3" s="6">
        <v>0</v>
      </c>
      <c r="AA3" s="6">
        <v>100</v>
      </c>
      <c r="AB3" s="6">
        <v>0</v>
      </c>
      <c r="AC3" s="17">
        <f ca="1">VLOOKUP($L3,OFFSET([3]enemies!$A$1,0,0,COUNTA([3]enemies!$A:$A),MATCH(AC$1,[3]enemies!$1:$1,0)-MATCH($L$1,[3]enemies!$1:$1,0)+1),MATCH(AC$1,[3]enemies!$1:$1,0)-MATCH($L$1,[3]enemies!$1:$1,0)+1,FALSE)</f>
        <v>2</v>
      </c>
      <c r="AD3" s="24">
        <f t="shared" ref="AD3:AD6" si="3">L3</f>
        <v>114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イエローラビット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3" s="7">
        <v>1</v>
      </c>
      <c r="AI3" s="24">
        <f t="shared" ref="AI3:AI6" ca="1" si="4">AF3</f>
        <v>3</v>
      </c>
      <c r="AJ3" s="8">
        <v>10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ca="1" si="0"/>
        <v>11017_1-1/115&lt;lv30&gt;s2</v>
      </c>
      <c r="B4" s="22">
        <v>11017</v>
      </c>
      <c r="C4" s="21">
        <v>1</v>
      </c>
      <c r="D4" s="2" t="str">
        <f t="shared" si="1"/>
        <v>11017_1</v>
      </c>
      <c r="E4" s="4" t="str">
        <f ca="1">VLOOKUP($B4,OFFSET([2]quests!$A$1,0,0,COUNTA([2]quests!$A:$A),MATCH(E$1,[2]quests!$1:$1,0)-MATCH($B$1,[2]quests!$1:$1,0)+1),MATCH(E$1,[2]quests!$1:$1,0)-MATCH($B$1,[2]quests!$1:$1,0)+1,FALSE)</f>
        <v>【期間限定】リトルハンプティを追え！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【上級】リトルハンプティを追え！</v>
      </c>
      <c r="G4" s="21">
        <v>1</v>
      </c>
      <c r="H4" s="15" t="str">
        <f t="shared" si="2"/>
        <v>11017_1-1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115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イエローキャタップ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30</v>
      </c>
      <c r="S4" s="25">
        <v>2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22226</v>
      </c>
      <c r="U4" s="25">
        <v>1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2386</v>
      </c>
      <c r="W4" s="5">
        <v>0</v>
      </c>
      <c r="X4" s="4" t="str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4" s="4">
        <f ca="1">VLOOKUP($L4,OFFSET([3]enemies!$A$1,0,0,COUNTA([3]enemies!$A:$A),MATCH(Y$1,[3]enemies!$1:$1,0)-MATCH($L$1,[3]enemies!$1:$1,0)+1),MATCH(Y$1,[3]enemies!$1:$1,0)-MATCH($L$1,[3]enemies!$1:$1,0)+1,FALSE)</f>
        <v>0</v>
      </c>
      <c r="Z4" s="6">
        <v>0</v>
      </c>
      <c r="AA4" s="6">
        <v>100</v>
      </c>
      <c r="AB4" s="6">
        <v>2</v>
      </c>
      <c r="AC4" s="17">
        <f ca="1">VLOOKUP($L4,OFFSET([3]enemies!$A$1,0,0,COUNTA([3]enemies!$A:$A),MATCH(AC$1,[3]enemies!$1:$1,0)-MATCH($L$1,[3]enemies!$1:$1,0)+1),MATCH(AC$1,[3]enemies!$1:$1,0)-MATCH($L$1,[3]enemies!$1:$1,0)+1,FALSE)</f>
        <v>2</v>
      </c>
      <c r="AD4" s="24">
        <f t="shared" si="3"/>
        <v>115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イエローキャタップ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4" s="7">
        <v>1</v>
      </c>
      <c r="AI4" s="24">
        <f t="shared" ca="1" si="4"/>
        <v>4</v>
      </c>
      <c r="AJ4" s="8">
        <v>10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ca="1" si="0"/>
        <v>11017_1-1/344&lt;lv1&gt;s1</v>
      </c>
      <c r="B5" s="22">
        <v>11017</v>
      </c>
      <c r="C5" s="21">
        <v>1</v>
      </c>
      <c r="D5" s="2" t="str">
        <f t="shared" si="1"/>
        <v>11017_1</v>
      </c>
      <c r="E5" s="4" t="str">
        <f ca="1">VLOOKUP($B5,OFFSET([2]quests!$A$1,0,0,COUNTA([2]quests!$A:$A),MATCH(E$1,[2]quests!$1:$1,0)-MATCH($B$1,[2]quests!$1:$1,0)+1),MATCH(E$1,[2]quests!$1:$1,0)-MATCH($B$1,[2]quests!$1:$1,0)+1,FALSE)</f>
        <v>【期間限定】リトルハンプティを追え！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【上級】リトルハンプティを追え！</v>
      </c>
      <c r="G5" s="21">
        <v>1</v>
      </c>
      <c r="H5" s="15" t="str">
        <f t="shared" si="2"/>
        <v>11017_1-1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344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雷のメタルピヨピヨ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</v>
      </c>
      <c r="S5" s="25">
        <v>1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7</v>
      </c>
      <c r="U5" s="25">
        <v>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8</v>
      </c>
      <c r="W5" s="5">
        <v>0</v>
      </c>
      <c r="X5" s="4" t="str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5" s="4">
        <f ca="1">VLOOKUP($L5,OFFSET([3]enemies!$A$1,0,0,COUNTA([3]enemies!$A:$A),MATCH(Y$1,[3]enemies!$1:$1,0)-MATCH($L$1,[3]enemies!$1:$1,0)+1),MATCH(Y$1,[3]enemies!$1:$1,0)-MATCH($L$1,[3]enemies!$1:$1,0)+1,FALSE)</f>
        <v>0</v>
      </c>
      <c r="Z5" s="6">
        <v>0</v>
      </c>
      <c r="AA5" s="6">
        <v>30</v>
      </c>
      <c r="AB5" s="6">
        <v>0</v>
      </c>
      <c r="AC5" s="17">
        <f ca="1">VLOOKUP($L5,OFFSET([3]enemies!$A$1,0,0,COUNTA([3]enemies!$A:$A),MATCH(AC$1,[3]enemies!$1:$1,0)-MATCH($L$1,[3]enemies!$1:$1,0)+1),MATCH(AC$1,[3]enemies!$1:$1,0)-MATCH($L$1,[3]enemies!$1:$1,0)+1,FALSE)</f>
        <v>1</v>
      </c>
      <c r="AD5" s="24">
        <f t="shared" si="3"/>
        <v>344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雷のメタルピヨピヨ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5" s="7">
        <v>1</v>
      </c>
      <c r="AI5" s="24">
        <f t="shared" ca="1" si="4"/>
        <v>3</v>
      </c>
      <c r="AJ5" s="8">
        <v>10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ca="1" si="0"/>
        <v>11017_1-1/345&lt;lv1&gt;s2</v>
      </c>
      <c r="B6" s="22">
        <v>11017</v>
      </c>
      <c r="C6" s="21">
        <v>1</v>
      </c>
      <c r="D6" s="2" t="str">
        <f t="shared" si="1"/>
        <v>11017_1</v>
      </c>
      <c r="E6" s="4" t="str">
        <f ca="1">VLOOKUP($B6,OFFSET([2]quests!$A$1,0,0,COUNTA([2]quests!$A:$A),MATCH(E$1,[2]quests!$1:$1,0)-MATCH($B$1,[2]quests!$1:$1,0)+1),MATCH(E$1,[2]quests!$1:$1,0)-MATCH($B$1,[2]quests!$1:$1,0)+1,FALSE)</f>
        <v>【期間限定】リトルハンプティを追え！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【上級】リトルハンプティを追え！</v>
      </c>
      <c r="G6" s="21">
        <v>1</v>
      </c>
      <c r="H6" s="15" t="str">
        <f t="shared" si="2"/>
        <v>11017_1-1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345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雷のメタルチック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</v>
      </c>
      <c r="S6" s="25">
        <v>1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15</v>
      </c>
      <c r="U6" s="25">
        <v>1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8</v>
      </c>
      <c r="W6" s="5">
        <v>0</v>
      </c>
      <c r="X6" s="4" t="str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6" s="4">
        <f ca="1">VLOOKUP($L6,OFFSET([3]enemies!$A$1,0,0,COUNTA([3]enemies!$A:$A),MATCH(Y$1,[3]enemies!$1:$1,0)-MATCH($L$1,[3]enemies!$1:$1,0)+1),MATCH(Y$1,[3]enemies!$1:$1,0)-MATCH($L$1,[3]enemies!$1:$1,0)+1,FALSE)</f>
        <v>0</v>
      </c>
      <c r="Z6" s="6">
        <v>0</v>
      </c>
      <c r="AA6" s="6">
        <v>30</v>
      </c>
      <c r="AB6" s="6">
        <v>0</v>
      </c>
      <c r="AC6" s="17">
        <f ca="1">VLOOKUP($L6,OFFSET([3]enemies!$A$1,0,0,COUNTA([3]enemies!$A:$A),MATCH(AC$1,[3]enemies!$1:$1,0)-MATCH($L$1,[3]enemies!$1:$1,0)+1),MATCH(AC$1,[3]enemies!$1:$1,0)-MATCH($L$1,[3]enemies!$1:$1,0)+1,FALSE)</f>
        <v>2</v>
      </c>
      <c r="AD6" s="24">
        <f t="shared" si="3"/>
        <v>345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雷のメタルチック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6" s="7">
        <v>1</v>
      </c>
      <c r="AI6" s="24">
        <f t="shared" ca="1" si="4"/>
        <v>4</v>
      </c>
      <c r="AJ6" s="8">
        <v>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ca="1">B7&amp;"_"&amp;C7&amp;"-"&amp;G7&amp;"/"&amp;L7&amp;"&lt;lv"&amp;R7&amp;"&gt;s"&amp;AC7</f>
        <v>11017_1-1/837&lt;lv30&gt;s3</v>
      </c>
      <c r="B7" s="22">
        <v>11017</v>
      </c>
      <c r="C7" s="21">
        <v>1</v>
      </c>
      <c r="D7" s="2" t="str">
        <f>B7&amp;"_"&amp;C7</f>
        <v>11017_1</v>
      </c>
      <c r="E7" s="4" t="str">
        <f ca="1">VLOOKUP($B7,OFFSET([2]quests!$A$1,0,0,COUNTA([2]quests!$A:$A),MATCH(E$1,[2]quests!$1:$1,0)-MATCH($B$1,[2]quests!$1:$1,0)+1),MATCH(E$1,[2]quests!$1:$1,0)-MATCH($B$1,[2]quests!$1:$1,0)+1,FALSE)</f>
        <v>【期間限定】リトルハンプティを追え！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【上級】リトルハンプティを追え！</v>
      </c>
      <c r="G7" s="21">
        <v>1</v>
      </c>
      <c r="H7" s="15" t="str">
        <f>B7&amp;"_"&amp;C7&amp;"-"&amp;G7</f>
        <v>11017_1-1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837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リトルハンプティ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30</v>
      </c>
      <c r="S7" s="25">
        <v>1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5248</v>
      </c>
      <c r="U7" s="25">
        <v>30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5220</v>
      </c>
      <c r="W7" s="5">
        <v>0</v>
      </c>
      <c r="X7" s="4" t="str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7" s="4">
        <f ca="1">VLOOKUP($L7,OFFSET([3]enemies!$A$1,0,0,COUNTA([3]enemies!$A:$A),MATCH(Y$1,[3]enemies!$1:$1,0)-MATCH($L$1,[3]enemies!$1:$1,0)+1),MATCH(Y$1,[3]enemies!$1:$1,0)-MATCH($L$1,[3]enemies!$1:$1,0)+1,FALSE)</f>
        <v>0</v>
      </c>
      <c r="Z7" s="6">
        <v>0</v>
      </c>
      <c r="AA7" s="6">
        <v>5</v>
      </c>
      <c r="AB7" s="6">
        <v>1</v>
      </c>
      <c r="AC7" s="17">
        <f ca="1">VLOOKUP($L7,OFFSET([3]enemies!$A$1,0,0,COUNTA([3]enemies!$A:$A),MATCH(AC$1,[3]enemies!$1:$1,0)-MATCH($L$1,[3]enemies!$1:$1,0)+1),MATCH(AC$1,[3]enemies!$1:$1,0)-MATCH($L$1,[3]enemies!$1:$1,0)+1,FALSE)</f>
        <v>3</v>
      </c>
      <c r="AD7" s="24">
        <f>L7</f>
        <v>837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リトルハンプティ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6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7" s="7">
        <v>1</v>
      </c>
      <c r="AI7" s="24">
        <f ca="1">AF7</f>
        <v>6</v>
      </c>
      <c r="AJ7" s="121">
        <v>100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ca="1">B8&amp;"_"&amp;C8&amp;"-"&amp;G8&amp;"/"&amp;L8&amp;"&lt;lv"&amp;R8&amp;"&gt;s"&amp;AC8</f>
        <v>11017_1-2/101&lt;lv30&gt;s1</v>
      </c>
      <c r="B8" s="104">
        <v>11017</v>
      </c>
      <c r="C8" s="105">
        <v>1</v>
      </c>
      <c r="D8" s="105" t="str">
        <f>B8&amp;"_"&amp;C8</f>
        <v>11017_1</v>
      </c>
      <c r="E8" s="106" t="str">
        <f ca="1">VLOOKUP($B8,OFFSET([2]quests!$A$1,0,0,COUNTA([2]quests!$A:$A),MATCH(E$1,[2]quests!$1:$1,0)-MATCH($B$1,[2]quests!$1:$1,0)+1),MATCH(E$1,[2]quests!$1:$1,0)-MATCH($B$1,[2]quests!$1:$1,0)+1,FALSE)</f>
        <v>【期間限定】リトルハンプティを追え！</v>
      </c>
      <c r="F8" s="106" t="str">
        <f ca="1">VLOOKUP($D8,OFFSET([2]stages!$A$1,0,0,COUNTA([2]stages!$A:$A),MATCH(F$1,[2]stages!$2:$2,0)-MATCH($D$1,[2]stages!$2:$2,0)+1),MATCH(F$1,[2]stages!$2:$2,0)-MATCH($D$1,[2]stages!$2:$2,0)+1,FALSE)</f>
        <v>【上級】リトルハンプティを追え！</v>
      </c>
      <c r="G8" s="105">
        <v>2</v>
      </c>
      <c r="H8" s="107" t="str">
        <f>B8&amp;"_"&amp;C8&amp;"-"&amp;G8</f>
        <v>11017_1-2</v>
      </c>
      <c r="I8" s="106">
        <f ca="1">VLOOKUP($H8,OFFSET(floors!$A$1,0,0,COUNTA(floors!$A:$A),MATCH(I$1,floors!$1:$1,0)-MATCH($H$1,floors!$1:$1,0)+1),MATCH(I$1,floors!$1:$1,0)-MATCH($H$1,floors!$1:$1,0)+1,FALSE)</f>
        <v>60</v>
      </c>
      <c r="J8" s="106">
        <f ca="1">VLOOKUP($H8,OFFSET(floors!$A$1,0,0,COUNTA(floors!$A:$A),MATCH(J$1,floors!$1:$1,0)-MATCH($H$1,floors!$1:$1,0)+1),MATCH(J$1,floors!$1:$1,0)-MATCH($H$1,floors!$1:$1,0)+1,FALSE)</f>
        <v>60</v>
      </c>
      <c r="K8" s="108" t="s">
        <v>53</v>
      </c>
      <c r="L8" s="105">
        <v>101</v>
      </c>
      <c r="M8" s="109" t="str">
        <f ca="1">VLOOKUP($L8,OFFSET([3]enemies!$A$1,0,0,COUNTA([3]enemies!$A:$A),MATCH(M$1,[3]enemies!$1:$1,0)-MATCH($L$1,[3]enemies!$1:$1,0)+1),MATCH(M$1,[3]enemies!$1:$1,0)-MATCH($L$1,[3]enemies!$1:$1,0)+1,FALSE)</f>
        <v>レッドチェシャ</v>
      </c>
      <c r="N8" s="109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09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09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09">
        <f ca="1">VLOOKUP($L8,OFFSET([3]enemies!$A$1,0,0,COUNTA([3]enemies!$A:$A),MATCH(Q$1,[3]enemies!$1:$1,0)-MATCH($L$1,[3]enemies!$1:$1,0)+1),MATCH(Q$1,[3]enemies!$1:$1,0)-MATCH($L$1,[3]enemies!$1:$1,0)+1,FALSE)</f>
        <v>15</v>
      </c>
      <c r="R8" s="110">
        <v>30</v>
      </c>
      <c r="S8" s="111">
        <v>1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6300</v>
      </c>
      <c r="U8" s="25">
        <v>1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2410</v>
      </c>
      <c r="W8" s="5">
        <v>0</v>
      </c>
      <c r="X8" s="4" t="str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8" s="4">
        <f ca="1">VLOOKUP($L8,OFFSET([3]enemies!$A$1,0,0,COUNTA([3]enemies!$A:$A),MATCH(Y$1,[3]enemies!$1:$1,0)-MATCH($L$1,[3]enemies!$1:$1,0)+1),MATCH(Y$1,[3]enemies!$1:$1,0)-MATCH($L$1,[3]enemies!$1:$1,0)+1,FALSE)</f>
        <v>0</v>
      </c>
      <c r="Z8" s="6">
        <v>0</v>
      </c>
      <c r="AA8" s="6">
        <v>100</v>
      </c>
      <c r="AB8" s="6">
        <v>0</v>
      </c>
      <c r="AC8" s="17">
        <f ca="1">VLOOKUP($L8,OFFSET([3]enemies!$A$1,0,0,COUNTA([3]enemies!$A:$A),MATCH(AC$1,[3]enemies!$1:$1,0)-MATCH($L$1,[3]enemies!$1:$1,0)+1),MATCH(AC$1,[3]enemies!$1:$1,0)-MATCH($L$1,[3]enemies!$1:$1,0)+1,FALSE)</f>
        <v>1</v>
      </c>
      <c r="AD8" s="24">
        <f>L8</f>
        <v>101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レッドチェシャ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8" s="7">
        <v>1</v>
      </c>
      <c r="AI8" s="24">
        <f ca="1">AF8</f>
        <v>2</v>
      </c>
      <c r="AJ8" s="8">
        <v>10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  <row r="9" spans="1:42" ht="21" customHeight="1" x14ac:dyDescent="0.15">
      <c r="A9" s="16" t="str">
        <f t="shared" ref="A9:A12" ca="1" si="5">B9&amp;"_"&amp;C9&amp;"-"&amp;G9&amp;"/"&amp;L9&amp;"&lt;lv"&amp;R9&amp;"&gt;s"&amp;AC9</f>
        <v>11017_1-2/102&lt;lv30&gt;s2</v>
      </c>
      <c r="B9" s="104">
        <v>11017</v>
      </c>
      <c r="C9" s="105">
        <v>1</v>
      </c>
      <c r="D9" s="105" t="str">
        <f t="shared" ref="D9:D12" si="6">B9&amp;"_"&amp;C9</f>
        <v>11017_1</v>
      </c>
      <c r="E9" s="106" t="str">
        <f ca="1">VLOOKUP($B9,OFFSET([2]quests!$A$1,0,0,COUNTA([2]quests!$A:$A),MATCH(E$1,[2]quests!$1:$1,0)-MATCH($B$1,[2]quests!$1:$1,0)+1),MATCH(E$1,[2]quests!$1:$1,0)-MATCH($B$1,[2]quests!$1:$1,0)+1,FALSE)</f>
        <v>【期間限定】リトルハンプティを追え！</v>
      </c>
      <c r="F9" s="106" t="str">
        <f ca="1">VLOOKUP($D9,OFFSET([2]stages!$A$1,0,0,COUNTA([2]stages!$A:$A),MATCH(F$1,[2]stages!$2:$2,0)-MATCH($D$1,[2]stages!$2:$2,0)+1),MATCH(F$1,[2]stages!$2:$2,0)-MATCH($D$1,[2]stages!$2:$2,0)+1,FALSE)</f>
        <v>【上級】リトルハンプティを追え！</v>
      </c>
      <c r="G9" s="105">
        <v>2</v>
      </c>
      <c r="H9" s="107" t="str">
        <f t="shared" ref="H9:H12" si="7">B9&amp;"_"&amp;C9&amp;"-"&amp;G9</f>
        <v>11017_1-2</v>
      </c>
      <c r="I9" s="106">
        <f ca="1">VLOOKUP($H9,OFFSET(floors!$A$1,0,0,COUNTA(floors!$A:$A),MATCH(I$1,floors!$1:$1,0)-MATCH($H$1,floors!$1:$1,0)+1),MATCH(I$1,floors!$1:$1,0)-MATCH($H$1,floors!$1:$1,0)+1,FALSE)</f>
        <v>60</v>
      </c>
      <c r="J9" s="106">
        <f ca="1">VLOOKUP($H9,OFFSET(floors!$A$1,0,0,COUNTA(floors!$A:$A),MATCH(J$1,floors!$1:$1,0)-MATCH($H$1,floors!$1:$1,0)+1),MATCH(J$1,floors!$1:$1,0)-MATCH($H$1,floors!$1:$1,0)+1,FALSE)</f>
        <v>60</v>
      </c>
      <c r="K9" s="108" t="s">
        <v>53</v>
      </c>
      <c r="L9" s="105">
        <v>102</v>
      </c>
      <c r="M9" s="109" t="str">
        <f ca="1">VLOOKUP($L9,OFFSET([3]enemies!$A$1,0,0,COUNTA([3]enemies!$A:$A),MATCH(M$1,[3]enemies!$1:$1,0)-MATCH($L$1,[3]enemies!$1:$1,0)+1),MATCH(M$1,[3]enemies!$1:$1,0)-MATCH($L$1,[3]enemies!$1:$1,0)+1,FALSE)</f>
        <v>レッドラビット</v>
      </c>
      <c r="N9" s="109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09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09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09">
        <f ca="1">VLOOKUP($L9,OFFSET([3]enemies!$A$1,0,0,COUNTA([3]enemies!$A:$A),MATCH(Q$1,[3]enemies!$1:$1,0)-MATCH($L$1,[3]enemies!$1:$1,0)+1),MATCH(Q$1,[3]enemies!$1:$1,0)-MATCH($L$1,[3]enemies!$1:$1,0)+1,FALSE)</f>
        <v>15</v>
      </c>
      <c r="R9" s="110">
        <v>30</v>
      </c>
      <c r="S9" s="111">
        <v>1</v>
      </c>
      <c r="T9" s="10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8820</v>
      </c>
      <c r="U9" s="25">
        <v>1</v>
      </c>
      <c r="V9" s="10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2410</v>
      </c>
      <c r="W9" s="5">
        <v>0</v>
      </c>
      <c r="X9" s="4" t="str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9" s="4">
        <f ca="1">VLOOKUP($L9,OFFSET([3]enemies!$A$1,0,0,COUNTA([3]enemies!$A:$A),MATCH(Y$1,[3]enemies!$1:$1,0)-MATCH($L$1,[3]enemies!$1:$1,0)+1),MATCH(Y$1,[3]enemies!$1:$1,0)-MATCH($L$1,[3]enemies!$1:$1,0)+1,FALSE)</f>
        <v>0</v>
      </c>
      <c r="Z9" s="6">
        <v>0</v>
      </c>
      <c r="AA9" s="6">
        <v>100</v>
      </c>
      <c r="AB9" s="6">
        <v>0</v>
      </c>
      <c r="AC9" s="17">
        <f ca="1">VLOOKUP($L9,OFFSET([3]enemies!$A$1,0,0,COUNTA([3]enemies!$A:$A),MATCH(AC$1,[3]enemies!$1:$1,0)-MATCH($L$1,[3]enemies!$1:$1,0)+1),MATCH(AC$1,[3]enemies!$1:$1,0)-MATCH($L$1,[3]enemies!$1:$1,0)+1,FALSE)</f>
        <v>2</v>
      </c>
      <c r="AD9" s="24">
        <f t="shared" ref="AD9:AD12" si="8">L9</f>
        <v>102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レッドラビット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9" s="7">
        <v>1</v>
      </c>
      <c r="AI9" s="24">
        <f t="shared" ref="AI9:AI12" ca="1" si="9">AF9</f>
        <v>3</v>
      </c>
      <c r="AJ9" s="8">
        <v>10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ca="1" si="5"/>
        <v>11017_1-2/103&lt;lv30&gt;s3</v>
      </c>
      <c r="B10" s="104">
        <v>11017</v>
      </c>
      <c r="C10" s="105">
        <v>1</v>
      </c>
      <c r="D10" s="105" t="str">
        <f t="shared" si="6"/>
        <v>11017_1</v>
      </c>
      <c r="E10" s="106" t="str">
        <f ca="1">VLOOKUP($B10,OFFSET([2]quests!$A$1,0,0,COUNTA([2]quests!$A:$A),MATCH(E$1,[2]quests!$1:$1,0)-MATCH($B$1,[2]quests!$1:$1,0)+1),MATCH(E$1,[2]quests!$1:$1,0)-MATCH($B$1,[2]quests!$1:$1,0)+1,FALSE)</f>
        <v>【期間限定】リトルハンプティを追え！</v>
      </c>
      <c r="F10" s="106" t="str">
        <f ca="1">VLOOKUP($D10,OFFSET([2]stages!$A$1,0,0,COUNTA([2]stages!$A:$A),MATCH(F$1,[2]stages!$2:$2,0)-MATCH($D$1,[2]stages!$2:$2,0)+1),MATCH(F$1,[2]stages!$2:$2,0)-MATCH($D$1,[2]stages!$2:$2,0)+1,FALSE)</f>
        <v>【上級】リトルハンプティを追え！</v>
      </c>
      <c r="G10" s="105">
        <v>2</v>
      </c>
      <c r="H10" s="107" t="str">
        <f t="shared" si="7"/>
        <v>11017_1-2</v>
      </c>
      <c r="I10" s="106">
        <f ca="1">VLOOKUP($H10,OFFSET(floors!$A$1,0,0,COUNTA(floors!$A:$A),MATCH(I$1,floors!$1:$1,0)-MATCH($H$1,floors!$1:$1,0)+1),MATCH(I$1,floors!$1:$1,0)-MATCH($H$1,floors!$1:$1,0)+1,FALSE)</f>
        <v>60</v>
      </c>
      <c r="J10" s="106">
        <f ca="1">VLOOKUP($H10,OFFSET(floors!$A$1,0,0,COUNTA(floors!$A:$A),MATCH(J$1,floors!$1:$1,0)-MATCH($H$1,floors!$1:$1,0)+1),MATCH(J$1,floors!$1:$1,0)-MATCH($H$1,floors!$1:$1,0)+1,FALSE)</f>
        <v>60</v>
      </c>
      <c r="K10" s="108" t="s">
        <v>53</v>
      </c>
      <c r="L10" s="105">
        <v>103</v>
      </c>
      <c r="M10" s="109" t="str">
        <f ca="1">VLOOKUP($L10,OFFSET([3]enemies!$A$1,0,0,COUNTA([3]enemies!$A:$A),MATCH(M$1,[3]enemies!$1:$1,0)-MATCH($L$1,[3]enemies!$1:$1,0)+1),MATCH(M$1,[3]enemies!$1:$1,0)-MATCH($L$1,[3]enemies!$1:$1,0)+1,FALSE)</f>
        <v>レッドキャタップ</v>
      </c>
      <c r="N10" s="109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09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09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09">
        <f ca="1">VLOOKUP($L10,OFFSET([3]enemies!$A$1,0,0,COUNTA([3]enemies!$A:$A),MATCH(Q$1,[3]enemies!$1:$1,0)-MATCH($L$1,[3]enemies!$1:$1,0)+1),MATCH(Q$1,[3]enemies!$1:$1,0)-MATCH($L$1,[3]enemies!$1:$1,0)+1,FALSE)</f>
        <v>15</v>
      </c>
      <c r="R10" s="110">
        <v>30</v>
      </c>
      <c r="S10" s="111">
        <v>2</v>
      </c>
      <c r="T10" s="10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22680</v>
      </c>
      <c r="U10" s="25">
        <v>1</v>
      </c>
      <c r="V10" s="10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2410</v>
      </c>
      <c r="W10" s="5">
        <v>0</v>
      </c>
      <c r="X10" s="4" t="str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0" s="4">
        <f ca="1">VLOOKUP($L10,OFFSET([3]enemies!$A$1,0,0,COUNTA([3]enemies!$A:$A),MATCH(Y$1,[3]enemies!$1:$1,0)-MATCH($L$1,[3]enemies!$1:$1,0)+1),MATCH(Y$1,[3]enemies!$1:$1,0)-MATCH($L$1,[3]enemies!$1:$1,0)+1,FALSE)</f>
        <v>0</v>
      </c>
      <c r="Z10" s="6">
        <v>0</v>
      </c>
      <c r="AA10" s="6">
        <v>100</v>
      </c>
      <c r="AB10" s="6">
        <v>2</v>
      </c>
      <c r="AC10" s="17">
        <f ca="1">VLOOKUP($L10,OFFSET([3]enemies!$A$1,0,0,COUNTA([3]enemies!$A:$A),MATCH(AC$1,[3]enemies!$1:$1,0)-MATCH($L$1,[3]enemies!$1:$1,0)+1),MATCH(AC$1,[3]enemies!$1:$1,0)-MATCH($L$1,[3]enemies!$1:$1,0)+1,FALSE)</f>
        <v>3</v>
      </c>
      <c r="AD10" s="24">
        <f t="shared" si="8"/>
        <v>103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レッドキャタップ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0" s="7">
        <v>1</v>
      </c>
      <c r="AI10" s="24">
        <f t="shared" ca="1" si="9"/>
        <v>4</v>
      </c>
      <c r="AJ10" s="8">
        <v>10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ca="1" si="5"/>
        <v>11017_1-2/332&lt;lv1&gt;s1</v>
      </c>
      <c r="B11" s="104">
        <v>11017</v>
      </c>
      <c r="C11" s="105">
        <v>1</v>
      </c>
      <c r="D11" s="105" t="str">
        <f t="shared" si="6"/>
        <v>11017_1</v>
      </c>
      <c r="E11" s="106" t="str">
        <f ca="1">VLOOKUP($B11,OFFSET([2]quests!$A$1,0,0,COUNTA([2]quests!$A:$A),MATCH(E$1,[2]quests!$1:$1,0)-MATCH($B$1,[2]quests!$1:$1,0)+1),MATCH(E$1,[2]quests!$1:$1,0)-MATCH($B$1,[2]quests!$1:$1,0)+1,FALSE)</f>
        <v>【期間限定】リトルハンプティを追え！</v>
      </c>
      <c r="F11" s="106" t="str">
        <f ca="1">VLOOKUP($D11,OFFSET([2]stages!$A$1,0,0,COUNTA([2]stages!$A:$A),MATCH(F$1,[2]stages!$2:$2,0)-MATCH($D$1,[2]stages!$2:$2,0)+1),MATCH(F$1,[2]stages!$2:$2,0)-MATCH($D$1,[2]stages!$2:$2,0)+1,FALSE)</f>
        <v>【上級】リトルハンプティを追え！</v>
      </c>
      <c r="G11" s="105">
        <v>2</v>
      </c>
      <c r="H11" s="107" t="str">
        <f t="shared" si="7"/>
        <v>11017_1-2</v>
      </c>
      <c r="I11" s="106">
        <f ca="1">VLOOKUP($H11,OFFSET(floors!$A$1,0,0,COUNTA(floors!$A:$A),MATCH(I$1,floors!$1:$1,0)-MATCH($H$1,floors!$1:$1,0)+1),MATCH(I$1,floors!$1:$1,0)-MATCH($H$1,floors!$1:$1,0)+1,FALSE)</f>
        <v>60</v>
      </c>
      <c r="J11" s="106">
        <f ca="1">VLOOKUP($H11,OFFSET(floors!$A$1,0,0,COUNTA(floors!$A:$A),MATCH(J$1,floors!$1:$1,0)-MATCH($H$1,floors!$1:$1,0)+1),MATCH(J$1,floors!$1:$1,0)-MATCH($H$1,floors!$1:$1,0)+1,FALSE)</f>
        <v>60</v>
      </c>
      <c r="K11" s="108" t="s">
        <v>53</v>
      </c>
      <c r="L11" s="105">
        <v>332</v>
      </c>
      <c r="M11" s="109" t="str">
        <f ca="1">VLOOKUP($L11,OFFSET([3]enemies!$A$1,0,0,COUNTA([3]enemies!$A:$A),MATCH(M$1,[3]enemies!$1:$1,0)-MATCH($L$1,[3]enemies!$1:$1,0)+1),MATCH(M$1,[3]enemies!$1:$1,0)-MATCH($L$1,[3]enemies!$1:$1,0)+1,FALSE)</f>
        <v>炎のメタルピヨピヨ</v>
      </c>
      <c r="N11" s="109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09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109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09">
        <f ca="1">VLOOKUP($L11,OFFSET([3]enemies!$A$1,0,0,COUNTA([3]enemies!$A:$A),MATCH(Q$1,[3]enemies!$1:$1,0)-MATCH($L$1,[3]enemies!$1:$1,0)+1),MATCH(Q$1,[3]enemies!$1:$1,0)-MATCH($L$1,[3]enemies!$1:$1,0)+1,FALSE)</f>
        <v>15</v>
      </c>
      <c r="R11" s="110">
        <v>1</v>
      </c>
      <c r="S11" s="111">
        <v>1</v>
      </c>
      <c r="T11" s="10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8</v>
      </c>
      <c r="U11" s="25">
        <v>1</v>
      </c>
      <c r="V11" s="10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8</v>
      </c>
      <c r="W11" s="5">
        <v>0</v>
      </c>
      <c r="X11" s="4" t="str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1" s="4">
        <f ca="1">VLOOKUP($L11,OFFSET([3]enemies!$A$1,0,0,COUNTA([3]enemies!$A:$A),MATCH(Y$1,[3]enemies!$1:$1,0)-MATCH($L$1,[3]enemies!$1:$1,0)+1),MATCH(Y$1,[3]enemies!$1:$1,0)-MATCH($L$1,[3]enemies!$1:$1,0)+1,FALSE)</f>
        <v>0</v>
      </c>
      <c r="Z11" s="6">
        <v>0</v>
      </c>
      <c r="AA11" s="6">
        <v>30</v>
      </c>
      <c r="AB11" s="6">
        <v>0</v>
      </c>
      <c r="AC11" s="17">
        <f ca="1">VLOOKUP($L11,OFFSET([3]enemies!$A$1,0,0,COUNTA([3]enemies!$A:$A),MATCH(AC$1,[3]enemies!$1:$1,0)-MATCH($L$1,[3]enemies!$1:$1,0)+1),MATCH(AC$1,[3]enemies!$1:$1,0)-MATCH($L$1,[3]enemies!$1:$1,0)+1,FALSE)</f>
        <v>1</v>
      </c>
      <c r="AD11" s="24">
        <f t="shared" si="8"/>
        <v>332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炎のメタルピヨピヨ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1" s="7">
        <v>1</v>
      </c>
      <c r="AI11" s="24">
        <f t="shared" ca="1" si="9"/>
        <v>3</v>
      </c>
      <c r="AJ11" s="8">
        <v>10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ca="1" si="5"/>
        <v>11017_1-2/333&lt;lv1&gt;s2</v>
      </c>
      <c r="B12" s="104">
        <v>11017</v>
      </c>
      <c r="C12" s="105">
        <v>1</v>
      </c>
      <c r="D12" s="105" t="str">
        <f t="shared" si="6"/>
        <v>11017_1</v>
      </c>
      <c r="E12" s="106" t="str">
        <f ca="1">VLOOKUP($B12,OFFSET([2]quests!$A$1,0,0,COUNTA([2]quests!$A:$A),MATCH(E$1,[2]quests!$1:$1,0)-MATCH($B$1,[2]quests!$1:$1,0)+1),MATCH(E$1,[2]quests!$1:$1,0)-MATCH($B$1,[2]quests!$1:$1,0)+1,FALSE)</f>
        <v>【期間限定】リトルハンプティを追え！</v>
      </c>
      <c r="F12" s="106" t="str">
        <f ca="1">VLOOKUP($D12,OFFSET([2]stages!$A$1,0,0,COUNTA([2]stages!$A:$A),MATCH(F$1,[2]stages!$2:$2,0)-MATCH($D$1,[2]stages!$2:$2,0)+1),MATCH(F$1,[2]stages!$2:$2,0)-MATCH($D$1,[2]stages!$2:$2,0)+1,FALSE)</f>
        <v>【上級】リトルハンプティを追え！</v>
      </c>
      <c r="G12" s="105">
        <v>2</v>
      </c>
      <c r="H12" s="107" t="str">
        <f t="shared" si="7"/>
        <v>11017_1-2</v>
      </c>
      <c r="I12" s="106">
        <f ca="1">VLOOKUP($H12,OFFSET(floors!$A$1,0,0,COUNTA(floors!$A:$A),MATCH(I$1,floors!$1:$1,0)-MATCH($H$1,floors!$1:$1,0)+1),MATCH(I$1,floors!$1:$1,0)-MATCH($H$1,floors!$1:$1,0)+1,FALSE)</f>
        <v>60</v>
      </c>
      <c r="J12" s="106">
        <f ca="1">VLOOKUP($H12,OFFSET(floors!$A$1,0,0,COUNTA(floors!$A:$A),MATCH(J$1,floors!$1:$1,0)-MATCH($H$1,floors!$1:$1,0)+1),MATCH(J$1,floors!$1:$1,0)-MATCH($H$1,floors!$1:$1,0)+1,FALSE)</f>
        <v>60</v>
      </c>
      <c r="K12" s="108" t="s">
        <v>53</v>
      </c>
      <c r="L12" s="105">
        <v>333</v>
      </c>
      <c r="M12" s="109" t="str">
        <f ca="1">VLOOKUP($L12,OFFSET([3]enemies!$A$1,0,0,COUNTA([3]enemies!$A:$A),MATCH(M$1,[3]enemies!$1:$1,0)-MATCH($L$1,[3]enemies!$1:$1,0)+1),MATCH(M$1,[3]enemies!$1:$1,0)-MATCH($L$1,[3]enemies!$1:$1,0)+1,FALSE)</f>
        <v>炎のメタルチック</v>
      </c>
      <c r="N12" s="109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09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109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09">
        <f ca="1">VLOOKUP($L12,OFFSET([3]enemies!$A$1,0,0,COUNTA([3]enemies!$A:$A),MATCH(Q$1,[3]enemies!$1:$1,0)-MATCH($L$1,[3]enemies!$1:$1,0)+1),MATCH(Q$1,[3]enemies!$1:$1,0)-MATCH($L$1,[3]enemies!$1:$1,0)+1,FALSE)</f>
        <v>15</v>
      </c>
      <c r="R12" s="110">
        <v>1</v>
      </c>
      <c r="S12" s="111">
        <v>1</v>
      </c>
      <c r="T12" s="10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15</v>
      </c>
      <c r="U12" s="25">
        <v>1</v>
      </c>
      <c r="V12" s="10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8</v>
      </c>
      <c r="W12" s="5">
        <v>0</v>
      </c>
      <c r="X12" s="4" t="str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2" s="4">
        <f ca="1">VLOOKUP($L12,OFFSET([3]enemies!$A$1,0,0,COUNTA([3]enemies!$A:$A),MATCH(Y$1,[3]enemies!$1:$1,0)-MATCH($L$1,[3]enemies!$1:$1,0)+1),MATCH(Y$1,[3]enemies!$1:$1,0)-MATCH($L$1,[3]enemies!$1:$1,0)+1,FALSE)</f>
        <v>0</v>
      </c>
      <c r="Z12" s="6">
        <v>0</v>
      </c>
      <c r="AA12" s="6">
        <v>30</v>
      </c>
      <c r="AB12" s="6">
        <v>0</v>
      </c>
      <c r="AC12" s="17">
        <f ca="1">VLOOKUP($L12,OFFSET([3]enemies!$A$1,0,0,COUNTA([3]enemies!$A:$A),MATCH(AC$1,[3]enemies!$1:$1,0)-MATCH($L$1,[3]enemies!$1:$1,0)+1),MATCH(AC$1,[3]enemies!$1:$1,0)-MATCH($L$1,[3]enemies!$1:$1,0)+1,FALSE)</f>
        <v>2</v>
      </c>
      <c r="AD12" s="24">
        <f t="shared" si="8"/>
        <v>333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炎のメタルチック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2" s="7">
        <v>1</v>
      </c>
      <c r="AI12" s="24">
        <f t="shared" ca="1" si="9"/>
        <v>4</v>
      </c>
      <c r="AJ12" s="8">
        <v>5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x14ac:dyDescent="0.15">
      <c r="A13" s="16" t="str">
        <f ca="1">B13&amp;"_"&amp;C13&amp;"-"&amp;G13&amp;"/"&amp;L13&amp;"&lt;lv"&amp;R13&amp;"&gt;s"&amp;AC13</f>
        <v>11017_1-3/109&lt;lv30&gt;s2</v>
      </c>
      <c r="B13" s="22">
        <v>11017</v>
      </c>
      <c r="C13" s="21">
        <v>1</v>
      </c>
      <c r="D13" s="2" t="str">
        <f>B13&amp;"_"&amp;C13</f>
        <v>11017_1</v>
      </c>
      <c r="E13" s="4" t="str">
        <f ca="1">VLOOKUP($B13,OFFSET([2]quests!$A$1,0,0,COUNTA([2]quests!$A:$A),MATCH(E$1,[2]quests!$1:$1,0)-MATCH($B$1,[2]quests!$1:$1,0)+1),MATCH(E$1,[2]quests!$1:$1,0)-MATCH($B$1,[2]quests!$1:$1,0)+1,FALSE)</f>
        <v>【期間限定】リトルハンプティを追え！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【上級】リトルハンプティを追え！</v>
      </c>
      <c r="G13" s="21">
        <v>3</v>
      </c>
      <c r="H13" s="15" t="str">
        <f>B13&amp;"_"&amp;C13&amp;"-"&amp;G13</f>
        <v>11017_1-3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 t="s">
        <v>53</v>
      </c>
      <c r="L13" s="20">
        <v>109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ブルーチェシャ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30</v>
      </c>
      <c r="S13" s="25">
        <v>1</v>
      </c>
      <c r="T13" s="10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6300</v>
      </c>
      <c r="U13" s="25">
        <v>1</v>
      </c>
      <c r="V13" s="10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2315</v>
      </c>
      <c r="W13" s="5">
        <v>0</v>
      </c>
      <c r="X13" s="4" t="str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3" s="4">
        <f ca="1">VLOOKUP($L13,OFFSET([3]enemies!$A$1,0,0,COUNTA([3]enemies!$A:$A),MATCH(Y$1,[3]enemies!$1:$1,0)-MATCH($L$1,[3]enemies!$1:$1,0)+1),MATCH(Y$1,[3]enemies!$1:$1,0)-MATCH($L$1,[3]enemies!$1:$1,0)+1,FALSE)</f>
        <v>0</v>
      </c>
      <c r="Z13" s="6">
        <v>0</v>
      </c>
      <c r="AA13" s="6">
        <v>100</v>
      </c>
      <c r="AB13" s="6">
        <v>0</v>
      </c>
      <c r="AC13" s="17">
        <f ca="1">VLOOKUP($L13,OFFSET([3]enemies!$A$1,0,0,COUNTA([3]enemies!$A:$A),MATCH(AC$1,[3]enemies!$1:$1,0)-MATCH($L$1,[3]enemies!$1:$1,0)+1),MATCH(AC$1,[3]enemies!$1:$1,0)-MATCH($L$1,[3]enemies!$1:$1,0)+1,FALSE)</f>
        <v>2</v>
      </c>
      <c r="AD13" s="24">
        <f>L13</f>
        <v>109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ブルーチェシャ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3" s="7">
        <v>1</v>
      </c>
      <c r="AI13" s="24">
        <f ca="1">AF13</f>
        <v>2</v>
      </c>
      <c r="AJ13" s="8">
        <v>10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9">
        <v>1</v>
      </c>
    </row>
    <row r="14" spans="1:42" ht="21" customHeight="1" x14ac:dyDescent="0.15">
      <c r="A14" s="16" t="str">
        <f t="shared" ref="A14:A17" ca="1" si="10">B14&amp;"_"&amp;C14&amp;"-"&amp;G14&amp;"/"&amp;L14&amp;"&lt;lv"&amp;R14&amp;"&gt;s"&amp;AC14</f>
        <v>11017_1-3/110&lt;lv30&gt;s4</v>
      </c>
      <c r="B14" s="22">
        <v>11017</v>
      </c>
      <c r="C14" s="21">
        <v>1</v>
      </c>
      <c r="D14" s="2" t="str">
        <f t="shared" ref="D14:D17" si="11">B14&amp;"_"&amp;C14</f>
        <v>11017_1</v>
      </c>
      <c r="E14" s="4" t="str">
        <f ca="1">VLOOKUP($B14,OFFSET([2]quests!$A$1,0,0,COUNTA([2]quests!$A:$A),MATCH(E$1,[2]quests!$1:$1,0)-MATCH($B$1,[2]quests!$1:$1,0)+1),MATCH(E$1,[2]quests!$1:$1,0)-MATCH($B$1,[2]quests!$1:$1,0)+1,FALSE)</f>
        <v>【期間限定】リトルハンプティを追え！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【上級】リトルハンプティを追え！</v>
      </c>
      <c r="G14" s="21">
        <v>3</v>
      </c>
      <c r="H14" s="15" t="str">
        <f t="shared" ref="H14:H17" si="12">B14&amp;"_"&amp;C14&amp;"-"&amp;G14</f>
        <v>11017_1-3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110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ブルーラビット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30</v>
      </c>
      <c r="S14" s="25">
        <v>1</v>
      </c>
      <c r="T14" s="102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8820</v>
      </c>
      <c r="U14" s="25">
        <v>1</v>
      </c>
      <c r="V14" s="102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2315</v>
      </c>
      <c r="W14" s="5">
        <v>0</v>
      </c>
      <c r="X14" s="4" t="str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4" s="4">
        <f ca="1">VLOOKUP($L14,OFFSET([3]enemies!$A$1,0,0,COUNTA([3]enemies!$A:$A),MATCH(Y$1,[3]enemies!$1:$1,0)-MATCH($L$1,[3]enemies!$1:$1,0)+1),MATCH(Y$1,[3]enemies!$1:$1,0)-MATCH($L$1,[3]enemies!$1:$1,0)+1,FALSE)</f>
        <v>0</v>
      </c>
      <c r="Z14" s="6">
        <v>0</v>
      </c>
      <c r="AA14" s="6">
        <v>100</v>
      </c>
      <c r="AB14" s="6">
        <v>0</v>
      </c>
      <c r="AC14" s="17">
        <f ca="1">VLOOKUP($L14,OFFSET([3]enemies!$A$1,0,0,COUNTA([3]enemies!$A:$A),MATCH(AC$1,[3]enemies!$1:$1,0)-MATCH($L$1,[3]enemies!$1:$1,0)+1),MATCH(AC$1,[3]enemies!$1:$1,0)-MATCH($L$1,[3]enemies!$1:$1,0)+1,FALSE)</f>
        <v>4</v>
      </c>
      <c r="AD14" s="24">
        <f t="shared" ref="AD14:AD17" si="13">L14</f>
        <v>110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ブルーラビット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4" s="7">
        <v>1</v>
      </c>
      <c r="AI14" s="24">
        <f t="shared" ref="AI14:AI17" ca="1" si="14">AF14</f>
        <v>3</v>
      </c>
      <c r="AJ14" s="8">
        <v>10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9">
        <v>1</v>
      </c>
    </row>
    <row r="15" spans="1:42" ht="21" customHeight="1" x14ac:dyDescent="0.15">
      <c r="A15" s="16" t="str">
        <f t="shared" ca="1" si="10"/>
        <v>11017_1-3/111&lt;lv30&gt;s1</v>
      </c>
      <c r="B15" s="22">
        <v>11017</v>
      </c>
      <c r="C15" s="21">
        <v>1</v>
      </c>
      <c r="D15" s="2" t="str">
        <f t="shared" si="11"/>
        <v>11017_1</v>
      </c>
      <c r="E15" s="4" t="str">
        <f ca="1">VLOOKUP($B15,OFFSET([2]quests!$A$1,0,0,COUNTA([2]quests!$A:$A),MATCH(E$1,[2]quests!$1:$1,0)-MATCH($B$1,[2]quests!$1:$1,0)+1),MATCH(E$1,[2]quests!$1:$1,0)-MATCH($B$1,[2]quests!$1:$1,0)+1,FALSE)</f>
        <v>【期間限定】リトルハンプティを追え！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【上級】リトルハンプティを追え！</v>
      </c>
      <c r="G15" s="21">
        <v>3</v>
      </c>
      <c r="H15" s="15" t="str">
        <f t="shared" si="12"/>
        <v>11017_1-3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111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ブルーキャタップ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30</v>
      </c>
      <c r="S15" s="25">
        <v>2</v>
      </c>
      <c r="T15" s="102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22680</v>
      </c>
      <c r="U15" s="25">
        <v>1</v>
      </c>
      <c r="V15" s="102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2315</v>
      </c>
      <c r="W15" s="5">
        <v>0</v>
      </c>
      <c r="X15" s="4" t="str">
        <f ca="1">VLOOKUP($Y15,OFFSET([5]enemy_skill_sets!$B$1,0,0,COUNTA([5]enemy_skill_sets!$B:$B),MATCH(M$1,[5]enemy_skill_sets!$1:$1,0)-MATCH($Y$1,[5]enemy_skill_sets!$1:$1,0)+2),MATCH(M$1,[5]enemy_skill_sets!$1:$1,0)-MATCH($Y$1,[5]enemy_skill_sets!$1:$1,0)+2,FALSE)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5" s="4">
        <f ca="1">VLOOKUP($L15,OFFSET([3]enemies!$A$1,0,0,COUNTA([3]enemies!$A:$A),MATCH(Y$1,[3]enemies!$1:$1,0)-MATCH($L$1,[3]enemies!$1:$1,0)+1),MATCH(Y$1,[3]enemies!$1:$1,0)-MATCH($L$1,[3]enemies!$1:$1,0)+1,FALSE)</f>
        <v>0</v>
      </c>
      <c r="Z15" s="6">
        <v>0</v>
      </c>
      <c r="AA15" s="6">
        <v>100</v>
      </c>
      <c r="AB15" s="6">
        <v>2</v>
      </c>
      <c r="AC15" s="17">
        <f ca="1">VLOOKUP($L15,OFFSET([3]enemies!$A$1,0,0,COUNTA([3]enemies!$A:$A),MATCH(AC$1,[3]enemies!$1:$1,0)-MATCH($L$1,[3]enemies!$1:$1,0)+1),MATCH(AC$1,[3]enemies!$1:$1,0)-MATCH($L$1,[3]enemies!$1:$1,0)+1,FALSE)</f>
        <v>1</v>
      </c>
      <c r="AD15" s="24">
        <f t="shared" si="13"/>
        <v>111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ブルーキャタップ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5" s="7">
        <v>1</v>
      </c>
      <c r="AI15" s="24">
        <f t="shared" ca="1" si="14"/>
        <v>4</v>
      </c>
      <c r="AJ15" s="8">
        <v>10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ca="1" si="10"/>
        <v>11017_1-3/340&lt;lv1&gt;s1</v>
      </c>
      <c r="B16" s="22">
        <v>11017</v>
      </c>
      <c r="C16" s="21">
        <v>1</v>
      </c>
      <c r="D16" s="2" t="str">
        <f t="shared" si="11"/>
        <v>11017_1</v>
      </c>
      <c r="E16" s="4" t="str">
        <f ca="1">VLOOKUP($B16,OFFSET([2]quests!$A$1,0,0,COUNTA([2]quests!$A:$A),MATCH(E$1,[2]quests!$1:$1,0)-MATCH($B$1,[2]quests!$1:$1,0)+1),MATCH(E$1,[2]quests!$1:$1,0)-MATCH($B$1,[2]quests!$1:$1,0)+1,FALSE)</f>
        <v>【期間限定】リトルハンプティを追え！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【上級】リトルハンプティを追え！</v>
      </c>
      <c r="G16" s="21">
        <v>3</v>
      </c>
      <c r="H16" s="15" t="str">
        <f t="shared" si="12"/>
        <v>11017_1-3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340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水のメタルピヨピヨ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1</v>
      </c>
      <c r="S16" s="25">
        <v>1</v>
      </c>
      <c r="T16" s="102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8</v>
      </c>
      <c r="U16" s="25">
        <v>1</v>
      </c>
      <c r="V16" s="102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7</v>
      </c>
      <c r="W16" s="5">
        <v>0</v>
      </c>
      <c r="X16" s="4" t="str">
        <f ca="1">VLOOKUP($Y16,OFFSET([5]enemy_skill_sets!$B$1,0,0,COUNTA([5]enemy_skill_sets!$B:$B),MATCH(M$1,[5]enemy_skill_sets!$1:$1,0)-MATCH($Y$1,[5]enemy_skill_sets!$1:$1,0)+2),MATCH(M$1,[5]enemy_skill_sets!$1:$1,0)-MATCH($Y$1,[5]enemy_skill_sets!$1:$1,0)+2,FALSE)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6" s="4">
        <f ca="1">VLOOKUP($L16,OFFSET([3]enemies!$A$1,0,0,COUNTA([3]enemies!$A:$A),MATCH(Y$1,[3]enemies!$1:$1,0)-MATCH($L$1,[3]enemies!$1:$1,0)+1),MATCH(Y$1,[3]enemies!$1:$1,0)-MATCH($L$1,[3]enemies!$1:$1,0)+1,FALSE)</f>
        <v>0</v>
      </c>
      <c r="Z16" s="6">
        <v>0</v>
      </c>
      <c r="AA16" s="6">
        <v>30</v>
      </c>
      <c r="AB16" s="6">
        <v>0</v>
      </c>
      <c r="AC16" s="17">
        <f ca="1">VLOOKUP($L16,OFFSET([3]enemies!$A$1,0,0,COUNTA([3]enemies!$A:$A),MATCH(AC$1,[3]enemies!$1:$1,0)-MATCH($L$1,[3]enemies!$1:$1,0)+1),MATCH(AC$1,[3]enemies!$1:$1,0)-MATCH($L$1,[3]enemies!$1:$1,0)+1,FALSE)</f>
        <v>1</v>
      </c>
      <c r="AD16" s="24">
        <f t="shared" si="13"/>
        <v>340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水のメタルピヨピヨ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3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6" s="7">
        <v>1</v>
      </c>
      <c r="AI16" s="24">
        <f t="shared" ca="1" si="14"/>
        <v>3</v>
      </c>
      <c r="AJ16" s="8">
        <v>10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  <row r="17" spans="1:42" ht="21" customHeight="1" x14ac:dyDescent="0.15">
      <c r="A17" s="16" t="str">
        <f t="shared" ca="1" si="10"/>
        <v>11017_1-3/341&lt;lv1&gt;s2</v>
      </c>
      <c r="B17" s="22">
        <v>11017</v>
      </c>
      <c r="C17" s="21">
        <v>1</v>
      </c>
      <c r="D17" s="2" t="str">
        <f t="shared" si="11"/>
        <v>11017_1</v>
      </c>
      <c r="E17" s="4" t="str">
        <f ca="1">VLOOKUP($B17,OFFSET([2]quests!$A$1,0,0,COUNTA([2]quests!$A:$A),MATCH(E$1,[2]quests!$1:$1,0)-MATCH($B$1,[2]quests!$1:$1,0)+1),MATCH(E$1,[2]quests!$1:$1,0)-MATCH($B$1,[2]quests!$1:$1,0)+1,FALSE)</f>
        <v>【期間限定】リトルハンプティを追え！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【上級】リトルハンプティを追え！</v>
      </c>
      <c r="G17" s="21">
        <v>3</v>
      </c>
      <c r="H17" s="15" t="str">
        <f t="shared" si="12"/>
        <v>11017_1-3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341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水のメタルチック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1</v>
      </c>
      <c r="S17" s="25">
        <v>1</v>
      </c>
      <c r="T17" s="102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10</v>
      </c>
      <c r="U17" s="25">
        <v>1</v>
      </c>
      <c r="V17" s="102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7</v>
      </c>
      <c r="W17" s="5">
        <v>0</v>
      </c>
      <c r="X17" s="4" t="str">
        <f ca="1">VLOOKUP($Y17,OFFSET([5]enemy_skill_sets!$B$1,0,0,COUNTA([5]enemy_skill_sets!$B:$B),MATCH(M$1,[5]enemy_skill_sets!$1:$1,0)-MATCH($Y$1,[5]enemy_skill_sets!$1:$1,0)+2),MATCH(M$1,[5]enemy_skill_sets!$1:$1,0)-MATCH($Y$1,[5]enemy_skill_sets!$1:$1,0)+2,FALSE)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7" s="4">
        <f ca="1">VLOOKUP($L17,OFFSET([3]enemies!$A$1,0,0,COUNTA([3]enemies!$A:$A),MATCH(Y$1,[3]enemies!$1:$1,0)-MATCH($L$1,[3]enemies!$1:$1,0)+1),MATCH(Y$1,[3]enemies!$1:$1,0)-MATCH($L$1,[3]enemies!$1:$1,0)+1,FALSE)</f>
        <v>0</v>
      </c>
      <c r="Z17" s="6">
        <v>0</v>
      </c>
      <c r="AA17" s="6">
        <v>30</v>
      </c>
      <c r="AB17" s="6">
        <v>0</v>
      </c>
      <c r="AC17" s="17">
        <f ca="1">VLOOKUP($L17,OFFSET([3]enemies!$A$1,0,0,COUNTA([3]enemies!$A:$A),MATCH(AC$1,[3]enemies!$1:$1,0)-MATCH($L$1,[3]enemies!$1:$1,0)+1),MATCH(AC$1,[3]enemies!$1:$1,0)-MATCH($L$1,[3]enemies!$1:$1,0)+1,FALSE)</f>
        <v>2</v>
      </c>
      <c r="AD17" s="24">
        <f t="shared" si="13"/>
        <v>341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水のメタルチック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4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7" s="7">
        <v>1</v>
      </c>
      <c r="AI17" s="24">
        <f t="shared" ca="1" si="14"/>
        <v>4</v>
      </c>
      <c r="AJ17" s="8">
        <v>5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9">
        <v>1</v>
      </c>
    </row>
    <row r="18" spans="1:42" ht="21" customHeight="1" x14ac:dyDescent="0.15">
      <c r="A18" s="16" t="str">
        <f ca="1">B18&amp;"_"&amp;C18&amp;"-"&amp;G18&amp;"/"&amp;L18&amp;"&lt;lv"&amp;R18&amp;"&gt;s"&amp;AC18</f>
        <v>11017_1-3/837&lt;lv30&gt;s3</v>
      </c>
      <c r="B18" s="22">
        <v>11017</v>
      </c>
      <c r="C18" s="21">
        <v>1</v>
      </c>
      <c r="D18" s="2" t="str">
        <f>B18&amp;"_"&amp;C18</f>
        <v>11017_1</v>
      </c>
      <c r="E18" s="4" t="str">
        <f ca="1">VLOOKUP($B18,OFFSET([2]quests!$A$1,0,0,COUNTA([2]quests!$A:$A),MATCH(E$1,[2]quests!$1:$1,0)-MATCH($B$1,[2]quests!$1:$1,0)+1),MATCH(E$1,[2]quests!$1:$1,0)-MATCH($B$1,[2]quests!$1:$1,0)+1,FALSE)</f>
        <v>【期間限定】リトルハンプティを追え！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【上級】リトルハンプティを追え！</v>
      </c>
      <c r="G18" s="21">
        <v>3</v>
      </c>
      <c r="H18" s="15" t="str">
        <f>B18&amp;"_"&amp;C18&amp;"-"&amp;G18</f>
        <v>11017_1-3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837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リトルハンプティ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Material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7">
        <f ca="1">VLOOKUP($L18,OFFSET([3]enemies!$A$1,0,0,COUNTA([3]enemies!$A:$A),MATCH(Q$1,[3]enemies!$1:$1,0)-MATCH($L$1,[3]enemies!$1:$1,0)+1),MATCH(Q$1,[3]enemies!$1:$1,0)-MATCH($L$1,[3]enemies!$1:$1,0)+1,FALSE)</f>
        <v>60</v>
      </c>
      <c r="R18" s="5">
        <v>30</v>
      </c>
      <c r="S18" s="25">
        <v>1</v>
      </c>
      <c r="T18" s="102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5248</v>
      </c>
      <c r="U18" s="25">
        <v>30</v>
      </c>
      <c r="V18" s="102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5220</v>
      </c>
      <c r="W18" s="5">
        <v>0</v>
      </c>
      <c r="X18" s="4" t="str">
        <f ca="1">VLOOKUP($Y18,OFFSET([5]enemy_skill_sets!$B$1,0,0,COUNTA([5]enemy_skill_sets!$B:$B),MATCH(M$1,[5]enemy_skill_sets!$1:$1,0)-MATCH($Y$1,[5]enemy_skill_sets!$1:$1,0)+2),MATCH(M$1,[5]enemy_skill_sets!$1:$1,0)-MATCH($Y$1,[5]enemy_skill_sets!$1:$1,0)+2,FALSE)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8" s="4">
        <f ca="1">VLOOKUP($L18,OFFSET([3]enemies!$A$1,0,0,COUNTA([3]enemies!$A:$A),MATCH(Y$1,[3]enemies!$1:$1,0)-MATCH($L$1,[3]enemies!$1:$1,0)+1),MATCH(Y$1,[3]enemies!$1:$1,0)-MATCH($L$1,[3]enemies!$1:$1,0)+1,FALSE)</f>
        <v>0</v>
      </c>
      <c r="Z18" s="6">
        <v>0</v>
      </c>
      <c r="AA18" s="6">
        <v>5</v>
      </c>
      <c r="AB18" s="6">
        <v>1</v>
      </c>
      <c r="AC18" s="17">
        <f ca="1">VLOOKUP($L18,OFFSET([3]enemies!$A$1,0,0,COUNTA([3]enemies!$A:$A),MATCH(AC$1,[3]enemies!$1:$1,0)-MATCH($L$1,[3]enemies!$1:$1,0)+1),MATCH(AC$1,[3]enemies!$1:$1,0)-MATCH($L$1,[3]enemies!$1:$1,0)+1,FALSE)</f>
        <v>3</v>
      </c>
      <c r="AD18" s="24">
        <f>L18</f>
        <v>837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リトルハンプティ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6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8" s="7">
        <v>1</v>
      </c>
      <c r="AI18" s="24">
        <f ca="1">AF18</f>
        <v>6</v>
      </c>
      <c r="AJ18" s="121">
        <v>100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9">
        <v>1</v>
      </c>
    </row>
    <row r="19" spans="1:42" ht="21" customHeight="1" x14ac:dyDescent="0.15">
      <c r="A19" s="16" t="str">
        <f ca="1">B19&amp;"_"&amp;C19&amp;"-"&amp;G19&amp;"/"&amp;L19&amp;"&lt;lv"&amp;R19&amp;"&gt;s"&amp;AC19</f>
        <v>11017_1-4/105&lt;lv30&gt;s1</v>
      </c>
      <c r="B19" s="104">
        <v>11017</v>
      </c>
      <c r="C19" s="105">
        <v>1</v>
      </c>
      <c r="D19" s="105" t="str">
        <f>B19&amp;"_"&amp;C19</f>
        <v>11017_1</v>
      </c>
      <c r="E19" s="106" t="str">
        <f ca="1">VLOOKUP($B19,OFFSET([2]quests!$A$1,0,0,COUNTA([2]quests!$A:$A),MATCH(E$1,[2]quests!$1:$1,0)-MATCH($B$1,[2]quests!$1:$1,0)+1),MATCH(E$1,[2]quests!$1:$1,0)-MATCH($B$1,[2]quests!$1:$1,0)+1,FALSE)</f>
        <v>【期間限定】リトルハンプティを追え！</v>
      </c>
      <c r="F19" s="106" t="str">
        <f ca="1">VLOOKUP($D19,OFFSET([2]stages!$A$1,0,0,COUNTA([2]stages!$A:$A),MATCH(F$1,[2]stages!$2:$2,0)-MATCH($D$1,[2]stages!$2:$2,0)+1),MATCH(F$1,[2]stages!$2:$2,0)-MATCH($D$1,[2]stages!$2:$2,0)+1,FALSE)</f>
        <v>【上級】リトルハンプティを追え！</v>
      </c>
      <c r="G19" s="105">
        <v>4</v>
      </c>
      <c r="H19" s="107" t="str">
        <f>B19&amp;"_"&amp;C19&amp;"-"&amp;G19</f>
        <v>11017_1-4</v>
      </c>
      <c r="I19" s="106">
        <f ca="1">VLOOKUP($H19,OFFSET(floors!$A$1,0,0,COUNTA(floors!$A:$A),MATCH(I$1,floors!$1:$1,0)-MATCH($H$1,floors!$1:$1,0)+1),MATCH(I$1,floors!$1:$1,0)-MATCH($H$1,floors!$1:$1,0)+1,FALSE)</f>
        <v>60</v>
      </c>
      <c r="J19" s="106">
        <f ca="1">VLOOKUP($H19,OFFSET(floors!$A$1,0,0,COUNTA(floors!$A:$A),MATCH(J$1,floors!$1:$1,0)-MATCH($H$1,floors!$1:$1,0)+1),MATCH(J$1,floors!$1:$1,0)-MATCH($H$1,floors!$1:$1,0)+1,FALSE)</f>
        <v>60</v>
      </c>
      <c r="K19" s="108" t="s">
        <v>53</v>
      </c>
      <c r="L19" s="105">
        <v>105</v>
      </c>
      <c r="M19" s="109" t="str">
        <f ca="1">VLOOKUP($L19,OFFSET([3]enemies!$A$1,0,0,COUNTA([3]enemies!$A:$A),MATCH(M$1,[3]enemies!$1:$1,0)-MATCH($L$1,[3]enemies!$1:$1,0)+1),MATCH(M$1,[3]enemies!$1:$1,0)-MATCH($L$1,[3]enemies!$1:$1,0)+1,FALSE)</f>
        <v>グリーンチェシャ</v>
      </c>
      <c r="N19" s="109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09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109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09">
        <f ca="1">VLOOKUP($L19,OFFSET([3]enemies!$A$1,0,0,COUNTA([3]enemies!$A:$A),MATCH(Q$1,[3]enemies!$1:$1,0)-MATCH($L$1,[3]enemies!$1:$1,0)+1),MATCH(Q$1,[3]enemies!$1:$1,0)-MATCH($L$1,[3]enemies!$1:$1,0)+1,FALSE)</f>
        <v>15</v>
      </c>
      <c r="R19" s="110">
        <v>30</v>
      </c>
      <c r="S19" s="111">
        <v>1</v>
      </c>
      <c r="T19" s="102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6426</v>
      </c>
      <c r="U19" s="25">
        <v>1</v>
      </c>
      <c r="V19" s="102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2315</v>
      </c>
      <c r="W19" s="5">
        <v>0</v>
      </c>
      <c r="X19" s="4" t="str">
        <f ca="1">VLOOKUP($Y19,OFFSET([5]enemy_skill_sets!$B$1,0,0,COUNTA([5]enemy_skill_sets!$B:$B),MATCH(M$1,[5]enemy_skill_sets!$1:$1,0)-MATCH($Y$1,[5]enemy_skill_sets!$1:$1,0)+2),MATCH(M$1,[5]enemy_skill_sets!$1:$1,0)-MATCH($Y$1,[5]enemy_skill_sets!$1:$1,0)+2,FALSE)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19" s="4">
        <f ca="1">VLOOKUP($L19,OFFSET([3]enemies!$A$1,0,0,COUNTA([3]enemies!$A:$A),MATCH(Y$1,[3]enemies!$1:$1,0)-MATCH($L$1,[3]enemies!$1:$1,0)+1),MATCH(Y$1,[3]enemies!$1:$1,0)-MATCH($L$1,[3]enemies!$1:$1,0)+1,FALSE)</f>
        <v>0</v>
      </c>
      <c r="Z19" s="6">
        <v>0</v>
      </c>
      <c r="AA19" s="6">
        <v>100</v>
      </c>
      <c r="AB19" s="6">
        <v>0</v>
      </c>
      <c r="AC19" s="17">
        <f ca="1">VLOOKUP($L19,OFFSET([3]enemies!$A$1,0,0,COUNTA([3]enemies!$A:$A),MATCH(AC$1,[3]enemies!$1:$1,0)-MATCH($L$1,[3]enemies!$1:$1,0)+1),MATCH(AC$1,[3]enemies!$1:$1,0)-MATCH($L$1,[3]enemies!$1:$1,0)+1,FALSE)</f>
        <v>1</v>
      </c>
      <c r="AD19" s="24">
        <f>L19</f>
        <v>105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グリーンチェシャ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2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19" s="7">
        <v>1</v>
      </c>
      <c r="AI19" s="24">
        <f ca="1">AF19</f>
        <v>2</v>
      </c>
      <c r="AJ19" s="8">
        <v>10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9">
        <v>1</v>
      </c>
    </row>
    <row r="20" spans="1:42" ht="22" customHeight="1" x14ac:dyDescent="0.15">
      <c r="A20" s="16" t="str">
        <f t="shared" ref="A20:A23" ca="1" si="15">B20&amp;"_"&amp;C20&amp;"-"&amp;G20&amp;"/"&amp;L20&amp;"&lt;lv"&amp;R20&amp;"&gt;s"&amp;AC20</f>
        <v>11017_1-4/106&lt;lv30&gt;s2</v>
      </c>
      <c r="B20" s="104">
        <v>11017</v>
      </c>
      <c r="C20" s="105">
        <v>1</v>
      </c>
      <c r="D20" s="105" t="str">
        <f t="shared" ref="D20:D23" si="16">B20&amp;"_"&amp;C20</f>
        <v>11017_1</v>
      </c>
      <c r="E20" s="106" t="str">
        <f ca="1">VLOOKUP($B20,OFFSET([2]quests!$A$1,0,0,COUNTA([2]quests!$A:$A),MATCH(E$1,[2]quests!$1:$1,0)-MATCH($B$1,[2]quests!$1:$1,0)+1),MATCH(E$1,[2]quests!$1:$1,0)-MATCH($B$1,[2]quests!$1:$1,0)+1,FALSE)</f>
        <v>【期間限定】リトルハンプティを追え！</v>
      </c>
      <c r="F20" s="106" t="str">
        <f ca="1">VLOOKUP($D20,OFFSET([2]stages!$A$1,0,0,COUNTA([2]stages!$A:$A),MATCH(F$1,[2]stages!$2:$2,0)-MATCH($D$1,[2]stages!$2:$2,0)+1),MATCH(F$1,[2]stages!$2:$2,0)-MATCH($D$1,[2]stages!$2:$2,0)+1,FALSE)</f>
        <v>【上級】リトルハンプティを追え！</v>
      </c>
      <c r="G20" s="105">
        <v>4</v>
      </c>
      <c r="H20" s="107" t="str">
        <f t="shared" ref="H20:H23" si="17">B20&amp;"_"&amp;C20&amp;"-"&amp;G20</f>
        <v>11017_1-4</v>
      </c>
      <c r="I20" s="106">
        <f ca="1">VLOOKUP($H20,OFFSET(floors!$A$1,0,0,COUNTA(floors!$A:$A),MATCH(I$1,floors!$1:$1,0)-MATCH($H$1,floors!$1:$1,0)+1),MATCH(I$1,floors!$1:$1,0)-MATCH($H$1,floors!$1:$1,0)+1,FALSE)</f>
        <v>60</v>
      </c>
      <c r="J20" s="106">
        <f ca="1">VLOOKUP($H20,OFFSET(floors!$A$1,0,0,COUNTA(floors!$A:$A),MATCH(J$1,floors!$1:$1,0)-MATCH($H$1,floors!$1:$1,0)+1),MATCH(J$1,floors!$1:$1,0)-MATCH($H$1,floors!$1:$1,0)+1,FALSE)</f>
        <v>60</v>
      </c>
      <c r="K20" s="108" t="s">
        <v>53</v>
      </c>
      <c r="L20" s="105">
        <v>106</v>
      </c>
      <c r="M20" s="109" t="str">
        <f ca="1">VLOOKUP($L20,OFFSET([3]enemies!$A$1,0,0,COUNTA([3]enemies!$A:$A),MATCH(M$1,[3]enemies!$1:$1,0)-MATCH($L$1,[3]enemies!$1:$1,0)+1),MATCH(M$1,[3]enemies!$1:$1,0)-MATCH($L$1,[3]enemies!$1:$1,0)+1,FALSE)</f>
        <v>グリーンラビット</v>
      </c>
      <c r="N20" s="109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09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109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09">
        <f ca="1">VLOOKUP($L20,OFFSET([3]enemies!$A$1,0,0,COUNTA([3]enemies!$A:$A),MATCH(Q$1,[3]enemies!$1:$1,0)-MATCH($L$1,[3]enemies!$1:$1,0)+1),MATCH(Q$1,[3]enemies!$1:$1,0)-MATCH($L$1,[3]enemies!$1:$1,0)+1,FALSE)</f>
        <v>15</v>
      </c>
      <c r="R20" s="110">
        <v>30</v>
      </c>
      <c r="S20" s="111">
        <v>1</v>
      </c>
      <c r="T20" s="102">
        <f ca="1">ROUND(VLOOKUP(R20,[3]enemy_base_stats!$A:$F,2,FALSE) *INDIRECT("[EnemyMasterData.xlsm]enemies!Y"&amp;(L20+1))*  INDIRECT("[EnemyMasterData.xlsm]enemies!J"&amp;(L20+1))* INDIRECT("[EnemyMasterData.xlsm]enemies!O"&amp;(L20+1))* INDIRECT("[EnemyMasterData.xlsm]enemies!E"&amp;(L20+1))* INDIRECT("[EnemyMasterData.xlsm]enemies!S"&amp;(L20+1))* INDIRECT("[EnemyMasterData.xlsm]enemies!AD"&amp;(L20+1))*[4]ステータス!$B$2,0)*S20</f>
        <v>8996</v>
      </c>
      <c r="U20" s="25">
        <v>1</v>
      </c>
      <c r="V20" s="102">
        <f ca="1">ROUND(VLOOKUP(R20,[3]enemy_base_stats!$A:$F,3,FALSE) *INDIRECT("[EnemyMasterData.xlsm]enemies!Z"&amp;(L20+1))*  INDIRECT("[EnemyMasterData.xlsm]enemies!K"&amp;(L20+1))* INDIRECT("[EnemyMasterData.xlsm]enemies!P"&amp;(L20+1))* INDIRECT("[EnemyMasterData.xlsm]enemies!F"&amp;(L20+1))* INDIRECT("[EnemyMasterData.xlsm]enemies!T"&amp;(L20+1))* INDIRECT("[EnemyMasterData.xlsm]enemies!AE"&amp;(L20+1))*[4]ステータス!$C$2,0)*U20</f>
        <v>2315</v>
      </c>
      <c r="W20" s="5">
        <v>0</v>
      </c>
      <c r="X20" s="4" t="str">
        <f ca="1">VLOOKUP($Y20,OFFSET([5]enemy_skill_sets!$B$1,0,0,COUNTA([5]enemy_skill_sets!$B:$B),MATCH(M$1,[5]enemy_skill_sets!$1:$1,0)-MATCH($Y$1,[5]enemy_skill_sets!$1:$1,0)+2),MATCH(M$1,[5]enemy_skill_sets!$1:$1,0)-MATCH($Y$1,[5]enemy_skill_sets!$1:$1,0)+2,FALSE)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0" s="4">
        <f ca="1">VLOOKUP($L20,OFFSET([3]enemies!$A$1,0,0,COUNTA([3]enemies!$A:$A),MATCH(Y$1,[3]enemies!$1:$1,0)-MATCH($L$1,[3]enemies!$1:$1,0)+1),MATCH(Y$1,[3]enemies!$1:$1,0)-MATCH($L$1,[3]enemies!$1:$1,0)+1,FALSE)</f>
        <v>0</v>
      </c>
      <c r="Z20" s="6">
        <v>0</v>
      </c>
      <c r="AA20" s="6">
        <v>100</v>
      </c>
      <c r="AB20" s="6">
        <v>0</v>
      </c>
      <c r="AC20" s="17">
        <f ca="1">VLOOKUP($L20,OFFSET([3]enemies!$A$1,0,0,COUNTA([3]enemies!$A:$A),MATCH(AC$1,[3]enemies!$1:$1,0)-MATCH($L$1,[3]enemies!$1:$1,0)+1),MATCH(AC$1,[3]enemies!$1:$1,0)-MATCH($L$1,[3]enemies!$1:$1,0)+1,FALSE)</f>
        <v>2</v>
      </c>
      <c r="AD20" s="24">
        <f t="shared" ref="AD20:AD23" si="18">L20</f>
        <v>106</v>
      </c>
      <c r="AE20" s="4" t="str">
        <f ca="1">VLOOKUP($AD20,OFFSET([4]characters!$A$1,0,0,COUNTA([4]characters!$A:$A),MATCH(AE$1,[4]characters!$1:$1,0)-MATCH("character_id",[4]characters!$1:$1,0)+1),MATCH(AE$1,[4]characters!$1:$1,0)-MATCH("character_id",[4]characters!$1:$1,0)+1,FALSE)</f>
        <v>グリーンラビット</v>
      </c>
      <c r="AF20" s="4">
        <f ca="1">VLOOKUP($AD20,OFFSET([4]characters!$A$1,0,0,COUNTA([4]characters!$A:$A),MATCH(AF$1,[4]characters!$1:$1,0)-MATCH("character_id",[4]characters!$1:$1,0)+1),MATCH(AF$1,[4]characters!$1:$1,0)-MATCH("character_id",[4]characters!$1:$1,0)+1,FALSE)</f>
        <v>3</v>
      </c>
      <c r="AG20" s="4" t="str">
        <f ca="1">VLOOKUP($AD20,OFFSET([4]characters!$A$1,0,0,COUNTA([4]characters!$A:$A),MATCH(AG$1,[4]characters!$1:$1,0)-MATCH("character_id",[4]characters!$1:$1,0)+1),MATCH(AG$1,[4]characters!$1:$1,0)-MATCH("character_id",[4]characters!$1:$1,0)+1,FALSE)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0" s="7">
        <v>1</v>
      </c>
      <c r="AI20" s="24">
        <f t="shared" ref="AI20:AI23" ca="1" si="19">AF20</f>
        <v>3</v>
      </c>
      <c r="AJ20" s="8">
        <v>10</v>
      </c>
      <c r="AK20" s="7">
        <v>0</v>
      </c>
      <c r="AL20" s="7">
        <v>0</v>
      </c>
      <c r="AM20" s="7">
        <v>0</v>
      </c>
      <c r="AN20" s="7">
        <v>0</v>
      </c>
      <c r="AO20" s="7">
        <v>1</v>
      </c>
      <c r="AP20" s="69">
        <v>1</v>
      </c>
    </row>
    <row r="21" spans="1:42" ht="21" customHeight="1" x14ac:dyDescent="0.15">
      <c r="A21" s="16" t="str">
        <f t="shared" ca="1" si="15"/>
        <v>11017_1-4/107&lt;lv30&gt;s1</v>
      </c>
      <c r="B21" s="104">
        <v>11017</v>
      </c>
      <c r="C21" s="105">
        <v>1</v>
      </c>
      <c r="D21" s="105" t="str">
        <f t="shared" si="16"/>
        <v>11017_1</v>
      </c>
      <c r="E21" s="106" t="str">
        <f ca="1">VLOOKUP($B21,OFFSET([2]quests!$A$1,0,0,COUNTA([2]quests!$A:$A),MATCH(E$1,[2]quests!$1:$1,0)-MATCH($B$1,[2]quests!$1:$1,0)+1),MATCH(E$1,[2]quests!$1:$1,0)-MATCH($B$1,[2]quests!$1:$1,0)+1,FALSE)</f>
        <v>【期間限定】リトルハンプティを追え！</v>
      </c>
      <c r="F21" s="106" t="str">
        <f ca="1">VLOOKUP($D21,OFFSET([2]stages!$A$1,0,0,COUNTA([2]stages!$A:$A),MATCH(F$1,[2]stages!$2:$2,0)-MATCH($D$1,[2]stages!$2:$2,0)+1),MATCH(F$1,[2]stages!$2:$2,0)-MATCH($D$1,[2]stages!$2:$2,0)+1,FALSE)</f>
        <v>【上級】リトルハンプティを追え！</v>
      </c>
      <c r="G21" s="105">
        <v>4</v>
      </c>
      <c r="H21" s="107" t="str">
        <f t="shared" si="17"/>
        <v>11017_1-4</v>
      </c>
      <c r="I21" s="106">
        <f ca="1">VLOOKUP($H21,OFFSET(floors!$A$1,0,0,COUNTA(floors!$A:$A),MATCH(I$1,floors!$1:$1,0)-MATCH($H$1,floors!$1:$1,0)+1),MATCH(I$1,floors!$1:$1,0)-MATCH($H$1,floors!$1:$1,0)+1,FALSE)</f>
        <v>60</v>
      </c>
      <c r="J21" s="106">
        <f ca="1">VLOOKUP($H21,OFFSET(floors!$A$1,0,0,COUNTA(floors!$A:$A),MATCH(J$1,floors!$1:$1,0)-MATCH($H$1,floors!$1:$1,0)+1),MATCH(J$1,floors!$1:$1,0)-MATCH($H$1,floors!$1:$1,0)+1,FALSE)</f>
        <v>60</v>
      </c>
      <c r="K21" s="108" t="s">
        <v>53</v>
      </c>
      <c r="L21" s="105">
        <v>107</v>
      </c>
      <c r="M21" s="109" t="str">
        <f ca="1">VLOOKUP($L21,OFFSET([3]enemies!$A$1,0,0,COUNTA([3]enemies!$A:$A),MATCH(M$1,[3]enemies!$1:$1,0)-MATCH($L$1,[3]enemies!$1:$1,0)+1),MATCH(M$1,[3]enemies!$1:$1,0)-MATCH($L$1,[3]enemies!$1:$1,0)+1,FALSE)</f>
        <v>グリーンキャタップ</v>
      </c>
      <c r="N21" s="109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09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109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09">
        <f ca="1">VLOOKUP($L21,OFFSET([3]enemies!$A$1,0,0,COUNTA([3]enemies!$A:$A),MATCH(Q$1,[3]enemies!$1:$1,0)-MATCH($L$1,[3]enemies!$1:$1,0)+1),MATCH(Q$1,[3]enemies!$1:$1,0)-MATCH($L$1,[3]enemies!$1:$1,0)+1,FALSE)</f>
        <v>15</v>
      </c>
      <c r="R21" s="110">
        <v>30</v>
      </c>
      <c r="S21" s="111">
        <v>2</v>
      </c>
      <c r="T21" s="102">
        <f ca="1">ROUND(VLOOKUP(R21,[3]enemy_base_stats!$A:$F,2,FALSE) *INDIRECT("[EnemyMasterData.xlsm]enemies!Y"&amp;(L21+1))*  INDIRECT("[EnemyMasterData.xlsm]enemies!J"&amp;(L21+1))* INDIRECT("[EnemyMasterData.xlsm]enemies!O"&amp;(L21+1))* INDIRECT("[EnemyMasterData.xlsm]enemies!E"&amp;(L21+1))* INDIRECT("[EnemyMasterData.xlsm]enemies!S"&amp;(L21+1))* INDIRECT("[EnemyMasterData.xlsm]enemies!AD"&amp;(L21+1))*[4]ステータス!$B$2,0)*S21</f>
        <v>23134</v>
      </c>
      <c r="U21" s="25">
        <v>1</v>
      </c>
      <c r="V21" s="102">
        <f ca="1">ROUND(VLOOKUP(R21,[3]enemy_base_stats!$A:$F,3,FALSE) *INDIRECT("[EnemyMasterData.xlsm]enemies!Z"&amp;(L21+1))*  INDIRECT("[EnemyMasterData.xlsm]enemies!K"&amp;(L21+1))* INDIRECT("[EnemyMasterData.xlsm]enemies!P"&amp;(L21+1))* INDIRECT("[EnemyMasterData.xlsm]enemies!F"&amp;(L21+1))* INDIRECT("[EnemyMasterData.xlsm]enemies!T"&amp;(L21+1))* INDIRECT("[EnemyMasterData.xlsm]enemies!AE"&amp;(L21+1))*[4]ステータス!$C$2,0)*U21</f>
        <v>2315</v>
      </c>
      <c r="W21" s="5">
        <v>0</v>
      </c>
      <c r="X21" s="4" t="str">
        <f ca="1">VLOOKUP($Y21,OFFSET([5]enemy_skill_sets!$B$1,0,0,COUNTA([5]enemy_skill_sets!$B:$B),MATCH(M$1,[5]enemy_skill_sets!$1:$1,0)-MATCH($Y$1,[5]enemy_skill_sets!$1:$1,0)+2),MATCH(M$1,[5]enemy_skill_sets!$1:$1,0)-MATCH($Y$1,[5]enemy_skill_sets!$1:$1,0)+2,FALSE)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1" s="4">
        <f ca="1">VLOOKUP($L21,OFFSET([3]enemies!$A$1,0,0,COUNTA([3]enemies!$A:$A),MATCH(Y$1,[3]enemies!$1:$1,0)-MATCH($L$1,[3]enemies!$1:$1,0)+1),MATCH(Y$1,[3]enemies!$1:$1,0)-MATCH($L$1,[3]enemies!$1:$1,0)+1,FALSE)</f>
        <v>0</v>
      </c>
      <c r="Z21" s="6">
        <v>0</v>
      </c>
      <c r="AA21" s="6">
        <v>100</v>
      </c>
      <c r="AB21" s="6">
        <v>2</v>
      </c>
      <c r="AC21" s="17">
        <f ca="1">VLOOKUP($L21,OFFSET([3]enemies!$A$1,0,0,COUNTA([3]enemies!$A:$A),MATCH(AC$1,[3]enemies!$1:$1,0)-MATCH($L$1,[3]enemies!$1:$1,0)+1),MATCH(AC$1,[3]enemies!$1:$1,0)-MATCH($L$1,[3]enemies!$1:$1,0)+1,FALSE)</f>
        <v>1</v>
      </c>
      <c r="AD21" s="24">
        <f t="shared" si="18"/>
        <v>107</v>
      </c>
      <c r="AE21" s="4" t="str">
        <f ca="1">VLOOKUP($AD21,OFFSET([4]characters!$A$1,0,0,COUNTA([4]characters!$A:$A),MATCH(AE$1,[4]characters!$1:$1,0)-MATCH("character_id",[4]characters!$1:$1,0)+1),MATCH(AE$1,[4]characters!$1:$1,0)-MATCH("character_id",[4]characters!$1:$1,0)+1,FALSE)</f>
        <v>グリーンキャタップ</v>
      </c>
      <c r="AF21" s="4">
        <f ca="1">VLOOKUP($AD21,OFFSET([4]characters!$A$1,0,0,COUNTA([4]characters!$A:$A),MATCH(AF$1,[4]characters!$1:$1,0)-MATCH("character_id",[4]characters!$1:$1,0)+1),MATCH(AF$1,[4]characters!$1:$1,0)-MATCH("character_id",[4]characters!$1:$1,0)+1,FALSE)</f>
        <v>4</v>
      </c>
      <c r="AG21" s="4" t="str">
        <f ca="1">VLOOKUP($AD21,OFFSET([4]characters!$A$1,0,0,COUNTA([4]characters!$A:$A),MATCH(AG$1,[4]characters!$1:$1,0)-MATCH("character_id",[4]characters!$1:$1,0)+1),MATCH(AG$1,[4]characters!$1:$1,0)-MATCH("character_id",[4]characters!$1:$1,0)+1,FALSE)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1" s="7">
        <v>1</v>
      </c>
      <c r="AI21" s="24">
        <f t="shared" ca="1" si="19"/>
        <v>4</v>
      </c>
      <c r="AJ21" s="8">
        <v>10</v>
      </c>
      <c r="AK21" s="7">
        <v>0</v>
      </c>
      <c r="AL21" s="7">
        <v>0</v>
      </c>
      <c r="AM21" s="7">
        <v>0</v>
      </c>
      <c r="AN21" s="7">
        <v>0</v>
      </c>
      <c r="AO21" s="7">
        <v>1</v>
      </c>
      <c r="AP21" s="69">
        <v>1</v>
      </c>
    </row>
    <row r="22" spans="1:42" ht="21" customHeight="1" x14ac:dyDescent="0.15">
      <c r="A22" s="16" t="str">
        <f t="shared" ca="1" si="15"/>
        <v>11017_1-4/336&lt;lv1&gt;s1</v>
      </c>
      <c r="B22" s="104">
        <v>11017</v>
      </c>
      <c r="C22" s="105">
        <v>1</v>
      </c>
      <c r="D22" s="105" t="str">
        <f t="shared" si="16"/>
        <v>11017_1</v>
      </c>
      <c r="E22" s="106" t="str">
        <f ca="1">VLOOKUP($B22,OFFSET([2]quests!$A$1,0,0,COUNTA([2]quests!$A:$A),MATCH(E$1,[2]quests!$1:$1,0)-MATCH($B$1,[2]quests!$1:$1,0)+1),MATCH(E$1,[2]quests!$1:$1,0)-MATCH($B$1,[2]quests!$1:$1,0)+1,FALSE)</f>
        <v>【期間限定】リトルハンプティを追え！</v>
      </c>
      <c r="F22" s="106" t="str">
        <f ca="1">VLOOKUP($D22,OFFSET([2]stages!$A$1,0,0,COUNTA([2]stages!$A:$A),MATCH(F$1,[2]stages!$2:$2,0)-MATCH($D$1,[2]stages!$2:$2,0)+1),MATCH(F$1,[2]stages!$2:$2,0)-MATCH($D$1,[2]stages!$2:$2,0)+1,FALSE)</f>
        <v>【上級】リトルハンプティを追え！</v>
      </c>
      <c r="G22" s="105">
        <v>4</v>
      </c>
      <c r="H22" s="107" t="str">
        <f t="shared" si="17"/>
        <v>11017_1-4</v>
      </c>
      <c r="I22" s="106">
        <f ca="1">VLOOKUP($H22,OFFSET(floors!$A$1,0,0,COUNTA(floors!$A:$A),MATCH(I$1,floors!$1:$1,0)-MATCH($H$1,floors!$1:$1,0)+1),MATCH(I$1,floors!$1:$1,0)-MATCH($H$1,floors!$1:$1,0)+1,FALSE)</f>
        <v>60</v>
      </c>
      <c r="J22" s="106">
        <f ca="1">VLOOKUP($H22,OFFSET(floors!$A$1,0,0,COUNTA(floors!$A:$A),MATCH(J$1,floors!$1:$1,0)-MATCH($H$1,floors!$1:$1,0)+1),MATCH(J$1,floors!$1:$1,0)-MATCH($H$1,floors!$1:$1,0)+1,FALSE)</f>
        <v>60</v>
      </c>
      <c r="K22" s="108" t="s">
        <v>53</v>
      </c>
      <c r="L22" s="105">
        <v>336</v>
      </c>
      <c r="M22" s="109" t="str">
        <f ca="1">VLOOKUP($L22,OFFSET([3]enemies!$A$1,0,0,COUNTA([3]enemies!$A:$A),MATCH(M$1,[3]enemies!$1:$1,0)-MATCH($L$1,[3]enemies!$1:$1,0)+1),MATCH(M$1,[3]enemies!$1:$1,0)-MATCH($L$1,[3]enemies!$1:$1,0)+1,FALSE)</f>
        <v>森のメタルピヨピヨ</v>
      </c>
      <c r="N22" s="109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09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109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09">
        <f ca="1">VLOOKUP($L22,OFFSET([3]enemies!$A$1,0,0,COUNTA([3]enemies!$A:$A),MATCH(Q$1,[3]enemies!$1:$1,0)-MATCH($L$1,[3]enemies!$1:$1,0)+1),MATCH(Q$1,[3]enemies!$1:$1,0)-MATCH($L$1,[3]enemies!$1:$1,0)+1,FALSE)</f>
        <v>15</v>
      </c>
      <c r="R22" s="110">
        <v>1</v>
      </c>
      <c r="S22" s="111">
        <v>1</v>
      </c>
      <c r="T22" s="102">
        <f ca="1">ROUND(VLOOKUP(R22,[3]enemy_base_stats!$A:$F,2,FALSE) *INDIRECT("[EnemyMasterData.xlsm]enemies!Y"&amp;(L22+1))*  INDIRECT("[EnemyMasterData.xlsm]enemies!J"&amp;(L22+1))* INDIRECT("[EnemyMasterData.xlsm]enemies!O"&amp;(L22+1))* INDIRECT("[EnemyMasterData.xlsm]enemies!E"&amp;(L22+1))* INDIRECT("[EnemyMasterData.xlsm]enemies!S"&amp;(L22+1))* INDIRECT("[EnemyMasterData.xlsm]enemies!AD"&amp;(L22+1))*[4]ステータス!$B$2,0)*S22</f>
        <v>8</v>
      </c>
      <c r="U22" s="25">
        <v>1</v>
      </c>
      <c r="V22" s="102">
        <f ca="1">ROUND(VLOOKUP(R22,[3]enemy_base_stats!$A:$F,3,FALSE) *INDIRECT("[EnemyMasterData.xlsm]enemies!Z"&amp;(L22+1))*  INDIRECT("[EnemyMasterData.xlsm]enemies!K"&amp;(L22+1))* INDIRECT("[EnemyMasterData.xlsm]enemies!P"&amp;(L22+1))* INDIRECT("[EnemyMasterData.xlsm]enemies!F"&amp;(L22+1))* INDIRECT("[EnemyMasterData.xlsm]enemies!T"&amp;(L22+1))* INDIRECT("[EnemyMasterData.xlsm]enemies!AE"&amp;(L22+1))*[4]ステータス!$C$2,0)*U22</f>
        <v>7</v>
      </c>
      <c r="W22" s="5">
        <v>0</v>
      </c>
      <c r="X22" s="4" t="str">
        <f ca="1">VLOOKUP($Y22,OFFSET([5]enemy_skill_sets!$B$1,0,0,COUNTA([5]enemy_skill_sets!$B:$B),MATCH(M$1,[5]enemy_skill_sets!$1:$1,0)-MATCH($Y$1,[5]enemy_skill_sets!$1:$1,0)+2),MATCH(M$1,[5]enemy_skill_sets!$1:$1,0)-MATCH($Y$1,[5]enemy_skill_sets!$1:$1,0)+2,FALSE)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2" s="4">
        <f ca="1">VLOOKUP($L22,OFFSET([3]enemies!$A$1,0,0,COUNTA([3]enemies!$A:$A),MATCH(Y$1,[3]enemies!$1:$1,0)-MATCH($L$1,[3]enemies!$1:$1,0)+1),MATCH(Y$1,[3]enemies!$1:$1,0)-MATCH($L$1,[3]enemies!$1:$1,0)+1,FALSE)</f>
        <v>0</v>
      </c>
      <c r="Z22" s="6">
        <v>0</v>
      </c>
      <c r="AA22" s="6">
        <v>30</v>
      </c>
      <c r="AB22" s="6">
        <v>0</v>
      </c>
      <c r="AC22" s="17">
        <f ca="1">VLOOKUP($L22,OFFSET([3]enemies!$A$1,0,0,COUNTA([3]enemies!$A:$A),MATCH(AC$1,[3]enemies!$1:$1,0)-MATCH($L$1,[3]enemies!$1:$1,0)+1),MATCH(AC$1,[3]enemies!$1:$1,0)-MATCH($L$1,[3]enemies!$1:$1,0)+1,FALSE)</f>
        <v>1</v>
      </c>
      <c r="AD22" s="24">
        <f t="shared" si="18"/>
        <v>336</v>
      </c>
      <c r="AE22" s="4" t="str">
        <f ca="1">VLOOKUP($AD22,OFFSET([4]characters!$A$1,0,0,COUNTA([4]characters!$A:$A),MATCH(AE$1,[4]characters!$1:$1,0)-MATCH("character_id",[4]characters!$1:$1,0)+1),MATCH(AE$1,[4]characters!$1:$1,0)-MATCH("character_id",[4]characters!$1:$1,0)+1,FALSE)</f>
        <v>森のメタルピヨピヨ</v>
      </c>
      <c r="AF22" s="4">
        <f ca="1">VLOOKUP($AD22,OFFSET([4]characters!$A$1,0,0,COUNTA([4]characters!$A:$A),MATCH(AF$1,[4]characters!$1:$1,0)-MATCH("character_id",[4]characters!$1:$1,0)+1),MATCH(AF$1,[4]characters!$1:$1,0)-MATCH("character_id",[4]characters!$1:$1,0)+1,FALSE)</f>
        <v>3</v>
      </c>
      <c r="AG22" s="4" t="str">
        <f ca="1">VLOOKUP($AD22,OFFSET([4]characters!$A$1,0,0,COUNTA([4]characters!$A:$A),MATCH(AG$1,[4]characters!$1:$1,0)-MATCH("character_id",[4]characters!$1:$1,0)+1),MATCH(AG$1,[4]characters!$1:$1,0)-MATCH("character_id",[4]characters!$1:$1,0)+1,FALSE)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2" s="7">
        <v>1</v>
      </c>
      <c r="AI22" s="24">
        <f t="shared" ca="1" si="19"/>
        <v>3</v>
      </c>
      <c r="AJ22" s="8">
        <v>10</v>
      </c>
      <c r="AK22" s="7">
        <v>0</v>
      </c>
      <c r="AL22" s="7">
        <v>0</v>
      </c>
      <c r="AM22" s="7">
        <v>0</v>
      </c>
      <c r="AN22" s="7">
        <v>0</v>
      </c>
      <c r="AO22" s="7">
        <v>1</v>
      </c>
      <c r="AP22" s="69">
        <v>1</v>
      </c>
    </row>
    <row r="23" spans="1:42" ht="21" customHeight="1" x14ac:dyDescent="0.15">
      <c r="A23" s="16" t="str">
        <f t="shared" ca="1" si="15"/>
        <v>11017_1-4/337&lt;lv1&gt;s2</v>
      </c>
      <c r="B23" s="104">
        <v>11017</v>
      </c>
      <c r="C23" s="105">
        <v>1</v>
      </c>
      <c r="D23" s="105" t="str">
        <f t="shared" si="16"/>
        <v>11017_1</v>
      </c>
      <c r="E23" s="106" t="str">
        <f ca="1">VLOOKUP($B23,OFFSET([2]quests!$A$1,0,0,COUNTA([2]quests!$A:$A),MATCH(E$1,[2]quests!$1:$1,0)-MATCH($B$1,[2]quests!$1:$1,0)+1),MATCH(E$1,[2]quests!$1:$1,0)-MATCH($B$1,[2]quests!$1:$1,0)+1,FALSE)</f>
        <v>【期間限定】リトルハンプティを追え！</v>
      </c>
      <c r="F23" s="106" t="str">
        <f ca="1">VLOOKUP($D23,OFFSET([2]stages!$A$1,0,0,COUNTA([2]stages!$A:$A),MATCH(F$1,[2]stages!$2:$2,0)-MATCH($D$1,[2]stages!$2:$2,0)+1),MATCH(F$1,[2]stages!$2:$2,0)-MATCH($D$1,[2]stages!$2:$2,0)+1,FALSE)</f>
        <v>【上級】リトルハンプティを追え！</v>
      </c>
      <c r="G23" s="105">
        <v>4</v>
      </c>
      <c r="H23" s="107" t="str">
        <f t="shared" si="17"/>
        <v>11017_1-4</v>
      </c>
      <c r="I23" s="106">
        <f ca="1">VLOOKUP($H23,OFFSET(floors!$A$1,0,0,COUNTA(floors!$A:$A),MATCH(I$1,floors!$1:$1,0)-MATCH($H$1,floors!$1:$1,0)+1),MATCH(I$1,floors!$1:$1,0)-MATCH($H$1,floors!$1:$1,0)+1,FALSE)</f>
        <v>60</v>
      </c>
      <c r="J23" s="106">
        <f ca="1">VLOOKUP($H23,OFFSET(floors!$A$1,0,0,COUNTA(floors!$A:$A),MATCH(J$1,floors!$1:$1,0)-MATCH($H$1,floors!$1:$1,0)+1),MATCH(J$1,floors!$1:$1,0)-MATCH($H$1,floors!$1:$1,0)+1,FALSE)</f>
        <v>60</v>
      </c>
      <c r="K23" s="108" t="s">
        <v>53</v>
      </c>
      <c r="L23" s="105">
        <v>337</v>
      </c>
      <c r="M23" s="109" t="str">
        <f ca="1">VLOOKUP($L23,OFFSET([3]enemies!$A$1,0,0,COUNTA([3]enemies!$A:$A),MATCH(M$1,[3]enemies!$1:$1,0)-MATCH($L$1,[3]enemies!$1:$1,0)+1),MATCH(M$1,[3]enemies!$1:$1,0)-MATCH($L$1,[3]enemies!$1:$1,0)+1,FALSE)</f>
        <v>森のメタルチック</v>
      </c>
      <c r="N23" s="109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09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109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09">
        <f ca="1">VLOOKUP($L23,OFFSET([3]enemies!$A$1,0,0,COUNTA([3]enemies!$A:$A),MATCH(Q$1,[3]enemies!$1:$1,0)-MATCH($L$1,[3]enemies!$1:$1,0)+1),MATCH(Q$1,[3]enemies!$1:$1,0)-MATCH($L$1,[3]enemies!$1:$1,0)+1,FALSE)</f>
        <v>15</v>
      </c>
      <c r="R23" s="110">
        <v>1</v>
      </c>
      <c r="S23" s="111">
        <v>1</v>
      </c>
      <c r="T23" s="102">
        <f ca="1">ROUND(VLOOKUP(R23,[3]enemy_base_stats!$A:$F,2,FALSE) *INDIRECT("[EnemyMasterData.xlsm]enemies!Y"&amp;(L23+1))*  INDIRECT("[EnemyMasterData.xlsm]enemies!J"&amp;(L23+1))* INDIRECT("[EnemyMasterData.xlsm]enemies!O"&amp;(L23+1))* INDIRECT("[EnemyMasterData.xlsm]enemies!E"&amp;(L23+1))* INDIRECT("[EnemyMasterData.xlsm]enemies!S"&amp;(L23+1))* INDIRECT("[EnemyMasterData.xlsm]enemies!AD"&amp;(L23+1))*[4]ステータス!$B$2,0)*S23</f>
        <v>15</v>
      </c>
      <c r="U23" s="25">
        <v>1</v>
      </c>
      <c r="V23" s="102">
        <f ca="1">ROUND(VLOOKUP(R23,[3]enemy_base_stats!$A:$F,3,FALSE) *INDIRECT("[EnemyMasterData.xlsm]enemies!Z"&amp;(L23+1))*  INDIRECT("[EnemyMasterData.xlsm]enemies!K"&amp;(L23+1))* INDIRECT("[EnemyMasterData.xlsm]enemies!P"&amp;(L23+1))* INDIRECT("[EnemyMasterData.xlsm]enemies!F"&amp;(L23+1))* INDIRECT("[EnemyMasterData.xlsm]enemies!T"&amp;(L23+1))* INDIRECT("[EnemyMasterData.xlsm]enemies!AE"&amp;(L23+1))*[4]ステータス!$C$2,0)*U23</f>
        <v>7</v>
      </c>
      <c r="W23" s="5">
        <v>0</v>
      </c>
      <c r="X23" s="4" t="str">
        <f ca="1">VLOOKUP($Y23,OFFSET([5]enemy_skill_sets!$B$1,0,0,COUNTA([5]enemy_skill_sets!$B:$B),MATCH(M$1,[5]enemy_skill_sets!$1:$1,0)-MATCH($Y$1,[5]enemy_skill_sets!$1:$1,0)+2),MATCH(M$1,[5]enemy_skill_sets!$1:$1,0)-MATCH($Y$1,[5]enemy_skill_sets!$1:$1,0)+2,FALSE)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3" s="4">
        <f ca="1">VLOOKUP($L23,OFFSET([3]enemies!$A$1,0,0,COUNTA([3]enemies!$A:$A),MATCH(Y$1,[3]enemies!$1:$1,0)-MATCH($L$1,[3]enemies!$1:$1,0)+1),MATCH(Y$1,[3]enemies!$1:$1,0)-MATCH($L$1,[3]enemies!$1:$1,0)+1,FALSE)</f>
        <v>0</v>
      </c>
      <c r="Z23" s="6">
        <v>0</v>
      </c>
      <c r="AA23" s="6">
        <v>30</v>
      </c>
      <c r="AB23" s="6">
        <v>0</v>
      </c>
      <c r="AC23" s="17">
        <f ca="1">VLOOKUP($L23,OFFSET([3]enemies!$A$1,0,0,COUNTA([3]enemies!$A:$A),MATCH(AC$1,[3]enemies!$1:$1,0)-MATCH($L$1,[3]enemies!$1:$1,0)+1),MATCH(AC$1,[3]enemies!$1:$1,0)-MATCH($L$1,[3]enemies!$1:$1,0)+1,FALSE)</f>
        <v>2</v>
      </c>
      <c r="AD23" s="24">
        <f t="shared" si="18"/>
        <v>337</v>
      </c>
      <c r="AE23" s="4" t="str">
        <f ca="1">VLOOKUP($AD23,OFFSET([4]characters!$A$1,0,0,COUNTA([4]characters!$A:$A),MATCH(AE$1,[4]characters!$1:$1,0)-MATCH("character_id",[4]characters!$1:$1,0)+1),MATCH(AE$1,[4]characters!$1:$1,0)-MATCH("character_id",[4]characters!$1:$1,0)+1,FALSE)</f>
        <v>森のメタルチック</v>
      </c>
      <c r="AF23" s="4">
        <f ca="1">VLOOKUP($AD23,OFFSET([4]characters!$A$1,0,0,COUNTA([4]characters!$A:$A),MATCH(AF$1,[4]characters!$1:$1,0)-MATCH("character_id",[4]characters!$1:$1,0)+1),MATCH(AF$1,[4]characters!$1:$1,0)-MATCH("character_id",[4]characters!$1:$1,0)+1,FALSE)</f>
        <v>4</v>
      </c>
      <c r="AG23" s="4" t="str">
        <f ca="1">VLOOKUP($AD23,OFFSET([4]characters!$A$1,0,0,COUNTA([4]characters!$A:$A),MATCH(AG$1,[4]characters!$1:$1,0)-MATCH("character_id",[4]characters!$1:$1,0)+1),MATCH(AG$1,[4]characters!$1:$1,0)-MATCH("character_id",[4]characters!$1:$1,0)+1,FALSE)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3" s="7">
        <v>1</v>
      </c>
      <c r="AI23" s="24">
        <f t="shared" ca="1" si="19"/>
        <v>4</v>
      </c>
      <c r="AJ23" s="8">
        <v>5</v>
      </c>
      <c r="AK23" s="7">
        <v>0</v>
      </c>
      <c r="AL23" s="7">
        <v>0</v>
      </c>
      <c r="AM23" s="7">
        <v>0</v>
      </c>
      <c r="AN23" s="7">
        <v>0</v>
      </c>
      <c r="AO23" s="7">
        <v>1</v>
      </c>
      <c r="AP23" s="69">
        <v>1</v>
      </c>
    </row>
    <row r="24" spans="1:42" ht="21" customHeight="1" x14ac:dyDescent="0.15">
      <c r="A24" s="16" t="str">
        <f ca="1">B24&amp;"_"&amp;C24&amp;"-"&amp;G24&amp;"/"&amp;L24&amp;"&lt;lv"&amp;R24&amp;"&gt;s"&amp;AC24</f>
        <v>11017_1-5/837&lt;lv30&gt;s3</v>
      </c>
      <c r="B24" s="112">
        <v>11017</v>
      </c>
      <c r="C24" s="113">
        <v>1</v>
      </c>
      <c r="D24" s="113" t="str">
        <f>B24&amp;"_"&amp;C24</f>
        <v>11017_1</v>
      </c>
      <c r="E24" s="114" t="str">
        <f ca="1">VLOOKUP($B24,OFFSET([2]quests!$A$1,0,0,COUNTA([2]quests!$A:$A),MATCH(E$1,[2]quests!$1:$1,0)-MATCH($B$1,[2]quests!$1:$1,0)+1),MATCH(E$1,[2]quests!$1:$1,0)-MATCH($B$1,[2]quests!$1:$1,0)+1,FALSE)</f>
        <v>【期間限定】リトルハンプティを追え！</v>
      </c>
      <c r="F24" s="114" t="str">
        <f ca="1">VLOOKUP($D24,OFFSET([2]stages!$A$1,0,0,COUNTA([2]stages!$A:$A),MATCH(F$1,[2]stages!$2:$2,0)-MATCH($D$1,[2]stages!$2:$2,0)+1),MATCH(F$1,[2]stages!$2:$2,0)-MATCH($D$1,[2]stages!$2:$2,0)+1,FALSE)</f>
        <v>【上級】リトルハンプティを追え！</v>
      </c>
      <c r="G24" s="113">
        <v>5</v>
      </c>
      <c r="H24" s="115" t="str">
        <f>B24&amp;"_"&amp;C24&amp;"-"&amp;G24</f>
        <v>11017_1-5</v>
      </c>
      <c r="I24" s="114">
        <f ca="1">VLOOKUP($H24,OFFSET(floors!$A$1,0,0,COUNTA(floors!$A:$A),MATCH(I$1,floors!$1:$1,0)-MATCH($H$1,floors!$1:$1,0)+1),MATCH(I$1,floors!$1:$1,0)-MATCH($H$1,floors!$1:$1,0)+1,FALSE)</f>
        <v>60</v>
      </c>
      <c r="J24" s="114">
        <f ca="1">VLOOKUP($H24,OFFSET(floors!$A$1,0,0,COUNTA(floors!$A:$A),MATCH(J$1,floors!$1:$1,0)-MATCH($H$1,floors!$1:$1,0)+1),MATCH(J$1,floors!$1:$1,0)-MATCH($H$1,floors!$1:$1,0)+1,FALSE)</f>
        <v>60</v>
      </c>
      <c r="K24" s="116" t="s">
        <v>53</v>
      </c>
      <c r="L24" s="113">
        <v>837</v>
      </c>
      <c r="M24" s="117" t="str">
        <f ca="1">VLOOKUP($L24,OFFSET([3]enemies!$A$1,0,0,COUNTA([3]enemies!$A:$A),MATCH(M$1,[3]enemies!$1:$1,0)-MATCH($L$1,[3]enemies!$1:$1,0)+1),MATCH(M$1,[3]enemies!$1:$1,0)-MATCH($L$1,[3]enemies!$1:$1,0)+1,FALSE)</f>
        <v>リトルハンプティ</v>
      </c>
      <c r="N24" s="117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17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117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17">
        <f ca="1">VLOOKUP($L24,OFFSET([3]enemies!$A$1,0,0,COUNTA([3]enemies!$A:$A),MATCH(Q$1,[3]enemies!$1:$1,0)-MATCH($L$1,[3]enemies!$1:$1,0)+1),MATCH(Q$1,[3]enemies!$1:$1,0)-MATCH($L$1,[3]enemies!$1:$1,0)+1,FALSE)</f>
        <v>60</v>
      </c>
      <c r="R24" s="118">
        <v>30</v>
      </c>
      <c r="S24" s="119">
        <v>1</v>
      </c>
      <c r="T24" s="102">
        <f ca="1">ROUND(VLOOKUP(R24,[3]enemy_base_stats!$A:$F,2,FALSE) *INDIRECT("[EnemyMasterData.xlsm]enemies!Y"&amp;(L24+1))*  INDIRECT("[EnemyMasterData.xlsm]enemies!J"&amp;(L24+1))* INDIRECT("[EnemyMasterData.xlsm]enemies!O"&amp;(L24+1))* INDIRECT("[EnemyMasterData.xlsm]enemies!E"&amp;(L24+1))* INDIRECT("[EnemyMasterData.xlsm]enemies!S"&amp;(L24+1))* INDIRECT("[EnemyMasterData.xlsm]enemies!AD"&amp;(L24+1))*[4]ステータス!$B$2,0)*S24</f>
        <v>5248</v>
      </c>
      <c r="U24" s="25">
        <v>30</v>
      </c>
      <c r="V24" s="102">
        <f ca="1">ROUND(VLOOKUP(R24,[3]enemy_base_stats!$A:$F,3,FALSE) *INDIRECT("[EnemyMasterData.xlsm]enemies!Z"&amp;(L24+1))*  INDIRECT("[EnemyMasterData.xlsm]enemies!K"&amp;(L24+1))* INDIRECT("[EnemyMasterData.xlsm]enemies!P"&amp;(L24+1))* INDIRECT("[EnemyMasterData.xlsm]enemies!F"&amp;(L24+1))* INDIRECT("[EnemyMasterData.xlsm]enemies!T"&amp;(L24+1))* INDIRECT("[EnemyMasterData.xlsm]enemies!AE"&amp;(L24+1))*[4]ステータス!$C$2,0)*U24</f>
        <v>5220</v>
      </c>
      <c r="W24" s="5">
        <v>0</v>
      </c>
      <c r="X24" s="4" t="str">
        <f ca="1">VLOOKUP($Y24,OFFSET([5]enemy_skill_sets!$B$1,0,0,COUNTA([5]enemy_skill_sets!$B:$B),MATCH(M$1,[5]enemy_skill_sets!$1:$1,0)-MATCH($Y$1,[5]enemy_skill_sets!$1:$1,0)+2),MATCH(M$1,[5]enemy_skill_sets!$1:$1,0)-MATCH($Y$1,[5]enemy_skill_sets!$1:$1,0)+2,FALSE)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4" s="4">
        <f ca="1">VLOOKUP($L24,OFFSET([3]enemies!$A$1,0,0,COUNTA([3]enemies!$A:$A),MATCH(Y$1,[3]enemies!$1:$1,0)-MATCH($L$1,[3]enemies!$1:$1,0)+1),MATCH(Y$1,[3]enemies!$1:$1,0)-MATCH($L$1,[3]enemies!$1:$1,0)+1,FALSE)</f>
        <v>0</v>
      </c>
      <c r="Z24" s="6">
        <v>0</v>
      </c>
      <c r="AA24" s="6">
        <v>50</v>
      </c>
      <c r="AB24" s="6">
        <v>1</v>
      </c>
      <c r="AC24" s="17">
        <f ca="1">VLOOKUP($L24,OFFSET([3]enemies!$A$1,0,0,COUNTA([3]enemies!$A:$A),MATCH(AC$1,[3]enemies!$1:$1,0)-MATCH($L$1,[3]enemies!$1:$1,0)+1),MATCH(AC$1,[3]enemies!$1:$1,0)-MATCH($L$1,[3]enemies!$1:$1,0)+1,FALSE)</f>
        <v>3</v>
      </c>
      <c r="AD24" s="24">
        <f>L24</f>
        <v>837</v>
      </c>
      <c r="AE24" s="4" t="str">
        <f ca="1">VLOOKUP($AD24,OFFSET([4]characters!$A$1,0,0,COUNTA([4]characters!$A:$A),MATCH(AE$1,[4]characters!$1:$1,0)-MATCH("character_id",[4]characters!$1:$1,0)+1),MATCH(AE$1,[4]characters!$1:$1,0)-MATCH("character_id",[4]characters!$1:$1,0)+1,FALSE)</f>
        <v>リトルハンプティ</v>
      </c>
      <c r="AF24" s="4">
        <f ca="1">VLOOKUP($AD24,OFFSET([4]characters!$A$1,0,0,COUNTA([4]characters!$A:$A),MATCH(AF$1,[4]characters!$1:$1,0)-MATCH("character_id",[4]characters!$1:$1,0)+1),MATCH(AF$1,[4]characters!$1:$1,0)-MATCH("character_id",[4]characters!$1:$1,0)+1,FALSE)</f>
        <v>6</v>
      </c>
      <c r="AG24" s="4" t="str">
        <f ca="1">VLOOKUP($AD24,OFFSET([4]characters!$A$1,0,0,COUNTA([4]characters!$A:$A),MATCH(AG$1,[4]characters!$1:$1,0)-MATCH("character_id",[4]characters!$1:$1,0)+1),MATCH(AG$1,[4]characters!$1:$1,0)-MATCH("character_id",[4]characters!$1:$1,0)+1,FALSE)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4" s="7">
        <v>1</v>
      </c>
      <c r="AI24" s="24">
        <f ca="1">AF24</f>
        <v>6</v>
      </c>
      <c r="AJ24" s="121">
        <v>70</v>
      </c>
      <c r="AK24" s="7">
        <v>0</v>
      </c>
      <c r="AL24" s="7">
        <v>0</v>
      </c>
      <c r="AM24" s="7">
        <v>0</v>
      </c>
      <c r="AN24" s="7">
        <v>0</v>
      </c>
      <c r="AO24" s="7">
        <v>1</v>
      </c>
      <c r="AP24" s="69">
        <v>1</v>
      </c>
    </row>
    <row r="25" spans="1:42" ht="21" customHeight="1" x14ac:dyDescent="0.15">
      <c r="A25" s="16" t="str">
        <f t="shared" ref="A25" ca="1" si="20">B25&amp;"_"&amp;C25&amp;"-"&amp;G25&amp;"/"&amp;L25&amp;"&lt;lv"&amp;R25&amp;"&gt;s"&amp;AC25</f>
        <v>11017_1-5/115&lt;lv30&gt;s2</v>
      </c>
      <c r="B25" s="22">
        <v>11017</v>
      </c>
      <c r="C25" s="21">
        <v>1</v>
      </c>
      <c r="D25" s="2" t="str">
        <f t="shared" ref="D25" si="21">B25&amp;"_"&amp;C25</f>
        <v>11017_1</v>
      </c>
      <c r="E25" s="4" t="str">
        <f ca="1">VLOOKUP($B25,OFFSET([2]quests!$A$1,0,0,COUNTA([2]quests!$A:$A),MATCH(E$1,[2]quests!$1:$1,0)-MATCH($B$1,[2]quests!$1:$1,0)+1),MATCH(E$1,[2]quests!$1:$1,0)-MATCH($B$1,[2]quests!$1:$1,0)+1,FALSE)</f>
        <v>【期間限定】リトルハンプティを追え！</v>
      </c>
      <c r="F25" s="4" t="str">
        <f ca="1">VLOOKUP($D25,OFFSET([2]stages!$A$1,0,0,COUNTA([2]stages!$A:$A),MATCH(F$1,[2]stages!$2:$2,0)-MATCH($D$1,[2]stages!$2:$2,0)+1),MATCH(F$1,[2]stages!$2:$2,0)-MATCH($D$1,[2]stages!$2:$2,0)+1,FALSE)</f>
        <v>【上級】リトルハンプティを追え！</v>
      </c>
      <c r="G25" s="21">
        <v>5</v>
      </c>
      <c r="H25" s="15" t="str">
        <f t="shared" ref="H25" si="22">B25&amp;"_"&amp;C25&amp;"-"&amp;G25</f>
        <v>11017_1-5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 t="s">
        <v>53</v>
      </c>
      <c r="L25" s="20">
        <v>115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イエローキャタップ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30</v>
      </c>
      <c r="S25" s="25">
        <v>2</v>
      </c>
      <c r="T25" s="102">
        <f ca="1">ROUND(VLOOKUP(R25,[3]enemy_base_stats!$A:$F,2,FALSE) *INDIRECT("[EnemyMasterData.xlsm]enemies!Y"&amp;(L25+1))*  INDIRECT("[EnemyMasterData.xlsm]enemies!J"&amp;(L25+1))* INDIRECT("[EnemyMasterData.xlsm]enemies!O"&amp;(L25+1))* INDIRECT("[EnemyMasterData.xlsm]enemies!E"&amp;(L25+1))* INDIRECT("[EnemyMasterData.xlsm]enemies!S"&amp;(L25+1))* INDIRECT("[EnemyMasterData.xlsm]enemies!AD"&amp;(L25+1))*[4]ステータス!$B$2,0)*S25</f>
        <v>22226</v>
      </c>
      <c r="U25" s="25">
        <v>1</v>
      </c>
      <c r="V25" s="102">
        <f ca="1">ROUND(VLOOKUP(R25,[3]enemy_base_stats!$A:$F,3,FALSE) *INDIRECT("[EnemyMasterData.xlsm]enemies!Z"&amp;(L25+1))*  INDIRECT("[EnemyMasterData.xlsm]enemies!K"&amp;(L25+1))* INDIRECT("[EnemyMasterData.xlsm]enemies!P"&amp;(L25+1))* INDIRECT("[EnemyMasterData.xlsm]enemies!F"&amp;(L25+1))* INDIRECT("[EnemyMasterData.xlsm]enemies!T"&amp;(L25+1))* INDIRECT("[EnemyMasterData.xlsm]enemies!AE"&amp;(L25+1))*[4]ステータス!$C$2,0)*U25</f>
        <v>2386</v>
      </c>
      <c r="W25" s="5">
        <v>0</v>
      </c>
      <c r="X25" s="4" t="str">
        <f ca="1">VLOOKUP($Y25,OFFSET([5]enemy_skill_sets!$B$1,0,0,COUNTA([5]enemy_skill_sets!$B:$B),MATCH(M$1,[5]enemy_skill_sets!$1:$1,0)-MATCH($Y$1,[5]enemy_skill_sets!$1:$1,0)+2),MATCH(M$1,[5]enemy_skill_sets!$1:$1,0)-MATCH($Y$1,[5]enemy_skill_sets!$1:$1,0)+2,FALSE)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5" s="4">
        <f ca="1">VLOOKUP($L25,OFFSET([3]enemies!$A$1,0,0,COUNTA([3]enemies!$A:$A),MATCH(Y$1,[3]enemies!$1:$1,0)-MATCH($L$1,[3]enemies!$1:$1,0)+1),MATCH(Y$1,[3]enemies!$1:$1,0)-MATCH($L$1,[3]enemies!$1:$1,0)+1,FALSE)</f>
        <v>0</v>
      </c>
      <c r="Z25" s="6">
        <v>0</v>
      </c>
      <c r="AA25" s="6">
        <v>100</v>
      </c>
      <c r="AB25" s="6">
        <v>0</v>
      </c>
      <c r="AC25" s="17">
        <f ca="1">VLOOKUP($L25,OFFSET([3]enemies!$A$1,0,0,COUNTA([3]enemies!$A:$A),MATCH(AC$1,[3]enemies!$1:$1,0)-MATCH($L$1,[3]enemies!$1:$1,0)+1),MATCH(AC$1,[3]enemies!$1:$1,0)-MATCH($L$1,[3]enemies!$1:$1,0)+1,FALSE)</f>
        <v>2</v>
      </c>
      <c r="AD25" s="24">
        <f t="shared" ref="AD25" si="23">L25</f>
        <v>115</v>
      </c>
      <c r="AE25" s="4" t="str">
        <f ca="1">VLOOKUP($AD25,OFFSET([4]characters!$A$1,0,0,COUNTA([4]characters!$A:$A),MATCH(AE$1,[4]characters!$1:$1,0)-MATCH("character_id",[4]characters!$1:$1,0)+1),MATCH(AE$1,[4]characters!$1:$1,0)-MATCH("character_id",[4]characters!$1:$1,0)+1,FALSE)</f>
        <v>イエローキャタップ</v>
      </c>
      <c r="AF25" s="4">
        <f ca="1">VLOOKUP($AD25,OFFSET([4]characters!$A$1,0,0,COUNTA([4]characters!$A:$A),MATCH(AF$1,[4]characters!$1:$1,0)-MATCH("character_id",[4]characters!$1:$1,0)+1),MATCH(AF$1,[4]characters!$1:$1,0)-MATCH("character_id",[4]characters!$1:$1,0)+1,FALSE)</f>
        <v>4</v>
      </c>
      <c r="AG25" s="4" t="str">
        <f ca="1">VLOOKUP($AD25,OFFSET([4]characters!$A$1,0,0,COUNTA([4]characters!$A:$A),MATCH(AG$1,[4]characters!$1:$1,0)-MATCH("character_id",[4]characters!$1:$1,0)+1),MATCH(AG$1,[4]characters!$1:$1,0)-MATCH("character_id",[4]characters!$1:$1,0)+1,FALSE)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5" s="7">
        <v>1</v>
      </c>
      <c r="AI25" s="24">
        <f t="shared" ref="AI25" ca="1" si="24">AF25</f>
        <v>4</v>
      </c>
      <c r="AJ25" s="8">
        <v>30</v>
      </c>
      <c r="AK25" s="7">
        <v>0</v>
      </c>
      <c r="AL25" s="7">
        <v>0</v>
      </c>
      <c r="AM25" s="7">
        <v>0</v>
      </c>
      <c r="AN25" s="7">
        <v>0</v>
      </c>
      <c r="AO25" s="7">
        <v>1</v>
      </c>
      <c r="AP25" s="69">
        <v>1</v>
      </c>
    </row>
    <row r="26" spans="1:42" ht="21" customHeight="1" x14ac:dyDescent="0.15">
      <c r="A26" s="16" t="str">
        <f t="shared" ref="A26:A28" ca="1" si="25">B26&amp;"_"&amp;C26&amp;"-"&amp;G26&amp;"/"&amp;L26&amp;"&lt;lv"&amp;R26&amp;"&gt;s"&amp;AC26</f>
        <v>11017_1-5/103&lt;lv30&gt;s3</v>
      </c>
      <c r="B26" s="22">
        <v>11017</v>
      </c>
      <c r="C26" s="21">
        <v>1</v>
      </c>
      <c r="D26" s="2" t="str">
        <f t="shared" ref="D26:D28" si="26">B26&amp;"_"&amp;C26</f>
        <v>11017_1</v>
      </c>
      <c r="E26" s="4" t="str">
        <f ca="1">VLOOKUP($B26,OFFSET([2]quests!$A$1,0,0,COUNTA([2]quests!$A:$A),MATCH(E$1,[2]quests!$1:$1,0)-MATCH($B$1,[2]quests!$1:$1,0)+1),MATCH(E$1,[2]quests!$1:$1,0)-MATCH($B$1,[2]quests!$1:$1,0)+1,FALSE)</f>
        <v>【期間限定】リトルハンプティを追え！</v>
      </c>
      <c r="F26" s="4" t="str">
        <f ca="1">VLOOKUP($D26,OFFSET([2]stages!$A$1,0,0,COUNTA([2]stages!$A:$A),MATCH(F$1,[2]stages!$2:$2,0)-MATCH($D$1,[2]stages!$2:$2,0)+1),MATCH(F$1,[2]stages!$2:$2,0)-MATCH($D$1,[2]stages!$2:$2,0)+1,FALSE)</f>
        <v>【上級】リトルハンプティを追え！</v>
      </c>
      <c r="G26" s="21">
        <v>5</v>
      </c>
      <c r="H26" s="15" t="str">
        <f t="shared" ref="H26:H28" si="27">B26&amp;"_"&amp;C26&amp;"-"&amp;G26</f>
        <v>11017_1-5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8" t="s">
        <v>53</v>
      </c>
      <c r="L26" s="20">
        <v>103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レッドキャタップ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30</v>
      </c>
      <c r="S26" s="25">
        <v>2</v>
      </c>
      <c r="T26" s="102">
        <f ca="1">ROUND(VLOOKUP(R26,[3]enemy_base_stats!$A:$F,2,FALSE) *INDIRECT("[EnemyMasterData.xlsm]enemies!Y"&amp;(L26+1))*  INDIRECT("[EnemyMasterData.xlsm]enemies!J"&amp;(L26+1))* INDIRECT("[EnemyMasterData.xlsm]enemies!O"&amp;(L26+1))* INDIRECT("[EnemyMasterData.xlsm]enemies!E"&amp;(L26+1))* INDIRECT("[EnemyMasterData.xlsm]enemies!S"&amp;(L26+1))* INDIRECT("[EnemyMasterData.xlsm]enemies!AD"&amp;(L26+1))*[4]ステータス!$B$2,0)*S26</f>
        <v>22680</v>
      </c>
      <c r="U26" s="25">
        <v>1</v>
      </c>
      <c r="V26" s="102">
        <f ca="1">ROUND(VLOOKUP(R26,[3]enemy_base_stats!$A:$F,3,FALSE) *INDIRECT("[EnemyMasterData.xlsm]enemies!Z"&amp;(L26+1))*  INDIRECT("[EnemyMasterData.xlsm]enemies!K"&amp;(L26+1))* INDIRECT("[EnemyMasterData.xlsm]enemies!P"&amp;(L26+1))* INDIRECT("[EnemyMasterData.xlsm]enemies!F"&amp;(L26+1))* INDIRECT("[EnemyMasterData.xlsm]enemies!T"&amp;(L26+1))* INDIRECT("[EnemyMasterData.xlsm]enemies!AE"&amp;(L26+1))*[4]ステータス!$C$2,0)*U26</f>
        <v>2410</v>
      </c>
      <c r="W26" s="5">
        <v>0</v>
      </c>
      <c r="X26" s="4" t="str">
        <f ca="1">VLOOKUP($Y26,OFFSET([5]enemy_skill_sets!$B$1,0,0,COUNTA([5]enemy_skill_sets!$B:$B),MATCH(M$1,[5]enemy_skill_sets!$1:$1,0)-MATCH($Y$1,[5]enemy_skill_sets!$1:$1,0)+2),MATCH(M$1,[5]enemy_skill_sets!$1:$1,0)-MATCH($Y$1,[5]enemy_skill_sets!$1:$1,0)+2,FALSE)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6" s="4">
        <f ca="1">VLOOKUP($L26,OFFSET([3]enemies!$A$1,0,0,COUNTA([3]enemies!$A:$A),MATCH(Y$1,[3]enemies!$1:$1,0)-MATCH($L$1,[3]enemies!$1:$1,0)+1),MATCH(Y$1,[3]enemies!$1:$1,0)-MATCH($L$1,[3]enemies!$1:$1,0)+1,FALSE)</f>
        <v>0</v>
      </c>
      <c r="Z26" s="6">
        <v>0</v>
      </c>
      <c r="AA26" s="6">
        <v>100</v>
      </c>
      <c r="AB26" s="6">
        <v>0</v>
      </c>
      <c r="AC26" s="17">
        <f ca="1">VLOOKUP($L26,OFFSET([3]enemies!$A$1,0,0,COUNTA([3]enemies!$A:$A),MATCH(AC$1,[3]enemies!$1:$1,0)-MATCH($L$1,[3]enemies!$1:$1,0)+1),MATCH(AC$1,[3]enemies!$1:$1,0)-MATCH($L$1,[3]enemies!$1:$1,0)+1,FALSE)</f>
        <v>3</v>
      </c>
      <c r="AD26" s="24">
        <f t="shared" ref="AD26:AD28" si="28">L26</f>
        <v>103</v>
      </c>
      <c r="AE26" s="4" t="str">
        <f ca="1">VLOOKUP($AD26,OFFSET([4]characters!$A$1,0,0,COUNTA([4]characters!$A:$A),MATCH(AE$1,[4]characters!$1:$1,0)-MATCH("character_id",[4]characters!$1:$1,0)+1),MATCH(AE$1,[4]characters!$1:$1,0)-MATCH("character_id",[4]characters!$1:$1,0)+1,FALSE)</f>
        <v>レッドキャタップ</v>
      </c>
      <c r="AF26" s="4">
        <f ca="1">VLOOKUP($AD26,OFFSET([4]characters!$A$1,0,0,COUNTA([4]characters!$A:$A),MATCH(AF$1,[4]characters!$1:$1,0)-MATCH("character_id",[4]characters!$1:$1,0)+1),MATCH(AF$1,[4]characters!$1:$1,0)-MATCH("character_id",[4]characters!$1:$1,0)+1,FALSE)</f>
        <v>4</v>
      </c>
      <c r="AG26" s="4" t="str">
        <f ca="1">VLOOKUP($AD26,OFFSET([4]characters!$A$1,0,0,COUNTA([4]characters!$A:$A),MATCH(AG$1,[4]characters!$1:$1,0)-MATCH("character_id",[4]characters!$1:$1,0)+1),MATCH(AG$1,[4]characters!$1:$1,0)-MATCH("character_id",[4]characters!$1:$1,0)+1,FALSE)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6" s="7">
        <v>1</v>
      </c>
      <c r="AI26" s="24">
        <f t="shared" ref="AI26:AI28" ca="1" si="29">AF26</f>
        <v>4</v>
      </c>
      <c r="AJ26" s="8">
        <v>30</v>
      </c>
      <c r="AK26" s="7">
        <v>0</v>
      </c>
      <c r="AL26" s="7">
        <v>0</v>
      </c>
      <c r="AM26" s="7">
        <v>0</v>
      </c>
      <c r="AN26" s="7">
        <v>0</v>
      </c>
      <c r="AO26" s="7">
        <v>1</v>
      </c>
      <c r="AP26" s="69">
        <v>1</v>
      </c>
    </row>
    <row r="27" spans="1:42" ht="21" customHeight="1" x14ac:dyDescent="0.15">
      <c r="A27" s="16" t="str">
        <f t="shared" ca="1" si="25"/>
        <v>11017_1-5/111&lt;lv30&gt;s1</v>
      </c>
      <c r="B27" s="22">
        <v>11017</v>
      </c>
      <c r="C27" s="21">
        <v>1</v>
      </c>
      <c r="D27" s="2" t="str">
        <f t="shared" si="26"/>
        <v>11017_1</v>
      </c>
      <c r="E27" s="4" t="str">
        <f ca="1">VLOOKUP($B27,OFFSET([2]quests!$A$1,0,0,COUNTA([2]quests!$A:$A),MATCH(E$1,[2]quests!$1:$1,0)-MATCH($B$1,[2]quests!$1:$1,0)+1),MATCH(E$1,[2]quests!$1:$1,0)-MATCH($B$1,[2]quests!$1:$1,0)+1,FALSE)</f>
        <v>【期間限定】リトルハンプティを追え！</v>
      </c>
      <c r="F27" s="4" t="str">
        <f ca="1">VLOOKUP($D27,OFFSET([2]stages!$A$1,0,0,COUNTA([2]stages!$A:$A),MATCH(F$1,[2]stages!$2:$2,0)-MATCH($D$1,[2]stages!$2:$2,0)+1),MATCH(F$1,[2]stages!$2:$2,0)-MATCH($D$1,[2]stages!$2:$2,0)+1,FALSE)</f>
        <v>【上級】リトルハンプティを追え！</v>
      </c>
      <c r="G27" s="21">
        <v>5</v>
      </c>
      <c r="H27" s="15" t="str">
        <f t="shared" si="27"/>
        <v>11017_1-5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8" t="s">
        <v>53</v>
      </c>
      <c r="L27" s="20">
        <v>111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ブルーキャタップ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Material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30</v>
      </c>
      <c r="S27" s="25">
        <v>2</v>
      </c>
      <c r="T27" s="102">
        <f ca="1">ROUND(VLOOKUP(R27,[3]enemy_base_stats!$A:$F,2,FALSE) *INDIRECT("[EnemyMasterData.xlsm]enemies!Y"&amp;(L27+1))*  INDIRECT("[EnemyMasterData.xlsm]enemies!J"&amp;(L27+1))* INDIRECT("[EnemyMasterData.xlsm]enemies!O"&amp;(L27+1))* INDIRECT("[EnemyMasterData.xlsm]enemies!E"&amp;(L27+1))* INDIRECT("[EnemyMasterData.xlsm]enemies!S"&amp;(L27+1))* INDIRECT("[EnemyMasterData.xlsm]enemies!AD"&amp;(L27+1))*[4]ステータス!$B$2,0)*S27</f>
        <v>22680</v>
      </c>
      <c r="U27" s="25">
        <v>1</v>
      </c>
      <c r="V27" s="102">
        <f ca="1">ROUND(VLOOKUP(R27,[3]enemy_base_stats!$A:$F,3,FALSE) *INDIRECT("[EnemyMasterData.xlsm]enemies!Z"&amp;(L27+1))*  INDIRECT("[EnemyMasterData.xlsm]enemies!K"&amp;(L27+1))* INDIRECT("[EnemyMasterData.xlsm]enemies!P"&amp;(L27+1))* INDIRECT("[EnemyMasterData.xlsm]enemies!F"&amp;(L27+1))* INDIRECT("[EnemyMasterData.xlsm]enemies!T"&amp;(L27+1))* INDIRECT("[EnemyMasterData.xlsm]enemies!AE"&amp;(L27+1))*[4]ステータス!$C$2,0)*U27</f>
        <v>2315</v>
      </c>
      <c r="W27" s="5">
        <v>0</v>
      </c>
      <c r="X27" s="4" t="str">
        <f ca="1">VLOOKUP($Y27,OFFSET([5]enemy_skill_sets!$B$1,0,0,COUNTA([5]enemy_skill_sets!$B:$B),MATCH(M$1,[5]enemy_skill_sets!$1:$1,0)-MATCH($Y$1,[5]enemy_skill_sets!$1:$1,0)+2),MATCH(M$1,[5]enemy_skill_sets!$1:$1,0)-MATCH($Y$1,[5]enemy_skill_sets!$1:$1,0)+2,FALSE)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7" s="4">
        <f ca="1">VLOOKUP($L27,OFFSET([3]enemies!$A$1,0,0,COUNTA([3]enemies!$A:$A),MATCH(Y$1,[3]enemies!$1:$1,0)-MATCH($L$1,[3]enemies!$1:$1,0)+1),MATCH(Y$1,[3]enemies!$1:$1,0)-MATCH($L$1,[3]enemies!$1:$1,0)+1,FALSE)</f>
        <v>0</v>
      </c>
      <c r="Z27" s="6">
        <v>0</v>
      </c>
      <c r="AA27" s="6">
        <v>100</v>
      </c>
      <c r="AB27" s="6">
        <v>0</v>
      </c>
      <c r="AC27" s="17">
        <f ca="1">VLOOKUP($L27,OFFSET([3]enemies!$A$1,0,0,COUNTA([3]enemies!$A:$A),MATCH(AC$1,[3]enemies!$1:$1,0)-MATCH($L$1,[3]enemies!$1:$1,0)+1),MATCH(AC$1,[3]enemies!$1:$1,0)-MATCH($L$1,[3]enemies!$1:$1,0)+1,FALSE)</f>
        <v>1</v>
      </c>
      <c r="AD27" s="24">
        <f t="shared" si="28"/>
        <v>111</v>
      </c>
      <c r="AE27" s="4" t="str">
        <f ca="1">VLOOKUP($AD27,OFFSET([4]characters!$A$1,0,0,COUNTA([4]characters!$A:$A),MATCH(AE$1,[4]characters!$1:$1,0)-MATCH("character_id",[4]characters!$1:$1,0)+1),MATCH(AE$1,[4]characters!$1:$1,0)-MATCH("character_id",[4]characters!$1:$1,0)+1,FALSE)</f>
        <v>ブルーキャタップ</v>
      </c>
      <c r="AF27" s="4">
        <f ca="1">VLOOKUP($AD27,OFFSET([4]characters!$A$1,0,0,COUNTA([4]characters!$A:$A),MATCH(AF$1,[4]characters!$1:$1,0)-MATCH("character_id",[4]characters!$1:$1,0)+1),MATCH(AF$1,[4]characters!$1:$1,0)-MATCH("character_id",[4]characters!$1:$1,0)+1,FALSE)</f>
        <v>4</v>
      </c>
      <c r="AG27" s="4" t="str">
        <f ca="1">VLOOKUP($AD27,OFFSET([4]characters!$A$1,0,0,COUNTA([4]characters!$A:$A),MATCH(AG$1,[4]characters!$1:$1,0)-MATCH("character_id",[4]characters!$1:$1,0)+1),MATCH(AG$1,[4]characters!$1:$1,0)-MATCH("character_id",[4]characters!$1:$1,0)+1,FALSE)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7" s="7">
        <v>1</v>
      </c>
      <c r="AI27" s="24">
        <f t="shared" ca="1" si="29"/>
        <v>4</v>
      </c>
      <c r="AJ27" s="8">
        <v>30</v>
      </c>
      <c r="AK27" s="7">
        <v>0</v>
      </c>
      <c r="AL27" s="7">
        <v>0</v>
      </c>
      <c r="AM27" s="7">
        <v>0</v>
      </c>
      <c r="AN27" s="7">
        <v>0</v>
      </c>
      <c r="AO27" s="7">
        <v>1</v>
      </c>
      <c r="AP27" s="69">
        <v>1</v>
      </c>
    </row>
    <row r="28" spans="1:42" ht="21" customHeight="1" x14ac:dyDescent="0.15">
      <c r="A28" s="16" t="str">
        <f t="shared" ca="1" si="25"/>
        <v>11017_1-5/107&lt;lv30&gt;s1</v>
      </c>
      <c r="B28" s="22">
        <v>11017</v>
      </c>
      <c r="C28" s="21">
        <v>1</v>
      </c>
      <c r="D28" s="2" t="str">
        <f t="shared" si="26"/>
        <v>11017_1</v>
      </c>
      <c r="E28" s="4" t="str">
        <f ca="1">VLOOKUP($B28,OFFSET([2]quests!$A$1,0,0,COUNTA([2]quests!$A:$A),MATCH(E$1,[2]quests!$1:$1,0)-MATCH($B$1,[2]quests!$1:$1,0)+1),MATCH(E$1,[2]quests!$1:$1,0)-MATCH($B$1,[2]quests!$1:$1,0)+1,FALSE)</f>
        <v>【期間限定】リトルハンプティを追え！</v>
      </c>
      <c r="F28" s="4" t="str">
        <f ca="1">VLOOKUP($D28,OFFSET([2]stages!$A$1,0,0,COUNTA([2]stages!$A:$A),MATCH(F$1,[2]stages!$2:$2,0)-MATCH($D$1,[2]stages!$2:$2,0)+1),MATCH(F$1,[2]stages!$2:$2,0)-MATCH($D$1,[2]stages!$2:$2,0)+1,FALSE)</f>
        <v>【上級】リトルハンプティを追え！</v>
      </c>
      <c r="G28" s="21">
        <v>5</v>
      </c>
      <c r="H28" s="15" t="str">
        <f t="shared" si="27"/>
        <v>11017_1-5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8" t="s">
        <v>53</v>
      </c>
      <c r="L28" s="20">
        <v>107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グリーンキャタップ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green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30</v>
      </c>
      <c r="S28" s="25">
        <v>2</v>
      </c>
      <c r="T28" s="102">
        <f ca="1">ROUND(VLOOKUP(R28,[3]enemy_base_stats!$A:$F,2,FALSE) *INDIRECT("[EnemyMasterData.xlsm]enemies!Y"&amp;(L28+1))*  INDIRECT("[EnemyMasterData.xlsm]enemies!J"&amp;(L28+1))* INDIRECT("[EnemyMasterData.xlsm]enemies!O"&amp;(L28+1))* INDIRECT("[EnemyMasterData.xlsm]enemies!E"&amp;(L28+1))* INDIRECT("[EnemyMasterData.xlsm]enemies!S"&amp;(L28+1))* INDIRECT("[EnemyMasterData.xlsm]enemies!AD"&amp;(L28+1))*[4]ステータス!$B$2,0)*S28</f>
        <v>23134</v>
      </c>
      <c r="U28" s="25">
        <v>1</v>
      </c>
      <c r="V28" s="102">
        <f ca="1">ROUND(VLOOKUP(R28,[3]enemy_base_stats!$A:$F,3,FALSE) *INDIRECT("[EnemyMasterData.xlsm]enemies!Z"&amp;(L28+1))*  INDIRECT("[EnemyMasterData.xlsm]enemies!K"&amp;(L28+1))* INDIRECT("[EnemyMasterData.xlsm]enemies!P"&amp;(L28+1))* INDIRECT("[EnemyMasterData.xlsm]enemies!F"&amp;(L28+1))* INDIRECT("[EnemyMasterData.xlsm]enemies!T"&amp;(L28+1))* INDIRECT("[EnemyMasterData.xlsm]enemies!AE"&amp;(L28+1))*[4]ステータス!$C$2,0)*U28</f>
        <v>2315</v>
      </c>
      <c r="W28" s="5">
        <v>0</v>
      </c>
      <c r="X28" s="4" t="str">
        <f ca="1">VLOOKUP($Y28,OFFSET([5]enemy_skill_sets!$B$1,0,0,COUNTA([5]enemy_skill_sets!$B:$B),MATCH(M$1,[5]enemy_skill_sets!$1:$1,0)-MATCH($Y$1,[5]enemy_skill_sets!$1:$1,0)+2),MATCH(M$1,[5]enemy_skill_sets!$1:$1,0)-MATCH($Y$1,[5]enemy_skill_sets!$1:$1,0)+2,FALSE)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28" s="4">
        <f ca="1">VLOOKUP($L28,OFFSET([3]enemies!$A$1,0,0,COUNTA([3]enemies!$A:$A),MATCH(Y$1,[3]enemies!$1:$1,0)-MATCH($L$1,[3]enemies!$1:$1,0)+1),MATCH(Y$1,[3]enemies!$1:$1,0)-MATCH($L$1,[3]enemies!$1:$1,0)+1,FALSE)</f>
        <v>0</v>
      </c>
      <c r="Z28" s="6">
        <v>0</v>
      </c>
      <c r="AA28" s="6">
        <v>100</v>
      </c>
      <c r="AB28" s="6">
        <v>0</v>
      </c>
      <c r="AC28" s="17">
        <f ca="1">VLOOKUP($L28,OFFSET([3]enemies!$A$1,0,0,COUNTA([3]enemies!$A:$A),MATCH(AC$1,[3]enemies!$1:$1,0)-MATCH($L$1,[3]enemies!$1:$1,0)+1),MATCH(AC$1,[3]enemies!$1:$1,0)-MATCH($L$1,[3]enemies!$1:$1,0)+1,FALSE)</f>
        <v>1</v>
      </c>
      <c r="AD28" s="24">
        <f t="shared" si="28"/>
        <v>107</v>
      </c>
      <c r="AE28" s="4" t="str">
        <f ca="1">VLOOKUP($AD28,OFFSET([4]characters!$A$1,0,0,COUNTA([4]characters!$A:$A),MATCH(AE$1,[4]characters!$1:$1,0)-MATCH("character_id",[4]characters!$1:$1,0)+1),MATCH(AE$1,[4]characters!$1:$1,0)-MATCH("character_id",[4]characters!$1:$1,0)+1,FALSE)</f>
        <v>グリーンキャタップ</v>
      </c>
      <c r="AF28" s="4">
        <f ca="1">VLOOKUP($AD28,OFFSET([4]characters!$A$1,0,0,COUNTA([4]characters!$A:$A),MATCH(AF$1,[4]characters!$1:$1,0)-MATCH("character_id",[4]characters!$1:$1,0)+1),MATCH(AF$1,[4]characters!$1:$1,0)-MATCH("character_id",[4]characters!$1:$1,0)+1,FALSE)</f>
        <v>4</v>
      </c>
      <c r="AG28" s="4" t="str">
        <f ca="1">VLOOKUP($AD28,OFFSET([4]characters!$A$1,0,0,COUNTA([4]characters!$A:$A),MATCH(AG$1,[4]characters!$1:$1,0)-MATCH("character_id",[4]characters!$1:$1,0)+1),MATCH(AG$1,[4]characters!$1:$1,0)-MATCH("character_id",[4]characters!$1:$1,0)+1,FALSE)</f>
        <v>Material</v>
      </c>
      <c r="AH28" s="7">
        <v>1</v>
      </c>
      <c r="AI28" s="24">
        <f t="shared" ca="1" si="29"/>
        <v>4</v>
      </c>
      <c r="AJ28" s="8">
        <v>30</v>
      </c>
      <c r="AK28" s="7">
        <v>0</v>
      </c>
      <c r="AL28" s="7">
        <v>0</v>
      </c>
      <c r="AM28" s="7">
        <v>0</v>
      </c>
      <c r="AN28" s="7">
        <v>0</v>
      </c>
      <c r="AO28" s="7">
        <v>1</v>
      </c>
      <c r="AP28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O28" sqref="O2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251</v>
      </c>
      <c r="V1" s="26" t="s">
        <v>50</v>
      </c>
      <c r="W1" s="101" t="s">
        <v>252</v>
      </c>
      <c r="X1" s="26" t="s">
        <v>52</v>
      </c>
      <c r="Y1" s="28" t="s">
        <v>130</v>
      </c>
      <c r="Z1" s="29" t="s">
        <v>129</v>
      </c>
      <c r="AA1" s="28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17" sqref="E1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11017001_11017001</v>
      </c>
      <c r="B2" s="47">
        <v>11017001</v>
      </c>
      <c r="C2" s="47">
        <v>11017001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うっとり妄想タイム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舞踏会に想いを馳せている</v>
      </c>
      <c r="F2" s="47">
        <v>11017001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11017001_11017002</v>
      </c>
      <c r="B3" s="47">
        <v>11017001</v>
      </c>
      <c r="C3" s="47">
        <v>11017002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煌きの一蹴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攻撃力×1.5倍の攻撃</v>
      </c>
      <c r="F3" s="47">
        <v>11017002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11017002_11017003</v>
      </c>
      <c r="B4" s="47">
        <v>11017002</v>
      </c>
      <c r="C4" s="47">
        <v>11017003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ディスハート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ハートパネルで回復できない</v>
      </c>
      <c r="F4" s="47">
        <v>11017003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"/>
  <sheetViews>
    <sheetView showGridLines="0" workbookViewId="0">
      <pane ySplit="1" topLeftCell="A2" activePane="bottomLeft" state="frozenSplit"/>
      <selection pane="bottomLeft" activeCell="C20" sqref="C20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11017001</v>
      </c>
      <c r="B2" s="47" t="s">
        <v>254</v>
      </c>
      <c r="C2" s="50">
        <v>3</v>
      </c>
      <c r="D2" s="50" t="s">
        <v>128</v>
      </c>
      <c r="E2" s="51" t="s">
        <v>255</v>
      </c>
      <c r="F2" s="51" t="s">
        <v>256</v>
      </c>
      <c r="G2" s="63" t="str">
        <f>IFERROR(LEFT(B2,FIND("],",B2)),B2)</f>
        <v>[effect:nothing]</v>
      </c>
      <c r="H2" s="63">
        <f>FIND("effect:",G2)+7</f>
        <v>9</v>
      </c>
      <c r="I2" s="63">
        <f>IFERROR(FIND(",",G2),LEN(G2))</f>
        <v>16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何もしない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11017002</v>
      </c>
      <c r="B3" s="47" t="s">
        <v>257</v>
      </c>
      <c r="C3" s="50">
        <v>3</v>
      </c>
      <c r="D3" s="50" t="s">
        <v>128</v>
      </c>
      <c r="E3" s="51" t="s">
        <v>258</v>
      </c>
      <c r="F3" s="51" t="s">
        <v>259</v>
      </c>
      <c r="G3" s="63" t="str">
        <f>IFERROR(LEFT(B3,FIND("],",B3)),B3)</f>
        <v>[effect:critical, val:1.5.0, animation:enemy_critical]</v>
      </c>
      <c r="H3" s="63">
        <f>FIND("effect:",G3)+7</f>
        <v>9</v>
      </c>
      <c r="I3" s="63">
        <f>IFERROR(FIND(",",G3),LEN(G3))</f>
        <v>17</v>
      </c>
      <c r="J3" s="63" t="e">
        <f>FIND("target:",G3)+7</f>
        <v>#VALUE!</v>
      </c>
      <c r="K3" s="63">
        <f>FIND(",",G3,I3+1)</f>
        <v>28</v>
      </c>
      <c r="L3" s="63" t="str">
        <f>IFERROR(VLOOKUP(MID(G3,J3,K3-J3),[6]skilldef!$C:$D,2,FALSE),"-") &amp; " / " &amp; IFERROR(VLOOKUP(MID(G3,H3,I3-H3),[6]skilldef!$A:$B,2,FALSE),"-")</f>
        <v>- / 大攻撃</v>
      </c>
      <c r="M3" s="63" t="str">
        <f>IFERROR(RIGHT(B3,LEN(B3)-FIND("],",B3)-1),"none")</f>
        <v>none</v>
      </c>
      <c r="N3" s="48" t="str">
        <f>IFERROR(LEFT(M3,FIND("],",M3)+S13),M3)</f>
        <v>none</v>
      </c>
      <c r="O3" s="63" t="e">
        <f>FIND("effect:",N3)+7</f>
        <v>#VALUE!</v>
      </c>
      <c r="P3" s="63">
        <f>IFERROR(FIND(",",N3),LEN(N3))</f>
        <v>4</v>
      </c>
      <c r="Q3" s="63" t="e">
        <f>FIND("target:",N3)+7</f>
        <v>#VALUE!</v>
      </c>
      <c r="R3" s="63" t="e">
        <f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>IFERROR(RIGHT(M3,LEN(M3)-FIND("],",M3)-1),"none")</f>
        <v>none</v>
      </c>
      <c r="U3" s="63" t="e">
        <f>FIND("effect:",T3)+7</f>
        <v>#VALUE!</v>
      </c>
      <c r="V3" s="63">
        <f>IFERROR(FIND(",",T3),LEN(T3))</f>
        <v>4</v>
      </c>
      <c r="W3" s="63" t="e">
        <f>FIND("target:",T3)+7</f>
        <v>#VALUE!</v>
      </c>
      <c r="X3" s="63" t="e">
        <f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11017003</v>
      </c>
      <c r="B4" s="47" t="s">
        <v>260</v>
      </c>
      <c r="C4" s="50">
        <v>3</v>
      </c>
      <c r="D4" s="50" t="s">
        <v>128</v>
      </c>
      <c r="E4" s="51" t="s">
        <v>261</v>
      </c>
      <c r="F4" s="51" t="s">
        <v>262</v>
      </c>
      <c r="G4" s="63" t="str">
        <f>IFERROR(LEFT(B4,FIND("],",B4)),B4)</f>
        <v>[effect:dis_heart, turn:7, rate:1.0, animation:enemy_dis_heart]</v>
      </c>
      <c r="H4" s="63">
        <f>FIND("effect:",G4)+7</f>
        <v>9</v>
      </c>
      <c r="I4" s="63">
        <f>IFERROR(FIND(",",G4),LEN(G4))</f>
        <v>18</v>
      </c>
      <c r="J4" s="63" t="e">
        <f>FIND("target:",G4)+7</f>
        <v>#VALUE!</v>
      </c>
      <c r="K4" s="63">
        <f>FIND(",",G4,I4+1)</f>
        <v>26</v>
      </c>
      <c r="L4" s="63" t="str">
        <f>IFERROR(VLOOKUP(MID(G4,J4,K4-J4),[6]skilldef!$C:$D,2,FALSE),"-") &amp; " / " &amp; IFERROR(VLOOKUP(MID(G4,H4,I4-H4),[6]skilldef!$A:$B,2,FALSE),"-")</f>
        <v>- / ディスハート</v>
      </c>
      <c r="M4" s="63" t="str">
        <f>IFERROR(RIGHT(B4,LEN(B4)-FIND("],",B4)-1),"none")</f>
        <v>none</v>
      </c>
      <c r="N4" s="48" t="str">
        <f>IFERROR(LEFT(M4,FIND("],",M4)+S14),M4)</f>
        <v>none</v>
      </c>
      <c r="O4" s="63" t="e">
        <f>FIND("effect:",N4)+7</f>
        <v>#VALUE!</v>
      </c>
      <c r="P4" s="63">
        <f>IFERROR(FIND(",",N4),LEN(N4))</f>
        <v>4</v>
      </c>
      <c r="Q4" s="63" t="e">
        <f>FIND("target:",N4)+7</f>
        <v>#VALUE!</v>
      </c>
      <c r="R4" s="63" t="e">
        <f>FIND(",",N4,P4+1)</f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>IFERROR(RIGHT(M4,LEN(M4)-FIND("],",M4)-1),"none")</f>
        <v>none</v>
      </c>
      <c r="U4" s="63" t="e">
        <f>FIND("effect:",T4)+7</f>
        <v>#VALUE!</v>
      </c>
      <c r="V4" s="63">
        <f>IFERROR(FIND(",",T4),LEN(T4))</f>
        <v>4</v>
      </c>
      <c r="W4" s="63" t="e">
        <f>FIND("target:",T4)+7</f>
        <v>#VALUE!</v>
      </c>
      <c r="X4" s="63" t="e">
        <f>FIND(",",T4,V4+1)</f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"/>
  <sheetViews>
    <sheetView showGridLines="0" workbookViewId="0">
      <pane ySplit="1" topLeftCell="A4" activePane="bottomLeft" state="frozenSplit"/>
      <selection pane="bottomLeft" activeCell="H23" sqref="H23:I2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11017001</v>
      </c>
      <c r="B2" s="47">
        <v>0</v>
      </c>
      <c r="C2" s="47" t="s">
        <v>89</v>
      </c>
      <c r="D2" s="47">
        <v>40</v>
      </c>
      <c r="E2" s="47" t="s">
        <v>263</v>
      </c>
      <c r="F2" s="47" t="s">
        <v>90</v>
      </c>
      <c r="G2" s="47" t="s">
        <v>267</v>
      </c>
      <c r="H2" s="47" t="s">
        <v>90</v>
      </c>
      <c r="I2" s="47" t="s">
        <v>90</v>
      </c>
      <c r="J2" s="48">
        <f t="shared" ref="J2" si="0">D2</f>
        <v>40</v>
      </c>
    </row>
    <row r="3" spans="1:11" ht="21" customHeight="1" x14ac:dyDescent="0.15">
      <c r="A3" s="47">
        <v>11017002</v>
      </c>
      <c r="B3" s="47">
        <v>0</v>
      </c>
      <c r="C3" s="47" t="s">
        <v>89</v>
      </c>
      <c r="D3" s="47">
        <v>100</v>
      </c>
      <c r="E3" s="47" t="s">
        <v>53</v>
      </c>
      <c r="F3" s="47" t="s">
        <v>53</v>
      </c>
      <c r="G3" s="47" t="s">
        <v>53</v>
      </c>
      <c r="H3" s="47" t="s">
        <v>53</v>
      </c>
      <c r="I3" s="47" t="s">
        <v>53</v>
      </c>
      <c r="J3" s="48">
        <f t="shared" ref="J3:J4" si="1">D3</f>
        <v>100</v>
      </c>
    </row>
    <row r="4" spans="1:11" ht="21" customHeight="1" x14ac:dyDescent="0.15">
      <c r="A4" s="47">
        <v>11017003</v>
      </c>
      <c r="B4" s="47">
        <v>0</v>
      </c>
      <c r="C4" s="47" t="s">
        <v>89</v>
      </c>
      <c r="D4" s="47">
        <v>100</v>
      </c>
      <c r="E4" s="47" t="s">
        <v>264</v>
      </c>
      <c r="F4" s="47" t="s">
        <v>53</v>
      </c>
      <c r="G4" s="47" t="s">
        <v>265</v>
      </c>
      <c r="H4" s="47" t="s">
        <v>53</v>
      </c>
      <c r="I4" s="47" t="s">
        <v>53</v>
      </c>
      <c r="J4" s="48">
        <f t="shared" si="1"/>
        <v>100</v>
      </c>
    </row>
  </sheetData>
  <autoFilter ref="A1:G1"/>
  <phoneticPr fontId="5"/>
  <conditionalFormatting sqref="K1:K2 K5:K1048576">
    <cfRule type="duplicateValues" dxfId="2" priority="3"/>
  </conditionalFormatting>
  <conditionalFormatting sqref="K3">
    <cfRule type="duplicateValues" dxfId="1" priority="2"/>
  </conditionalFormatting>
  <conditionalFormatting sqref="K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4"/>
  <sheetViews>
    <sheetView workbookViewId="0">
      <selection activeCell="M21" sqref="M2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1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11017</v>
      </c>
      <c r="B2" s="57">
        <v>1</v>
      </c>
      <c r="C2" s="70" t="str">
        <f>A2&amp; "_"&amp;B2</f>
        <v>11017_1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299</v>
      </c>
      <c r="G2" s="57">
        <v>837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</v>
      </c>
      <c r="Q2" s="57" t="s">
        <v>169</v>
      </c>
      <c r="R2" s="57" t="s">
        <v>170</v>
      </c>
    </row>
    <row r="3" spans="1:18" x14ac:dyDescent="0.15">
      <c r="A3" s="57">
        <f>floors!C3</f>
        <v>11017</v>
      </c>
      <c r="B3" s="57">
        <v>1</v>
      </c>
      <c r="C3" s="70" t="str">
        <f>A3&amp; "_"&amp;B3</f>
        <v>11017_1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300</v>
      </c>
      <c r="G3" s="57">
        <v>1000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99</v>
      </c>
      <c r="Q3" s="57" t="s">
        <v>169</v>
      </c>
      <c r="R3" s="57" t="s">
        <v>170</v>
      </c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</sheetData>
  <phoneticPr fontId="5"/>
  <dataValidations count="1">
    <dataValidation type="list" allowBlank="1" showInputMessage="1" showErrorMessage="1" sqref="F2:F3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188</v>
      </c>
      <c r="B1" s="72" t="s">
        <v>189</v>
      </c>
      <c r="C1" s="76" t="s">
        <v>190</v>
      </c>
      <c r="D1" s="76" t="s">
        <v>33</v>
      </c>
      <c r="E1" s="72" t="s">
        <v>191</v>
      </c>
      <c r="F1" s="76" t="s">
        <v>192</v>
      </c>
      <c r="G1" s="76" t="s">
        <v>33</v>
      </c>
      <c r="H1" s="72" t="s">
        <v>193</v>
      </c>
      <c r="I1" s="90" t="s">
        <v>195</v>
      </c>
      <c r="J1" s="78" t="s">
        <v>127</v>
      </c>
      <c r="K1" s="77" t="s">
        <v>186</v>
      </c>
      <c r="L1" s="91" t="s">
        <v>185</v>
      </c>
      <c r="M1" s="79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34"/>
  <sheetViews>
    <sheetView showGridLines="0" tabSelected="1" workbookViewId="0">
      <pane ySplit="1" topLeftCell="A2" activePane="bottomLeft" state="frozen"/>
      <selection pane="bottomLeft" activeCell="I8" sqref="I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27.6640625" bestFit="1" customWidth="1"/>
    <col min="13" max="13" width="80.6640625" bestFit="1" customWidth="1"/>
  </cols>
  <sheetData>
    <row r="1" spans="1:14" x14ac:dyDescent="0.15">
      <c r="A1" s="75" t="s">
        <v>188</v>
      </c>
      <c r="B1" s="72" t="s">
        <v>151</v>
      </c>
      <c r="C1" s="76" t="s">
        <v>190</v>
      </c>
      <c r="D1" s="76" t="s">
        <v>33</v>
      </c>
      <c r="E1" s="72" t="s">
        <v>191</v>
      </c>
      <c r="F1" s="76" t="s">
        <v>18</v>
      </c>
      <c r="G1" s="76" t="s">
        <v>33</v>
      </c>
      <c r="H1" s="72" t="s">
        <v>193</v>
      </c>
      <c r="I1" s="88" t="s">
        <v>194</v>
      </c>
      <c r="J1" s="90" t="s">
        <v>195</v>
      </c>
      <c r="K1" s="78" t="s">
        <v>127</v>
      </c>
      <c r="L1" s="77" t="s">
        <v>186</v>
      </c>
      <c r="M1" s="91" t="s">
        <v>325</v>
      </c>
      <c r="N1" s="79" t="s">
        <v>196</v>
      </c>
    </row>
    <row r="2" spans="1:14" ht="28" x14ac:dyDescent="0.15">
      <c r="A2" s="80" t="s">
        <v>268</v>
      </c>
      <c r="B2" s="81">
        <f>floors!$C$2</f>
        <v>11017</v>
      </c>
      <c r="C2" s="82" t="str">
        <f ca="1">VLOOKUP($B2,OFFSET([2]quests!$A$1,0,0,COUNTA([2]quests!$A:$A),MATCH(C$1,[2]quests!$1:$1,0)-MATCH($B$1,[2]quests!$1:$1,0)+1),MATCH(C$1,[2]quests!$1:$1,0)-MATCH($B$1,[2]quests!$1:$1,0)+1,FALSE)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" s="82" t="str">
        <f ca="1">VLOOKUP($B2,OFFSET([2]quests!$A$1,0,0,COUNTA([2]quests!$A:$A),MATCH(D$1,[2]quests!$1:$1,0)-MATCH($B$1,[2]quests!$1:$1,0)+1),MATCH(D$1,[2]quests!$1:$1,0)-MATCH($B$1,[2]quests!$1:$1,0)+1,FALSE)</f>
        <v>期間限定クエスト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期間限定クエスト</v>
      </c>
      <c r="H2" s="84">
        <v>0</v>
      </c>
      <c r="I2" s="89">
        <f>ROW()-1</f>
        <v>1</v>
      </c>
      <c r="J2" s="85" t="str">
        <f>B2&amp;TEXT(I2,"00")</f>
        <v>1101701</v>
      </c>
      <c r="K2" s="83" t="s">
        <v>197</v>
      </c>
      <c r="L2" s="86" t="s">
        <v>269</v>
      </c>
      <c r="M2" s="120" t="s">
        <v>303</v>
      </c>
      <c r="N2" s="57" t="s">
        <v>198</v>
      </c>
    </row>
    <row r="3" spans="1:14" ht="28" x14ac:dyDescent="0.15">
      <c r="A3" s="80" t="s">
        <v>268</v>
      </c>
      <c r="B3" s="81">
        <f>floors!$C$2</f>
        <v>11017</v>
      </c>
      <c r="C3" s="82" t="str">
        <f ca="1">VLOOKUP($B3,OFFSET([2]quests!$A$1,0,0,COUNTA([2]quests!$A:$A),MATCH(C$1,[2]quests!$1:$1,0)-MATCH($B$1,[2]quests!$1:$1,0)+1),MATCH(C$1,[2]quests!$1:$1,0)-MATCH($B$1,[2]quests!$1:$1,0)+1,FALSE)</f>
        <v>【期間限定】リトルハンプティを追え！</v>
      </c>
      <c r="D3" s="82" t="str">
        <f ca="1">VLOOKUP($B3,OFFSET([2]quests!$A$1,0,0,COUNTA([2]quests!$A:$A),MATCH(D$1,[2]quests!$1:$1,0)-MATCH($B$1,[2]quests!$1:$1,0)+1),MATCH(D$1,[2]quests!$1:$1,0)-MATCH($B$1,[2]quests!$1:$1,0)+1,FALSE)</f>
        <v>期間限定クエスト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期間限定クエスト</v>
      </c>
      <c r="H3" s="84">
        <v>0</v>
      </c>
      <c r="I3" s="89">
        <f t="shared" ref="I3:I34" si="0">ROW()-1</f>
        <v>2</v>
      </c>
      <c r="J3" s="85" t="str">
        <f t="shared" ref="J3:J32" si="1">B3&amp;TEXT(I3,"00")</f>
        <v>1101702</v>
      </c>
      <c r="K3" s="83" t="s">
        <v>128</v>
      </c>
      <c r="L3" s="86" t="s">
        <v>270</v>
      </c>
      <c r="M3" s="120" t="s">
        <v>304</v>
      </c>
      <c r="N3" s="57" t="s">
        <v>198</v>
      </c>
    </row>
    <row r="4" spans="1:14" ht="28" x14ac:dyDescent="0.15">
      <c r="A4" s="80" t="s">
        <v>268</v>
      </c>
      <c r="B4" s="81">
        <f>floors!$C$2</f>
        <v>11017</v>
      </c>
      <c r="C4" s="82" t="str">
        <f ca="1">VLOOKUP($B4,OFFSET([2]quests!$A$1,0,0,COUNTA([2]quests!$A:$A),MATCH(C$1,[2]quests!$1:$1,0)-MATCH($B$1,[2]quests!$1:$1,0)+1),MATCH(C$1,[2]quests!$1:$1,0)-MATCH($B$1,[2]quests!$1:$1,0)+1,FALSE)</f>
        <v>【期間限定】リトルハンプティを追え！</v>
      </c>
      <c r="D4" s="82" t="str">
        <f ca="1">VLOOKUP($B4,OFFSET([2]quests!$A$1,0,0,COUNTA([2]quests!$A:$A),MATCH(D$1,[2]quests!$1:$1,0)-MATCH($B$1,[2]quests!$1:$1,0)+1),MATCH(D$1,[2]quests!$1:$1,0)-MATCH($B$1,[2]quests!$1:$1,0)+1,FALSE)</f>
        <v>期間限定クエスト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期間限定クエスト</v>
      </c>
      <c r="H4" s="84">
        <v>0</v>
      </c>
      <c r="I4" s="89">
        <f t="shared" si="0"/>
        <v>3</v>
      </c>
      <c r="J4" s="85" t="str">
        <f t="shared" si="1"/>
        <v>1101703</v>
      </c>
      <c r="K4" s="83" t="s">
        <v>128</v>
      </c>
      <c r="L4" s="86" t="s">
        <v>271</v>
      </c>
      <c r="M4" s="120" t="s">
        <v>305</v>
      </c>
      <c r="N4" s="57" t="s">
        <v>198</v>
      </c>
    </row>
    <row r="5" spans="1:14" ht="28" x14ac:dyDescent="0.15">
      <c r="A5" s="80" t="s">
        <v>268</v>
      </c>
      <c r="B5" s="81">
        <f>floors!$C$2</f>
        <v>11017</v>
      </c>
      <c r="C5" s="82" t="str">
        <f ca="1">VLOOKUP($B5,OFFSET([2]quests!$A$1,0,0,COUNTA([2]quests!$A:$A),MATCH(C$1,[2]quests!$1:$1,0)-MATCH($B$1,[2]quests!$1:$1,0)+1),MATCH(C$1,[2]quests!$1:$1,0)-MATCH($B$1,[2]quests!$1:$1,0)+1,FALSE)</f>
        <v>【期間限定】リトルハンプティを追え！</v>
      </c>
      <c r="D5" s="82" t="str">
        <f ca="1">VLOOKUP($B5,OFFSET([2]quests!$A$1,0,0,COUNTA([2]quests!$A:$A),MATCH(D$1,[2]quests!$1:$1,0)-MATCH($B$1,[2]quests!$1:$1,0)+1),MATCH(D$1,[2]quests!$1:$1,0)-MATCH($B$1,[2]quests!$1:$1,0)+1,FALSE)</f>
        <v>期間限定クエスト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期間限定クエスト</v>
      </c>
      <c r="H5" s="84">
        <v>0</v>
      </c>
      <c r="I5" s="89">
        <f t="shared" si="0"/>
        <v>4</v>
      </c>
      <c r="J5" s="85" t="str">
        <f t="shared" si="1"/>
        <v>1101704</v>
      </c>
      <c r="K5" s="83" t="s">
        <v>128</v>
      </c>
      <c r="L5" s="86" t="s">
        <v>272</v>
      </c>
      <c r="M5" s="120" t="s">
        <v>306</v>
      </c>
      <c r="N5" s="57" t="s">
        <v>198</v>
      </c>
    </row>
    <row r="6" spans="1:14" ht="28" x14ac:dyDescent="0.15">
      <c r="A6" s="80" t="s">
        <v>268</v>
      </c>
      <c r="B6" s="81">
        <f>floors!$C$2</f>
        <v>11017</v>
      </c>
      <c r="C6" s="82" t="str">
        <f ca="1">VLOOKUP($B6,OFFSET([2]quests!$A$1,0,0,COUNTA([2]quests!$A:$A),MATCH(C$1,[2]quests!$1:$1,0)-MATCH($B$1,[2]quests!$1:$1,0)+1),MATCH(C$1,[2]quests!$1:$1,0)-MATCH($B$1,[2]quests!$1:$1,0)+1,FALSE)</f>
        <v>【期間限定】リトルハンプティを追え！</v>
      </c>
      <c r="D6" s="82" t="str">
        <f ca="1">VLOOKUP($B6,OFFSET([2]quests!$A$1,0,0,COUNTA([2]quests!$A:$A),MATCH(D$1,[2]quests!$1:$1,0)-MATCH($B$1,[2]quests!$1:$1,0)+1),MATCH(D$1,[2]quests!$1:$1,0)-MATCH($B$1,[2]quests!$1:$1,0)+1,FALSE)</f>
        <v>期間限定クエスト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期間限定クエスト</v>
      </c>
      <c r="H6" s="84">
        <v>0</v>
      </c>
      <c r="I6" s="89">
        <f t="shared" si="0"/>
        <v>5</v>
      </c>
      <c r="J6" s="85" t="str">
        <f t="shared" si="1"/>
        <v>1101705</v>
      </c>
      <c r="K6" s="83" t="s">
        <v>128</v>
      </c>
      <c r="L6" s="86" t="s">
        <v>273</v>
      </c>
      <c r="M6" s="120" t="s">
        <v>307</v>
      </c>
      <c r="N6" s="57" t="s">
        <v>198</v>
      </c>
    </row>
    <row r="7" spans="1:14" ht="28" x14ac:dyDescent="0.15">
      <c r="A7" s="80" t="s">
        <v>268</v>
      </c>
      <c r="B7" s="81">
        <f>floors!$C$2</f>
        <v>11017</v>
      </c>
      <c r="C7" s="82" t="str">
        <f ca="1">VLOOKUP($B7,OFFSET([2]quests!$A$1,0,0,COUNTA([2]quests!$A:$A),MATCH(C$1,[2]quests!$1:$1,0)-MATCH($B$1,[2]quests!$1:$1,0)+1),MATCH(C$1,[2]quests!$1:$1,0)-MATCH($B$1,[2]quests!$1:$1,0)+1,FALSE)</f>
        <v>【期間限定】リトルハンプティを追え！</v>
      </c>
      <c r="D7" s="82" t="str">
        <f ca="1">VLOOKUP($B7,OFFSET([2]quests!$A$1,0,0,COUNTA([2]quests!$A:$A),MATCH(D$1,[2]quests!$1:$1,0)-MATCH($B$1,[2]quests!$1:$1,0)+1),MATCH(D$1,[2]quests!$1:$1,0)-MATCH($B$1,[2]quests!$1:$1,0)+1,FALSE)</f>
        <v>期間限定クエスト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期間限定クエスト</v>
      </c>
      <c r="H7" s="84">
        <v>0</v>
      </c>
      <c r="I7" s="89">
        <f t="shared" si="0"/>
        <v>6</v>
      </c>
      <c r="J7" s="85" t="str">
        <f t="shared" si="1"/>
        <v>1101706</v>
      </c>
      <c r="K7" s="83" t="s">
        <v>128</v>
      </c>
      <c r="L7" s="86" t="s">
        <v>274</v>
      </c>
      <c r="M7" s="120" t="s">
        <v>308</v>
      </c>
      <c r="N7" s="57" t="s">
        <v>198</v>
      </c>
    </row>
    <row r="8" spans="1:14" ht="28" x14ac:dyDescent="0.15">
      <c r="A8" s="80" t="s">
        <v>268</v>
      </c>
      <c r="B8" s="81">
        <f>floors!$C$2</f>
        <v>11017</v>
      </c>
      <c r="C8" s="82" t="str">
        <f ca="1">VLOOKUP($B8,OFFSET([2]quests!$A$1,0,0,COUNTA([2]quests!$A:$A),MATCH(C$1,[2]quests!$1:$1,0)-MATCH($B$1,[2]quests!$1:$1,0)+1),MATCH(C$1,[2]quests!$1:$1,0)-MATCH($B$1,[2]quests!$1:$1,0)+1,FALSE)</f>
        <v>【期間限定】リトルハンプティを追え！</v>
      </c>
      <c r="D8" s="82" t="str">
        <f ca="1">VLOOKUP($B8,OFFSET([2]quests!$A$1,0,0,COUNTA([2]quests!$A:$A),MATCH(D$1,[2]quests!$1:$1,0)-MATCH($B$1,[2]quests!$1:$1,0)+1),MATCH(D$1,[2]quests!$1:$1,0)-MATCH($B$1,[2]quests!$1:$1,0)+1,FALSE)</f>
        <v>期間限定クエスト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期間限定クエスト</v>
      </c>
      <c r="H8" s="84">
        <v>0</v>
      </c>
      <c r="I8" s="89">
        <f t="shared" si="0"/>
        <v>7</v>
      </c>
      <c r="J8" s="85" t="str">
        <f t="shared" si="1"/>
        <v>1101707</v>
      </c>
      <c r="K8" s="83" t="s">
        <v>128</v>
      </c>
      <c r="L8" s="86" t="s">
        <v>272</v>
      </c>
      <c r="M8" s="120" t="s">
        <v>306</v>
      </c>
      <c r="N8" s="57" t="s">
        <v>198</v>
      </c>
    </row>
    <row r="9" spans="1:14" ht="28" x14ac:dyDescent="0.15">
      <c r="A9" s="80" t="s">
        <v>268</v>
      </c>
      <c r="B9" s="81">
        <f>floors!$C$2</f>
        <v>11017</v>
      </c>
      <c r="C9" s="82" t="str">
        <f ca="1">VLOOKUP($B9,OFFSET([2]quests!$A$1,0,0,COUNTA([2]quests!$A:$A),MATCH(C$1,[2]quests!$1:$1,0)-MATCH($B$1,[2]quests!$1:$1,0)+1),MATCH(C$1,[2]quests!$1:$1,0)-MATCH($B$1,[2]quests!$1:$1,0)+1,FALSE)</f>
        <v>【期間限定】リトルハンプティを追え！</v>
      </c>
      <c r="D9" s="82" t="str">
        <f ca="1">VLOOKUP($B9,OFFSET([2]quests!$A$1,0,0,COUNTA([2]quests!$A:$A),MATCH(D$1,[2]quests!$1:$1,0)-MATCH($B$1,[2]quests!$1:$1,0)+1),MATCH(D$1,[2]quests!$1:$1,0)-MATCH($B$1,[2]quests!$1:$1,0)+1,FALSE)</f>
        <v>期間限定クエスト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期間限定クエスト</v>
      </c>
      <c r="H9" s="84">
        <v>0</v>
      </c>
      <c r="I9" s="89">
        <f t="shared" si="0"/>
        <v>8</v>
      </c>
      <c r="J9" s="85" t="str">
        <f t="shared" si="1"/>
        <v>1101708</v>
      </c>
      <c r="K9" s="83" t="s">
        <v>128</v>
      </c>
      <c r="L9" s="86" t="s">
        <v>275</v>
      </c>
      <c r="M9" s="120" t="s">
        <v>310</v>
      </c>
      <c r="N9" s="57" t="s">
        <v>198</v>
      </c>
    </row>
    <row r="10" spans="1:14" ht="28" x14ac:dyDescent="0.15">
      <c r="A10" s="80" t="s">
        <v>268</v>
      </c>
      <c r="B10" s="81">
        <f>floors!$C$2</f>
        <v>11017</v>
      </c>
      <c r="C10" s="82" t="str">
        <f ca="1">VLOOKUP($B10,OFFSET([2]quests!$A$1,0,0,COUNTA([2]quests!$A:$A),MATCH(C$1,[2]quests!$1:$1,0)-MATCH($B$1,[2]quests!$1:$1,0)+1),MATCH(C$1,[2]quests!$1:$1,0)-MATCH($B$1,[2]quests!$1:$1,0)+1,FALSE)</f>
        <v>【期間限定】リトルハンプティを追え！</v>
      </c>
      <c r="D10" s="82" t="str">
        <f ca="1">VLOOKUP($B10,OFFSET([2]quests!$A$1,0,0,COUNTA([2]quests!$A:$A),MATCH(D$1,[2]quests!$1:$1,0)-MATCH($B$1,[2]quests!$1:$1,0)+1),MATCH(D$1,[2]quests!$1:$1,0)-MATCH($B$1,[2]quests!$1:$1,0)+1,FALSE)</f>
        <v>期間限定クエスト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期間限定クエスト</v>
      </c>
      <c r="H10" s="84">
        <v>0</v>
      </c>
      <c r="I10" s="89">
        <f t="shared" si="0"/>
        <v>9</v>
      </c>
      <c r="J10" s="85" t="str">
        <f t="shared" si="1"/>
        <v>1101709</v>
      </c>
      <c r="K10" s="83" t="s">
        <v>128</v>
      </c>
      <c r="L10" s="86" t="s">
        <v>276</v>
      </c>
      <c r="M10" s="120" t="s">
        <v>309</v>
      </c>
      <c r="N10" s="57" t="s">
        <v>198</v>
      </c>
    </row>
    <row r="11" spans="1:14" ht="28" x14ac:dyDescent="0.15">
      <c r="A11" s="80" t="s">
        <v>268</v>
      </c>
      <c r="B11" s="81">
        <f>floors!$C$2</f>
        <v>11017</v>
      </c>
      <c r="C11" s="82" t="str">
        <f ca="1">VLOOKUP($B11,OFFSET([2]quests!$A$1,0,0,COUNTA([2]quests!$A:$A),MATCH(C$1,[2]quests!$1:$1,0)-MATCH($B$1,[2]quests!$1:$1,0)+1),MATCH(C$1,[2]quests!$1:$1,0)-MATCH($B$1,[2]quests!$1:$1,0)+1,FALSE)</f>
        <v>【期間限定】リトルハンプティを追え！</v>
      </c>
      <c r="D11" s="82" t="str">
        <f ca="1">VLOOKUP($B11,OFFSET([2]quests!$A$1,0,0,COUNTA([2]quests!$A:$A),MATCH(D$1,[2]quests!$1:$1,0)-MATCH($B$1,[2]quests!$1:$1,0)+1),MATCH(D$1,[2]quests!$1:$1,0)-MATCH($B$1,[2]quests!$1:$1,0)+1,FALSE)</f>
        <v>期間限定クエスト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期間限定クエスト</v>
      </c>
      <c r="H11" s="84">
        <v>0</v>
      </c>
      <c r="I11" s="89">
        <f t="shared" si="0"/>
        <v>10</v>
      </c>
      <c r="J11" s="85" t="str">
        <f t="shared" si="1"/>
        <v>1101710</v>
      </c>
      <c r="K11" s="83" t="s">
        <v>128</v>
      </c>
      <c r="L11" s="86" t="s">
        <v>277</v>
      </c>
      <c r="M11" s="120" t="s">
        <v>311</v>
      </c>
      <c r="N11" s="57" t="s">
        <v>198</v>
      </c>
    </row>
    <row r="12" spans="1:14" ht="28" x14ac:dyDescent="0.15">
      <c r="A12" s="80" t="s">
        <v>268</v>
      </c>
      <c r="B12" s="81">
        <f>floors!$C$2</f>
        <v>11017</v>
      </c>
      <c r="C12" s="82" t="str">
        <f ca="1">VLOOKUP($B12,OFFSET([2]quests!$A$1,0,0,COUNTA([2]quests!$A:$A),MATCH(C$1,[2]quests!$1:$1,0)-MATCH($B$1,[2]quests!$1:$1,0)+1),MATCH(C$1,[2]quests!$1:$1,0)-MATCH($B$1,[2]quests!$1:$1,0)+1,FALSE)</f>
        <v>【期間限定】リトルハンプティを追え！</v>
      </c>
      <c r="D12" s="82" t="str">
        <f ca="1">VLOOKUP($B12,OFFSET([2]quests!$A$1,0,0,COUNTA([2]quests!$A:$A),MATCH(D$1,[2]quests!$1:$1,0)-MATCH($B$1,[2]quests!$1:$1,0)+1),MATCH(D$1,[2]quests!$1:$1,0)-MATCH($B$1,[2]quests!$1:$1,0)+1,FALSE)</f>
        <v>期間限定クエスト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期間限定クエスト</v>
      </c>
      <c r="H12" s="84">
        <v>0</v>
      </c>
      <c r="I12" s="89">
        <f t="shared" si="0"/>
        <v>11</v>
      </c>
      <c r="J12" s="85" t="str">
        <f t="shared" si="1"/>
        <v>1101711</v>
      </c>
      <c r="K12" s="83" t="s">
        <v>128</v>
      </c>
      <c r="L12" s="86" t="s">
        <v>278</v>
      </c>
      <c r="M12" s="120" t="s">
        <v>313</v>
      </c>
      <c r="N12" s="57" t="s">
        <v>198</v>
      </c>
    </row>
    <row r="13" spans="1:14" ht="28" x14ac:dyDescent="0.15">
      <c r="A13" s="80" t="s">
        <v>268</v>
      </c>
      <c r="B13" s="81">
        <f>floors!$C$2</f>
        <v>11017</v>
      </c>
      <c r="C13" s="82" t="str">
        <f ca="1">VLOOKUP($B13,OFFSET([2]quests!$A$1,0,0,COUNTA([2]quests!$A:$A),MATCH(C$1,[2]quests!$1:$1,0)-MATCH($B$1,[2]quests!$1:$1,0)+1),MATCH(C$1,[2]quests!$1:$1,0)-MATCH($B$1,[2]quests!$1:$1,0)+1,FALSE)</f>
        <v>【期間限定】リトルハンプティを追え！</v>
      </c>
      <c r="D13" s="82" t="str">
        <f ca="1">VLOOKUP($B13,OFFSET([2]quests!$A$1,0,0,COUNTA([2]quests!$A:$A),MATCH(D$1,[2]quests!$1:$1,0)-MATCH($B$1,[2]quests!$1:$1,0)+1),MATCH(D$1,[2]quests!$1:$1,0)-MATCH($B$1,[2]quests!$1:$1,0)+1,FALSE)</f>
        <v>期間限定クエスト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期間限定クエスト</v>
      </c>
      <c r="H13" s="84">
        <v>0</v>
      </c>
      <c r="I13" s="89">
        <f t="shared" si="0"/>
        <v>12</v>
      </c>
      <c r="J13" s="85" t="str">
        <f t="shared" si="1"/>
        <v>1101712</v>
      </c>
      <c r="K13" s="83" t="s">
        <v>128</v>
      </c>
      <c r="L13" s="86" t="s">
        <v>279</v>
      </c>
      <c r="M13" s="120" t="s">
        <v>312</v>
      </c>
      <c r="N13" s="57" t="s">
        <v>198</v>
      </c>
    </row>
    <row r="14" spans="1:14" ht="28" x14ac:dyDescent="0.15">
      <c r="A14" s="80" t="s">
        <v>268</v>
      </c>
      <c r="B14" s="81">
        <f>floors!$C$2</f>
        <v>11017</v>
      </c>
      <c r="C14" s="82" t="str">
        <f ca="1">VLOOKUP($B14,OFFSET([2]quests!$A$1,0,0,COUNTA([2]quests!$A:$A),MATCH(C$1,[2]quests!$1:$1,0)-MATCH($B$1,[2]quests!$1:$1,0)+1),MATCH(C$1,[2]quests!$1:$1,0)-MATCH($B$1,[2]quests!$1:$1,0)+1,FALSE)</f>
        <v>【期間限定】リトルハンプティを追え！</v>
      </c>
      <c r="D14" s="82" t="str">
        <f ca="1">VLOOKUP($B14,OFFSET([2]quests!$A$1,0,0,COUNTA([2]quests!$A:$A),MATCH(D$1,[2]quests!$1:$1,0)-MATCH($B$1,[2]quests!$1:$1,0)+1),MATCH(D$1,[2]quests!$1:$1,0)-MATCH($B$1,[2]quests!$1:$1,0)+1,FALSE)</f>
        <v>期間限定クエスト</v>
      </c>
      <c r="E14" s="83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期間限定クエスト</v>
      </c>
      <c r="H14" s="84">
        <v>0</v>
      </c>
      <c r="I14" s="89">
        <f t="shared" si="0"/>
        <v>13</v>
      </c>
      <c r="J14" s="85" t="str">
        <f t="shared" si="1"/>
        <v>1101713</v>
      </c>
      <c r="K14" s="83" t="s">
        <v>128</v>
      </c>
      <c r="L14" s="86" t="s">
        <v>280</v>
      </c>
      <c r="M14" s="120" t="s">
        <v>302</v>
      </c>
      <c r="N14" s="57" t="s">
        <v>198</v>
      </c>
    </row>
    <row r="15" spans="1:14" ht="28" x14ac:dyDescent="0.15">
      <c r="A15" s="80" t="s">
        <v>268</v>
      </c>
      <c r="B15" s="81">
        <f>floors!$C$2</f>
        <v>11017</v>
      </c>
      <c r="C15" s="82" t="str">
        <f ca="1">VLOOKUP($B15,OFFSET([2]quests!$A$1,0,0,COUNTA([2]quests!$A:$A),MATCH(C$1,[2]quests!$1:$1,0)-MATCH($B$1,[2]quests!$1:$1,0)+1),MATCH(C$1,[2]quests!$1:$1,0)-MATCH($B$1,[2]quests!$1:$1,0)+1,FALSE)</f>
        <v>【期間限定】リトルハンプティを追え！</v>
      </c>
      <c r="D15" s="82" t="str">
        <f ca="1">VLOOKUP($B15,OFFSET([2]quests!$A$1,0,0,COUNTA([2]quests!$A:$A),MATCH(D$1,[2]quests!$1:$1,0)-MATCH($B$1,[2]quests!$1:$1,0)+1),MATCH(D$1,[2]quests!$1:$1,0)-MATCH($B$1,[2]quests!$1:$1,0)+1,FALSE)</f>
        <v>期間限定クエスト</v>
      </c>
      <c r="E15" s="83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期間限定クエスト</v>
      </c>
      <c r="H15" s="84">
        <v>0</v>
      </c>
      <c r="I15" s="89">
        <f t="shared" si="0"/>
        <v>14</v>
      </c>
      <c r="J15" s="85" t="str">
        <f t="shared" si="1"/>
        <v>1101714</v>
      </c>
      <c r="K15" s="83" t="s">
        <v>128</v>
      </c>
      <c r="L15" s="86" t="s">
        <v>281</v>
      </c>
      <c r="M15" s="120" t="s">
        <v>301</v>
      </c>
      <c r="N15" s="57" t="s">
        <v>198</v>
      </c>
    </row>
    <row r="16" spans="1:14" ht="42" x14ac:dyDescent="0.15">
      <c r="A16" s="80" t="s">
        <v>268</v>
      </c>
      <c r="B16" s="81">
        <f>floors!$C$2</f>
        <v>11017</v>
      </c>
      <c r="C16" s="82" t="str">
        <f ca="1">VLOOKUP($B16,OFFSET([2]quests!$A$1,0,0,COUNTA([2]quests!$A:$A),MATCH(C$1,[2]quests!$1:$1,0)-MATCH($B$1,[2]quests!$1:$1,0)+1),MATCH(C$1,[2]quests!$1:$1,0)-MATCH($B$1,[2]quests!$1:$1,0)+1,FALSE)</f>
        <v>【期間限定】リトルハンプティを追え！</v>
      </c>
      <c r="D16" s="82" t="str">
        <f ca="1">VLOOKUP($B16,OFFSET([2]quests!$A$1,0,0,COUNTA([2]quests!$A:$A),MATCH(D$1,[2]quests!$1:$1,0)-MATCH($B$1,[2]quests!$1:$1,0)+1),MATCH(D$1,[2]quests!$1:$1,0)-MATCH($B$1,[2]quests!$1:$1,0)+1,FALSE)</f>
        <v>期間限定クエスト</v>
      </c>
      <c r="E16" s="83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期間限定クエスト</v>
      </c>
      <c r="H16" s="84">
        <v>0</v>
      </c>
      <c r="I16" s="89">
        <f t="shared" si="0"/>
        <v>15</v>
      </c>
      <c r="J16" s="85" t="str">
        <f t="shared" si="1"/>
        <v>1101715</v>
      </c>
      <c r="K16" s="83" t="s">
        <v>128</v>
      </c>
      <c r="L16" s="86" t="s">
        <v>333</v>
      </c>
      <c r="M16" s="120" t="s">
        <v>334</v>
      </c>
      <c r="N16" s="57" t="s">
        <v>198</v>
      </c>
    </row>
    <row r="17" spans="1:14" ht="28" x14ac:dyDescent="0.15">
      <c r="A17" s="80" t="s">
        <v>268</v>
      </c>
      <c r="B17" s="81">
        <f>floors!$C$2</f>
        <v>11017</v>
      </c>
      <c r="C17" s="82" t="str">
        <f ca="1">VLOOKUP($B17,OFFSET([2]quests!$A$1,0,0,COUNTA([2]quests!$A:$A),MATCH(C$1,[2]quests!$1:$1,0)-MATCH($B$1,[2]quests!$1:$1,0)+1),MATCH(C$1,[2]quests!$1:$1,0)-MATCH($B$1,[2]quests!$1:$1,0)+1,FALSE)</f>
        <v>【期間限定】リトルハンプティを追え！</v>
      </c>
      <c r="D17" s="82" t="str">
        <f ca="1">VLOOKUP($B17,OFFSET([2]quests!$A$1,0,0,COUNTA([2]quests!$A:$A),MATCH(D$1,[2]quests!$1:$1,0)-MATCH($B$1,[2]quests!$1:$1,0)+1),MATCH(D$1,[2]quests!$1:$1,0)-MATCH($B$1,[2]quests!$1:$1,0)+1,FALSE)</f>
        <v>期間限定クエスト</v>
      </c>
      <c r="E17" s="83">
        <v>1</v>
      </c>
      <c r="F17" s="82" t="str">
        <f ca="1">VLOOKUP($B17&amp;"_"&amp;$E17,OFFSET([2]stages!$A$1,0,0,COUNTA([2]stages!$A:$A),MATCH(F$1,[2]stages!$2:$2,0)-MATCH("temp_stage",[2]stages!$2:$2,0)+1),MATCH(F$1,[2]stages!$2:$2,0)-MATCH("temp_stage",[2]stages!$2:$2,0)+1,FALSE)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17" s="82" t="str">
        <f ca="1">VLOOKUP($B17&amp;"_"&amp;$E17,OFFSET([2]stages!$A$1,0,0,COUNTA([2]stages!$A:$A),MATCH(G$1,[2]stages!$2:$2,0)-MATCH("temp_stage",[2]stages!$2:$2,0)+1),MATCH(G$1,[2]stages!$2:$2,0)-MATCH("temp_stage",[2]stages!$2:$2,0)+1,FALSE)</f>
        <v>期間限定クエスト</v>
      </c>
      <c r="H17" s="84">
        <v>0</v>
      </c>
      <c r="I17" s="89">
        <f t="shared" si="0"/>
        <v>16</v>
      </c>
      <c r="J17" s="85" t="str">
        <f t="shared" si="1"/>
        <v>1101716</v>
      </c>
      <c r="K17" s="83" t="s">
        <v>128</v>
      </c>
      <c r="L17" s="86" t="s">
        <v>282</v>
      </c>
      <c r="M17" s="120" t="s">
        <v>314</v>
      </c>
      <c r="N17" s="57" t="s">
        <v>198</v>
      </c>
    </row>
    <row r="18" spans="1:14" ht="28" x14ac:dyDescent="0.15">
      <c r="A18" s="80" t="s">
        <v>268</v>
      </c>
      <c r="B18" s="81">
        <f>floors!$C$2</f>
        <v>11017</v>
      </c>
      <c r="C18" s="82" t="str">
        <f ca="1">VLOOKUP($B18,OFFSET([2]quests!$A$1,0,0,COUNTA([2]quests!$A:$A),MATCH(C$1,[2]quests!$1:$1,0)-MATCH($B$1,[2]quests!$1:$1,0)+1),MATCH(C$1,[2]quests!$1:$1,0)-MATCH($B$1,[2]quests!$1:$1,0)+1,FALSE)</f>
        <v>【期間限定】リトルハンプティを追え！</v>
      </c>
      <c r="D18" s="82" t="str">
        <f ca="1">VLOOKUP($B18,OFFSET([2]quests!$A$1,0,0,COUNTA([2]quests!$A:$A),MATCH(D$1,[2]quests!$1:$1,0)-MATCH($B$1,[2]quests!$1:$1,0)+1),MATCH(D$1,[2]quests!$1:$1,0)-MATCH($B$1,[2]quests!$1:$1,0)+1,FALSE)</f>
        <v>期間限定クエスト</v>
      </c>
      <c r="E18" s="83">
        <v>1</v>
      </c>
      <c r="F18" s="82" t="str">
        <f ca="1">VLOOKUP($B18&amp;"_"&amp;$E18,OFFSET([2]stages!$A$1,0,0,COUNTA([2]stages!$A:$A),MATCH(F$1,[2]stages!$2:$2,0)-MATCH("temp_stage",[2]stages!$2:$2,0)+1),MATCH(F$1,[2]stages!$2:$2,0)-MATCH("temp_stage",[2]stages!$2:$2,0)+1,FALSE)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18" s="82" t="str">
        <f ca="1">VLOOKUP($B18&amp;"_"&amp;$E18,OFFSET([2]stages!$A$1,0,0,COUNTA([2]stages!$A:$A),MATCH(G$1,[2]stages!$2:$2,0)-MATCH("temp_stage",[2]stages!$2:$2,0)+1),MATCH(G$1,[2]stages!$2:$2,0)-MATCH("temp_stage",[2]stages!$2:$2,0)+1,FALSE)</f>
        <v>期間限定クエスト</v>
      </c>
      <c r="H18" s="84">
        <v>0</v>
      </c>
      <c r="I18" s="89">
        <f t="shared" si="0"/>
        <v>17</v>
      </c>
      <c r="J18" s="85" t="str">
        <f t="shared" si="1"/>
        <v>1101717</v>
      </c>
      <c r="K18" s="83" t="s">
        <v>128</v>
      </c>
      <c r="L18" s="86" t="s">
        <v>283</v>
      </c>
      <c r="M18" s="120" t="s">
        <v>316</v>
      </c>
      <c r="N18" s="57" t="s">
        <v>198</v>
      </c>
    </row>
    <row r="19" spans="1:14" ht="28" x14ac:dyDescent="0.15">
      <c r="A19" s="80" t="s">
        <v>268</v>
      </c>
      <c r="B19" s="81">
        <f>floors!$C$2</f>
        <v>11017</v>
      </c>
      <c r="C19" s="82" t="str">
        <f ca="1">VLOOKUP($B19,OFFSET([2]quests!$A$1,0,0,COUNTA([2]quests!$A:$A),MATCH(C$1,[2]quests!$1:$1,0)-MATCH($B$1,[2]quests!$1:$1,0)+1),MATCH(C$1,[2]quests!$1:$1,0)-MATCH($B$1,[2]quests!$1:$1,0)+1,FALSE)</f>
        <v>【期間限定】リトルハンプティを追え！</v>
      </c>
      <c r="D19" s="82" t="str">
        <f ca="1">VLOOKUP($B19,OFFSET([2]quests!$A$1,0,0,COUNTA([2]quests!$A:$A),MATCH(D$1,[2]quests!$1:$1,0)-MATCH($B$1,[2]quests!$1:$1,0)+1),MATCH(D$1,[2]quests!$1:$1,0)-MATCH($B$1,[2]quests!$1:$1,0)+1,FALSE)</f>
        <v>期間限定クエスト</v>
      </c>
      <c r="E19" s="83">
        <v>1</v>
      </c>
      <c r="F19" s="82" t="str">
        <f ca="1">VLOOKUP($B19&amp;"_"&amp;$E19,OFFSET([2]stages!$A$1,0,0,COUNTA([2]stages!$A:$A),MATCH(F$1,[2]stages!$2:$2,0)-MATCH("temp_stage",[2]stages!$2:$2,0)+1),MATCH(F$1,[2]stages!$2:$2,0)-MATCH("temp_stage",[2]stages!$2:$2,0)+1,FALSE)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19" s="82" t="str">
        <f ca="1">VLOOKUP($B19&amp;"_"&amp;$E19,OFFSET([2]stages!$A$1,0,0,COUNTA([2]stages!$A:$A),MATCH(G$1,[2]stages!$2:$2,0)-MATCH("temp_stage",[2]stages!$2:$2,0)+1),MATCH(G$1,[2]stages!$2:$2,0)-MATCH("temp_stage",[2]stages!$2:$2,0)+1,FALSE)</f>
        <v>期間限定クエスト</v>
      </c>
      <c r="H19" s="84">
        <v>0</v>
      </c>
      <c r="I19" s="89">
        <f t="shared" si="0"/>
        <v>18</v>
      </c>
      <c r="J19" s="85" t="str">
        <f t="shared" si="1"/>
        <v>1101718</v>
      </c>
      <c r="K19" s="83" t="s">
        <v>128</v>
      </c>
      <c r="L19" s="86" t="s">
        <v>284</v>
      </c>
      <c r="M19" s="120" t="s">
        <v>315</v>
      </c>
      <c r="N19" s="57" t="s">
        <v>198</v>
      </c>
    </row>
    <row r="20" spans="1:14" ht="28" x14ac:dyDescent="0.15">
      <c r="A20" s="80" t="s">
        <v>268</v>
      </c>
      <c r="B20" s="81">
        <f>floors!$C$2</f>
        <v>11017</v>
      </c>
      <c r="C20" s="82" t="str">
        <f ca="1">VLOOKUP($B20,OFFSET([2]quests!$A$1,0,0,COUNTA([2]quests!$A:$A),MATCH(C$1,[2]quests!$1:$1,0)-MATCH($B$1,[2]quests!$1:$1,0)+1),MATCH(C$1,[2]quests!$1:$1,0)-MATCH($B$1,[2]quests!$1:$1,0)+1,FALSE)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0" s="82" t="str">
        <f ca="1">VLOOKUP($B20,OFFSET([2]quests!$A$1,0,0,COUNTA([2]quests!$A:$A),MATCH(D$1,[2]quests!$1:$1,0)-MATCH($B$1,[2]quests!$1:$1,0)+1),MATCH(D$1,[2]quests!$1:$1,0)-MATCH($B$1,[2]quests!$1:$1,0)+1,FALSE)</f>
        <v>期間限定クエスト</v>
      </c>
      <c r="E20" s="83">
        <v>1</v>
      </c>
      <c r="F20" s="82" t="str">
        <f ca="1">VLOOKUP($B20&amp;"_"&amp;$E20,OFFSET([2]stages!$A$1,0,0,COUNTA([2]stages!$A:$A),MATCH(F$1,[2]stages!$2:$2,0)-MATCH("temp_stage",[2]stages!$2:$2,0)+1),MATCH(F$1,[2]stages!$2:$2,0)-MATCH("temp_stage",[2]stages!$2:$2,0)+1,FALSE)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0" s="82" t="str">
        <f ca="1">VLOOKUP($B20&amp;"_"&amp;$E20,OFFSET([2]stages!$A$1,0,0,COUNTA([2]stages!$A:$A),MATCH(G$1,[2]stages!$2:$2,0)-MATCH("temp_stage",[2]stages!$2:$2,0)+1),MATCH(G$1,[2]stages!$2:$2,0)-MATCH("temp_stage",[2]stages!$2:$2,0)+1,FALSE)</f>
        <v>期間限定クエスト</v>
      </c>
      <c r="H20" s="84">
        <v>0</v>
      </c>
      <c r="I20" s="89">
        <f t="shared" si="0"/>
        <v>19</v>
      </c>
      <c r="J20" s="85" t="str">
        <f t="shared" si="1"/>
        <v>1101719</v>
      </c>
      <c r="K20" s="83" t="s">
        <v>128</v>
      </c>
      <c r="L20" s="86" t="s">
        <v>285</v>
      </c>
      <c r="M20" s="120" t="s">
        <v>318</v>
      </c>
      <c r="N20" s="57" t="s">
        <v>198</v>
      </c>
    </row>
    <row r="21" spans="1:14" ht="42" x14ac:dyDescent="0.15">
      <c r="A21" s="80" t="s">
        <v>268</v>
      </c>
      <c r="B21" s="81">
        <f>floors!$C$2</f>
        <v>11017</v>
      </c>
      <c r="C21" s="82" t="str">
        <f ca="1">VLOOKUP($B21,OFFSET([2]quests!$A$1,0,0,COUNTA([2]quests!$A:$A),MATCH(C$1,[2]quests!$1:$1,0)-MATCH($B$1,[2]quests!$1:$1,0)+1),MATCH(C$1,[2]quests!$1:$1,0)-MATCH($B$1,[2]quests!$1:$1,0)+1,FALSE)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1" s="82" t="str">
        <f ca="1">VLOOKUP($B21,OFFSET([2]quests!$A$1,0,0,COUNTA([2]quests!$A:$A),MATCH(D$1,[2]quests!$1:$1,0)-MATCH($B$1,[2]quests!$1:$1,0)+1),MATCH(D$1,[2]quests!$1:$1,0)-MATCH($B$1,[2]quests!$1:$1,0)+1,FALSE)</f>
        <v>期間限定クエスト</v>
      </c>
      <c r="E21" s="83">
        <v>1</v>
      </c>
      <c r="F21" s="82" t="str">
        <f ca="1">VLOOKUP($B21&amp;"_"&amp;$E21,OFFSET([2]stages!$A$1,0,0,COUNTA([2]stages!$A:$A),MATCH(F$1,[2]stages!$2:$2,0)-MATCH("temp_stage",[2]stages!$2:$2,0)+1),MATCH(F$1,[2]stages!$2:$2,0)-MATCH("temp_stage",[2]stages!$2:$2,0)+1,FALSE)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1" s="82" t="str">
        <f ca="1">VLOOKUP($B21&amp;"_"&amp;$E21,OFFSET([2]stages!$A$1,0,0,COUNTA([2]stages!$A:$A),MATCH(G$1,[2]stages!$2:$2,0)-MATCH("temp_stage",[2]stages!$2:$2,0)+1),MATCH(G$1,[2]stages!$2:$2,0)-MATCH("temp_stage",[2]stages!$2:$2,0)+1,FALSE)</f>
        <v>期間限定クエスト</v>
      </c>
      <c r="H21" s="84">
        <v>0</v>
      </c>
      <c r="I21" s="89">
        <f t="shared" si="0"/>
        <v>20</v>
      </c>
      <c r="J21" s="85" t="str">
        <f t="shared" si="1"/>
        <v>1101720</v>
      </c>
      <c r="K21" s="83" t="s">
        <v>128</v>
      </c>
      <c r="L21" s="86" t="s">
        <v>286</v>
      </c>
      <c r="M21" s="120" t="s">
        <v>317</v>
      </c>
      <c r="N21" s="57" t="s">
        <v>198</v>
      </c>
    </row>
    <row r="22" spans="1:14" ht="28" x14ac:dyDescent="0.15">
      <c r="A22" s="80" t="s">
        <v>268</v>
      </c>
      <c r="B22" s="81">
        <f>floors!$C$2</f>
        <v>11017</v>
      </c>
      <c r="C22" s="82" t="str">
        <f ca="1">VLOOKUP($B22,OFFSET([2]quests!$A$1,0,0,COUNTA([2]quests!$A:$A),MATCH(C$1,[2]quests!$1:$1,0)-MATCH($B$1,[2]quests!$1:$1,0)+1),MATCH(C$1,[2]quests!$1:$1,0)-MATCH($B$1,[2]quests!$1:$1,0)+1,FALSE)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2" s="82" t="str">
        <f ca="1">VLOOKUP($B22,OFFSET([2]quests!$A$1,0,0,COUNTA([2]quests!$A:$A),MATCH(D$1,[2]quests!$1:$1,0)-MATCH($B$1,[2]quests!$1:$1,0)+1),MATCH(D$1,[2]quests!$1:$1,0)-MATCH($B$1,[2]quests!$1:$1,0)+1,FALSE)</f>
        <v>期間限定クエスト</v>
      </c>
      <c r="E22" s="83">
        <v>1</v>
      </c>
      <c r="F22" s="82" t="str">
        <f ca="1">VLOOKUP($B22&amp;"_"&amp;$E22,OFFSET([2]stages!$A$1,0,0,COUNTA([2]stages!$A:$A),MATCH(F$1,[2]stages!$2:$2,0)-MATCH("temp_stage",[2]stages!$2:$2,0)+1),MATCH(F$1,[2]stages!$2:$2,0)-MATCH("temp_stage",[2]stages!$2:$2,0)+1,FALSE)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2" s="82" t="str">
        <f ca="1">VLOOKUP($B22&amp;"_"&amp;$E22,OFFSET([2]stages!$A$1,0,0,COUNTA([2]stages!$A:$A),MATCH(G$1,[2]stages!$2:$2,0)-MATCH("temp_stage",[2]stages!$2:$2,0)+1),MATCH(G$1,[2]stages!$2:$2,0)-MATCH("temp_stage",[2]stages!$2:$2,0)+1,FALSE)</f>
        <v>期間限定クエスト</v>
      </c>
      <c r="H22" s="84">
        <v>0</v>
      </c>
      <c r="I22" s="89">
        <f t="shared" si="0"/>
        <v>21</v>
      </c>
      <c r="J22" s="85" t="str">
        <f t="shared" si="1"/>
        <v>1101721</v>
      </c>
      <c r="K22" s="83" t="s">
        <v>128</v>
      </c>
      <c r="L22" s="86" t="s">
        <v>287</v>
      </c>
      <c r="M22" s="120" t="s">
        <v>319</v>
      </c>
      <c r="N22" s="57" t="s">
        <v>198</v>
      </c>
    </row>
    <row r="23" spans="1:14" ht="28" x14ac:dyDescent="0.15">
      <c r="A23" s="80" t="s">
        <v>268</v>
      </c>
      <c r="B23" s="81">
        <f>floors!$C$2</f>
        <v>11017</v>
      </c>
      <c r="C23" s="82" t="str">
        <f ca="1">VLOOKUP($B23,OFFSET([2]quests!$A$1,0,0,COUNTA([2]quests!$A:$A),MATCH(C$1,[2]quests!$1:$1,0)-MATCH($B$1,[2]quests!$1:$1,0)+1),MATCH(C$1,[2]quests!$1:$1,0)-MATCH($B$1,[2]quests!$1:$1,0)+1,FALSE)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3" s="82" t="str">
        <f ca="1">VLOOKUP($B23,OFFSET([2]quests!$A$1,0,0,COUNTA([2]quests!$A:$A),MATCH(D$1,[2]quests!$1:$1,0)-MATCH($B$1,[2]quests!$1:$1,0)+1),MATCH(D$1,[2]quests!$1:$1,0)-MATCH($B$1,[2]quests!$1:$1,0)+1,FALSE)</f>
        <v>期間限定クエスト</v>
      </c>
      <c r="E23" s="83">
        <v>1</v>
      </c>
      <c r="F23" s="82" t="str">
        <f ca="1">VLOOKUP($B23&amp;"_"&amp;$E23,OFFSET([2]stages!$A$1,0,0,COUNTA([2]stages!$A:$A),MATCH(F$1,[2]stages!$2:$2,0)-MATCH("temp_stage",[2]stages!$2:$2,0)+1),MATCH(F$1,[2]stages!$2:$2,0)-MATCH("temp_stage",[2]stages!$2:$2,0)+1,FALSE)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3" s="82" t="str">
        <f ca="1">VLOOKUP($B23&amp;"_"&amp;$E23,OFFSET([2]stages!$A$1,0,0,COUNTA([2]stages!$A:$A),MATCH(G$1,[2]stages!$2:$2,0)-MATCH("temp_stage",[2]stages!$2:$2,0)+1),MATCH(G$1,[2]stages!$2:$2,0)-MATCH("temp_stage",[2]stages!$2:$2,0)+1,FALSE)</f>
        <v>期間限定クエスト</v>
      </c>
      <c r="H23" s="84">
        <v>0</v>
      </c>
      <c r="I23" s="89">
        <f t="shared" si="0"/>
        <v>22</v>
      </c>
      <c r="J23" s="85" t="str">
        <f t="shared" si="1"/>
        <v>1101722</v>
      </c>
      <c r="K23" s="83" t="s">
        <v>128</v>
      </c>
      <c r="L23" s="86" t="s">
        <v>288</v>
      </c>
      <c r="M23" s="120" t="s">
        <v>331</v>
      </c>
      <c r="N23" s="57" t="s">
        <v>198</v>
      </c>
    </row>
    <row r="24" spans="1:14" ht="28" x14ac:dyDescent="0.15">
      <c r="A24" s="80" t="s">
        <v>268</v>
      </c>
      <c r="B24" s="81">
        <f>floors!$C$2</f>
        <v>11017</v>
      </c>
      <c r="C24" s="82" t="str">
        <f ca="1">VLOOKUP($B24,OFFSET([2]quests!$A$1,0,0,COUNTA([2]quests!$A:$A),MATCH(C$1,[2]quests!$1:$1,0)-MATCH($B$1,[2]quests!$1:$1,0)+1),MATCH(C$1,[2]quests!$1:$1,0)-MATCH($B$1,[2]quests!$1:$1,0)+1,FALSE)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4" s="82" t="str">
        <f ca="1">VLOOKUP($B24,OFFSET([2]quests!$A$1,0,0,COUNTA([2]quests!$A:$A),MATCH(D$1,[2]quests!$1:$1,0)-MATCH($B$1,[2]quests!$1:$1,0)+1),MATCH(D$1,[2]quests!$1:$1,0)-MATCH($B$1,[2]quests!$1:$1,0)+1,FALSE)</f>
        <v>期間限定クエスト</v>
      </c>
      <c r="E24" s="83">
        <v>1</v>
      </c>
      <c r="F24" s="82" t="str">
        <f ca="1">VLOOKUP($B24&amp;"_"&amp;$E24,OFFSET([2]stages!$A$1,0,0,COUNTA([2]stages!$A:$A),MATCH(F$1,[2]stages!$2:$2,0)-MATCH("temp_stage",[2]stages!$2:$2,0)+1),MATCH(F$1,[2]stages!$2:$2,0)-MATCH("temp_stage",[2]stages!$2:$2,0)+1,FALSE)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4" s="82" t="str">
        <f ca="1">VLOOKUP($B24&amp;"_"&amp;$E24,OFFSET([2]stages!$A$1,0,0,COUNTA([2]stages!$A:$A),MATCH(G$1,[2]stages!$2:$2,0)-MATCH("temp_stage",[2]stages!$2:$2,0)+1),MATCH(G$1,[2]stages!$2:$2,0)-MATCH("temp_stage",[2]stages!$2:$2,0)+1,FALSE)</f>
        <v>期間限定クエスト</v>
      </c>
      <c r="H24" s="84">
        <v>0</v>
      </c>
      <c r="I24" s="89">
        <f t="shared" si="0"/>
        <v>23</v>
      </c>
      <c r="J24" s="85" t="str">
        <f t="shared" si="1"/>
        <v>1101723</v>
      </c>
      <c r="K24" s="83" t="s">
        <v>128</v>
      </c>
      <c r="L24" s="86" t="s">
        <v>289</v>
      </c>
      <c r="M24" s="120" t="s">
        <v>330</v>
      </c>
      <c r="N24" s="57" t="s">
        <v>198</v>
      </c>
    </row>
    <row r="25" spans="1:14" ht="28" x14ac:dyDescent="0.15">
      <c r="A25" s="80" t="s">
        <v>268</v>
      </c>
      <c r="B25" s="81">
        <f>floors!$C$2</f>
        <v>11017</v>
      </c>
      <c r="C25" s="82" t="str">
        <f ca="1">VLOOKUP($B25,OFFSET([2]quests!$A$1,0,0,COUNTA([2]quests!$A:$A),MATCH(C$1,[2]quests!$1:$1,0)-MATCH($B$1,[2]quests!$1:$1,0)+1),MATCH(C$1,[2]quests!$1:$1,0)-MATCH($B$1,[2]quests!$1:$1,0)+1,FALSE)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5" s="82" t="str">
        <f ca="1">VLOOKUP($B25,OFFSET([2]quests!$A$1,0,0,COUNTA([2]quests!$A:$A),MATCH(D$1,[2]quests!$1:$1,0)-MATCH($B$1,[2]quests!$1:$1,0)+1),MATCH(D$1,[2]quests!$1:$1,0)-MATCH($B$1,[2]quests!$1:$1,0)+1,FALSE)</f>
        <v>期間限定クエスト</v>
      </c>
      <c r="E25" s="83">
        <v>1</v>
      </c>
      <c r="F25" s="82" t="str">
        <f ca="1">VLOOKUP($B25&amp;"_"&amp;$E25,OFFSET([2]stages!$A$1,0,0,COUNTA([2]stages!$A:$A),MATCH(F$1,[2]stages!$2:$2,0)-MATCH("temp_stage",[2]stages!$2:$2,0)+1),MATCH(F$1,[2]stages!$2:$2,0)-MATCH("temp_stage",[2]stages!$2:$2,0)+1,FALSE)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5" s="82" t="str">
        <f ca="1">VLOOKUP($B25&amp;"_"&amp;$E25,OFFSET([2]stages!$A$1,0,0,COUNTA([2]stages!$A:$A),MATCH(G$1,[2]stages!$2:$2,0)-MATCH("temp_stage",[2]stages!$2:$2,0)+1),MATCH(G$1,[2]stages!$2:$2,0)-MATCH("temp_stage",[2]stages!$2:$2,0)+1,FALSE)</f>
        <v>期間限定クエスト</v>
      </c>
      <c r="H25" s="84">
        <v>0</v>
      </c>
      <c r="I25" s="89">
        <f t="shared" si="0"/>
        <v>24</v>
      </c>
      <c r="J25" s="85" t="str">
        <f t="shared" si="1"/>
        <v>1101724</v>
      </c>
      <c r="K25" s="83" t="s">
        <v>128</v>
      </c>
      <c r="L25" s="86" t="s">
        <v>290</v>
      </c>
      <c r="M25" s="120" t="s">
        <v>329</v>
      </c>
      <c r="N25" s="57" t="s">
        <v>198</v>
      </c>
    </row>
    <row r="26" spans="1:14" ht="28" x14ac:dyDescent="0.15">
      <c r="A26" s="80" t="s">
        <v>268</v>
      </c>
      <c r="B26" s="81">
        <f>floors!$C$2</f>
        <v>11017</v>
      </c>
      <c r="C26" s="82" t="str">
        <f ca="1">VLOOKUP($B26,OFFSET([2]quests!$A$1,0,0,COUNTA([2]quests!$A:$A),MATCH(C$1,[2]quests!$1:$1,0)-MATCH($B$1,[2]quests!$1:$1,0)+1),MATCH(C$1,[2]quests!$1:$1,0)-MATCH($B$1,[2]quests!$1:$1,0)+1,FALSE)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6" s="82" t="str">
        <f ca="1">VLOOKUP($B26,OFFSET([2]quests!$A$1,0,0,COUNTA([2]quests!$A:$A),MATCH(D$1,[2]quests!$1:$1,0)-MATCH($B$1,[2]quests!$1:$1,0)+1),MATCH(D$1,[2]quests!$1:$1,0)-MATCH($B$1,[2]quests!$1:$1,0)+1,FALSE)</f>
        <v>期間限定クエスト</v>
      </c>
      <c r="E26" s="83">
        <v>1</v>
      </c>
      <c r="F26" s="82" t="str">
        <f ca="1">VLOOKUP($B26&amp;"_"&amp;$E26,OFFSET([2]stages!$A$1,0,0,COUNTA([2]stages!$A:$A),MATCH(F$1,[2]stages!$2:$2,0)-MATCH("temp_stage",[2]stages!$2:$2,0)+1),MATCH(F$1,[2]stages!$2:$2,0)-MATCH("temp_stage",[2]stages!$2:$2,0)+1,FALSE)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6" s="82" t="str">
        <f ca="1">VLOOKUP($B26&amp;"_"&amp;$E26,OFFSET([2]stages!$A$1,0,0,COUNTA([2]stages!$A:$A),MATCH(G$1,[2]stages!$2:$2,0)-MATCH("temp_stage",[2]stages!$2:$2,0)+1),MATCH(G$1,[2]stages!$2:$2,0)-MATCH("temp_stage",[2]stages!$2:$2,0)+1,FALSE)</f>
        <v>期間限定クエスト</v>
      </c>
      <c r="H26" s="84">
        <v>0</v>
      </c>
      <c r="I26" s="89">
        <f t="shared" si="0"/>
        <v>25</v>
      </c>
      <c r="J26" s="85" t="str">
        <f t="shared" si="1"/>
        <v>1101725</v>
      </c>
      <c r="K26" s="83" t="s">
        <v>128</v>
      </c>
      <c r="L26" s="86" t="s">
        <v>291</v>
      </c>
      <c r="M26" s="120" t="s">
        <v>328</v>
      </c>
      <c r="N26" s="57" t="s">
        <v>198</v>
      </c>
    </row>
    <row r="27" spans="1:14" ht="28" x14ac:dyDescent="0.15">
      <c r="A27" s="80" t="s">
        <v>268</v>
      </c>
      <c r="B27" s="81">
        <f>floors!$C$2</f>
        <v>11017</v>
      </c>
      <c r="C27" s="82" t="str">
        <f ca="1">VLOOKUP($B27,OFFSET([2]quests!$A$1,0,0,COUNTA([2]quests!$A:$A),MATCH(C$1,[2]quests!$1:$1,0)-MATCH($B$1,[2]quests!$1:$1,0)+1),MATCH(C$1,[2]quests!$1:$1,0)-MATCH($B$1,[2]quests!$1:$1,0)+1,FALSE)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7" s="82" t="str">
        <f ca="1">VLOOKUP($B27,OFFSET([2]quests!$A$1,0,0,COUNTA([2]quests!$A:$A),MATCH(D$1,[2]quests!$1:$1,0)-MATCH($B$1,[2]quests!$1:$1,0)+1),MATCH(D$1,[2]quests!$1:$1,0)-MATCH($B$1,[2]quests!$1:$1,0)+1,FALSE)</f>
        <v>期間限定クエスト</v>
      </c>
      <c r="E27" s="83">
        <v>1</v>
      </c>
      <c r="F27" s="82" t="str">
        <f ca="1">VLOOKUP($B27&amp;"_"&amp;$E27,OFFSET([2]stages!$A$1,0,0,COUNTA([2]stages!$A:$A),MATCH(F$1,[2]stages!$2:$2,0)-MATCH("temp_stage",[2]stages!$2:$2,0)+1),MATCH(F$1,[2]stages!$2:$2,0)-MATCH("temp_stage",[2]stages!$2:$2,0)+1,FALSE)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7" s="82" t="str">
        <f ca="1">VLOOKUP($B27&amp;"_"&amp;$E27,OFFSET([2]stages!$A$1,0,0,COUNTA([2]stages!$A:$A),MATCH(G$1,[2]stages!$2:$2,0)-MATCH("temp_stage",[2]stages!$2:$2,0)+1),MATCH(G$1,[2]stages!$2:$2,0)-MATCH("temp_stage",[2]stages!$2:$2,0)+1,FALSE)</f>
        <v>期間限定クエスト</v>
      </c>
      <c r="H27" s="84">
        <v>0</v>
      </c>
      <c r="I27" s="89">
        <f t="shared" si="0"/>
        <v>26</v>
      </c>
      <c r="J27" s="85" t="str">
        <f t="shared" si="1"/>
        <v>1101726</v>
      </c>
      <c r="K27" s="83" t="s">
        <v>128</v>
      </c>
      <c r="L27" s="86" t="s">
        <v>292</v>
      </c>
      <c r="M27" s="120" t="s">
        <v>320</v>
      </c>
      <c r="N27" s="57" t="s">
        <v>198</v>
      </c>
    </row>
    <row r="28" spans="1:14" ht="28" x14ac:dyDescent="0.15">
      <c r="A28" s="80" t="s">
        <v>268</v>
      </c>
      <c r="B28" s="81">
        <f>floors!$C$2</f>
        <v>11017</v>
      </c>
      <c r="C28" s="82" t="str">
        <f ca="1">VLOOKUP($B28,OFFSET([2]quests!$A$1,0,0,COUNTA([2]quests!$A:$A),MATCH(C$1,[2]quests!$1:$1,0)-MATCH($B$1,[2]quests!$1:$1,0)+1),MATCH(C$1,[2]quests!$1:$1,0)-MATCH($B$1,[2]quests!$1:$1,0)+1,FALSE)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8" s="82" t="str">
        <f ca="1">VLOOKUP($B28,OFFSET([2]quests!$A$1,0,0,COUNTA([2]quests!$A:$A),MATCH(D$1,[2]quests!$1:$1,0)-MATCH($B$1,[2]quests!$1:$1,0)+1),MATCH(D$1,[2]quests!$1:$1,0)-MATCH($B$1,[2]quests!$1:$1,0)+1,FALSE)</f>
        <v>期間限定クエスト</v>
      </c>
      <c r="E28" s="83">
        <v>1</v>
      </c>
      <c r="F28" s="82" t="str">
        <f ca="1">VLOOKUP($B28&amp;"_"&amp;$E28,OFFSET([2]stages!$A$1,0,0,COUNTA([2]stages!$A:$A),MATCH(F$1,[2]stages!$2:$2,0)-MATCH("temp_stage",[2]stages!$2:$2,0)+1),MATCH(F$1,[2]stages!$2:$2,0)-MATCH("temp_stage",[2]stages!$2:$2,0)+1,FALSE)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8" s="82" t="str">
        <f ca="1">VLOOKUP($B28&amp;"_"&amp;$E28,OFFSET([2]stages!$A$1,0,0,COUNTA([2]stages!$A:$A),MATCH(G$1,[2]stages!$2:$2,0)-MATCH("temp_stage",[2]stages!$2:$2,0)+1),MATCH(G$1,[2]stages!$2:$2,0)-MATCH("temp_stage",[2]stages!$2:$2,0)+1,FALSE)</f>
        <v>期間限定クエスト</v>
      </c>
      <c r="H28" s="84">
        <v>0</v>
      </c>
      <c r="I28" s="89">
        <f t="shared" si="0"/>
        <v>27</v>
      </c>
      <c r="J28" s="85" t="str">
        <f t="shared" si="1"/>
        <v>1101727</v>
      </c>
      <c r="K28" s="83" t="s">
        <v>128</v>
      </c>
      <c r="L28" s="86" t="s">
        <v>293</v>
      </c>
      <c r="M28" s="120" t="s">
        <v>324</v>
      </c>
      <c r="N28" s="57" t="s">
        <v>198</v>
      </c>
    </row>
    <row r="29" spans="1:14" ht="28" x14ac:dyDescent="0.15">
      <c r="A29" s="80" t="s">
        <v>268</v>
      </c>
      <c r="B29" s="81">
        <f>floors!$C$2</f>
        <v>11017</v>
      </c>
      <c r="C29" s="82" t="str">
        <f ca="1">VLOOKUP($B29,OFFSET([2]quests!$A$1,0,0,COUNTA([2]quests!$A:$A),MATCH(C$1,[2]quests!$1:$1,0)-MATCH($B$1,[2]quests!$1:$1,0)+1),MATCH(C$1,[2]quests!$1:$1,0)-MATCH($B$1,[2]quests!$1:$1,0)+1,FALSE)</f>
        <v>【期間限定】リトルハンプティを追え！</v>
      </c>
      <c r="D29" s="82" t="str">
        <f ca="1">VLOOKUP($B29,OFFSET([2]quests!$A$1,0,0,COUNTA([2]quests!$A:$A),MATCH(D$1,[2]quests!$1:$1,0)-MATCH($B$1,[2]quests!$1:$1,0)+1),MATCH(D$1,[2]quests!$1:$1,0)-MATCH($B$1,[2]quests!$1:$1,0)+1,FALSE)</f>
        <v>期間限定クエスト</v>
      </c>
      <c r="E29" s="83">
        <v>1</v>
      </c>
      <c r="F29" s="82" t="str">
        <f ca="1">VLOOKUP($B29&amp;"_"&amp;$E29,OFFSET([2]stages!$A$1,0,0,COUNTA([2]stages!$A:$A),MATCH(F$1,[2]stages!$2:$2,0)-MATCH("temp_stage",[2]stages!$2:$2,0)+1),MATCH(F$1,[2]stages!$2:$2,0)-MATCH("temp_stage",[2]stages!$2:$2,0)+1,FALSE)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29" s="82" t="str">
        <f ca="1">VLOOKUP($B29&amp;"_"&amp;$E29,OFFSET([2]stages!$A$1,0,0,COUNTA([2]stages!$A:$A),MATCH(G$1,[2]stages!$2:$2,0)-MATCH("temp_stage",[2]stages!$2:$2,0)+1),MATCH(G$1,[2]stages!$2:$2,0)-MATCH("temp_stage",[2]stages!$2:$2,0)+1,FALSE)</f>
        <v>期間限定クエスト</v>
      </c>
      <c r="H29" s="84">
        <v>0</v>
      </c>
      <c r="I29" s="89">
        <f t="shared" si="0"/>
        <v>28</v>
      </c>
      <c r="J29" s="85" t="str">
        <f t="shared" si="1"/>
        <v>1101728</v>
      </c>
      <c r="K29" s="83" t="s">
        <v>128</v>
      </c>
      <c r="L29" s="86" t="s">
        <v>294</v>
      </c>
      <c r="M29" s="120" t="s">
        <v>323</v>
      </c>
      <c r="N29" s="57" t="s">
        <v>198</v>
      </c>
    </row>
    <row r="30" spans="1:14" ht="28" x14ac:dyDescent="0.15">
      <c r="A30" s="80" t="s">
        <v>268</v>
      </c>
      <c r="B30" s="81">
        <f>floors!$C$2</f>
        <v>11017</v>
      </c>
      <c r="C30" s="82" t="str">
        <f ca="1">VLOOKUP($B30,OFFSET([2]quests!$A$1,0,0,COUNTA([2]quests!$A:$A),MATCH(C$1,[2]quests!$1:$1,0)-MATCH($B$1,[2]quests!$1:$1,0)+1),MATCH(C$1,[2]quests!$1:$1,0)-MATCH($B$1,[2]quests!$1:$1,0)+1,FALSE)</f>
        <v>【期間限定】リトルハンプティを追え！</v>
      </c>
      <c r="D30" s="82" t="str">
        <f ca="1">VLOOKUP($B30,OFFSET([2]quests!$A$1,0,0,COUNTA([2]quests!$A:$A),MATCH(D$1,[2]quests!$1:$1,0)-MATCH($B$1,[2]quests!$1:$1,0)+1),MATCH(D$1,[2]quests!$1:$1,0)-MATCH($B$1,[2]quests!$1:$1,0)+1,FALSE)</f>
        <v>期間限定クエスト</v>
      </c>
      <c r="E30" s="83">
        <v>1</v>
      </c>
      <c r="F30" s="82" t="str">
        <f ca="1">VLOOKUP($B30&amp;"_"&amp;$E30,OFFSET([2]stages!$A$1,0,0,COUNTA([2]stages!$A:$A),MATCH(F$1,[2]stages!$2:$2,0)-MATCH("temp_stage",[2]stages!$2:$2,0)+1),MATCH(F$1,[2]stages!$2:$2,0)-MATCH("temp_stage",[2]stages!$2:$2,0)+1,FALSE)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30" s="82" t="str">
        <f ca="1">VLOOKUP($B30&amp;"_"&amp;$E30,OFFSET([2]stages!$A$1,0,0,COUNTA([2]stages!$A:$A),MATCH(G$1,[2]stages!$2:$2,0)-MATCH("temp_stage",[2]stages!$2:$2,0)+1),MATCH(G$1,[2]stages!$2:$2,0)-MATCH("temp_stage",[2]stages!$2:$2,0)+1,FALSE)</f>
        <v>期間限定クエスト</v>
      </c>
      <c r="H30" s="84">
        <v>0</v>
      </c>
      <c r="I30" s="89">
        <f t="shared" si="0"/>
        <v>29</v>
      </c>
      <c r="J30" s="85" t="str">
        <f t="shared" si="1"/>
        <v>1101729</v>
      </c>
      <c r="K30" s="83" t="s">
        <v>128</v>
      </c>
      <c r="L30" s="86" t="s">
        <v>295</v>
      </c>
      <c r="M30" s="120" t="s">
        <v>322</v>
      </c>
      <c r="N30" s="57" t="s">
        <v>198</v>
      </c>
    </row>
    <row r="31" spans="1:14" ht="28" x14ac:dyDescent="0.15">
      <c r="A31" s="80" t="s">
        <v>268</v>
      </c>
      <c r="B31" s="81">
        <f>floors!$C$2</f>
        <v>11017</v>
      </c>
      <c r="C31" s="82" t="str">
        <f ca="1">VLOOKUP($B31,OFFSET([2]quests!$A$1,0,0,COUNTA([2]quests!$A:$A),MATCH(C$1,[2]quests!$1:$1,0)-MATCH($B$1,[2]quests!$1:$1,0)+1),MATCH(C$1,[2]quests!$1:$1,0)-MATCH($B$1,[2]quests!$1:$1,0)+1,FALSE)</f>
        <v>【期間限定】リトルハンプティを追え！</v>
      </c>
      <c r="D31" s="82" t="str">
        <f ca="1">VLOOKUP($B31,OFFSET([2]quests!$A$1,0,0,COUNTA([2]quests!$A:$A),MATCH(D$1,[2]quests!$1:$1,0)-MATCH($B$1,[2]quests!$1:$1,0)+1),MATCH(D$1,[2]quests!$1:$1,0)-MATCH($B$1,[2]quests!$1:$1,0)+1,FALSE)</f>
        <v>期間限定クエスト</v>
      </c>
      <c r="E31" s="83">
        <v>1</v>
      </c>
      <c r="F31" s="82" t="str">
        <f ca="1">VLOOKUP($B31&amp;"_"&amp;$E31,OFFSET([2]stages!$A$1,0,0,COUNTA([2]stages!$A:$A),MATCH(F$1,[2]stages!$2:$2,0)-MATCH("temp_stage",[2]stages!$2:$2,0)+1),MATCH(F$1,[2]stages!$2:$2,0)-MATCH("temp_stage",[2]stages!$2:$2,0)+1,FALSE)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31" s="82" t="str">
        <f ca="1">VLOOKUP($B31&amp;"_"&amp;$E31,OFFSET([2]stages!$A$1,0,0,COUNTA([2]stages!$A:$A),MATCH(G$1,[2]stages!$2:$2,0)-MATCH("temp_stage",[2]stages!$2:$2,0)+1),MATCH(G$1,[2]stages!$2:$2,0)-MATCH("temp_stage",[2]stages!$2:$2,0)+1,FALSE)</f>
        <v>期間限定クエスト</v>
      </c>
      <c r="H31" s="84">
        <v>0</v>
      </c>
      <c r="I31" s="89">
        <f t="shared" si="0"/>
        <v>30</v>
      </c>
      <c r="J31" s="85" t="str">
        <f t="shared" si="1"/>
        <v>1101730</v>
      </c>
      <c r="K31" s="83" t="s">
        <v>128</v>
      </c>
      <c r="L31" s="86" t="s">
        <v>296</v>
      </c>
      <c r="M31" s="120" t="s">
        <v>321</v>
      </c>
      <c r="N31" s="57" t="s">
        <v>198</v>
      </c>
    </row>
    <row r="32" spans="1:14" ht="28" x14ac:dyDescent="0.15">
      <c r="A32" s="80" t="s">
        <v>268</v>
      </c>
      <c r="B32" s="81">
        <f>floors!$C$2</f>
        <v>11017</v>
      </c>
      <c r="C32" s="82" t="str">
        <f ca="1">VLOOKUP($B32,OFFSET([2]quests!$A$1,0,0,COUNTA([2]quests!$A:$A),MATCH(C$1,[2]quests!$1:$1,0)-MATCH($B$1,[2]quests!$1:$1,0)+1),MATCH(C$1,[2]quests!$1:$1,0)-MATCH($B$1,[2]quests!$1:$1,0)+1,FALSE)</f>
        <v>【期間限定】リトルハンプティを追え！</v>
      </c>
      <c r="D32" s="82" t="str">
        <f ca="1">VLOOKUP($B32,OFFSET([2]quests!$A$1,0,0,COUNTA([2]quests!$A:$A),MATCH(D$1,[2]quests!$1:$1,0)-MATCH($B$1,[2]quests!$1:$1,0)+1),MATCH(D$1,[2]quests!$1:$1,0)-MATCH($B$1,[2]quests!$1:$1,0)+1,FALSE)</f>
        <v>期間限定クエスト</v>
      </c>
      <c r="E32" s="83">
        <v>1</v>
      </c>
      <c r="F32" s="82" t="str">
        <f ca="1">VLOOKUP($B32&amp;"_"&amp;$E32,OFFSET([2]stages!$A$1,0,0,COUNTA([2]stages!$A:$A),MATCH(F$1,[2]stages!$2:$2,0)-MATCH("temp_stage",[2]stages!$2:$2,0)+1),MATCH(F$1,[2]stages!$2:$2,0)-MATCH("temp_stage",[2]stages!$2:$2,0)+1,FALSE)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32" s="82" t="str">
        <f ca="1">VLOOKUP($B32&amp;"_"&amp;$E32,OFFSET([2]stages!$A$1,0,0,COUNTA([2]stages!$A:$A),MATCH(G$1,[2]stages!$2:$2,0)-MATCH("temp_stage",[2]stages!$2:$2,0)+1),MATCH(G$1,[2]stages!$2:$2,0)-MATCH("temp_stage",[2]stages!$2:$2,0)+1,FALSE)</f>
        <v>期間限定クエスト</v>
      </c>
      <c r="H32" s="84">
        <v>0</v>
      </c>
      <c r="I32" s="89">
        <f t="shared" si="0"/>
        <v>31</v>
      </c>
      <c r="J32" s="85" t="str">
        <f t="shared" si="1"/>
        <v>1101731</v>
      </c>
      <c r="K32" s="83" t="s">
        <v>128</v>
      </c>
      <c r="L32" s="86" t="s">
        <v>297</v>
      </c>
      <c r="M32" s="120" t="s">
        <v>326</v>
      </c>
      <c r="N32" s="57" t="s">
        <v>198</v>
      </c>
    </row>
    <row r="33" spans="1:14" ht="42" x14ac:dyDescent="0.15">
      <c r="A33" s="80" t="s">
        <v>268</v>
      </c>
      <c r="B33" s="81">
        <f>floors!$C$2</f>
        <v>11017</v>
      </c>
      <c r="C33" s="82" t="str">
        <f ca="1">VLOOKUP($B33,OFFSET([2]quests!$A$1,0,0,COUNTA([2]quests!$A:$A),MATCH(C$1,[2]quests!$1:$1,0)-MATCH($B$1,[2]quests!$1:$1,0)+1),MATCH(C$1,[2]quests!$1:$1,0)-MATCH($B$1,[2]quests!$1:$1,0)+1,FALSE)</f>
        <v>【期間限定】リトルハンプティを追え！</v>
      </c>
      <c r="D33" s="82" t="str">
        <f ca="1">VLOOKUP($B33,OFFSET([2]quests!$A$1,0,0,COUNTA([2]quests!$A:$A),MATCH(D$1,[2]quests!$1:$1,0)-MATCH($B$1,[2]quests!$1:$1,0)+1),MATCH(D$1,[2]quests!$1:$1,0)-MATCH($B$1,[2]quests!$1:$1,0)+1,FALSE)</f>
        <v>期間限定クエスト</v>
      </c>
      <c r="E33" s="83">
        <v>1</v>
      </c>
      <c r="F33" s="82" t="str">
        <f ca="1">VLOOKUP($B33&amp;"_"&amp;$E33,OFFSET([2]stages!$A$1,0,0,COUNTA([2]stages!$A:$A),MATCH(F$1,[2]stages!$2:$2,0)-MATCH("temp_stage",[2]stages!$2:$2,0)+1),MATCH(F$1,[2]stages!$2:$2,0)-MATCH("temp_stage",[2]stages!$2:$2,0)+1,FALSE)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33" s="82" t="str">
        <f ca="1">VLOOKUP($B33&amp;"_"&amp;$E33,OFFSET([2]stages!$A$1,0,0,COUNTA([2]stages!$A:$A),MATCH(G$1,[2]stages!$2:$2,0)-MATCH("temp_stage",[2]stages!$2:$2,0)+1),MATCH(G$1,[2]stages!$2:$2,0)-MATCH("temp_stage",[2]stages!$2:$2,0)+1,FALSE)</f>
        <v>期間限定クエスト</v>
      </c>
      <c r="H33" s="84">
        <v>0</v>
      </c>
      <c r="I33" s="89">
        <f>ROW()-1</f>
        <v>32</v>
      </c>
      <c r="J33" s="85" t="str">
        <f>B33&amp;TEXT(I33,"00")</f>
        <v>1101732</v>
      </c>
      <c r="K33" s="83" t="s">
        <v>128</v>
      </c>
      <c r="L33" s="86" t="s">
        <v>332</v>
      </c>
      <c r="M33" s="120" t="s">
        <v>335</v>
      </c>
      <c r="N33" s="57" t="s">
        <v>198</v>
      </c>
    </row>
    <row r="34" spans="1:14" ht="28" x14ac:dyDescent="0.15">
      <c r="A34" s="80" t="s">
        <v>268</v>
      </c>
      <c r="B34" s="81">
        <f>floors!$C$2</f>
        <v>11017</v>
      </c>
      <c r="C34" s="82" t="str">
        <f ca="1">VLOOKUP($B34,OFFSET([2]quests!$A$1,0,0,COUNTA([2]quests!$A:$A),MATCH(C$1,[2]quests!$1:$1,0)-MATCH($B$1,[2]quests!$1:$1,0)+1),MATCH(C$1,[2]quests!$1:$1,0)-MATCH($B$1,[2]quests!$1:$1,0)+1,FALSE)</f>
        <v>【期間限定】リトルハンプティを追え！</v>
      </c>
      <c r="D34" s="82" t="str">
        <f ca="1">VLOOKUP($B34,OFFSET([2]quests!$A$1,0,0,COUNTA([2]quests!$A:$A),MATCH(D$1,[2]quests!$1:$1,0)-MATCH($B$1,[2]quests!$1:$1,0)+1),MATCH(D$1,[2]quests!$1:$1,0)-MATCH($B$1,[2]quests!$1:$1,0)+1,FALSE)</f>
        <v>期間限定クエスト</v>
      </c>
      <c r="E34" s="83">
        <v>1</v>
      </c>
      <c r="F34" s="82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【上級】リトルハンプティを追え！</v>
      </c>
      <c r="G34" s="82" t="str">
        <f ca="1">VLOOKUP($B34&amp;"_"&amp;$E34,OFFSET([2]stages!$A$1,0,0,COUNTA([2]stages!$A:$A),MATCH(G$1,[2]stages!$2:$2,0)-MATCH("temp_stage",[2]stages!$2:$2,0)+1),MATCH(G$1,[2]stages!$2:$2,0)-MATCH("temp_stage",[2]stages!$2:$2,0)+1,FALSE)</f>
        <v>期間限定クエスト</v>
      </c>
      <c r="H34" s="84">
        <v>0</v>
      </c>
      <c r="I34" s="89">
        <f t="shared" si="0"/>
        <v>33</v>
      </c>
      <c r="J34" s="85" t="str">
        <f t="shared" ref="J34" si="2">B34&amp;TEXT(I34,"00")</f>
        <v>1101733</v>
      </c>
      <c r="K34" s="83" t="s">
        <v>128</v>
      </c>
      <c r="L34" s="86" t="s">
        <v>298</v>
      </c>
      <c r="M34" s="120" t="s">
        <v>327</v>
      </c>
      <c r="N34" s="57" t="s">
        <v>198</v>
      </c>
    </row>
  </sheetData>
  <phoneticPr fontId="5"/>
  <dataValidations count="1">
    <dataValidation type="list" allowBlank="1" showInputMessage="1" showErrorMessage="1" sqref="A2:A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4" sqref="A4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210</v>
      </c>
      <c r="B1" s="94" t="s">
        <v>211</v>
      </c>
      <c r="C1" s="76" t="s">
        <v>212</v>
      </c>
      <c r="D1" s="76" t="s">
        <v>33</v>
      </c>
      <c r="E1" s="94" t="s">
        <v>213</v>
      </c>
      <c r="F1" s="76" t="s">
        <v>214</v>
      </c>
      <c r="G1" s="76" t="s">
        <v>33</v>
      </c>
      <c r="H1" s="94" t="s">
        <v>215</v>
      </c>
      <c r="I1" s="94" t="s">
        <v>216</v>
      </c>
      <c r="J1" s="94" t="s">
        <v>217</v>
      </c>
      <c r="K1" s="72" t="s">
        <v>218</v>
      </c>
      <c r="L1" s="72" t="s">
        <v>219</v>
      </c>
      <c r="M1" s="72" t="s">
        <v>157</v>
      </c>
      <c r="N1" s="76" t="s">
        <v>16</v>
      </c>
      <c r="O1" s="72" t="s">
        <v>220</v>
      </c>
      <c r="P1" s="72" t="s">
        <v>57</v>
      </c>
      <c r="Q1" s="72" t="s">
        <v>221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222</v>
      </c>
      <c r="X1" s="72" t="s">
        <v>223</v>
      </c>
    </row>
    <row r="2" spans="1:24" x14ac:dyDescent="0.15">
      <c r="A2" s="95" t="str">
        <f>B2&amp;"_"&amp;E2&amp;"_"&amp;H2&amp;"_"&amp;I2&amp;"_"&amp;J2</f>
        <v>65535_7_everyone_clear_1</v>
      </c>
      <c r="B2" s="81">
        <v>65535</v>
      </c>
      <c r="C2" s="82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2" t="str">
        <f ca="1">VLOOKUP($B2,OFFSET([2]quests!$A$1,0,0,COUNTA([2]quests!$A:$A),MATCH(D$1,[2]quests!$1:$1,0)-MATCH($B$1,[2]quests!$1:$1,0)+1),MATCH(D$1,[2]quests!$1:$1,0)-MATCH($B$1,[2]quests!$1:$1,0)+1,FALSE)</f>
        <v>検証</v>
      </c>
      <c r="E2" s="83">
        <v>7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4" t="s">
        <v>224</v>
      </c>
      <c r="I2" s="83" t="s">
        <v>225</v>
      </c>
      <c r="J2" s="83">
        <v>1</v>
      </c>
      <c r="K2" s="83">
        <v>610</v>
      </c>
      <c r="L2" s="83" t="s">
        <v>226</v>
      </c>
      <c r="M2" s="83">
        <v>334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227</v>
      </c>
      <c r="X2" s="98" t="s">
        <v>228</v>
      </c>
    </row>
    <row r="3" spans="1:24" x14ac:dyDescent="0.15">
      <c r="A3" s="95" t="str">
        <f>B3&amp;"_"&amp;E3&amp;"_"&amp;H3&amp;"_"&amp;I3&amp;"_"&amp;J3</f>
        <v>65535_7_everyone_no_continue_1</v>
      </c>
      <c r="B3" s="81">
        <v>65535</v>
      </c>
      <c r="C3" s="82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82" t="str">
        <f ca="1">VLOOKUP($B3,OFFSET([2]quests!$A$1,0,0,COUNTA([2]quests!$A:$A),MATCH(D$1,[2]quests!$1:$1,0)-MATCH($B$1,[2]quests!$1:$1,0)+1),MATCH(D$1,[2]quests!$1:$1,0)-MATCH($B$1,[2]quests!$1:$1,0)+1,FALSE)</f>
        <v>検証</v>
      </c>
      <c r="E3" s="83">
        <v>7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4" t="s">
        <v>224</v>
      </c>
      <c r="I3" s="83" t="s">
        <v>229</v>
      </c>
      <c r="J3" s="83">
        <v>1</v>
      </c>
      <c r="K3" s="83">
        <v>610</v>
      </c>
      <c r="L3" s="83" t="s">
        <v>226</v>
      </c>
      <c r="M3" s="83">
        <v>334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7" t="s">
        <v>227</v>
      </c>
      <c r="X3" s="98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2017-03-10T03:01:48Z</dcterms:modified>
</cp:coreProperties>
</file>