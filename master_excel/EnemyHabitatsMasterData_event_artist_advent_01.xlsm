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0" yWindow="460" windowWidth="27320" windowHeight="204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1" l="1"/>
  <c r="D12" i="21"/>
  <c r="F12" i="21"/>
  <c r="G12" i="21"/>
  <c r="I12" i="21"/>
  <c r="J12" i="21"/>
  <c r="C13" i="21"/>
  <c r="D13" i="21"/>
  <c r="F13" i="21"/>
  <c r="G13" i="21"/>
  <c r="I13" i="21"/>
  <c r="J13" i="21"/>
  <c r="C14" i="21"/>
  <c r="D14" i="21"/>
  <c r="F14" i="21"/>
  <c r="G14" i="21"/>
  <c r="I14" i="21"/>
  <c r="J14" i="21"/>
  <c r="C15" i="21"/>
  <c r="D15" i="21"/>
  <c r="F15" i="21"/>
  <c r="G15" i="21"/>
  <c r="I15" i="21"/>
  <c r="J15" i="21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E24" i="9"/>
  <c r="D24" i="9"/>
  <c r="A24" i="9"/>
  <c r="E23" i="9"/>
  <c r="D23" i="9"/>
  <c r="A23" i="9"/>
  <c r="O54" i="9"/>
  <c r="E54" i="9"/>
  <c r="D54" i="9"/>
  <c r="A54" i="9"/>
  <c r="O53" i="9"/>
  <c r="E53" i="9"/>
  <c r="D53" i="9"/>
  <c r="A53" i="9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H56" i="9"/>
  <c r="G55" i="9"/>
  <c r="H55" i="9"/>
  <c r="I55" i="9"/>
  <c r="J55" i="9"/>
  <c r="K55" i="9"/>
  <c r="L55" i="9"/>
  <c r="M55" i="9"/>
  <c r="N55" i="9"/>
  <c r="J23" i="11"/>
  <c r="O55" i="9"/>
  <c r="G56" i="9"/>
  <c r="I56" i="9"/>
  <c r="J56" i="9"/>
  <c r="K56" i="9"/>
  <c r="L56" i="9"/>
  <c r="M56" i="9"/>
  <c r="N56" i="9"/>
  <c r="J24" i="11"/>
  <c r="O56" i="9"/>
  <c r="G57" i="9"/>
  <c r="H57" i="9"/>
  <c r="I57" i="9"/>
  <c r="J57" i="9"/>
  <c r="K57" i="9"/>
  <c r="L57" i="9"/>
  <c r="M57" i="9"/>
  <c r="N57" i="9"/>
  <c r="J25" i="11"/>
  <c r="O57" i="9"/>
  <c r="G58" i="9"/>
  <c r="H58" i="9"/>
  <c r="I58" i="9"/>
  <c r="J58" i="9"/>
  <c r="K58" i="9"/>
  <c r="L58" i="9"/>
  <c r="M58" i="9"/>
  <c r="N58" i="9"/>
  <c r="J26" i="11"/>
  <c r="O58" i="9"/>
  <c r="G59" i="9"/>
  <c r="H59" i="9"/>
  <c r="I59" i="9"/>
  <c r="J59" i="9"/>
  <c r="K59" i="9"/>
  <c r="L59" i="9"/>
  <c r="M59" i="9"/>
  <c r="N59" i="9"/>
  <c r="J27" i="11"/>
  <c r="O59" i="9"/>
  <c r="G60" i="9"/>
  <c r="H60" i="9"/>
  <c r="I60" i="9"/>
  <c r="J60" i="9"/>
  <c r="K60" i="9"/>
  <c r="L60" i="9"/>
  <c r="M60" i="9"/>
  <c r="N60" i="9"/>
  <c r="J28" i="11"/>
  <c r="O60" i="9"/>
  <c r="G61" i="9"/>
  <c r="H61" i="9"/>
  <c r="I61" i="9"/>
  <c r="J61" i="9"/>
  <c r="K61" i="9"/>
  <c r="L61" i="9"/>
  <c r="M61" i="9"/>
  <c r="N61" i="9"/>
  <c r="J29" i="11"/>
  <c r="O61" i="9"/>
  <c r="G62" i="9"/>
  <c r="H62" i="9"/>
  <c r="I62" i="9"/>
  <c r="J62" i="9"/>
  <c r="K62" i="9"/>
  <c r="L62" i="9"/>
  <c r="M62" i="9"/>
  <c r="N62" i="9"/>
  <c r="J30" i="11"/>
  <c r="O62" i="9"/>
  <c r="G63" i="9"/>
  <c r="H63" i="9"/>
  <c r="I63" i="9"/>
  <c r="J63" i="9"/>
  <c r="K63" i="9"/>
  <c r="L63" i="9"/>
  <c r="M63" i="9"/>
  <c r="N63" i="9"/>
  <c r="J31" i="11"/>
  <c r="O63" i="9"/>
  <c r="G64" i="9"/>
  <c r="H64" i="9"/>
  <c r="I64" i="9"/>
  <c r="J64" i="9"/>
  <c r="K64" i="9"/>
  <c r="L64" i="9"/>
  <c r="M64" i="9"/>
  <c r="N64" i="9"/>
  <c r="J32" i="11"/>
  <c r="O64" i="9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Q4" i="1"/>
  <c r="P4" i="1"/>
  <c r="O4" i="1"/>
  <c r="N4" i="1"/>
  <c r="M4" i="1"/>
  <c r="Q3" i="1"/>
  <c r="P3" i="1"/>
  <c r="O3" i="1"/>
  <c r="N3" i="1"/>
  <c r="M3" i="1"/>
  <c r="Q2" i="1"/>
  <c r="P2" i="1"/>
  <c r="O2" i="1"/>
  <c r="N2" i="1"/>
  <c r="M2" i="1"/>
  <c r="A42" i="9"/>
  <c r="D42" i="9"/>
  <c r="E42" i="9"/>
  <c r="G42" i="9"/>
  <c r="H42" i="9"/>
  <c r="I42" i="9"/>
  <c r="K42" i="9"/>
  <c r="L42" i="9"/>
  <c r="M42" i="9"/>
  <c r="N42" i="9"/>
  <c r="O42" i="9"/>
  <c r="O72" i="9"/>
  <c r="N72" i="9"/>
  <c r="M72" i="9"/>
  <c r="L72" i="9"/>
  <c r="K72" i="9"/>
  <c r="I72" i="9"/>
  <c r="H72" i="9"/>
  <c r="G72" i="9"/>
  <c r="E72" i="9"/>
  <c r="D72" i="9"/>
  <c r="A72" i="9"/>
  <c r="O71" i="9"/>
  <c r="N71" i="9"/>
  <c r="M71" i="9"/>
  <c r="L71" i="9"/>
  <c r="K71" i="9"/>
  <c r="I71" i="9"/>
  <c r="H71" i="9"/>
  <c r="G71" i="9"/>
  <c r="E71" i="9"/>
  <c r="D71" i="9"/>
  <c r="A71" i="9"/>
  <c r="O70" i="9"/>
  <c r="N70" i="9"/>
  <c r="M70" i="9"/>
  <c r="L70" i="9"/>
  <c r="K70" i="9"/>
  <c r="I70" i="9"/>
  <c r="H70" i="9"/>
  <c r="G70" i="9"/>
  <c r="E70" i="9"/>
  <c r="D70" i="9"/>
  <c r="A70" i="9"/>
  <c r="O69" i="9"/>
  <c r="N69" i="9"/>
  <c r="M69" i="9"/>
  <c r="L69" i="9"/>
  <c r="K69" i="9"/>
  <c r="I69" i="9"/>
  <c r="H69" i="9"/>
  <c r="G69" i="9"/>
  <c r="E69" i="9"/>
  <c r="D69" i="9"/>
  <c r="A69" i="9"/>
  <c r="O68" i="9"/>
  <c r="N68" i="9"/>
  <c r="M68" i="9"/>
  <c r="L68" i="9"/>
  <c r="K68" i="9"/>
  <c r="I68" i="9"/>
  <c r="H68" i="9"/>
  <c r="G68" i="9"/>
  <c r="E68" i="9"/>
  <c r="D68" i="9"/>
  <c r="A68" i="9"/>
  <c r="O67" i="9"/>
  <c r="N67" i="9"/>
  <c r="M67" i="9"/>
  <c r="L67" i="9"/>
  <c r="K67" i="9"/>
  <c r="I67" i="9"/>
  <c r="H67" i="9"/>
  <c r="G67" i="9"/>
  <c r="E67" i="9"/>
  <c r="D67" i="9"/>
  <c r="A67" i="9"/>
  <c r="J34" i="11"/>
  <c r="O66" i="9"/>
  <c r="N66" i="9"/>
  <c r="M66" i="9"/>
  <c r="L66" i="9"/>
  <c r="K66" i="9"/>
  <c r="J66" i="9"/>
  <c r="I66" i="9"/>
  <c r="H66" i="9"/>
  <c r="G66" i="9"/>
  <c r="E66" i="9"/>
  <c r="D66" i="9"/>
  <c r="A66" i="9"/>
  <c r="J33" i="11"/>
  <c r="O65" i="9"/>
  <c r="N65" i="9"/>
  <c r="M65" i="9"/>
  <c r="L65" i="9"/>
  <c r="K65" i="9"/>
  <c r="J65" i="9"/>
  <c r="I65" i="9"/>
  <c r="H65" i="9"/>
  <c r="G65" i="9"/>
  <c r="E65" i="9"/>
  <c r="D65" i="9"/>
  <c r="A65" i="9"/>
  <c r="E64" i="9"/>
  <c r="D64" i="9"/>
  <c r="A64" i="9"/>
  <c r="E63" i="9"/>
  <c r="D63" i="9"/>
  <c r="A63" i="9"/>
  <c r="E62" i="9"/>
  <c r="D62" i="9"/>
  <c r="A62" i="9"/>
  <c r="E61" i="9"/>
  <c r="D61" i="9"/>
  <c r="A61" i="9"/>
  <c r="E60" i="9"/>
  <c r="D60" i="9"/>
  <c r="A60" i="9"/>
  <c r="E59" i="9"/>
  <c r="D59" i="9"/>
  <c r="A59" i="9"/>
  <c r="E58" i="9"/>
  <c r="D58" i="9"/>
  <c r="A58" i="9"/>
  <c r="E57" i="9"/>
  <c r="D57" i="9"/>
  <c r="A57" i="9"/>
  <c r="E56" i="9"/>
  <c r="D56" i="9"/>
  <c r="A56" i="9"/>
  <c r="E55" i="9"/>
  <c r="D55" i="9"/>
  <c r="A55" i="9"/>
  <c r="J14" i="11"/>
  <c r="O52" i="9"/>
  <c r="N52" i="9"/>
  <c r="M52" i="9"/>
  <c r="L52" i="9"/>
  <c r="K52" i="9"/>
  <c r="J52" i="9"/>
  <c r="I52" i="9"/>
  <c r="H52" i="9"/>
  <c r="G52" i="9"/>
  <c r="E52" i="9"/>
  <c r="D52" i="9"/>
  <c r="A52" i="9"/>
  <c r="J13" i="11"/>
  <c r="O51" i="9"/>
  <c r="N51" i="9"/>
  <c r="M51" i="9"/>
  <c r="L51" i="9"/>
  <c r="K51" i="9"/>
  <c r="J51" i="9"/>
  <c r="I51" i="9"/>
  <c r="H51" i="9"/>
  <c r="G51" i="9"/>
  <c r="E51" i="9"/>
  <c r="D51" i="9"/>
  <c r="A51" i="9"/>
  <c r="J12" i="11"/>
  <c r="O50" i="9"/>
  <c r="N50" i="9"/>
  <c r="M50" i="9"/>
  <c r="L50" i="9"/>
  <c r="K50" i="9"/>
  <c r="J50" i="9"/>
  <c r="I50" i="9"/>
  <c r="H50" i="9"/>
  <c r="G50" i="9"/>
  <c r="E50" i="9"/>
  <c r="D50" i="9"/>
  <c r="A50" i="9"/>
  <c r="J11" i="11"/>
  <c r="O49" i="9"/>
  <c r="N49" i="9"/>
  <c r="M49" i="9"/>
  <c r="L49" i="9"/>
  <c r="K49" i="9"/>
  <c r="J49" i="9"/>
  <c r="I49" i="9"/>
  <c r="H49" i="9"/>
  <c r="G49" i="9"/>
  <c r="E49" i="9"/>
  <c r="D49" i="9"/>
  <c r="A49" i="9"/>
  <c r="J10" i="11"/>
  <c r="O48" i="9"/>
  <c r="N48" i="9"/>
  <c r="M48" i="9"/>
  <c r="L48" i="9"/>
  <c r="K48" i="9"/>
  <c r="J48" i="9"/>
  <c r="I48" i="9"/>
  <c r="H48" i="9"/>
  <c r="G48" i="9"/>
  <c r="E48" i="9"/>
  <c r="D48" i="9"/>
  <c r="A48" i="9"/>
  <c r="J9" i="11"/>
  <c r="O47" i="9"/>
  <c r="N47" i="9"/>
  <c r="M47" i="9"/>
  <c r="L47" i="9"/>
  <c r="K47" i="9"/>
  <c r="J47" i="9"/>
  <c r="I47" i="9"/>
  <c r="H47" i="9"/>
  <c r="G47" i="9"/>
  <c r="E47" i="9"/>
  <c r="D47" i="9"/>
  <c r="A47" i="9"/>
  <c r="J8" i="11"/>
  <c r="O46" i="9"/>
  <c r="N46" i="9"/>
  <c r="M46" i="9"/>
  <c r="L46" i="9"/>
  <c r="K46" i="9"/>
  <c r="J46" i="9"/>
  <c r="I46" i="9"/>
  <c r="H46" i="9"/>
  <c r="G46" i="9"/>
  <c r="E46" i="9"/>
  <c r="D46" i="9"/>
  <c r="A46" i="9"/>
  <c r="J7" i="11"/>
  <c r="O45" i="9"/>
  <c r="N45" i="9"/>
  <c r="M45" i="9"/>
  <c r="L45" i="9"/>
  <c r="K45" i="9"/>
  <c r="J45" i="9"/>
  <c r="I45" i="9"/>
  <c r="H45" i="9"/>
  <c r="G45" i="9"/>
  <c r="E45" i="9"/>
  <c r="D45" i="9"/>
  <c r="A45" i="9"/>
  <c r="J6" i="11"/>
  <c r="O44" i="9"/>
  <c r="N44" i="9"/>
  <c r="M44" i="9"/>
  <c r="L44" i="9"/>
  <c r="K44" i="9"/>
  <c r="J44" i="9"/>
  <c r="I44" i="9"/>
  <c r="H44" i="9"/>
  <c r="G44" i="9"/>
  <c r="E44" i="9"/>
  <c r="D44" i="9"/>
  <c r="A44" i="9"/>
  <c r="J5" i="11"/>
  <c r="O43" i="9"/>
  <c r="N43" i="9"/>
  <c r="M43" i="9"/>
  <c r="L43" i="9"/>
  <c r="K43" i="9"/>
  <c r="J43" i="9"/>
  <c r="I43" i="9"/>
  <c r="H43" i="9"/>
  <c r="G43" i="9"/>
  <c r="E43" i="9"/>
  <c r="D43" i="9"/>
  <c r="A43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N2" i="22"/>
  <c r="C2" i="18"/>
  <c r="D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M31" i="9"/>
  <c r="M32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3" i="2"/>
  <c r="A3" i="2"/>
  <c r="H2" i="1"/>
  <c r="H3" i="1"/>
  <c r="H4" i="1"/>
  <c r="H5" i="1"/>
  <c r="H6" i="1"/>
  <c r="H7" i="1"/>
  <c r="H8" i="1"/>
  <c r="H9" i="1"/>
  <c r="H10" i="1"/>
  <c r="H11" i="1"/>
  <c r="H12" i="1"/>
  <c r="H13" i="1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G6" i="2"/>
  <c r="A6" i="2"/>
  <c r="B6" i="2"/>
  <c r="D6" i="2"/>
  <c r="E6" i="2"/>
  <c r="H6" i="2"/>
  <c r="G7" i="2"/>
  <c r="A7" i="2"/>
  <c r="B7" i="2"/>
  <c r="D7" i="2"/>
  <c r="E7" i="2"/>
  <c r="H7" i="2"/>
  <c r="G8" i="2"/>
  <c r="A8" i="2"/>
  <c r="B8" i="2"/>
  <c r="D8" i="2"/>
  <c r="E8" i="2"/>
  <c r="H8" i="2"/>
  <c r="G9" i="2"/>
  <c r="A9" i="2"/>
  <c r="B9" i="2"/>
  <c r="D9" i="2"/>
  <c r="E9" i="2"/>
  <c r="H9" i="2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O27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N31" i="9"/>
  <c r="O31" i="9"/>
  <c r="G32" i="9"/>
  <c r="H32" i="9"/>
  <c r="I32" i="9"/>
  <c r="J32" i="9"/>
  <c r="K32" i="9"/>
  <c r="L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K37" i="9"/>
  <c r="L37" i="9"/>
  <c r="M37" i="9"/>
  <c r="N37" i="9"/>
  <c r="O37" i="9"/>
  <c r="G38" i="9"/>
  <c r="H38" i="9"/>
  <c r="I38" i="9"/>
  <c r="K38" i="9"/>
  <c r="L38" i="9"/>
  <c r="M38" i="9"/>
  <c r="N38" i="9"/>
  <c r="O38" i="9"/>
  <c r="G39" i="9"/>
  <c r="H39" i="9"/>
  <c r="I39" i="9"/>
  <c r="K39" i="9"/>
  <c r="L39" i="9"/>
  <c r="M39" i="9"/>
  <c r="N39" i="9"/>
  <c r="O39" i="9"/>
  <c r="G40" i="9"/>
  <c r="H40" i="9"/>
  <c r="I40" i="9"/>
  <c r="K40" i="9"/>
  <c r="L40" i="9"/>
  <c r="M40" i="9"/>
  <c r="N40" i="9"/>
  <c r="O40" i="9"/>
  <c r="G41" i="9"/>
  <c r="H41" i="9"/>
  <c r="I41" i="9"/>
  <c r="K41" i="9"/>
  <c r="L41" i="9"/>
  <c r="M41" i="9"/>
  <c r="N41" i="9"/>
  <c r="O41" i="9"/>
  <c r="J2" i="11"/>
  <c r="E6" i="9"/>
  <c r="D6" i="9"/>
  <c r="A6" i="9"/>
  <c r="M6" i="10"/>
  <c r="T6" i="10"/>
  <c r="W6" i="10"/>
  <c r="V6" i="10"/>
  <c r="X6" i="10"/>
  <c r="U6" i="10"/>
  <c r="Y6" i="10"/>
  <c r="M16" i="10"/>
  <c r="M26" i="10"/>
  <c r="M3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Q6" i="10"/>
  <c r="P6" i="10"/>
  <c r="R6" i="10"/>
  <c r="O6" i="10"/>
  <c r="S6" i="10"/>
  <c r="G6" i="10"/>
  <c r="J6" i="10"/>
  <c r="I6" i="10"/>
  <c r="K6" i="10"/>
  <c r="H6" i="10"/>
  <c r="L6" i="10"/>
  <c r="A41" i="9"/>
  <c r="D41" i="9"/>
  <c r="E41" i="9"/>
  <c r="A38" i="9"/>
  <c r="D38" i="9"/>
  <c r="E38" i="9"/>
  <c r="A39" i="9"/>
  <c r="D39" i="9"/>
  <c r="E39" i="9"/>
  <c r="A40" i="9"/>
  <c r="D40" i="9"/>
  <c r="E40" i="9"/>
  <c r="A33" i="9"/>
  <c r="D33" i="9"/>
  <c r="E33" i="9"/>
  <c r="A34" i="9"/>
  <c r="D34" i="9"/>
  <c r="E34" i="9"/>
  <c r="A35" i="9"/>
  <c r="D35" i="9"/>
  <c r="E35" i="9"/>
  <c r="A36" i="9"/>
  <c r="D36" i="9"/>
  <c r="E36" i="9"/>
  <c r="A37" i="9"/>
  <c r="D37" i="9"/>
  <c r="E37" i="9"/>
  <c r="Y7" i="7"/>
  <c r="W7" i="7"/>
  <c r="U7" i="7"/>
  <c r="R7" i="7"/>
  <c r="Q7" i="7"/>
  <c r="P7" i="7"/>
  <c r="O7" i="7"/>
  <c r="N7" i="7"/>
  <c r="H7" i="7"/>
  <c r="G2" i="2"/>
  <c r="A2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D13" i="1"/>
  <c r="AF13" i="1"/>
  <c r="AI13" i="1"/>
  <c r="AG13" i="1"/>
  <c r="AE13" i="1"/>
  <c r="E15" i="9"/>
  <c r="E25" i="9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E10" i="9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E5" i="9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E4" i="9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E3" i="9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X7" i="1"/>
  <c r="X2" i="1"/>
  <c r="X3" i="1"/>
  <c r="X4" i="1"/>
  <c r="X5" i="1"/>
  <c r="X6" i="1"/>
  <c r="A4" i="1"/>
  <c r="D4" i="1"/>
  <c r="E4" i="1"/>
  <c r="F4" i="1"/>
  <c r="I4" i="1"/>
  <c r="J4" i="1"/>
  <c r="T4" i="1"/>
  <c r="V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AD7" i="1"/>
  <c r="AE7" i="1"/>
  <c r="AF7" i="1"/>
  <c r="AG7" i="1"/>
  <c r="AI7" i="1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2" i="9"/>
  <c r="H2" i="9"/>
  <c r="I2" i="9"/>
  <c r="J2" i="9"/>
  <c r="K2" i="9"/>
  <c r="L2" i="9"/>
  <c r="M2" i="9"/>
  <c r="N2" i="9"/>
  <c r="O2" i="9"/>
  <c r="A3" i="9"/>
  <c r="D3" i="9"/>
  <c r="A4" i="9"/>
  <c r="D4" i="9"/>
  <c r="A5" i="9"/>
  <c r="D5" i="9"/>
  <c r="A7" i="9"/>
  <c r="D7" i="9"/>
  <c r="E7" i="9"/>
  <c r="A8" i="9"/>
  <c r="D8" i="9"/>
  <c r="E8" i="9"/>
  <c r="A9" i="9"/>
  <c r="D9" i="9"/>
  <c r="E9" i="9"/>
  <c r="A10" i="9"/>
  <c r="D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5" i="9"/>
  <c r="D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G3" i="10"/>
  <c r="H3" i="10"/>
  <c r="I3" i="10"/>
  <c r="J3" i="10"/>
  <c r="K3" i="10"/>
  <c r="L3" i="10"/>
  <c r="M3" i="10"/>
  <c r="M14" i="10"/>
  <c r="M24" i="10"/>
  <c r="M3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5" i="10"/>
  <c r="M25" i="10"/>
  <c r="M3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3" i="10"/>
  <c r="M3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W2" i="7"/>
  <c r="U2" i="7"/>
  <c r="V3" i="1"/>
  <c r="V2" i="1"/>
  <c r="T3" i="1"/>
  <c r="T2" i="1"/>
  <c r="G2" i="22"/>
  <c r="F2" i="22"/>
  <c r="D2" i="22"/>
  <c r="C2" i="22"/>
  <c r="A2" i="22"/>
  <c r="C13" i="16"/>
  <c r="E13" i="16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C15" i="19"/>
  <c r="D15" i="19"/>
  <c r="F15" i="19"/>
  <c r="G15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C2" i="19"/>
  <c r="D2" i="19"/>
  <c r="F2" i="19"/>
  <c r="G2" i="19"/>
  <c r="C12" i="16"/>
  <c r="I2" i="21"/>
  <c r="J2" i="21"/>
  <c r="G2" i="21"/>
  <c r="F2" i="21"/>
  <c r="D2" i="21"/>
  <c r="C2" i="21"/>
  <c r="E12" i="16"/>
  <c r="C10" i="16"/>
  <c r="C11" i="16"/>
  <c r="E11" i="16"/>
  <c r="E10" i="16"/>
  <c r="D2" i="9"/>
  <c r="C4" i="16"/>
  <c r="C5" i="16"/>
  <c r="C6" i="16"/>
  <c r="C7" i="16"/>
  <c r="C8" i="16"/>
  <c r="C9" i="16"/>
  <c r="C3" i="16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<sst xmlns="http://schemas.openxmlformats.org/spreadsheetml/2006/main" count="948" uniqueCount="400">
  <si>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</si>
  <si>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</si>
  <si>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</si>
  <si>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</si>
  <si>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</si>
  <si>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</si>
  <si>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</si>
  <si>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</si>
  <si>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</si>
  <si>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</si>
  <si>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</si>
  <si>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</si>
  <si>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</si>
  <si>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</si>
  <si>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</si>
  <si>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</si>
  <si>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</si>
  <si>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</si>
  <si>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</si>
  <si>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</si>
  <si>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</si>
  <si>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</si>
  <si>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</si>
  <si>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</si>
  <si>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</si>
  <si>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</si>
  <si>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</si>
  <si>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</si>
  <si>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</si>
  <si>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</si>
  <si>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</si>
  <si>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</si>
  <si>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</si>
  <si>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</si>
  <si>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</si>
  <si>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</si>
  <si>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</si>
  <si>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</si>
  <si>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</si>
  <si>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</si>
  <si>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</si>
  <si>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</si>
  <si>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</si>
  <si>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</si>
  <si>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</si>
  <si>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</si>
  <si>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</si>
  <si>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</si>
  <si>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</si>
  <si>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</si>
  <si>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</si>
  <si>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</si>
  <si>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</si>
  <si>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</si>
  <si>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</si>
  <si>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</si>
  <si>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</si>
  <si>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</si>
  <si>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</si>
  <si>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</si>
  <si>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</si>
  <si>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</si>
  <si>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</si>
  <si>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</si>
  <si>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</si>
  <si>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</si>
  <si>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</si>
  <si>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</si>
  <si>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</si>
  <si>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</si>
  <si>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</si>
  <si>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</si>
  <si>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</si>
  <si>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</si>
  <si>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</si>
  <si>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</si>
  <si>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</si>
  <si>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</si>
  <si>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</si>
  <si>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</si>
  <si>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</si>
  <si>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</si>
  <si>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</si>
  <si>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</si>
  <si>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</si>
  <si>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</si>
  <si>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</si>
  <si>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</si>
  <si>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</si>
  <si>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</si>
  <si>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</si>
  <si>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</si>
  <si>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</si>
  <si>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</si>
  <si>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</si>
  <si>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</si>
  <si>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</si>
  <si>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</si>
  <si>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</si>
  <si>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</si>
  <si>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</si>
  <si>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</si>
  <si>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</si>
  <si>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</si>
  <si>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</si>
  <si>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</si>
  <si>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</si>
  <si>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</si>
  <si>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</si>
  <si>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</si>
  <si>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</si>
  <si>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</si>
  <si>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</si>
  <si>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</si>
  <si>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</si>
  <si>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</si>
  <si>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</si>
  <si>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</si>
  <si>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</si>
  <si>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</si>
  <si>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</si>
  <si>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</si>
  <si>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</si>
  <si>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</si>
  <si>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</si>
  <si>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</si>
  <si>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</si>
  <si>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</si>
  <si>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</si>
  <si>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</si>
  <si>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</si>
  <si>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</si>
  <si>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</si>
  <si>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</si>
  <si>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</si>
  <si>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</si>
  <si>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</si>
  <si>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</si>
  <si>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</si>
  <si>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</si>
  <si>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</si>
  <si>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</si>
  <si>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</si>
  <si>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</si>
  <si>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</si>
  <si>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</si>
  <si>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</si>
  <si>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</si>
  <si>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</si>
  <si>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</si>
  <si>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</si>
  <si>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</si>
  <si>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</si>
  <si>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</si>
  <si>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</si>
  <si>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</si>
  <si>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</si>
  <si>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</si>
  <si>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</si>
  <si>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</si>
  <si>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</si>
  <si>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</si>
  <si>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</si>
  <si>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</si>
  <si>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</si>
  <si>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</si>
  <si>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</si>
  <si>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</si>
  <si>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</si>
  <si>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</si>
  <si>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</si>
  <si>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</si>
  <si>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</si>
  <si>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</si>
  <si>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</si>
  <si>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</si>
  <si>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</si>
  <si>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</si>
  <si>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</si>
  <si>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</si>
  <si>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</si>
  <si>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</si>
  <si>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</si>
  <si>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</si>
  <si>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</si>
  <si>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</si>
  <si>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</si>
  <si>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</si>
  <si>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</si>
  <si>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</si>
  <si>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</si>
  <si>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</si>
  <si>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</si>
  <si>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</si>
  <si>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</si>
  <si>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</si>
  <si>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</si>
  <si>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</si>
  <si>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</si>
  <si>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</si>
  <si>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</si>
  <si>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</si>
  <si>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</si>
  <si>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</si>
  <si>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</si>
  <si>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</si>
  <si>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</si>
  <si>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</si>
  <si>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</si>
  <si>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</si>
  <si>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</si>
  <si>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</si>
  <si>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</si>
  <si>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</si>
  <si>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</si>
  <si>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</si>
  <si>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</si>
  <si>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</si>
  <si>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</si>
  <si>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</si>
  <si>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</si>
  <si>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</si>
  <si>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</si>
  <si>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</si>
  <si>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</si>
  <si>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</si>
  <si>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</si>
  <si>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</si>
  <si>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</si>
  <si>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</si>
  <si>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</si>
  <si>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</si>
  <si>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</si>
  <si>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</si>
  <si>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</si>
  <si>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</si>
  <si>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</si>
  <si>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</si>
  <si>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</si>
  <si>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</si>
  <si>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</si>
  <si>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</si>
  <si>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</si>
  <si>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</si>
  <si>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</si>
  <si>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</si>
  <si>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</si>
  <si>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</si>
  <si>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</si>
  <si>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</si>
  <si>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</si>
  <si>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</si>
  <si>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</si>
  <si>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null</t>
    <phoneticPr fontId="5"/>
  </si>
  <si>
    <t>[effect:critical, val:2]</t>
    <phoneticPr fontId="5"/>
  </si>
  <si>
    <t>[effect:rush, count:3, val:0.4]</t>
    <phoneticPr fontId="5"/>
  </si>
  <si>
    <t>[effect:rush, count:6, val:0.23]</t>
    <phoneticPr fontId="5"/>
  </si>
  <si>
    <t xml:space="preserve">[effect:dis_heart, turn:5, animation:enemy_dis_heart]    </t>
    <phoneticPr fontId="5"/>
  </si>
  <si>
    <t>[effect:tolerance, target:myself, turn:-1, tolerance_effect:all, count:-1, animation:enemy_tolerance],[effect:fix_speed, target:myself, turn:2]</t>
    <phoneticPr fontId="5"/>
  </si>
  <si>
    <t>[effect:tolerance, target:myself, turn:-1, tolerance_effect:all, count:-1, animation:enemy_tolerance],[effect:fix_speed, target:myself, turn:1]</t>
    <phoneticPr fontId="5"/>
  </si>
  <si>
    <t>[effect:rush, count:6, val:0.4]</t>
    <phoneticPr fontId="5"/>
  </si>
  <si>
    <t xml:space="preserve">[effect:force_change_block, new_block:jammer, target:block_all, count:0, val:0, animation:change_block],[effect:force_change_block, new_block:block_blue, target:jammer, count:10, val:0, animation:change_block],[effect:force_change_block, new_block:block_red, target:jammer, count:10, val:0, animation:change_block],[effect:force_change_block, new_block:block_yellow, target:jammer, count:10, val:0, animation:change_block],[effect:force_change_block, new_block:block_green, target:jammer, count:0, val:0, animation:change_block]    </t>
    <phoneticPr fontId="5"/>
  </si>
  <si>
    <t>[effect:tolerance, target:myself, turn:-1, tolerance_effect:all, count:-1, animation:enemy_tolerance]</t>
    <phoneticPr fontId="5"/>
  </si>
  <si>
    <t xml:space="preserve">[effect:panel_freeze, target:normal, color:block_red, count:-1, break_count:1],[effect:panel_freeze,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t>
    <phoneticPr fontId="5"/>
  </si>
  <si>
    <t>[effect:force_change_block, new_block:block_yellow, target:block_red, count:3, val:0, animation:change_block],[effect:critical, val:1.3]</t>
    <phoneticPr fontId="5"/>
  </si>
  <si>
    <t>[effect:panel_freeze, target:normal, count:5, break_count:1],[effect:rush, count:1, val:1]</t>
    <phoneticPr fontId="5"/>
  </si>
  <si>
    <t xml:space="preserve">[effect:fix_speed, target:myself, turn:1],[effect:panel_freeze, target:normal, color:block_yellow, count:-1, break_count:1]    </t>
    <phoneticPr fontId="5"/>
  </si>
  <si>
    <t>[effect:rush, count:2, val:0.4]</t>
    <phoneticPr fontId="5"/>
  </si>
  <si>
    <t xml:space="preserve">[effect:rush, count:3, val:0.4],[effect:panel_freeze, target:normal, color:block_yellow, count:-1, break_count:1]    </t>
    <phoneticPr fontId="5"/>
  </si>
  <si>
    <t>[effect:rush, count:4, val:0.4]</t>
    <phoneticPr fontId="5"/>
  </si>
  <si>
    <t xml:space="preserve">[effect:rush, count:5, val:0.4],[effect:panel_freeze, target:normal, color:block_yellow, count:-1, break_count:1]    </t>
    <phoneticPr fontId="5"/>
  </si>
  <si>
    <t>[effect:rush, count:7, val:0.4]</t>
    <phoneticPr fontId="5"/>
  </si>
  <si>
    <t>[effect:force_change_block, new_block:block_yellow, target:block_heart, count:3, val:0, animation:change_block],[effect:rush, count:1, val:1]</t>
    <phoneticPr fontId="5"/>
  </si>
  <si>
    <t>[effect:force_change_block, new_block:block_yellow, target:block_heart, count:3, val:0, animation:change_block],[effect:rush, count:1, val:1]</t>
    <phoneticPr fontId="5"/>
  </si>
  <si>
    <t xml:space="preserve">[effect:break_attack_fix, target:unit_all, val:200, lowest_val:2000, count:-1, color:yellow, block01:block_red]    </t>
    <phoneticPr fontId="5"/>
  </si>
  <si>
    <t xml:space="preserve">[effect:break_attack_fix, target:unit_all, val:200, lowest_val:2000, count:-1, color:yellow, block01:block_red]    </t>
    <phoneticPr fontId="5"/>
  </si>
  <si>
    <t>null</t>
  </si>
  <si>
    <t>[effect:break_attack_fix, target:unit_all, val:50, lowest_val:2000, count:-1, color:red, block01:block_red, block02:block_heart]</t>
    <phoneticPr fontId="5"/>
  </si>
  <si>
    <t>塗りつぶしツール</t>
    <phoneticPr fontId="52"/>
  </si>
  <si>
    <t>【！】次のターンに即死攻撃【！】</t>
    <phoneticPr fontId="5"/>
  </si>
  <si>
    <t>上の句</t>
    <phoneticPr fontId="52"/>
  </si>
  <si>
    <t>金箔ぺたぺた</t>
    <phoneticPr fontId="52"/>
  </si>
  <si>
    <t>およよ、キミって新参？</t>
    <phoneticPr fontId="52"/>
  </si>
  <si>
    <t>調和イズム・イエロー</t>
    <phoneticPr fontId="52"/>
  </si>
  <si>
    <t>写実ティック・レッド</t>
    <phoneticPr fontId="52"/>
  </si>
  <si>
    <t>はー、抽象画ってムズイ！</t>
    <phoneticPr fontId="52"/>
  </si>
  <si>
    <t>新参ちゃん、深入りする気？</t>
    <phoneticPr fontId="52"/>
  </si>
  <si>
    <t>てか、新作まだー？</t>
    <phoneticPr fontId="52"/>
  </si>
  <si>
    <t>「お気に入りに登録」…っと！</t>
    <phoneticPr fontId="52"/>
  </si>
  <si>
    <t>ちょっと！静かにしてくれる？</t>
    <phoneticPr fontId="52"/>
  </si>
  <si>
    <t>そうだ…愛と情熱を作品に！</t>
    <phoneticPr fontId="52"/>
  </si>
  <si>
    <t>ちょっと過激でもイイよね…</t>
    <phoneticPr fontId="52"/>
  </si>
  <si>
    <t>あーもう！気が散る！！</t>
    <phoneticPr fontId="52"/>
  </si>
  <si>
    <t>わかった…そこまで言うなら…</t>
    <phoneticPr fontId="52"/>
  </si>
  <si>
    <t xml:space="preserve">どう！？アタシすごい！？ …褒めてくれる…？ </t>
    <phoneticPr fontId="5"/>
  </si>
  <si>
    <t>邪魔しないでくれる！？</t>
    <phoneticPr fontId="52"/>
  </si>
  <si>
    <t>最近ルピカ流行ってるよねー</t>
    <phoneticPr fontId="52"/>
  </si>
  <si>
    <t>またルピカがランクイン…？</t>
    <phoneticPr fontId="52"/>
  </si>
  <si>
    <t>ルピカに会いに…？</t>
    <phoneticPr fontId="52"/>
  </si>
  <si>
    <t>……。</t>
    <phoneticPr fontId="52"/>
  </si>
  <si>
    <t>そう…先に行くんだね…</t>
    <phoneticPr fontId="52"/>
  </si>
  <si>
    <t>…できたわ！見せてあげる！</t>
    <phoneticPr fontId="52"/>
  </si>
  <si>
    <t>これがアタシの傑作！</t>
    <phoneticPr fontId="52"/>
  </si>
  <si>
    <t>超大作、見せてあげる！</t>
    <phoneticPr fontId="52"/>
  </si>
  <si>
    <t>やめたほうがいい…</t>
    <phoneticPr fontId="52"/>
  </si>
  <si>
    <t>彼女は気難しい…</t>
    <phoneticPr fontId="52"/>
  </si>
  <si>
    <t>…気をつけて。</t>
    <phoneticPr fontId="5"/>
  </si>
  <si>
    <t>一筋縄じゃ…</t>
    <phoneticPr fontId="52"/>
  </si>
  <si>
    <t>うーん、やっぱ変よね…</t>
    <phoneticPr fontId="52"/>
  </si>
  <si>
    <t>この事件の…中心…</t>
    <phoneticPr fontId="52"/>
  </si>
  <si>
    <t>きみは…？</t>
    <phoneticPr fontId="52"/>
  </si>
  <si>
    <t>青…新作完成の予感！！</t>
    <phoneticPr fontId="52"/>
  </si>
  <si>
    <t>こんなこともできるわ！</t>
    <phoneticPr fontId="52"/>
  </si>
  <si>
    <t>もっと見て、アタシの作品！</t>
    <phoneticPr fontId="52"/>
  </si>
  <si>
    <t>どう？この感じ！</t>
    <phoneticPr fontId="52"/>
  </si>
  <si>
    <t>伝わる？アタシのイメージ！</t>
    <phoneticPr fontId="52"/>
  </si>
  <si>
    <t>邪魔なものは、追放っ！</t>
    <phoneticPr fontId="52"/>
  </si>
  <si>
    <t>アタシの絵で埋め尽くすわ！</t>
    <phoneticPr fontId="52"/>
  </si>
  <si>
    <t>邪魔者は追放するわよ？</t>
    <phoneticPr fontId="52"/>
  </si>
  <si>
    <t xml:space="preserve"> bit</t>
  </si>
  <si>
    <t xml:space="preserve"> null</t>
  </si>
  <si>
    <t xml:space="preserve"> 2015-03-27 00:00:00</t>
  </si>
  <si>
    <t xml:space="preserve"> 2970-01-01 09:00:00</t>
  </si>
  <si>
    <t xml:space="preserve"> link</t>
  </si>
  <si>
    <t xml:space="preserve"> unit</t>
  </si>
  <si>
    <t xml:space="preserve">[effect:break_attack_fix, target:unit_all, val:150, lowest_val:1500, count:-1, color:yellow, block01:block_red]    </t>
    <phoneticPr fontId="5"/>
  </si>
  <si>
    <t xml:space="preserve">[effect:break_attack_fix, target:unit_all, val:150, lowest_val:1500, count:-1, color:yellow, block01:block_red]    </t>
    <phoneticPr fontId="5"/>
  </si>
  <si>
    <t>バルドルはHPが20％以下になると 
ハートパネルを生成して逃走します</t>
    <phoneticPr fontId="5"/>
  </si>
  <si>
    <t>マグリット　バショー　ショウインは 
高確率でパネルを操作するスキルを 
使用します</t>
    <phoneticPr fontId="5"/>
  </si>
  <si>
    <t>ラファエロは赤パネルを吸収して攻撃します 
パネルの色が偏らないように注意しましょう</t>
    <phoneticPr fontId="5"/>
  </si>
  <si>
    <t>ルピカは3ゲージ目の残りHPが 
25％以下になると　即死攻撃をします 
倒し切れるよう準備しておきましょう</t>
    <phoneticPr fontId="5"/>
  </si>
  <si>
    <t>状態異常無効</t>
    <phoneticPr fontId="52"/>
  </si>
  <si>
    <t>赤パネルを吸収し、攻撃</t>
    <phoneticPr fontId="5"/>
  </si>
  <si>
    <t>5ターンの間ハートパネル無効</t>
    <phoneticPr fontId="52"/>
  </si>
  <si>
    <t>黄パネルをプロテクト</t>
    <phoneticPr fontId="5"/>
  </si>
  <si>
    <t>3ターンの間青属性に変化＋状態異常無効</t>
    <phoneticPr fontId="5"/>
  </si>
  <si>
    <t>3ターンの間赤属性に変化＋状態異常無効</t>
    <phoneticPr fontId="5"/>
  </si>
  <si>
    <t>青パネルをプロテクト状態にしてドロップ 
＋青パネルのドロップ率UP</t>
    <phoneticPr fontId="5"/>
  </si>
  <si>
    <t>赤パネルとハートパネルを吸収し、攻撃</t>
    <phoneticPr fontId="5"/>
  </si>
  <si>
    <t>状態異常無効</t>
    <phoneticPr fontId="52"/>
  </si>
  <si>
    <t>全パネルをプロテクト</t>
    <phoneticPr fontId="52"/>
  </si>
  <si>
    <t>クリティカル！</t>
    <phoneticPr fontId="5"/>
  </si>
  <si>
    <t>1ターン防御力UP 
＋黄パネルを吸収し、攻撃 (最大10個)</t>
    <phoneticPr fontId="52"/>
  </si>
  <si>
    <t>[effect:force_change_block, new_block:block_yellow, target:block_red, count:3, val:0, animation:change_block],[effect:critical, val:1.3]</t>
    <phoneticPr fontId="5"/>
  </si>
  <si>
    <t>赤パネルを黄パネルに変換(最大3個) 
＋クリティカル！</t>
    <phoneticPr fontId="52"/>
  </si>
  <si>
    <t>赤パネルを黄パネルに変換(最大3個) 
＋クリティカル！</t>
    <phoneticPr fontId="52"/>
  </si>
  <si>
    <t>確率で青パネルをプロテクト状態にしてドロップ 
＋青パネルのドロップ率UP</t>
    <phoneticPr fontId="5"/>
  </si>
  <si>
    <t>確率で赤時限式ダメージパネルをドロップ 
＋赤パネルのドロップ率UP</t>
    <phoneticPr fontId="5"/>
  </si>
  <si>
    <t>3回連続攻撃</t>
  </si>
  <si>
    <t>6回連続攻撃</t>
  </si>
  <si>
    <t>2回連続攻撃</t>
  </si>
  <si>
    <t>3回連続攻撃＋黄パネルをプロテクト</t>
  </si>
  <si>
    <t>4回連続攻撃</t>
  </si>
  <si>
    <t>5回連続攻撃＋黄パネルをプロテクト</t>
  </si>
  <si>
    <t>7回連続攻撃</t>
  </si>
  <si>
    <t>黄パネルを吸収し、攻撃（最大23個）</t>
    <phoneticPr fontId="52"/>
  </si>
  <si>
    <t>1ターン防御力UP 
＋黄パネルを吸収し、攻撃 (最大15個)</t>
    <phoneticPr fontId="52"/>
  </si>
  <si>
    <t>3ターンの間青属性に変化＋状態異常無効</t>
    <phoneticPr fontId="5"/>
  </si>
  <si>
    <t xml:space="preserve">うぇえ！？おばけネズミ！？ </t>
    <phoneticPr fontId="52"/>
  </si>
  <si>
    <t>もう！集中したいのにー！</t>
    <phoneticPr fontId="52"/>
  </si>
  <si>
    <t>青パネルを吸収し、攻撃（最大15個）</t>
    <phoneticPr fontId="52"/>
  </si>
  <si>
    <t>ランダムで時限式ダメージパネルに変換＋単体攻撃</t>
    <phoneticPr fontId="52"/>
  </si>
  <si>
    <t>黄パネルを吸収し、攻撃（最大15個）</t>
    <phoneticPr fontId="52"/>
  </si>
  <si>
    <t xml:space="preserve">[effect:break_attack_fix, target:unit_all, val:300, lowest_val:2000, count:15, color:yellow, block01:block_yellow]    </t>
    <phoneticPr fontId="5"/>
  </si>
  <si>
    <t xml:space="preserve">[effect:enemy_message, val2:2.5],[effect:enhance_enemy, target:myself, turn:1, status:defense, val:2000, calc:add, animation:enemy_enhance_defense],[effect:break_attack_fix, target:unit_all, val:100, lowest_val:2200, count:10, color:yellow, block01:block_yellow]       </t>
    <phoneticPr fontId="5"/>
  </si>
  <si>
    <t xml:space="preserve">[effect:enemy_message, val2:2.5],[effect:rush, count:6, val:0.2],[effect:enhance_enemy, target:myself, turn:1, status:attack, val:0.3, calc:mul, animation:enemy_enhance_attack],[effect:force_change_block, new_block:block_red, target:block_yellow, count:5, val:0, animation:change_block] </t>
    <phoneticPr fontId="5"/>
  </si>
  <si>
    <t xml:space="preserve">[effect:enemy_message, val2:2.5],[effect:enhance_enemy, target:myself, turn:1, status:defense, val:1800, calc:add, animation:enemy_enhance_defense],[effect:break_attack_fix, target:unit_all, val:100, lowest_val:1500, count:15, color:yellow, block01:block_yellow]         </t>
    <phoneticPr fontId="5"/>
  </si>
  <si>
    <t>[effect:enemy_message, val1:1.3],[effect:change_attribute, target:myself, color:blue, turn:3, animation:change_attribute_blue],[effect:tolerance, target:myself, turn:-1, tolerance_effect:all, count:-1, animation:enemy_tolerance]</t>
    <phoneticPr fontId="5"/>
  </si>
  <si>
    <t>[effect:enemy_message, val1:1.3],[effect:change_attribute, target:myself, color:red, turn:3, animation:change_attribute_red],[effect:tolerance, target:myself, turn:-1, tolerance_effect:all, count:-1, animation:enemy_tolerance]</t>
    <phoneticPr fontId="5"/>
  </si>
  <si>
    <t xml:space="preserve">[effect:enemy_message, val1:1.3],[effect:panel_freeze, target:normal, color:block_red, count:-1, break_count:1],[effect:panel_freeze,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t>
    <phoneticPr fontId="5"/>
  </si>
  <si>
    <t xml:space="preserve">[effect:break_attack_fix, target:unit_all, val:250, lowest_val:2000, count:15, color:blue, block01:block_blue]    </t>
    <phoneticPr fontId="5"/>
  </si>
  <si>
    <t xml:space="preserve">[effect:enemy_message, val2:2.5],[effect:change_panel_ratio, turn:-1, block_type:blue, val:0.4, animation:block_incidence04],[effect:drop_freeze, block_type:block_all, block_color:block_blue, frozen_count:1, rate:0.5, turn:-1, animation:drop_protect]    </t>
    <phoneticPr fontId="5"/>
  </si>
  <si>
    <t xml:space="preserve">[effect:enemy_message, val2:2.5],[effect:change_panel_ratio, turn:-1, block_type:red, val:0.4, animation:block_incidence04],[effect:drop_block, block_type:time_bomb, block_color:block_red, color:block_red, val:0.1, rate:0.4, turn:-1, min_time_count:3, max_time_count:3, animation:time_bomb_influence04]    </t>
    <phoneticPr fontId="5"/>
  </si>
  <si>
    <t xml:space="preserve">[effect:enemy_message, val2:2.5],[effect:rush, count:6, val:0.2],[effect:enhance_enemy, target:myself, turn:1, status:attack, val:0.15, calc:mul, animation:enemy_enhance_attack],[effect:force_change_block, new_block:block_red, target:block_yellow, count:5, val:0, animation:change_block]   </t>
    <phoneticPr fontId="5"/>
  </si>
  <si>
    <t xml:space="preserve">[effect:break_attack_fix, target:unit_all, val:200, lowest_val:1500, count:23, color:yellow, block01:block_yellow]    </t>
    <phoneticPr fontId="5"/>
  </si>
  <si>
    <t>ルピカのパネル吸収攻撃はとても強力です
防御UPスキルやダメージ軽減スキルを使用
するか　パネルの偏りに注意しましょう</t>
    <phoneticPr fontId="5"/>
  </si>
  <si>
    <t>ルピカのパネル吸収攻撃はとても強力です
防御UPスキルやダメージ軽減スキルを使用
するか　パネルの偏りに注意しましょう</t>
    <phoneticPr fontId="5"/>
  </si>
  <si>
    <t xml:space="preserve">[effect:enemy_message, val2:2.5],[effect:change_panel_ratio, turn:-1, block_type:blue, val:0.4, animation:block_incidence04],[effect:drop_freeze, block_type:block_all, block_color:block_blue, frozen_count:1, rate:1, turn:-1, animation:drop_protect]    </t>
    <phoneticPr fontId="5"/>
  </si>
  <si>
    <t xml:space="preserve">[effect:break_attack_fix, target:unit_all, val:150, lowest_val:1800, count:15, color:blue, block01:block_blue]    </t>
    <phoneticPr fontId="5"/>
  </si>
  <si>
    <t>[effect:break_attack_fix, target:unit_all, val:50, lowest_val:1200, count:-1, color:red, block01:block_red, block02:block_heart]</t>
    <phoneticPr fontId="5"/>
  </si>
  <si>
    <t>青パネルをプロテクト</t>
    <phoneticPr fontId="52"/>
  </si>
  <si>
    <t>赤パネルをプロテクト</t>
    <phoneticPr fontId="52"/>
  </si>
  <si>
    <t>[effect:panel_freeze, target:normal, color:block_blue, count:-1, break_count:1]</t>
    <phoneticPr fontId="5"/>
  </si>
  <si>
    <t>[effect:panel_freeze, target:normal, color:block_red, count:-1, break_count:1]</t>
    <phoneticPr fontId="5"/>
  </si>
  <si>
    <t>彼は不正ランキングについて
好ましく思っていなかったものの
絵を評価されたいという思いから
ルピカと手を組んでいました</t>
    <phoneticPr fontId="5"/>
  </si>
  <si>
    <t>ジャ・リダルサ</t>
    <phoneticPr fontId="5"/>
  </si>
  <si>
    <t>メルクシャはルピカと仲が良かったため
ランキングから追放されずに
不正なランクインを果たしていました</t>
    <phoneticPr fontId="5"/>
  </si>
  <si>
    <t>メルクシャ</t>
    <phoneticPr fontId="5"/>
  </si>
  <si>
    <t>ピクリスはイラスト作品を扱う
ALICE内の創作SNSですが
ルピカによりランキングの不正操作が
行われていました</t>
    <phoneticPr fontId="5"/>
  </si>
  <si>
    <t>ピクリス</t>
    <phoneticPr fontId="5"/>
  </si>
  <si>
    <t>ルピカは自身の作品を多くの人に見てもらう
ためにSNS「ピクリス」のランキングから
他人の作品を不正に追放していました</t>
    <phoneticPr fontId="5"/>
  </si>
  <si>
    <t>ルピカ</t>
    <phoneticPr fontId="5"/>
  </si>
  <si>
    <t>全てのパネルをハートパネル以外に変換</t>
    <phoneticPr fontId="5"/>
  </si>
  <si>
    <t xml:space="preserve">[effect:enemy_message, val2:2.5],[effect:change_panel_ratio, turn:-1, block_type:red, val:0.4, animation:block_incidence04],[effect:drop_block, block_type:time_bomb, block_color:block_red, color:block_red, val:0.1, rate:0.5, turn:-1, min_time_count:3, max_time_count:3, animation:time_bomb_influence04]    </t>
    <phoneticPr fontId="5"/>
  </si>
  <si>
    <t>1ターン攻撃力UP 
＋黄パネルを5個赤パネルに変換
＋6回連続攻撃</t>
    <phoneticPr fontId="52"/>
  </si>
  <si>
    <t>パネルをランダムに5つプロテクト＋単体攻撃</t>
    <phoneticPr fontId="5"/>
  </si>
  <si>
    <t>ハートパネルを黄パネルに変換(最大3個)
＋単体攻撃</t>
    <phoneticPr fontId="5"/>
  </si>
  <si>
    <t>[effect:force_change_block, new_block:time_bomb, target:block_all, ignore01:block_positive, ignore02:block_negative, ignore03:block_blue, count:3, val:0.3],[effect:rush, count:1, val:1]</t>
    <phoneticPr fontId="5"/>
  </si>
  <si>
    <t>[effect:critical, val:200],[effect:force_change_block, new_block:crack_bomb, target:block_all, count:10, val:30]</t>
    <phoneticPr fontId="5"/>
  </si>
  <si>
    <t>[effect:force_change_block, new_block:block_heart, target:block_all, ignore01:block_positive, ignore02:block_negative, count:12, val:0, animation:change_block],[effect:suicide, val:1, dead_type:escape, target:myself]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</si>
</sst>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6"/>
      <name val="MS PGothic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23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13" borderId="12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2" xfId="0" applyFont="1" applyFill="1" applyBorder="1" applyAlignment="1">
      <alignment vertical="center"/>
    </xf>
    <xf numFmtId="0" fontId="16" fillId="13" borderId="24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14" fontId="16" fillId="0" borderId="24" xfId="0" applyNumberFormat="1" applyFont="1" applyFill="1" applyBorder="1" applyAlignment="1">
      <alignment horizontal="left" vertical="center"/>
    </xf>
    <xf numFmtId="0" fontId="16" fillId="0" borderId="25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12" fillId="7" borderId="26" xfId="0" applyFont="1" applyFill="1" applyBorder="1" applyAlignment="1">
      <alignment vertical="center"/>
    </xf>
    <xf numFmtId="176" fontId="4" fillId="0" borderId="32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33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0" fontId="0" fillId="0" borderId="0" xfId="0" applyFont="1" applyFill="1" applyAlignment="1">
      <alignment vertical="center"/>
    </xf>
    <xf numFmtId="0" fontId="26" fillId="0" borderId="23" xfId="0" applyFont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0" fillId="0" borderId="25" xfId="0" applyBorder="1"/>
    <xf numFmtId="0" fontId="6" fillId="3" borderId="12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6" fillId="3" borderId="24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0" fillId="0" borderId="38" xfId="0" applyFont="1" applyBorder="1" applyAlignment="1">
      <alignment vertical="center"/>
    </xf>
    <xf numFmtId="0" fontId="0" fillId="0" borderId="39" xfId="0" applyFont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5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23" xfId="0" applyFont="1" applyBorder="1" applyAlignment="1">
      <alignment vertical="center" wrapText="1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41001</v>
          </cell>
        </row>
        <row r="254">
          <cell r="A254">
            <v>41002</v>
          </cell>
        </row>
        <row r="255">
          <cell r="A255">
            <v>41003</v>
          </cell>
        </row>
        <row r="256">
          <cell r="A256">
            <v>41004</v>
          </cell>
        </row>
        <row r="257">
          <cell r="A257">
            <v>41005</v>
          </cell>
        </row>
        <row r="258">
          <cell r="A258">
            <v>41006</v>
          </cell>
        </row>
        <row r="259">
          <cell r="A259">
            <v>41007</v>
          </cell>
        </row>
        <row r="260">
          <cell r="A260">
            <v>41008</v>
          </cell>
        </row>
        <row r="261">
          <cell r="A261">
            <v>41009</v>
          </cell>
        </row>
        <row r="262">
          <cell r="A262">
            <v>41010</v>
          </cell>
        </row>
        <row r="263">
          <cell r="A263">
            <v>41011</v>
          </cell>
        </row>
        <row r="264">
          <cell r="A264">
            <v>41012</v>
          </cell>
        </row>
        <row r="265">
          <cell r="A265">
            <v>41013</v>
          </cell>
        </row>
        <row r="266">
          <cell r="A266">
            <v>41014</v>
          </cell>
        </row>
        <row r="267">
          <cell r="A267">
            <v>41015</v>
          </cell>
        </row>
        <row r="268">
          <cell r="A268">
            <v>47001</v>
          </cell>
        </row>
        <row r="269">
          <cell r="A269">
            <v>47002</v>
          </cell>
        </row>
        <row r="270">
          <cell r="A270">
            <v>47003</v>
          </cell>
        </row>
        <row r="271">
          <cell r="A271">
            <v>47004</v>
          </cell>
        </row>
        <row r="272">
          <cell r="A272">
            <v>47005</v>
          </cell>
        </row>
        <row r="273">
          <cell r="A273">
            <v>47006</v>
          </cell>
        </row>
        <row r="274">
          <cell r="A274">
            <v>47007</v>
          </cell>
        </row>
        <row r="275">
          <cell r="A275">
            <v>47008</v>
          </cell>
        </row>
        <row r="276">
          <cell r="A276">
            <v>47009</v>
          </cell>
        </row>
        <row r="277">
          <cell r="A277">
            <v>47010</v>
          </cell>
        </row>
        <row r="278">
          <cell r="A278">
            <v>47011</v>
          </cell>
        </row>
        <row r="279">
          <cell r="A279">
            <v>47012</v>
          </cell>
        </row>
        <row r="280">
          <cell r="A280">
            <v>49001</v>
          </cell>
        </row>
        <row r="281">
          <cell r="A281">
            <v>49002</v>
          </cell>
        </row>
        <row r="282">
          <cell r="A282">
            <v>49003</v>
          </cell>
        </row>
        <row r="283">
          <cell r="A283">
            <v>49004</v>
          </cell>
        </row>
        <row r="284">
          <cell r="A284">
            <v>49005</v>
          </cell>
        </row>
        <row r="285">
          <cell r="A285">
            <v>49006</v>
          </cell>
        </row>
        <row r="286">
          <cell r="A286">
            <v>49007</v>
          </cell>
        </row>
        <row r="287">
          <cell r="A287">
            <v>49008</v>
          </cell>
        </row>
        <row r="288">
          <cell r="A288">
            <v>49009</v>
          </cell>
        </row>
        <row r="289">
          <cell r="A289">
            <v>49010</v>
          </cell>
        </row>
        <row r="290">
          <cell r="A290">
            <v>49011</v>
          </cell>
        </row>
        <row r="291">
          <cell r="A291">
            <v>49012</v>
          </cell>
        </row>
        <row r="292">
          <cell r="A292">
            <v>49013</v>
          </cell>
        </row>
        <row r="293">
          <cell r="A293">
            <v>49014</v>
          </cell>
        </row>
        <row r="294">
          <cell r="A294">
            <v>49015</v>
          </cell>
        </row>
        <row r="295">
          <cell r="A295">
            <v>50001</v>
          </cell>
        </row>
        <row r="296">
          <cell r="A296">
            <v>50002</v>
          </cell>
        </row>
        <row r="297">
          <cell r="A297">
            <v>50003</v>
          </cell>
        </row>
        <row r="298">
          <cell r="A298">
            <v>50004</v>
          </cell>
        </row>
        <row r="299">
          <cell r="A299">
            <v>50005</v>
          </cell>
        </row>
        <row r="300">
          <cell r="A300">
            <v>50006</v>
          </cell>
        </row>
        <row r="301">
          <cell r="A301">
            <v>50007</v>
          </cell>
        </row>
        <row r="302">
          <cell r="A302">
            <v>50008</v>
          </cell>
        </row>
        <row r="303">
          <cell r="A303">
            <v>50009</v>
          </cell>
        </row>
        <row r="304">
          <cell r="A304">
            <v>50010</v>
          </cell>
        </row>
        <row r="305">
          <cell r="A305">
            <v>50011</v>
          </cell>
        </row>
        <row r="306">
          <cell r="A306">
            <v>50012</v>
          </cell>
        </row>
        <row r="307">
          <cell r="A307">
            <v>50013</v>
          </cell>
        </row>
        <row r="308">
          <cell r="A308">
            <v>50014</v>
          </cell>
        </row>
        <row r="309">
          <cell r="A309">
            <v>50015</v>
          </cell>
        </row>
        <row r="310">
          <cell r="A310">
            <v>51001</v>
          </cell>
        </row>
        <row r="311">
          <cell r="A311">
            <v>51002</v>
          </cell>
        </row>
        <row r="312">
          <cell r="A312">
            <v>58001</v>
          </cell>
        </row>
        <row r="313">
          <cell r="A313">
            <v>59001</v>
          </cell>
        </row>
        <row r="314">
          <cell r="A314">
            <v>59002</v>
          </cell>
        </row>
        <row r="315">
          <cell r="A315">
            <v>60001</v>
          </cell>
        </row>
        <row r="316">
          <cell r="A316">
            <v>60002</v>
          </cell>
        </row>
        <row r="317">
          <cell r="A317">
            <v>60003</v>
          </cell>
        </row>
        <row r="318">
          <cell r="A318">
            <v>60004</v>
          </cell>
        </row>
        <row r="319">
          <cell r="A319">
            <v>60005</v>
          </cell>
        </row>
        <row r="320">
          <cell r="A320">
            <v>60006</v>
          </cell>
        </row>
        <row r="321">
          <cell r="A321">
            <v>60007</v>
          </cell>
        </row>
        <row r="322">
          <cell r="A322">
            <v>60010</v>
          </cell>
        </row>
        <row r="323">
          <cell r="A323">
            <v>60011</v>
          </cell>
        </row>
        <row r="324">
          <cell r="A324">
            <v>61011</v>
          </cell>
        </row>
        <row r="325">
          <cell r="A325">
            <v>60012</v>
          </cell>
        </row>
        <row r="326">
          <cell r="A326">
            <v>60013</v>
          </cell>
        </row>
        <row r="327">
          <cell r="A327">
            <v>60014</v>
          </cell>
        </row>
        <row r="328">
          <cell r="A328">
            <v>60015</v>
          </cell>
        </row>
        <row r="329">
          <cell r="A329">
            <v>60016</v>
          </cell>
        </row>
        <row r="330">
          <cell r="A330">
            <v>60017</v>
          </cell>
        </row>
        <row r="331">
          <cell r="A331">
            <v>60018</v>
          </cell>
        </row>
        <row r="332">
          <cell r="A332">
            <v>60019</v>
          </cell>
        </row>
        <row r="333">
          <cell r="A333">
            <v>60020</v>
          </cell>
        </row>
        <row r="334">
          <cell r="A334">
            <v>60025</v>
          </cell>
        </row>
        <row r="335">
          <cell r="A335">
            <v>60026</v>
          </cell>
        </row>
        <row r="336">
          <cell r="A336">
            <v>60027</v>
          </cell>
        </row>
        <row r="337">
          <cell r="A337">
            <v>60028</v>
          </cell>
        </row>
        <row r="338">
          <cell r="A338">
            <v>60029</v>
          </cell>
        </row>
        <row r="339">
          <cell r="A339">
            <v>65525</v>
          </cell>
        </row>
        <row r="340">
          <cell r="A340">
            <v>65526</v>
          </cell>
        </row>
        <row r="341">
          <cell r="A341">
            <v>65527</v>
          </cell>
        </row>
        <row r="342">
          <cell r="A342">
            <v>65528</v>
          </cell>
        </row>
        <row r="343">
          <cell r="A343">
            <v>65529</v>
          </cell>
        </row>
        <row r="344">
          <cell r="A344">
            <v>65530</v>
          </cell>
        </row>
        <row r="345">
          <cell r="A345">
            <v>65531</v>
          </cell>
        </row>
        <row r="346">
          <cell r="A346">
            <v>65532</v>
          </cell>
        </row>
        <row r="347">
          <cell r="A347">
            <v>65533</v>
          </cell>
        </row>
        <row r="348">
          <cell r="A348">
            <v>65534</v>
          </cell>
        </row>
        <row r="349">
          <cell r="A349">
            <v>65535</v>
          </cell>
        </row>
        <row r="350">
          <cell r="A350">
            <v>60021</v>
          </cell>
        </row>
        <row r="351">
          <cell r="A351">
            <v>60022</v>
          </cell>
        </row>
        <row r="352">
          <cell r="A352">
            <v>60023</v>
          </cell>
        </row>
        <row r="353">
          <cell r="A35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49001_1</v>
          </cell>
        </row>
        <row r="891">
          <cell r="A891" t="str">
            <v>49002_1</v>
          </cell>
        </row>
        <row r="892">
          <cell r="A892" t="str">
            <v>49002_2</v>
          </cell>
        </row>
        <row r="893">
          <cell r="A893" t="str">
            <v>49003_1</v>
          </cell>
        </row>
        <row r="894">
          <cell r="A894" t="str">
            <v>49003_2</v>
          </cell>
        </row>
        <row r="895">
          <cell r="A895" t="str">
            <v>49004_1</v>
          </cell>
        </row>
        <row r="896">
          <cell r="A896" t="str">
            <v>49004_2</v>
          </cell>
        </row>
        <row r="897">
          <cell r="A897" t="str">
            <v>49004_3</v>
          </cell>
        </row>
        <row r="898">
          <cell r="A898" t="str">
            <v>49005_1</v>
          </cell>
        </row>
        <row r="899">
          <cell r="A899" t="str">
            <v>49006_1</v>
          </cell>
        </row>
        <row r="900">
          <cell r="A900" t="str">
            <v>49006_2</v>
          </cell>
        </row>
        <row r="901">
          <cell r="A901" t="str">
            <v>49007_1</v>
          </cell>
        </row>
        <row r="902">
          <cell r="A902" t="str">
            <v>49007_2</v>
          </cell>
        </row>
        <row r="903">
          <cell r="A903" t="str">
            <v>49007_3</v>
          </cell>
        </row>
        <row r="904">
          <cell r="A904" t="str">
            <v>49008_1</v>
          </cell>
        </row>
        <row r="905">
          <cell r="A905" t="str">
            <v>49009_1</v>
          </cell>
        </row>
        <row r="906">
          <cell r="A906" t="str">
            <v>49010_1</v>
          </cell>
        </row>
        <row r="907">
          <cell r="A907" t="str">
            <v>49011_1</v>
          </cell>
        </row>
        <row r="908">
          <cell r="A908" t="str">
            <v>49012_1</v>
          </cell>
        </row>
        <row r="909">
          <cell r="A909" t="str">
            <v>49013_1</v>
          </cell>
        </row>
        <row r="910">
          <cell r="A910" t="str">
            <v>49014_1</v>
          </cell>
        </row>
        <row r="911">
          <cell r="A911" t="str">
            <v>49014_2</v>
          </cell>
        </row>
        <row r="912">
          <cell r="A912" t="str">
            <v>49015_1</v>
          </cell>
        </row>
        <row r="913">
          <cell r="A913" t="str">
            <v>49015_2</v>
          </cell>
        </row>
        <row r="914">
          <cell r="A914" t="str">
            <v>49015_3</v>
          </cell>
        </row>
        <row r="915">
          <cell r="A915" t="str">
            <v>50001_1</v>
          </cell>
        </row>
        <row r="916">
          <cell r="A916" t="str">
            <v>50002_1</v>
          </cell>
        </row>
        <row r="917">
          <cell r="A917" t="str">
            <v>50003_1</v>
          </cell>
        </row>
        <row r="918">
          <cell r="A918" t="str">
            <v>50004_1</v>
          </cell>
        </row>
        <row r="919">
          <cell r="A919" t="str">
            <v>50005_1</v>
          </cell>
        </row>
        <row r="920">
          <cell r="A920" t="str">
            <v>50006_1</v>
          </cell>
        </row>
        <row r="921">
          <cell r="A921" t="str">
            <v>50007_1</v>
          </cell>
        </row>
        <row r="922">
          <cell r="A922" t="str">
            <v>50008_1</v>
          </cell>
        </row>
        <row r="923">
          <cell r="A923" t="str">
            <v>50009_1</v>
          </cell>
        </row>
        <row r="924">
          <cell r="A924" t="str">
            <v>50010_1</v>
          </cell>
        </row>
        <row r="925">
          <cell r="A925" t="str">
            <v>50011_1</v>
          </cell>
        </row>
        <row r="926">
          <cell r="A926" t="str">
            <v>50012_1</v>
          </cell>
        </row>
        <row r="927">
          <cell r="A927" t="str">
            <v>50013_1</v>
          </cell>
        </row>
        <row r="928">
          <cell r="A928" t="str">
            <v>50014_1</v>
          </cell>
        </row>
        <row r="929">
          <cell r="A929" t="str">
            <v>50015_1</v>
          </cell>
        </row>
        <row r="930">
          <cell r="A930" t="str">
            <v>51001_1</v>
          </cell>
        </row>
        <row r="931">
          <cell r="A931" t="str">
            <v>51002_1</v>
          </cell>
        </row>
        <row r="932">
          <cell r="A932" t="str">
            <v>58001_1</v>
          </cell>
        </row>
        <row r="933">
          <cell r="A933" t="str">
            <v>59001_1</v>
          </cell>
        </row>
        <row r="934">
          <cell r="A934" t="str">
            <v>59002_1</v>
          </cell>
        </row>
        <row r="935">
          <cell r="A935" t="str">
            <v>60001_1</v>
          </cell>
        </row>
        <row r="936">
          <cell r="A936" t="str">
            <v>60002_1</v>
          </cell>
        </row>
        <row r="937">
          <cell r="A937" t="str">
            <v>60002_2</v>
          </cell>
        </row>
        <row r="938">
          <cell r="A938" t="str">
            <v>60003_1</v>
          </cell>
        </row>
        <row r="939">
          <cell r="A939" t="str">
            <v>60003_2</v>
          </cell>
        </row>
        <row r="940">
          <cell r="A940" t="str">
            <v>60003_3</v>
          </cell>
        </row>
        <row r="941">
          <cell r="A941" t="str">
            <v>60004_1</v>
          </cell>
        </row>
        <row r="942">
          <cell r="A942" t="str">
            <v>60005_1</v>
          </cell>
        </row>
        <row r="943">
          <cell r="A943" t="str">
            <v>60006_1</v>
          </cell>
        </row>
        <row r="944">
          <cell r="A944" t="str">
            <v>60006_2</v>
          </cell>
        </row>
        <row r="945">
          <cell r="A945" t="str">
            <v>60006_3</v>
          </cell>
        </row>
        <row r="946">
          <cell r="A946" t="str">
            <v>60007_1</v>
          </cell>
        </row>
        <row r="947">
          <cell r="A947" t="str">
            <v>60007_2</v>
          </cell>
        </row>
        <row r="948">
          <cell r="A948" t="str">
            <v>60007_3</v>
          </cell>
        </row>
        <row r="949">
          <cell r="A949" t="str">
            <v>60010_1</v>
          </cell>
        </row>
        <row r="950">
          <cell r="A950" t="str">
            <v>60011_1</v>
          </cell>
        </row>
        <row r="951">
          <cell r="A951" t="str">
            <v>60011_2</v>
          </cell>
        </row>
        <row r="952">
          <cell r="A952" t="str">
            <v>60012_1</v>
          </cell>
        </row>
        <row r="953">
          <cell r="A953" t="str">
            <v>60013_1</v>
          </cell>
        </row>
        <row r="954">
          <cell r="A954" t="str">
            <v>60013_2</v>
          </cell>
        </row>
        <row r="955">
          <cell r="A955" t="str">
            <v>60013_3</v>
          </cell>
        </row>
        <row r="956">
          <cell r="A956" t="str">
            <v>60014_1</v>
          </cell>
        </row>
        <row r="957">
          <cell r="A957" t="str">
            <v>60015_1</v>
          </cell>
        </row>
        <row r="958">
          <cell r="A958" t="str">
            <v>60016_1</v>
          </cell>
        </row>
        <row r="959">
          <cell r="A959" t="str">
            <v>60017_1</v>
          </cell>
        </row>
        <row r="960">
          <cell r="A960" t="str">
            <v>60018_1</v>
          </cell>
        </row>
        <row r="961">
          <cell r="A961" t="str">
            <v>60019_1</v>
          </cell>
        </row>
        <row r="962">
          <cell r="A962" t="str">
            <v>60020_1</v>
          </cell>
        </row>
        <row r="963">
          <cell r="A963" t="str">
            <v>60021_3</v>
          </cell>
        </row>
        <row r="964">
          <cell r="A964" t="str">
            <v>60022_3</v>
          </cell>
        </row>
        <row r="965">
          <cell r="A965" t="str">
            <v>60023_3</v>
          </cell>
        </row>
        <row r="966">
          <cell r="A966" t="str">
            <v>60024_3</v>
          </cell>
        </row>
        <row r="967">
          <cell r="A967" t="str">
            <v>60025_1</v>
          </cell>
        </row>
        <row r="968">
          <cell r="A968" t="str">
            <v>60026_1</v>
          </cell>
        </row>
        <row r="969">
          <cell r="A969" t="str">
            <v>61011_1</v>
          </cell>
        </row>
        <row r="970">
          <cell r="A970" t="str">
            <v>60027_1</v>
          </cell>
        </row>
        <row r="971">
          <cell r="A971" t="str">
            <v>60028_1</v>
          </cell>
        </row>
        <row r="972">
          <cell r="A972" t="str">
            <v>60029_1</v>
          </cell>
        </row>
        <row r="973">
          <cell r="A973" t="str">
            <v>65525_1</v>
          </cell>
        </row>
        <row r="974">
          <cell r="A974" t="str">
            <v>65526_1</v>
          </cell>
        </row>
        <row r="975">
          <cell r="A975" t="str">
            <v>65526_2</v>
          </cell>
        </row>
        <row r="976">
          <cell r="A976" t="str">
            <v>65527_1</v>
          </cell>
        </row>
        <row r="977">
          <cell r="A977" t="str">
            <v>65528_1</v>
          </cell>
        </row>
        <row r="978">
          <cell r="A978" t="str">
            <v>65529_1</v>
          </cell>
        </row>
        <row r="979">
          <cell r="A979" t="str">
            <v>65530_1</v>
          </cell>
        </row>
        <row r="980">
          <cell r="A980" t="str">
            <v>65531_1</v>
          </cell>
        </row>
        <row r="981">
          <cell r="A981" t="str">
            <v>65531_2</v>
          </cell>
        </row>
        <row r="982">
          <cell r="A982" t="str">
            <v>65532_1</v>
          </cell>
        </row>
        <row r="983">
          <cell r="A983" t="str">
            <v>65532_2</v>
          </cell>
        </row>
        <row r="984">
          <cell r="A984" t="str">
            <v>65533_1</v>
          </cell>
        </row>
        <row r="985">
          <cell r="A985" t="str">
            <v>65533_2</v>
          </cell>
        </row>
        <row r="986">
          <cell r="A986" t="str">
            <v>65534_1</v>
          </cell>
        </row>
        <row r="987">
          <cell r="A987" t="str">
            <v>65534_2</v>
          </cell>
        </row>
        <row r="988">
          <cell r="A988" t="str">
            <v>65535_1</v>
          </cell>
        </row>
        <row r="989">
          <cell r="A989" t="str">
            <v>65535_2</v>
          </cell>
        </row>
        <row r="990">
          <cell r="A990" t="str">
            <v>65535_3</v>
          </cell>
        </row>
        <row r="991">
          <cell r="A991" t="str">
            <v>65535_4</v>
          </cell>
        </row>
        <row r="992">
          <cell r="A992" t="str">
            <v>65535_5</v>
          </cell>
        </row>
        <row r="993">
          <cell r="A993" t="str">
            <v>65535_6</v>
          </cell>
        </row>
        <row r="994">
          <cell r="A994" t="str">
            <v>65535_7</v>
          </cell>
        </row>
        <row r="995">
          <cell r="A995" t="str">
            <v>65535_8</v>
          </cell>
        </row>
        <row r="996">
          <cell r="A996" t="str">
            <v>65535_9</v>
          </cell>
        </row>
        <row r="997">
          <cell r="A99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20" sqref="C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251</v>
      </c>
      <c r="B2" s="57" t="s">
        <v>105</v>
      </c>
      <c r="C2" s="63">
        <v>40028</v>
      </c>
      <c r="D2" s="57" t="s">
        <v>106</v>
      </c>
      <c r="E2" s="56" t="str">
        <f>B2&amp;C2&amp;D2</f>
        <v>floors_40028.tmp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251</v>
      </c>
      <c r="B3" s="57" t="s">
        <v>108</v>
      </c>
      <c r="C3" s="63">
        <f>C$2</f>
        <v>40028</v>
      </c>
      <c r="D3" s="57" t="s">
        <v>106</v>
      </c>
      <c r="E3" s="56" t="str">
        <f>B3&amp;C3&amp;D3</f>
        <v>enemy_habitats_40028.tmp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174</v>
      </c>
    </row>
    <row r="4" spans="1:30" x14ac:dyDescent="0.15">
      <c r="A4" s="61" t="s">
        <v>251</v>
      </c>
      <c r="B4" s="57" t="s">
        <v>110</v>
      </c>
      <c r="C4" s="63">
        <f t="shared" ref="C4:C13" si="0">C$2</f>
        <v>40028</v>
      </c>
      <c r="D4" s="57" t="s">
        <v>106</v>
      </c>
      <c r="E4" s="56" t="str">
        <f>B4&amp;C4&amp;D4</f>
        <v>enemy_habitat_S_40028.tmp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251</v>
      </c>
      <c r="B5" s="57" t="s">
        <v>112</v>
      </c>
      <c r="C5" s="63">
        <f t="shared" si="0"/>
        <v>40028</v>
      </c>
      <c r="D5" s="57" t="s">
        <v>106</v>
      </c>
      <c r="E5" s="56" t="str">
        <f>B5&amp;C5&amp;D5</f>
        <v>enemy_skill_sets_40028.tmp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251</v>
      </c>
      <c r="B6" s="57" t="s">
        <v>114</v>
      </c>
      <c r="C6" s="63">
        <f t="shared" si="0"/>
        <v>40028</v>
      </c>
      <c r="D6" s="57" t="s">
        <v>115</v>
      </c>
      <c r="E6" s="56" t="str">
        <f t="shared" ref="E6:E10" si="1">B6&amp;C6&amp;D6</f>
        <v>enemy_skills_tmp_40028.tmp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251</v>
      </c>
      <c r="B7" s="57" t="s">
        <v>116</v>
      </c>
      <c r="C7" s="63">
        <f t="shared" si="0"/>
        <v>40028</v>
      </c>
      <c r="D7" s="57" t="s">
        <v>106</v>
      </c>
      <c r="E7" s="56" t="str">
        <f>B7&amp;C7&amp;D7</f>
        <v>enemy_skills_i18n_40028.tmp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251</v>
      </c>
      <c r="B8" s="57" t="s">
        <v>118</v>
      </c>
      <c r="C8" s="63">
        <f t="shared" si="0"/>
        <v>40028</v>
      </c>
      <c r="D8" s="57" t="s">
        <v>119</v>
      </c>
      <c r="E8" s="56" t="str">
        <f t="shared" si="1"/>
        <v>enemy_skill_triggers_40028.tmp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251</v>
      </c>
      <c r="B9" s="68" t="s">
        <v>173</v>
      </c>
      <c r="C9" s="63">
        <f t="shared" si="0"/>
        <v>40028</v>
      </c>
      <c r="D9" s="68" t="s">
        <v>167</v>
      </c>
      <c r="E9" s="69" t="str">
        <f t="shared" si="1"/>
        <v>stage_bug_bonuses_40028.tmp</v>
      </c>
      <c r="F9" s="68" t="s">
        <v>168</v>
      </c>
      <c r="G9" s="65" t="s">
        <v>149</v>
      </c>
      <c r="H9" s="65" t="s">
        <v>169</v>
      </c>
      <c r="I9" s="65" t="s">
        <v>170</v>
      </c>
      <c r="J9" s="67" t="s">
        <v>171</v>
      </c>
      <c r="K9" s="65" t="s">
        <v>172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251</v>
      </c>
      <c r="B10" s="68" t="s">
        <v>197</v>
      </c>
      <c r="C10" s="63">
        <f>C$2</f>
        <v>40028</v>
      </c>
      <c r="D10" s="68" t="s">
        <v>176</v>
      </c>
      <c r="E10" s="69" t="str">
        <f t="shared" si="1"/>
        <v>stage_hints_data_c_40028.tmp</v>
      </c>
      <c r="F10" s="68" t="s">
        <v>205</v>
      </c>
      <c r="G10" s="74" t="s">
        <v>177</v>
      </c>
      <c r="H10" s="74" t="s">
        <v>169</v>
      </c>
      <c r="I10" s="75" t="s">
        <v>178</v>
      </c>
      <c r="J10" s="67" t="s">
        <v>179</v>
      </c>
      <c r="K10" s="67" t="s">
        <v>180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</row>
    <row r="11" spans="1:30" s="76" customFormat="1" x14ac:dyDescent="0.15">
      <c r="A11" s="61" t="s">
        <v>251</v>
      </c>
      <c r="B11" s="68" t="s">
        <v>198</v>
      </c>
      <c r="C11" s="63">
        <f t="shared" si="0"/>
        <v>40028</v>
      </c>
      <c r="D11" s="68" t="s">
        <v>167</v>
      </c>
      <c r="E11" s="69" t="str">
        <f t="shared" ref="E11:E13" si="2">B11&amp;C11&amp;D11</f>
        <v>stage_hints_data_f_40028.tmp</v>
      </c>
      <c r="F11" s="68" t="s">
        <v>207</v>
      </c>
      <c r="G11" s="74" t="s">
        <v>177</v>
      </c>
      <c r="H11" s="74" t="s">
        <v>169</v>
      </c>
      <c r="I11" s="75" t="s">
        <v>178</v>
      </c>
      <c r="J11" s="67" t="s">
        <v>179</v>
      </c>
      <c r="K11" s="67" t="s">
        <v>180</v>
      </c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</row>
    <row r="12" spans="1:30" s="76" customFormat="1" x14ac:dyDescent="0.15">
      <c r="A12" s="61" t="s">
        <v>251</v>
      </c>
      <c r="B12" s="68" t="s">
        <v>199</v>
      </c>
      <c r="C12" s="63">
        <f t="shared" si="0"/>
        <v>40028</v>
      </c>
      <c r="D12" s="68" t="s">
        <v>167</v>
      </c>
      <c r="E12" s="69" t="str">
        <f t="shared" si="2"/>
        <v>stage_hints_i18n_40028.tmp</v>
      </c>
      <c r="F12" s="68" t="s">
        <v>208</v>
      </c>
      <c r="G12" s="75" t="s">
        <v>200</v>
      </c>
      <c r="H12" s="96" t="s">
        <v>201</v>
      </c>
      <c r="I12" s="74" t="s">
        <v>202</v>
      </c>
      <c r="J12" s="104" t="s">
        <v>203</v>
      </c>
      <c r="K12" s="67" t="s">
        <v>204</v>
      </c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</row>
    <row r="13" spans="1:30" s="76" customFormat="1" x14ac:dyDescent="0.15">
      <c r="A13" s="61" t="s">
        <v>251</v>
      </c>
      <c r="B13" s="68" t="s">
        <v>248</v>
      </c>
      <c r="C13" s="63">
        <f t="shared" si="0"/>
        <v>40028</v>
      </c>
      <c r="D13" s="68" t="s">
        <v>229</v>
      </c>
      <c r="E13" s="69" t="str">
        <f t="shared" si="2"/>
        <v>stage_bonuses_40028.tmp</v>
      </c>
      <c r="F13" s="68" t="s">
        <v>228</v>
      </c>
      <c r="G13" s="74" t="s">
        <v>230</v>
      </c>
      <c r="H13" s="74" t="s">
        <v>231</v>
      </c>
      <c r="I13" s="74" t="s">
        <v>232</v>
      </c>
      <c r="J13" s="74" t="s">
        <v>233</v>
      </c>
      <c r="K13" s="74" t="s">
        <v>234</v>
      </c>
      <c r="L13" s="74" t="s">
        <v>235</v>
      </c>
      <c r="M13" s="74" t="s">
        <v>236</v>
      </c>
      <c r="N13" s="74" t="s">
        <v>237</v>
      </c>
      <c r="O13" s="74" t="s">
        <v>238</v>
      </c>
      <c r="P13" s="74" t="s">
        <v>239</v>
      </c>
      <c r="Q13" s="74" t="s">
        <v>240</v>
      </c>
      <c r="R13" s="74" t="s">
        <v>241</v>
      </c>
      <c r="S13" s="74" t="s">
        <v>242</v>
      </c>
      <c r="T13" s="74" t="s">
        <v>243</v>
      </c>
      <c r="U13" s="74" t="s">
        <v>244</v>
      </c>
      <c r="V13" s="74" t="s">
        <v>245</v>
      </c>
      <c r="W13" s="74" t="s">
        <v>246</v>
      </c>
      <c r="X13" s="74" t="s">
        <v>247</v>
      </c>
      <c r="Y13" s="103"/>
      <c r="Z13" s="103"/>
      <c r="AA13" s="103"/>
      <c r="AB13" s="103"/>
      <c r="AC13" s="103"/>
      <c r="AD13" s="103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M14" sqref="M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40028_1-1</v>
      </c>
      <c r="B2" s="16" t="str">
        <f>IF(COUNTIF(enemy_habitats!$H:$H,A2),"OK","NG")</f>
        <v>OK</v>
      </c>
      <c r="C2" s="7">
        <v>40028</v>
      </c>
      <c r="D2" s="11" t="str">
        <f ca="1">VLOOKUP($C2,OFFSET([2]quests!$A$1,0,0,COUNTA([2]quests!$A:$A),MATCH(D$1,[2]quests!$1:$1,0)-MATCH($C$1,[2]quests!$1:$1,0)+1),MATCH(D$1,[2]quests!$1:$1,0)-MATCH($C$1,[2]quests!$1:$1,0)+1,FALSE)</f>
        <v>ルピカ襲来！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降臨28</v>
      </c>
      <c r="F2" s="21">
        <v>1</v>
      </c>
      <c r="G2" s="23" t="str">
        <f>C2&amp;"_"&amp;F2</f>
        <v>40028_1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【超絶級】ルピカ襲来</v>
      </c>
      <c r="I2" s="21">
        <v>1</v>
      </c>
      <c r="J2" s="12">
        <v>55</v>
      </c>
      <c r="K2" s="12">
        <v>55</v>
      </c>
    </row>
    <row r="3" spans="1:11" ht="21" customHeight="1" x14ac:dyDescent="0.15">
      <c r="A3" s="16" t="str">
        <f t="shared" ref="A3:A9" si="0">G3&amp;"-"&amp;I3</f>
        <v>40028_1-2</v>
      </c>
      <c r="B3" s="16" t="str">
        <f>IF(COUNTIF(enemy_habitats!$H:$H,A3),"OK","NG")</f>
        <v>OK</v>
      </c>
      <c r="C3" s="7">
        <v>40028</v>
      </c>
      <c r="D3" s="11" t="str">
        <f ca="1">VLOOKUP($C3,OFFSET([2]quests!$A$1,0,0,COUNTA([2]quests!$A:$A),MATCH(D$1,[2]quests!$1:$1,0)-MATCH($C$1,[2]quests!$1:$1,0)+1),MATCH(D$1,[2]quests!$1:$1,0)-MATCH($C$1,[2]quests!$1:$1,0)+1,FALSE)</f>
        <v>ルピカ襲来！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降臨28</v>
      </c>
      <c r="F3" s="21">
        <v>1</v>
      </c>
      <c r="G3" s="23" t="str">
        <f t="shared" ref="G3:G9" si="1">C3&amp;"_"&amp;F3</f>
        <v>40028_1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【超絶級】ルピカ襲来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40028_1-3</v>
      </c>
      <c r="B4" s="16" t="str">
        <f>IF(COUNTIF(enemy_habitats!$H:$H,A4),"OK","NG")</f>
        <v>OK</v>
      </c>
      <c r="C4" s="7">
        <v>40028</v>
      </c>
      <c r="D4" s="11" t="str">
        <f ca="1">VLOOKUP($C4,OFFSET([2]quests!$A$1,0,0,COUNTA([2]quests!$A:$A),MATCH(D$1,[2]quests!$1:$1,0)-MATCH($C$1,[2]quests!$1:$1,0)+1),MATCH(D$1,[2]quests!$1:$1,0)-MATCH($C$1,[2]quests!$1:$1,0)+1,FALSE)</f>
        <v>ルピカ襲来！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降臨28</v>
      </c>
      <c r="F4" s="21">
        <v>1</v>
      </c>
      <c r="G4" s="23" t="str">
        <f t="shared" si="1"/>
        <v>40028_1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【超絶級】ルピカ襲来</v>
      </c>
      <c r="I4" s="21">
        <v>3</v>
      </c>
      <c r="J4" s="12">
        <v>60</v>
      </c>
      <c r="K4" s="12">
        <v>60</v>
      </c>
    </row>
    <row r="5" spans="1:11" s="196" customFormat="1" ht="21" customHeight="1" thickBot="1" x14ac:dyDescent="0.2">
      <c r="A5" s="194" t="str">
        <f t="shared" si="0"/>
        <v>40028_1-4</v>
      </c>
      <c r="B5" s="194" t="str">
        <f>IF(COUNTIF(enemy_habitats!$H:$H,A5),"OK","NG")</f>
        <v>OK</v>
      </c>
      <c r="C5" s="175">
        <v>40028</v>
      </c>
      <c r="D5" s="191" t="str">
        <f ca="1">VLOOKUP($C5,OFFSET([2]quests!$A$1,0,0,COUNTA([2]quests!$A:$A),MATCH(D$1,[2]quests!$1:$1,0)-MATCH($C$1,[2]quests!$1:$1,0)+1),MATCH(D$1,[2]quests!$1:$1,0)-MATCH($C$1,[2]quests!$1:$1,0)+1,FALSE)</f>
        <v>ルピカ襲来！</v>
      </c>
      <c r="E5" s="191" t="str">
        <f ca="1">VLOOKUP($C5,OFFSET([2]quests!$A$1,0,0,COUNTA([2]quests!$A:$A),MATCH(E$1,[2]quests!$1:$1,0)-MATCH($C$1,[2]quests!$1:$1,0)+1),MATCH(E$1,[2]quests!$1:$1,0)-MATCH($C$1,[2]quests!$1:$1,0)+1,FALSE)</f>
        <v>降臨28</v>
      </c>
      <c r="F5" s="152">
        <v>1</v>
      </c>
      <c r="G5" s="195" t="str">
        <f t="shared" si="1"/>
        <v>40028_1</v>
      </c>
      <c r="H5" s="153" t="str">
        <f ca="1">VLOOKUP($G5,OFFSET([2]stages!$A$1,0,0,COUNTA([2]stages!$A:$A),MATCH(H$1,[2]stages!$2:$2,0)-MATCH($G$1,[2]stages!$2:$2,0)+1),MATCH(H$1,[2]stages!$2:$2,0)-MATCH($G$1,[2]stages!$2:$2,0)+1,FALSE)</f>
        <v>【超絶級】ルピカ襲来</v>
      </c>
      <c r="I5" s="152">
        <v>4</v>
      </c>
      <c r="J5" s="155">
        <v>60</v>
      </c>
      <c r="K5" s="155">
        <v>60</v>
      </c>
    </row>
    <row r="6" spans="1:11" ht="21" customHeight="1" thickTop="1" x14ac:dyDescent="0.15">
      <c r="A6" s="16" t="str">
        <f t="shared" si="0"/>
        <v>40028_2-1</v>
      </c>
      <c r="B6" s="16" t="str">
        <f>IF(COUNTIF(enemy_habitats!$H:$H,A6),"OK","NG")</f>
        <v>OK</v>
      </c>
      <c r="C6" s="169">
        <v>40028</v>
      </c>
      <c r="D6" s="188" t="str">
        <f ca="1">VLOOKUP($C6,OFFSET([2]quests!$A$1,0,0,COUNTA([2]quests!$A:$A),MATCH(D$1,[2]quests!$1:$1,0)-MATCH($C$1,[2]quests!$1:$1,0)+1),MATCH(D$1,[2]quests!$1:$1,0)-MATCH($C$1,[2]quests!$1:$1,0)+1,FALSE)</f>
        <v>ルピカ襲来！</v>
      </c>
      <c r="E6" s="188" t="str">
        <f ca="1">VLOOKUP($C6,OFFSET([2]quests!$A$1,0,0,COUNTA([2]quests!$A:$A),MATCH(E$1,[2]quests!$1:$1,0)-MATCH($C$1,[2]quests!$1:$1,0)+1),MATCH(E$1,[2]quests!$1:$1,0)-MATCH($C$1,[2]quests!$1:$1,0)+1,FALSE)</f>
        <v>降臨28</v>
      </c>
      <c r="F6" s="142">
        <v>2</v>
      </c>
      <c r="G6" s="193" t="str">
        <f t="shared" si="1"/>
        <v>40028_2</v>
      </c>
      <c r="H6" s="143" t="str">
        <f ca="1">VLOOKUP($G6,OFFSET([2]stages!$A$1,0,0,COUNTA([2]stages!$A:$A),MATCH(H$1,[2]stages!$2:$2,0)-MATCH($G$1,[2]stages!$2:$2,0)+1),MATCH(H$1,[2]stages!$2:$2,0)-MATCH($G$1,[2]stages!$2:$2,0)+1,FALSE)</f>
        <v>【ウィザード級】ルピカ襲来</v>
      </c>
      <c r="I6" s="142">
        <v>1</v>
      </c>
      <c r="J6" s="144">
        <v>55</v>
      </c>
      <c r="K6" s="144">
        <v>55</v>
      </c>
    </row>
    <row r="7" spans="1:11" ht="21" customHeight="1" x14ac:dyDescent="0.15">
      <c r="A7" s="16" t="str">
        <f t="shared" si="0"/>
        <v>40028_2-2</v>
      </c>
      <c r="B7" s="16" t="str">
        <f>IF(COUNTIF(enemy_habitats!$H:$H,A7),"OK","NG")</f>
        <v>OK</v>
      </c>
      <c r="C7" s="7">
        <v>40028</v>
      </c>
      <c r="D7" s="11" t="str">
        <f ca="1">VLOOKUP($C7,OFFSET([2]quests!$A$1,0,0,COUNTA([2]quests!$A:$A),MATCH(D$1,[2]quests!$1:$1,0)-MATCH($C$1,[2]quests!$1:$1,0)+1),MATCH(D$1,[2]quests!$1:$1,0)-MATCH($C$1,[2]quests!$1:$1,0)+1,FALSE)</f>
        <v>ルピカ襲来！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降臨28</v>
      </c>
      <c r="F7" s="21">
        <v>2</v>
      </c>
      <c r="G7" s="23" t="str">
        <f t="shared" si="1"/>
        <v>40028_2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【ウィザード級】ルピカ襲来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40028_2-3</v>
      </c>
      <c r="B8" s="16" t="str">
        <f>IF(COUNTIF(enemy_habitats!$H:$H,A8),"OK","NG")</f>
        <v>OK</v>
      </c>
      <c r="C8" s="7">
        <v>40028</v>
      </c>
      <c r="D8" s="11" t="str">
        <f ca="1">VLOOKUP($C8,OFFSET([2]quests!$A$1,0,0,COUNTA([2]quests!$A:$A),MATCH(D$1,[2]quests!$1:$1,0)-MATCH($C$1,[2]quests!$1:$1,0)+1),MATCH(D$1,[2]quests!$1:$1,0)-MATCH($C$1,[2]quests!$1:$1,0)+1,FALSE)</f>
        <v>ルピカ襲来！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降臨28</v>
      </c>
      <c r="F8" s="21">
        <v>2</v>
      </c>
      <c r="G8" s="23" t="str">
        <f t="shared" si="1"/>
        <v>40028_2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【ウィザード級】ルピカ襲来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40028_2-4</v>
      </c>
      <c r="B9" s="16" t="str">
        <f>IF(COUNTIF(enemy_habitats!$H:$H,A9),"OK","NG")</f>
        <v>OK</v>
      </c>
      <c r="C9" s="7">
        <v>40028</v>
      </c>
      <c r="D9" s="11" t="str">
        <f ca="1">VLOOKUP($C9,OFFSET([2]quests!$A$1,0,0,COUNTA([2]quests!$A:$A),MATCH(D$1,[2]quests!$1:$1,0)-MATCH($C$1,[2]quests!$1:$1,0)+1),MATCH(D$1,[2]quests!$1:$1,0)-MATCH($C$1,[2]quests!$1:$1,0)+1,FALSE)</f>
        <v>ルピカ襲来！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降臨28</v>
      </c>
      <c r="F9" s="21">
        <v>2</v>
      </c>
      <c r="G9" s="23" t="str">
        <f t="shared" si="1"/>
        <v>40028_2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【ウィザード級】ルピカ襲来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4"/>
  <sheetViews>
    <sheetView showGridLines="0" zoomScale="106" zoomScaleNormal="106" zoomScalePageLayoutView="106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24" sqref="B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7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4.8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5" t="s">
        <v>249</v>
      </c>
      <c r="U1" s="26" t="s">
        <v>50</v>
      </c>
      <c r="V1" s="105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175</v>
      </c>
    </row>
    <row r="2" spans="1:42" ht="21" customHeight="1" x14ac:dyDescent="0.15">
      <c r="A2" s="16" t="str">
        <f>B2&amp;"_"&amp;C2&amp;"-"&amp;G2&amp;"/"&amp;L2&amp;"&lt;lv"&amp;R2&amp;"&gt;s"&amp;AC2</f>
        <v>40028_1-1/12&lt;lv80&gt;s1</v>
      </c>
      <c r="B2" s="22">
        <v>40028</v>
      </c>
      <c r="C2" s="21">
        <v>1</v>
      </c>
      <c r="D2" s="2" t="str">
        <f>B2&amp;"_"&amp;C2</f>
        <v>40028_1</v>
      </c>
      <c r="E2" s="4" t="str">
        <f ca="1">VLOOKUP($B2,OFFSET([2]quests!$A$1,0,0,COUNTA([2]quests!$A:$A),MATCH(E$1,[2]quests!$1:$1,0)-MATCH($B$1,[2]quests!$1:$1,0)+1),MATCH(E$1,[2]quests!$1:$1,0)-MATCH($B$1,[2]quests!$1:$1,0)+1,FALSE)</f>
        <v>ルピカ襲来！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【超絶級】ルピカ襲来</v>
      </c>
      <c r="G2" s="21">
        <v>1</v>
      </c>
      <c r="H2" s="15" t="str">
        <f>B2&amp;"_"&amp;C2&amp;"-"&amp;G2</f>
        <v>40028_1-1</v>
      </c>
      <c r="I2" s="4">
        <f ca="1">VLOOKUP($H2,OFFSET(floors!$A$1,0,0,COUNTA(floors!$A:$A),MATCH(I$1,floors!$1:$1,0)-MATCH($H$1,floors!$1:$1,0)+1),MATCH(I$1,floors!$1:$1,0)-MATCH($H$1,floors!$1:$1,0)+1,FALSE)</f>
        <v>55</v>
      </c>
      <c r="J2" s="4">
        <f ca="1">VLOOKUP($H2,OFFSET(floors!$A$1,0,0,COUNTA(floors!$A:$A),MATCH(J$1,floors!$1:$1,0)-MATCH($H$1,floors!$1:$1,0)+1),MATCH(J$1,floors!$1:$1,0)-MATCH($H$1,floors!$1:$1,0)+1,FALSE)</f>
        <v>55</v>
      </c>
      <c r="K2" s="38" t="s">
        <v>53</v>
      </c>
      <c r="L2" s="145">
        <v>12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癒しのグラフィティ マグリット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146">
        <v>80</v>
      </c>
      <c r="S2" s="147">
        <v>0.8</v>
      </c>
      <c r="T2" s="106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10640.800000000001</v>
      </c>
      <c r="U2" s="147">
        <v>0.7</v>
      </c>
      <c r="V2" s="106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2878.3999999999996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赤パネルを黄パネルに変換(最大3個) _x000D_＋クリティカル！</v>
      </c>
      <c r="Y2" s="4">
        <v>40028001</v>
      </c>
      <c r="Z2" s="6">
        <v>1</v>
      </c>
      <c r="AA2" s="6">
        <v>100</v>
      </c>
      <c r="AB2" s="6">
        <v>2</v>
      </c>
      <c r="AC2" s="17">
        <v>1</v>
      </c>
      <c r="AD2" s="24">
        <f>L2</f>
        <v>12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癒しのグラフィティ マグリット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4">
        <f ca="1">AF2</f>
        <v>2</v>
      </c>
      <c r="AJ2" s="8">
        <v>15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40028_1-1/373&lt;lv80&gt;s1</v>
      </c>
      <c r="B3" s="22">
        <v>40028</v>
      </c>
      <c r="C3" s="21">
        <v>1</v>
      </c>
      <c r="D3" s="2" t="str">
        <f>B3&amp;"_"&amp;C3</f>
        <v>40028_1</v>
      </c>
      <c r="E3" s="4" t="str">
        <f ca="1">VLOOKUP($B3,OFFSET([2]quests!$A$1,0,0,COUNTA([2]quests!$A:$A),MATCH(E$1,[2]quests!$1:$1,0)-MATCH($B$1,[2]quests!$1:$1,0)+1),MATCH(E$1,[2]quests!$1:$1,0)-MATCH($B$1,[2]quests!$1:$1,0)+1,FALSE)</f>
        <v>ルピカ襲来！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【超絶級】ルピカ襲来</v>
      </c>
      <c r="G3" s="21">
        <v>1</v>
      </c>
      <c r="H3" s="15" t="str">
        <f>B3&amp;"_"&amp;C3&amp;"-"&amp;G3</f>
        <v>40028_1-1</v>
      </c>
      <c r="I3" s="4">
        <f ca="1">VLOOKUP($H3,OFFSET(floors!$A$1,0,0,COUNTA(floors!$A:$A),MATCH(I$1,floors!$1:$1,0)-MATCH($H$1,floors!$1:$1,0)+1),MATCH(I$1,floors!$1:$1,0)-MATCH($H$1,floors!$1:$1,0)+1,FALSE)</f>
        <v>55</v>
      </c>
      <c r="J3" s="4">
        <f ca="1">VLOOKUP($H3,OFFSET(floors!$A$1,0,0,COUNTA(floors!$A:$A),MATCH(J$1,floors!$1:$1,0)-MATCH($H$1,floors!$1:$1,0)+1),MATCH(J$1,floors!$1:$1,0)-MATCH($H$1,floors!$1:$1,0)+1,FALSE)</f>
        <v>55</v>
      </c>
      <c r="K3" s="38" t="s">
        <v>53</v>
      </c>
      <c r="L3" s="20">
        <v>373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夢幻俳聖 バショー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2</v>
      </c>
      <c r="T3" s="106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36578</v>
      </c>
      <c r="U3" s="25">
        <v>0.4</v>
      </c>
      <c r="V3" s="106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2300.4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パネルをランダムに5つプロテクト＋単体攻撃</v>
      </c>
      <c r="Y3" s="62">
        <v>40028002</v>
      </c>
      <c r="Z3" s="6">
        <v>1</v>
      </c>
      <c r="AA3" s="6">
        <v>100</v>
      </c>
      <c r="AB3" s="6">
        <v>1</v>
      </c>
      <c r="AC3" s="17">
        <v>1</v>
      </c>
      <c r="AD3" s="24">
        <f>L3</f>
        <v>373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夢幻俳聖 バショー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ca="1">AF3</f>
        <v>3</v>
      </c>
      <c r="AJ3" s="8">
        <v>15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ref="A4:A7" si="0">B4&amp;"_"&amp;C4&amp;"-"&amp;G4&amp;"/"&amp;L4&amp;"&lt;lv"&amp;R4&amp;"&gt;s"&amp;AC4</f>
        <v>40028_1-1/46&lt;lv80&gt;s1</v>
      </c>
      <c r="B4" s="22">
        <v>40028</v>
      </c>
      <c r="C4" s="21">
        <v>1</v>
      </c>
      <c r="D4" s="2" t="str">
        <f t="shared" ref="D4:D7" si="1">B4&amp;"_"&amp;C4</f>
        <v>40028_1</v>
      </c>
      <c r="E4" s="4" t="str">
        <f ca="1">VLOOKUP($B4,OFFSET([2]quests!$A$1,0,0,COUNTA([2]quests!$A:$A),MATCH(E$1,[2]quests!$1:$1,0)-MATCH($B$1,[2]quests!$1:$1,0)+1),MATCH(E$1,[2]quests!$1:$1,0)-MATCH($B$1,[2]quests!$1:$1,0)+1,FALSE)</f>
        <v>ルピカ襲来！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【超絶級】ルピカ襲来</v>
      </c>
      <c r="G4" s="21">
        <v>1</v>
      </c>
      <c r="H4" s="15" t="str">
        <f t="shared" ref="H4:H7" si="2">B4&amp;"_"&amp;C4&amp;"-"&amp;G4</f>
        <v>40028_1-1</v>
      </c>
      <c r="I4" s="4">
        <f ca="1">VLOOKUP($H4,OFFSET(floors!$A$1,0,0,COUNTA(floors!$A:$A),MATCH(I$1,floors!$1:$1,0)-MATCH($H$1,floors!$1:$1,0)+1),MATCH(I$1,floors!$1:$1,0)-MATCH($H$1,floors!$1:$1,0)+1,FALSE)</f>
        <v>55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8" t="s">
        <v>53</v>
      </c>
      <c r="L4" s="20">
        <v>46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微笑みの筆跡 ショウイン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0.2</v>
      </c>
      <c r="T4" s="106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15599.2</v>
      </c>
      <c r="U4" s="25">
        <v>0.4</v>
      </c>
      <c r="V4" s="106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3011.2000000000003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赤パネルを黄パネルに変換(最大3個) _x000D_＋クリティカル！</v>
      </c>
      <c r="Y4" s="4">
        <v>40028003</v>
      </c>
      <c r="Z4" s="6">
        <v>1</v>
      </c>
      <c r="AA4" s="6">
        <v>100</v>
      </c>
      <c r="AB4" s="6">
        <v>2</v>
      </c>
      <c r="AC4" s="17">
        <v>1</v>
      </c>
      <c r="AD4" s="24">
        <f t="shared" ref="AD4:AD7" si="3">L4</f>
        <v>46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微笑みの筆跡 ショウイン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ref="AI4:AI7" ca="1" si="4">AF4</f>
        <v>3</v>
      </c>
      <c r="AJ4" s="8">
        <v>15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40028_1-2/1106&lt;lv80&gt;s2</v>
      </c>
      <c r="B5" s="22">
        <v>40028</v>
      </c>
      <c r="C5" s="21">
        <v>1</v>
      </c>
      <c r="D5" s="2" t="str">
        <f t="shared" si="1"/>
        <v>40028_1</v>
      </c>
      <c r="E5" s="4" t="str">
        <f ca="1">VLOOKUP($B5,OFFSET([2]quests!$A$1,0,0,COUNTA([2]quests!$A:$A),MATCH(E$1,[2]quests!$1:$1,0)-MATCH($B$1,[2]quests!$1:$1,0)+1),MATCH(E$1,[2]quests!$1:$1,0)-MATCH($B$1,[2]quests!$1:$1,0)+1,FALSE)</f>
        <v>ルピカ襲来！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【超絶級】ルピカ襲来</v>
      </c>
      <c r="G5" s="21">
        <v>2</v>
      </c>
      <c r="H5" s="15" t="str">
        <f t="shared" si="2"/>
        <v>40028_1-2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1106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ラファエロ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2.6</v>
      </c>
      <c r="T5" s="10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331843.20000000001</v>
      </c>
      <c r="U5" s="25">
        <v>1</v>
      </c>
      <c r="V5" s="10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11836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5" s="62">
        <v>40028010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1106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ラファエロ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40028_1-3/606&lt;lv80&gt;s1</v>
      </c>
      <c r="B6" s="132">
        <v>40028</v>
      </c>
      <c r="C6" s="133">
        <v>1</v>
      </c>
      <c r="D6" s="134" t="str">
        <f t="shared" si="1"/>
        <v>40028_1</v>
      </c>
      <c r="E6" s="135" t="str">
        <f ca="1">VLOOKUP($B6,OFFSET([2]quests!$A$1,0,0,COUNTA([2]quests!$A:$A),MATCH(E$1,[2]quests!$1:$1,0)-MATCH($B$1,[2]quests!$1:$1,0)+1),MATCH(E$1,[2]quests!$1:$1,0)-MATCH($B$1,[2]quests!$1:$1,0)+1,FALSE)</f>
        <v>ルピカ襲来！</v>
      </c>
      <c r="F6" s="135" t="str">
        <f ca="1">VLOOKUP($D6,OFFSET([2]stages!$A$1,0,0,COUNTA([2]stages!$A:$A),MATCH(F$1,[2]stages!$2:$2,0)-MATCH($D$1,[2]stages!$2:$2,0)+1),MATCH(F$1,[2]stages!$2:$2,0)-MATCH($D$1,[2]stages!$2:$2,0)+1,FALSE)</f>
        <v>【超絶級】ルピカ襲来</v>
      </c>
      <c r="G6" s="133">
        <v>3</v>
      </c>
      <c r="H6" s="134" t="str">
        <f t="shared" si="2"/>
        <v>40028_1-3</v>
      </c>
      <c r="I6" s="135">
        <f ca="1">VLOOKUP($H6,OFFSET(floors!$A$1,0,0,COUNTA(floors!$A:$A),MATCH(I$1,floors!$1:$1,0)-MATCH($H$1,floors!$1:$1,0)+1),MATCH(I$1,floors!$1:$1,0)-MATCH($H$1,floors!$1:$1,0)+1,FALSE)</f>
        <v>60</v>
      </c>
      <c r="J6" s="135">
        <f ca="1">VLOOKUP($H6,OFFSET(floors!$A$1,0,0,COUNTA(floors!$A:$A),MATCH(J$1,floors!$1:$1,0)-MATCH($H$1,floors!$1:$1,0)+1),MATCH(J$1,floors!$1:$1,0)-MATCH($H$1,floors!$1:$1,0)+1,FALSE)</f>
        <v>60</v>
      </c>
      <c r="K6" s="136" t="s">
        <v>53</v>
      </c>
      <c r="L6" s="137">
        <v>606</v>
      </c>
      <c r="M6" s="138" t="str">
        <f ca="1">VLOOKUP($L6,OFFSET([3]enemies!$A$1,0,0,COUNTA([3]enemies!$A:$A),MATCH(M$1,[3]enemies!$1:$1,0)-MATCH($L$1,[3]enemies!$1:$1,0)+1),MATCH(M$1,[3]enemies!$1:$1,0)-MATCH($L$1,[3]enemies!$1:$1,0)+1,FALSE)</f>
        <v>冀望の光芒 バルドル</v>
      </c>
      <c r="N6" s="138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38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38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38">
        <f ca="1">VLOOKUP($L6,OFFSET([3]enemies!$A$1,0,0,COUNTA([3]enemies!$A:$A),MATCH(Q$1,[3]enemies!$1:$1,0)-MATCH($L$1,[3]enemies!$1:$1,0)+1),MATCH(Q$1,[3]enemies!$1:$1,0)-MATCH($L$1,[3]enemies!$1:$1,0)+1,FALSE)</f>
        <v>60</v>
      </c>
      <c r="R6" s="139">
        <v>80</v>
      </c>
      <c r="S6" s="25">
        <v>3.7</v>
      </c>
      <c r="T6" s="14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385828.60000000003</v>
      </c>
      <c r="U6" s="140">
        <v>1</v>
      </c>
      <c r="V6" s="14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7151</v>
      </c>
      <c r="W6" s="139">
        <v>0</v>
      </c>
      <c r="X6" s="135" t="str">
        <f ca="1">VLOOKUP($Y6,OFFSET(enemy_skill_sets!$B$1,0,0,COUNTA(enemy_skill_sets!$B:$B),MATCH(M$1,enemy_skill_sets!$1:$1,0)-MATCH($Y$1,enemy_skill_sets!$1:$1,0)+2),MATCH(M$1,enemy_skill_sets!$1:$1,0)-MATCH($Y$1,enemy_skill_sets!$1:$1,0)+2,FALSE)</f>
        <v>黄パネルをプロテクト</v>
      </c>
      <c r="Y6" s="135">
        <v>40028006</v>
      </c>
      <c r="Z6" s="162">
        <v>1</v>
      </c>
      <c r="AA6" s="162">
        <v>100</v>
      </c>
      <c r="AB6" s="162">
        <v>1</v>
      </c>
      <c r="AC6" s="17">
        <v>1</v>
      </c>
      <c r="AD6" s="163">
        <f t="shared" si="3"/>
        <v>606</v>
      </c>
      <c r="AE6" s="135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冀望の光芒 バルドル</v>
      </c>
      <c r="AF6" s="135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35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164">
        <v>1</v>
      </c>
      <c r="AI6" s="163">
        <f t="shared" ca="1" si="4"/>
        <v>5</v>
      </c>
      <c r="AJ6" s="165">
        <v>0</v>
      </c>
      <c r="AK6" s="164">
        <v>0</v>
      </c>
      <c r="AL6" s="164">
        <v>0</v>
      </c>
      <c r="AM6" s="164">
        <v>0</v>
      </c>
      <c r="AN6" s="164">
        <v>0</v>
      </c>
      <c r="AO6" s="164">
        <v>1</v>
      </c>
      <c r="AP6" s="166">
        <v>1</v>
      </c>
    </row>
    <row r="7" spans="1:42" s="161" customFormat="1" ht="21" customHeight="1" thickBot="1" x14ac:dyDescent="0.2">
      <c r="A7" s="150" t="str">
        <f t="shared" si="0"/>
        <v>40028_1-4/1098&lt;lv80&gt;s2</v>
      </c>
      <c r="B7" s="151">
        <v>40028</v>
      </c>
      <c r="C7" s="152">
        <v>1</v>
      </c>
      <c r="D7" s="153" t="str">
        <f t="shared" si="1"/>
        <v>40028_1</v>
      </c>
      <c r="E7" s="154" t="str">
        <f ca="1">VLOOKUP($B7,OFFSET([2]quests!$A$1,0,0,COUNTA([2]quests!$A:$A),MATCH(E$1,[2]quests!$1:$1,0)-MATCH($B$1,[2]quests!$1:$1,0)+1),MATCH(E$1,[2]quests!$1:$1,0)-MATCH($B$1,[2]quests!$1:$1,0)+1,FALSE)</f>
        <v>ルピカ襲来！</v>
      </c>
      <c r="F7" s="154" t="str">
        <f ca="1">VLOOKUP($D7,OFFSET([2]stages!$A$1,0,0,COUNTA([2]stages!$A:$A),MATCH(F$1,[2]stages!$2:$2,0)-MATCH($D$1,[2]stages!$2:$2,0)+1),MATCH(F$1,[2]stages!$2:$2,0)-MATCH($D$1,[2]stages!$2:$2,0)+1,FALSE)</f>
        <v>【超絶級】ルピカ襲来</v>
      </c>
      <c r="G7" s="152">
        <v>4</v>
      </c>
      <c r="H7" s="153" t="str">
        <f t="shared" si="2"/>
        <v>40028_1-4</v>
      </c>
      <c r="I7" s="154">
        <f ca="1">VLOOKUP($H7,OFFSET(floors!$A$1,0,0,COUNTA(floors!$A:$A),MATCH(I$1,floors!$1:$1,0)-MATCH($H$1,floors!$1:$1,0)+1),MATCH(I$1,floors!$1:$1,0)-MATCH($H$1,floors!$1:$1,0)+1,FALSE)</f>
        <v>60</v>
      </c>
      <c r="J7" s="154">
        <f ca="1">VLOOKUP($H7,OFFSET(floors!$A$1,0,0,COUNTA(floors!$A:$A),MATCH(J$1,floors!$1:$1,0)-MATCH($H$1,floors!$1:$1,0)+1),MATCH(J$1,floors!$1:$1,0)-MATCH($H$1,floors!$1:$1,0)+1,FALSE)</f>
        <v>60</v>
      </c>
      <c r="K7" s="155">
        <v>2</v>
      </c>
      <c r="L7" s="156">
        <v>1098</v>
      </c>
      <c r="M7" s="157" t="str">
        <f ca="1">VLOOKUP($L7,OFFSET([3]enemies!$A$1,0,0,COUNTA([3]enemies!$A:$A),MATCH(M$1,[3]enemies!$1:$1,0)-MATCH($L$1,[3]enemies!$1:$1,0)+1),MATCH(M$1,[3]enemies!$1:$1,0)-MATCH($L$1,[3]enemies!$1:$1,0)+1,FALSE)</f>
        <v>ルピカ</v>
      </c>
      <c r="N7" s="15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5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5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57">
        <f ca="1">VLOOKUP($L7,OFFSET([3]enemies!$A$1,0,0,COUNTA([3]enemies!$A:$A),MATCH(Q$1,[3]enemies!$1:$1,0)-MATCH($L$1,[3]enemies!$1:$1,0)+1),MATCH(Q$1,[3]enemies!$1:$1,0)-MATCH($L$1,[3]enemies!$1:$1,0)+1,FALSE)</f>
        <v>60</v>
      </c>
      <c r="R7" s="158">
        <v>80</v>
      </c>
      <c r="S7" s="25">
        <v>3.1</v>
      </c>
      <c r="T7" s="16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356093.9</v>
      </c>
      <c r="U7" s="159">
        <v>1</v>
      </c>
      <c r="V7" s="16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8009</v>
      </c>
      <c r="W7" s="158">
        <v>0</v>
      </c>
      <c r="X7" s="154" t="str">
        <f ca="1">VLOOKUP($Y7,OFFSET(enemy_skill_sets!$B$1,0,0,COUNTA(enemy_skill_sets!$B:$B),MATCH(M$1,enemy_skill_sets!$1:$1,0)-MATCH($Y$1,enemy_skill_sets!$1:$1,0)+2),MATCH(M$1,enemy_skill_sets!$1:$1,0)-MATCH($Y$1,enemy_skill_sets!$1:$1,0)+2,FALSE)</f>
        <v>3ターンの間青属性に変化＋状態異常無効</v>
      </c>
      <c r="Y7" s="172">
        <v>40028012</v>
      </c>
      <c r="Z7" s="173">
        <v>1</v>
      </c>
      <c r="AA7" s="173">
        <v>100</v>
      </c>
      <c r="AB7" s="173">
        <v>1</v>
      </c>
      <c r="AC7" s="17">
        <v>2</v>
      </c>
      <c r="AD7" s="174">
        <f t="shared" si="3"/>
        <v>1098</v>
      </c>
      <c r="AE7" s="15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ルピカ</v>
      </c>
      <c r="AF7" s="15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5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75">
        <v>1</v>
      </c>
      <c r="AI7" s="174">
        <f t="shared" ca="1" si="4"/>
        <v>5</v>
      </c>
      <c r="AJ7" s="176">
        <v>15</v>
      </c>
      <c r="AK7" s="175">
        <v>0</v>
      </c>
      <c r="AL7" s="175">
        <v>0</v>
      </c>
      <c r="AM7" s="175">
        <v>0</v>
      </c>
      <c r="AN7" s="175">
        <v>0</v>
      </c>
      <c r="AO7" s="175">
        <v>1</v>
      </c>
      <c r="AP7" s="177">
        <v>1</v>
      </c>
    </row>
    <row r="8" spans="1:42" ht="21" customHeight="1" thickTop="1" x14ac:dyDescent="0.15">
      <c r="A8" s="16" t="str">
        <f>B8&amp;"_"&amp;C8&amp;"-"&amp;G8&amp;"/"&amp;L8&amp;"&lt;lv"&amp;R8&amp;"&gt;s"&amp;AC8</f>
        <v>40028_2-1/12&lt;lv99&gt;s1</v>
      </c>
      <c r="B8" s="22">
        <v>40028</v>
      </c>
      <c r="C8" s="142">
        <v>2</v>
      </c>
      <c r="D8" s="143" t="str">
        <f>B8&amp;"_"&amp;C8</f>
        <v>40028_2</v>
      </c>
      <c r="E8" s="4" t="str">
        <f ca="1">VLOOKUP($B8,OFFSET([2]quests!$A$1,0,0,COUNTA([2]quests!$A:$A),MATCH(E$1,[2]quests!$1:$1,0)-MATCH($B$1,[2]quests!$1:$1,0)+1),MATCH(E$1,[2]quests!$1:$1,0)-MATCH($B$1,[2]quests!$1:$1,0)+1,FALSE)</f>
        <v>ルピカ襲来！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【ウィザード級】ルピカ襲来</v>
      </c>
      <c r="G8" s="142">
        <v>1</v>
      </c>
      <c r="H8" s="143" t="str">
        <f>B8&amp;"_"&amp;C8&amp;"-"&amp;G8</f>
        <v>40028_2-1</v>
      </c>
      <c r="I8" s="4">
        <f ca="1">VLOOKUP($H8,OFFSET(floors!$A$1,0,0,COUNTA(floors!$A:$A),MATCH(I$1,floors!$1:$1,0)-MATCH($H$1,floors!$1:$1,0)+1),MATCH(I$1,floors!$1:$1,0)-MATCH($H$1,floors!$1:$1,0)+1,FALSE)</f>
        <v>55</v>
      </c>
      <c r="J8" s="4">
        <f ca="1">VLOOKUP($H8,OFFSET(floors!$A$1,0,0,COUNTA(floors!$A:$A),MATCH(J$1,floors!$1:$1,0)-MATCH($H$1,floors!$1:$1,0)+1),MATCH(J$1,floors!$1:$1,0)-MATCH($H$1,floors!$1:$1,0)+1,FALSE)</f>
        <v>55</v>
      </c>
      <c r="K8" s="144" t="s">
        <v>53</v>
      </c>
      <c r="L8" s="145">
        <v>12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癒しのグラフィティ マグリット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46">
        <v>99</v>
      </c>
      <c r="S8" s="147">
        <v>0.8</v>
      </c>
      <c r="T8" s="14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13121.6</v>
      </c>
      <c r="U8" s="147">
        <v>0.7</v>
      </c>
      <c r="V8" s="14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3549</v>
      </c>
      <c r="W8" s="146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赤パネルを黄パネルに変換(最大3個) _x000D_＋クリティカル！</v>
      </c>
      <c r="Y8" s="4">
        <v>40028001</v>
      </c>
      <c r="Z8" s="167">
        <v>1</v>
      </c>
      <c r="AA8" s="167">
        <v>100</v>
      </c>
      <c r="AB8" s="167">
        <v>2</v>
      </c>
      <c r="AC8" s="17">
        <v>1</v>
      </c>
      <c r="AD8" s="168">
        <f>L8</f>
        <v>12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癒しのグラフィティ マグリット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169">
        <v>1</v>
      </c>
      <c r="AI8" s="168">
        <f ca="1">AF8</f>
        <v>2</v>
      </c>
      <c r="AJ8" s="170">
        <v>15</v>
      </c>
      <c r="AK8" s="169">
        <v>0</v>
      </c>
      <c r="AL8" s="169">
        <v>0</v>
      </c>
      <c r="AM8" s="169">
        <v>0</v>
      </c>
      <c r="AN8" s="169">
        <v>0</v>
      </c>
      <c r="AO8" s="169">
        <v>1</v>
      </c>
      <c r="AP8" s="171">
        <v>1</v>
      </c>
    </row>
    <row r="9" spans="1:42" ht="21" customHeight="1" x14ac:dyDescent="0.15">
      <c r="A9" s="16" t="str">
        <f>B9&amp;"_"&amp;C9&amp;"-"&amp;G9&amp;"/"&amp;L9&amp;"&lt;lv"&amp;R9&amp;"&gt;s"&amp;AC9</f>
        <v>40028_2-1/373&lt;lv99&gt;s1</v>
      </c>
      <c r="B9" s="22">
        <v>40028</v>
      </c>
      <c r="C9" s="21">
        <v>2</v>
      </c>
      <c r="D9" s="2" t="str">
        <f>B9&amp;"_"&amp;C9</f>
        <v>40028_2</v>
      </c>
      <c r="E9" s="4" t="str">
        <f ca="1">VLOOKUP($B9,OFFSET([2]quests!$A$1,0,0,COUNTA([2]quests!$A:$A),MATCH(E$1,[2]quests!$1:$1,0)-MATCH($B$1,[2]quests!$1:$1,0)+1),MATCH(E$1,[2]quests!$1:$1,0)-MATCH($B$1,[2]quests!$1:$1,0)+1,FALSE)</f>
        <v>ルピカ襲来！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【ウィザード級】ルピカ襲来</v>
      </c>
      <c r="G9" s="21">
        <v>1</v>
      </c>
      <c r="H9" s="15" t="str">
        <f>B9&amp;"_"&amp;C9&amp;"-"&amp;G9</f>
        <v>40028_2-1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8" t="s">
        <v>53</v>
      </c>
      <c r="L9" s="20">
        <v>373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夢幻俳聖 バショー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99</v>
      </c>
      <c r="S9" s="25">
        <v>2</v>
      </c>
      <c r="T9" s="106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45104</v>
      </c>
      <c r="U9" s="25">
        <v>0.5</v>
      </c>
      <c r="V9" s="106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3545.5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パネルをランダムに5つプロテクト＋単体攻撃</v>
      </c>
      <c r="Y9" s="62">
        <v>40028002</v>
      </c>
      <c r="Z9" s="6">
        <v>1</v>
      </c>
      <c r="AA9" s="6">
        <v>100</v>
      </c>
      <c r="AB9" s="6">
        <v>1</v>
      </c>
      <c r="AC9" s="17">
        <v>1</v>
      </c>
      <c r="AD9" s="24">
        <f>L9</f>
        <v>373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夢幻俳聖 バショー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ca="1">AF9</f>
        <v>3</v>
      </c>
      <c r="AJ9" s="8">
        <v>15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ref="A10:A13" si="5">B10&amp;"_"&amp;C10&amp;"-"&amp;G10&amp;"/"&amp;L10&amp;"&lt;lv"&amp;R10&amp;"&gt;s"&amp;AC10</f>
        <v>40028_2-1/46&lt;lv99&gt;s1</v>
      </c>
      <c r="B10" s="22">
        <v>40028</v>
      </c>
      <c r="C10" s="21">
        <v>2</v>
      </c>
      <c r="D10" s="2" t="str">
        <f t="shared" ref="D10:D13" si="6">B10&amp;"_"&amp;C10</f>
        <v>40028_2</v>
      </c>
      <c r="E10" s="4" t="str">
        <f ca="1">VLOOKUP($B10,OFFSET([2]quests!$A$1,0,0,COUNTA([2]quests!$A:$A),MATCH(E$1,[2]quests!$1:$1,0)-MATCH($B$1,[2]quests!$1:$1,0)+1),MATCH(E$1,[2]quests!$1:$1,0)-MATCH($B$1,[2]quests!$1:$1,0)+1,FALSE)</f>
        <v>ルピカ襲来！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【ウィザード級】ルピカ襲来</v>
      </c>
      <c r="G10" s="21">
        <v>1</v>
      </c>
      <c r="H10" s="15" t="str">
        <f t="shared" ref="H10:H13" si="7">B10&amp;"_"&amp;C10&amp;"-"&amp;G10</f>
        <v>40028_2-1</v>
      </c>
      <c r="I10" s="4">
        <f ca="1">VLOOKUP($H10,OFFSET(floors!$A$1,0,0,COUNTA(floors!$A:$A),MATCH(I$1,floors!$1:$1,0)-MATCH($H$1,floors!$1:$1,0)+1),MATCH(I$1,floors!$1:$1,0)-MATCH($H$1,floors!$1:$1,0)+1,FALSE)</f>
        <v>55</v>
      </c>
      <c r="J10" s="4">
        <f ca="1">VLOOKUP($H10,OFFSET(floors!$A$1,0,0,COUNTA(floors!$A:$A),MATCH(J$1,floors!$1:$1,0)-MATCH($H$1,floors!$1:$1,0)+1),MATCH(J$1,floors!$1:$1,0)-MATCH($H$1,floors!$1:$1,0)+1,FALSE)</f>
        <v>55</v>
      </c>
      <c r="K10" s="38" t="s">
        <v>53</v>
      </c>
      <c r="L10" s="20">
        <v>46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微笑みの筆跡 ショウイン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99</v>
      </c>
      <c r="S10" s="25">
        <v>0.2</v>
      </c>
      <c r="T10" s="106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19235.8</v>
      </c>
      <c r="U10" s="25">
        <v>0.4</v>
      </c>
      <c r="V10" s="106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3712.8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赤パネルを黄パネルに変換(最大3個) _x000D_＋クリティカル！</v>
      </c>
      <c r="Y10" s="4">
        <v>40028003</v>
      </c>
      <c r="Z10" s="6">
        <v>1</v>
      </c>
      <c r="AA10" s="6">
        <v>100</v>
      </c>
      <c r="AB10" s="6">
        <v>2</v>
      </c>
      <c r="AC10" s="17">
        <v>1</v>
      </c>
      <c r="AD10" s="24">
        <f t="shared" ref="AD10:AD13" si="8">L10</f>
        <v>46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微笑みの筆跡 ショウイン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ref="AI10:AI13" ca="1" si="9">AF10</f>
        <v>3</v>
      </c>
      <c r="AJ10" s="8">
        <v>15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5"/>
        <v>40028_2-2/1106&lt;lv99&gt;s2</v>
      </c>
      <c r="B11" s="22">
        <v>40028</v>
      </c>
      <c r="C11" s="21">
        <v>2</v>
      </c>
      <c r="D11" s="2" t="str">
        <f t="shared" si="6"/>
        <v>40028_2</v>
      </c>
      <c r="E11" s="4" t="str">
        <f ca="1">VLOOKUP($B11,OFFSET([2]quests!$A$1,0,0,COUNTA([2]quests!$A:$A),MATCH(E$1,[2]quests!$1:$1,0)-MATCH($B$1,[2]quests!$1:$1,0)+1),MATCH(E$1,[2]quests!$1:$1,0)-MATCH($B$1,[2]quests!$1:$1,0)+1,FALSE)</f>
        <v>ルピカ襲来！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【ウィザード級】ルピカ襲来</v>
      </c>
      <c r="G11" s="21">
        <v>2</v>
      </c>
      <c r="H11" s="15" t="str">
        <f t="shared" si="7"/>
        <v>40028_2-2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3</v>
      </c>
      <c r="L11" s="20">
        <v>1106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ラファエロ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99</v>
      </c>
      <c r="S11" s="25">
        <v>3</v>
      </c>
      <c r="T11" s="106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472161</v>
      </c>
      <c r="U11" s="25">
        <v>1</v>
      </c>
      <c r="V11" s="106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14595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状態異常無効</v>
      </c>
      <c r="Y11" s="62">
        <v>40028004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8"/>
        <v>1106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ラファエロ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7">
        <v>1</v>
      </c>
      <c r="AI11" s="24">
        <f t="shared" ca="1" si="9"/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5"/>
        <v>40028_2-3/606&lt;lv99&gt;s1</v>
      </c>
      <c r="B12" s="22">
        <v>40028</v>
      </c>
      <c r="C12" s="21">
        <v>2</v>
      </c>
      <c r="D12" s="2" t="str">
        <f t="shared" si="6"/>
        <v>40028_2</v>
      </c>
      <c r="E12" s="4" t="str">
        <f ca="1">VLOOKUP($B12,OFFSET([2]quests!$A$1,0,0,COUNTA([2]quests!$A:$A),MATCH(E$1,[2]quests!$1:$1,0)-MATCH($B$1,[2]quests!$1:$1,0)+1),MATCH(E$1,[2]quests!$1:$1,0)-MATCH($B$1,[2]quests!$1:$1,0)+1,FALSE)</f>
        <v>ルピカ襲来！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【ウィザード級】ルピカ襲来</v>
      </c>
      <c r="G12" s="21">
        <v>3</v>
      </c>
      <c r="H12" s="15" t="str">
        <f t="shared" si="7"/>
        <v>40028_2-3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606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冀望の光芒 バルドル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99</v>
      </c>
      <c r="S12" s="25">
        <v>3.7</v>
      </c>
      <c r="T12" s="106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475779.30000000005</v>
      </c>
      <c r="U12" s="25">
        <v>1.1000000000000001</v>
      </c>
      <c r="V12" s="106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9700.9000000000015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黄パネルをプロテクト</v>
      </c>
      <c r="Y12" s="135">
        <v>40028006</v>
      </c>
      <c r="Z12" s="6">
        <v>1</v>
      </c>
      <c r="AA12" s="6">
        <v>100</v>
      </c>
      <c r="AB12" s="6">
        <v>1</v>
      </c>
      <c r="AC12" s="17">
        <v>1</v>
      </c>
      <c r="AD12" s="24">
        <f t="shared" si="8"/>
        <v>606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冀望の光芒 バルドル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4">
        <f t="shared" ca="1" si="9"/>
        <v>5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thickBot="1" x14ac:dyDescent="0.2">
      <c r="A13" s="16" t="str">
        <f t="shared" si="5"/>
        <v>40028_2-4/1098&lt;lv99&gt;s2</v>
      </c>
      <c r="B13" s="22">
        <v>40028</v>
      </c>
      <c r="C13" s="21">
        <v>2</v>
      </c>
      <c r="D13" s="2" t="str">
        <f t="shared" si="6"/>
        <v>40028_2</v>
      </c>
      <c r="E13" s="4" t="str">
        <f ca="1">VLOOKUP($B13,OFFSET([2]quests!$A$1,0,0,COUNTA([2]quests!$A:$A),MATCH(E$1,[2]quests!$1:$1,0)-MATCH($B$1,[2]quests!$1:$1,0)+1),MATCH(E$1,[2]quests!$1:$1,0)-MATCH($B$1,[2]quests!$1:$1,0)+1,FALSE)</f>
        <v>ルピカ襲来！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【ウィザード級】ルピカ襲来</v>
      </c>
      <c r="G13" s="21">
        <v>4</v>
      </c>
      <c r="H13" s="15" t="str">
        <f t="shared" si="7"/>
        <v>40028_2-4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4</v>
      </c>
      <c r="L13" s="20">
        <v>1098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ルピカ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99</v>
      </c>
      <c r="S13" s="25">
        <v>3.5</v>
      </c>
      <c r="T13" s="106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495768</v>
      </c>
      <c r="U13" s="25">
        <v>1.3</v>
      </c>
      <c r="V13" s="106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12838.800000000001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3ターンの間青属性に変化＋状態異常無効</v>
      </c>
      <c r="Y13" s="172">
        <v>40028007</v>
      </c>
      <c r="Z13" s="6">
        <v>1</v>
      </c>
      <c r="AA13" s="6">
        <v>100</v>
      </c>
      <c r="AB13" s="6">
        <v>1</v>
      </c>
      <c r="AC13" s="17">
        <v>2</v>
      </c>
      <c r="AD13" s="24">
        <f t="shared" si="8"/>
        <v>1098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ルピカ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thickTop="1" x14ac:dyDescent="0.15"/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87" zoomScaleNormal="87" zoomScalePageLayoutView="87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6" sqref="V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5" t="s">
        <v>249</v>
      </c>
      <c r="V1" s="26" t="s">
        <v>50</v>
      </c>
      <c r="W1" s="105" t="s">
        <v>250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40028_1-2/1107&lt;lv80&gt;sq1st2</v>
      </c>
      <c r="B2" s="22">
        <v>40028</v>
      </c>
      <c r="C2" s="21">
        <v>1</v>
      </c>
      <c r="D2" s="2" t="str">
        <f>B2&amp;"_"&amp;C2</f>
        <v>40028_1</v>
      </c>
      <c r="E2" s="4" t="str">
        <f ca="1">VLOOKUP($B2,OFFSET([2]quests!$A$1,0,0,COUNTA([2]quests!$A:$A),MATCH(E$1,[2]quests!$1:$1,0)-MATCH($B$1,[2]quests!$1:$1,0)+1),MATCH(E$1,[2]quests!$1:$1,0)-MATCH($B$1,[2]quests!$1:$1,0)+1,FALSE)</f>
        <v>ルピカ襲来！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【超絶級】ルピカ襲来</v>
      </c>
      <c r="G2" s="21">
        <v>2</v>
      </c>
      <c r="H2" s="15" t="str">
        <f>B2&amp;"_"&amp;C2&amp;"-"&amp;G2</f>
        <v>40028_1-2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1107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天浄の鮮風 ラファエロ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147">
        <v>2.4</v>
      </c>
      <c r="U2" s="10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306316.79999999999</v>
      </c>
      <c r="V2" s="147">
        <v>0.8</v>
      </c>
      <c r="W2" s="10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9468.8000000000011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40028011</v>
      </c>
      <c r="AA2" s="149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40028_1-4/1098&lt;lv80&gt;sq2st2</v>
      </c>
      <c r="B3" s="22">
        <v>40028</v>
      </c>
      <c r="C3" s="133">
        <v>1</v>
      </c>
      <c r="D3" s="134" t="str">
        <f t="shared" ref="D3:D4" si="1">B3&amp;"_"&amp;C3</f>
        <v>40028_1</v>
      </c>
      <c r="E3" s="135" t="str">
        <f ca="1">VLOOKUP($B3,OFFSET([2]quests!$A$1,0,0,COUNTA([2]quests!$A:$A),MATCH(E$1,[2]quests!$1:$1,0)-MATCH($B$1,[2]quests!$1:$1,0)+1),MATCH(E$1,[2]quests!$1:$1,0)-MATCH($B$1,[2]quests!$1:$1,0)+1,FALSE)</f>
        <v>ルピカ襲来！</v>
      </c>
      <c r="F3" s="135" t="str">
        <f ca="1">VLOOKUP($D3,OFFSET([2]stages!$A$1,0,0,COUNTA([2]stages!$A:$A),MATCH(F$1,[2]stages!$2:$2,0)-MATCH($D$1,[2]stages!$2:$2,0)+1),MATCH(F$1,[2]stages!$2:$2,0)-MATCH($D$1,[2]stages!$2:$2,0)+1,FALSE)</f>
        <v>【超絶級】ルピカ襲来</v>
      </c>
      <c r="G3" s="133">
        <v>4</v>
      </c>
      <c r="H3" s="134" t="str">
        <f t="shared" ref="H3:H4" si="2">B3&amp;"_"&amp;C3&amp;"-"&amp;G3</f>
        <v>40028_1-4</v>
      </c>
      <c r="I3" s="135">
        <f ca="1">VLOOKUP($H3,OFFSET(floors!$A$1,0,0,COUNTA(floors!$A:$A),MATCH(I$1,floors!$1:$1,0)-MATCH($H$1,floors!$1:$1,0)+1),MATCH(I$1,floors!$1:$1,0)-MATCH($H$1,floors!$1:$1,0)+1,FALSE)</f>
        <v>60</v>
      </c>
      <c r="J3" s="135">
        <f ca="1">VLOOKUP($H3,OFFSET(floors!$A$1,0,0,COUNTA(floors!$A:$A),MATCH(J$1,floors!$1:$1,0)-MATCH($H$1,floors!$1:$1,0)+1),MATCH(J$1,floors!$1:$1,0)-MATCH($H$1,floors!$1:$1,0)+1,FALSE)</f>
        <v>60</v>
      </c>
      <c r="K3" s="136">
        <v>2</v>
      </c>
      <c r="L3" s="136">
        <v>2</v>
      </c>
      <c r="M3" s="137">
        <v>1098</v>
      </c>
      <c r="N3" s="138" t="str">
        <f ca="1">VLOOKUP($M3,OFFSET([3]enemies!$A$1,0,0,COUNTA([3]enemies!$A:$A),MATCH(N$1,[3]enemies!$1:$1,0)-MATCH($M$1,[3]enemies!$1:$1,0)+1),MATCH(N$1,[3]enemies!$1:$1,0)-MATCH($M$1,[3]enemies!$1:$1,0)+1,FALSE)</f>
        <v>ルピカ</v>
      </c>
      <c r="O3" s="138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38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38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38">
        <f ca="1">VLOOKUP($M3,OFFSET([3]enemies!$A$1,0,0,COUNTA([3]enemies!$A:$A),MATCH(R$1,[3]enemies!$1:$1,0)-MATCH($M$1,[3]enemies!$1:$1,0)+1),MATCH(R$1,[3]enemies!$1:$1,0)-MATCH($M$1,[3]enemies!$1:$1,0)+1,FALSE)</f>
        <v>60</v>
      </c>
      <c r="S3" s="139">
        <v>80</v>
      </c>
      <c r="T3" s="25">
        <v>2.9</v>
      </c>
      <c r="U3" s="14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333120.09999999998</v>
      </c>
      <c r="V3" s="25">
        <v>1</v>
      </c>
      <c r="W3" s="14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8009</v>
      </c>
      <c r="X3" s="5">
        <v>0</v>
      </c>
      <c r="Y3" s="135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40028013</v>
      </c>
      <c r="AA3" s="71">
        <v>1</v>
      </c>
    </row>
    <row r="4" spans="1:27" s="161" customFormat="1" ht="21" customHeight="1" thickBot="1" x14ac:dyDescent="0.2">
      <c r="A4" s="150" t="str">
        <f t="shared" si="0"/>
        <v>40028_1-4/1098&lt;lv80&gt;sq2st3</v>
      </c>
      <c r="B4" s="22">
        <v>40028</v>
      </c>
      <c r="C4" s="152">
        <v>1</v>
      </c>
      <c r="D4" s="153" t="str">
        <f t="shared" si="1"/>
        <v>40028_1</v>
      </c>
      <c r="E4" s="154" t="str">
        <f ca="1">VLOOKUP($B4,OFFSET([2]quests!$A$1,0,0,COUNTA([2]quests!$A:$A),MATCH(E$1,[2]quests!$1:$1,0)-MATCH($B$1,[2]quests!$1:$1,0)+1),MATCH(E$1,[2]quests!$1:$1,0)-MATCH($B$1,[2]quests!$1:$1,0)+1,FALSE)</f>
        <v>ルピカ襲来！</v>
      </c>
      <c r="F4" s="154" t="str">
        <f ca="1">VLOOKUP($D4,OFFSET([2]stages!$A$1,0,0,COUNTA([2]stages!$A:$A),MATCH(F$1,[2]stages!$2:$2,0)-MATCH($D$1,[2]stages!$2:$2,0)+1),MATCH(F$1,[2]stages!$2:$2,0)-MATCH($D$1,[2]stages!$2:$2,0)+1,FALSE)</f>
        <v>【超絶級】ルピカ襲来</v>
      </c>
      <c r="G4" s="152">
        <v>4</v>
      </c>
      <c r="H4" s="153" t="str">
        <f t="shared" si="2"/>
        <v>40028_1-4</v>
      </c>
      <c r="I4" s="154">
        <f ca="1">VLOOKUP($H4,OFFSET(floors!$A$1,0,0,COUNTA(floors!$A:$A),MATCH(I$1,floors!$1:$1,0)-MATCH($H$1,floors!$1:$1,0)+1),MATCH(I$1,floors!$1:$1,0)-MATCH($H$1,floors!$1:$1,0)+1,FALSE)</f>
        <v>60</v>
      </c>
      <c r="J4" s="154">
        <f ca="1">VLOOKUP($H4,OFFSET(floors!$A$1,0,0,COUNTA(floors!$A:$A),MATCH(J$1,floors!$1:$1,0)-MATCH($H$1,floors!$1:$1,0)+1),MATCH(J$1,floors!$1:$1,0)-MATCH($H$1,floors!$1:$1,0)+1,FALSE)</f>
        <v>60</v>
      </c>
      <c r="K4" s="155">
        <v>2</v>
      </c>
      <c r="L4" s="155">
        <v>3</v>
      </c>
      <c r="M4" s="156">
        <v>1098</v>
      </c>
      <c r="N4" s="157" t="str">
        <f ca="1">VLOOKUP($M4,OFFSET([3]enemies!$A$1,0,0,COUNTA([3]enemies!$A:$A),MATCH(N$1,[3]enemies!$1:$1,0)-MATCH($M$1,[3]enemies!$1:$1,0)+1),MATCH(N$1,[3]enemies!$1:$1,0)-MATCH($M$1,[3]enemies!$1:$1,0)+1,FALSE)</f>
        <v>ルピカ</v>
      </c>
      <c r="O4" s="15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5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57">
        <f ca="1">VLOOKUP($M4,OFFSET([3]enemies!$A$1,0,0,COUNTA([3]enemies!$A:$A),MATCH(R$1,[3]enemies!$1:$1,0)-MATCH($M$1,[3]enemies!$1:$1,0)+1),MATCH(R$1,[3]enemies!$1:$1,0)-MATCH($M$1,[3]enemies!$1:$1,0)+1,FALSE)</f>
        <v>60</v>
      </c>
      <c r="S4" s="158">
        <v>80</v>
      </c>
      <c r="T4" s="25">
        <v>3.2</v>
      </c>
      <c r="U4" s="16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367580.80000000005</v>
      </c>
      <c r="V4" s="25">
        <v>1</v>
      </c>
      <c r="W4" s="16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8009</v>
      </c>
      <c r="X4" s="5">
        <v>0</v>
      </c>
      <c r="Y4" s="15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40028014</v>
      </c>
      <c r="AA4" s="71">
        <v>1</v>
      </c>
    </row>
    <row r="5" spans="1:27" ht="21" customHeight="1" thickTop="1" x14ac:dyDescent="0.15">
      <c r="A5" s="16" t="str">
        <f>B5&amp;"_"&amp;C5&amp;"-"&amp;G5&amp;"/"&amp;M5&amp;"&lt;lv"&amp;S5&amp;"&gt;sq"&amp;K5&amp;"st"&amp;L5</f>
        <v>40028_2-2/1107&lt;lv99&gt;sq3st2</v>
      </c>
      <c r="B5" s="22">
        <v>40028</v>
      </c>
      <c r="C5" s="142">
        <v>2</v>
      </c>
      <c r="D5" s="143" t="str">
        <f>B5&amp;"_"&amp;C5</f>
        <v>40028_2</v>
      </c>
      <c r="E5" s="4" t="str">
        <f ca="1">VLOOKUP($B5,OFFSET([2]quests!$A$1,0,0,COUNTA([2]quests!$A:$A),MATCH(E$1,[2]quests!$1:$1,0)-MATCH($B$1,[2]quests!$1:$1,0)+1),MATCH(E$1,[2]quests!$1:$1,0)-MATCH($B$1,[2]quests!$1:$1,0)+1,FALSE)</f>
        <v>ルピカ襲来！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【ウィザード級】ルピカ襲来</v>
      </c>
      <c r="G5" s="142">
        <v>2</v>
      </c>
      <c r="H5" s="143" t="str">
        <f>B5&amp;"_"&amp;C5&amp;"-"&amp;G5</f>
        <v>40028_2-2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44">
        <v>3</v>
      </c>
      <c r="L5" s="144">
        <v>2</v>
      </c>
      <c r="M5" s="145">
        <v>1107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天浄の鮮風 ラファエロ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46">
        <v>99</v>
      </c>
      <c r="T5" s="147">
        <v>2.8</v>
      </c>
      <c r="U5" s="148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440683.6</v>
      </c>
      <c r="V5" s="147">
        <v>1</v>
      </c>
      <c r="W5" s="148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14595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40028005</v>
      </c>
      <c r="AA5" s="149">
        <v>1</v>
      </c>
    </row>
    <row r="6" spans="1:27" ht="21" customHeight="1" x14ac:dyDescent="0.15">
      <c r="A6" s="16" t="str">
        <f t="shared" ref="A6:A7" si="3">B6&amp;"_"&amp;C6&amp;"-"&amp;G6&amp;"/"&amp;M6&amp;"&lt;lv"&amp;S6&amp;"&gt;sq"&amp;K6&amp;"st"&amp;L6</f>
        <v>40028_2-4/1098&lt;lv99&gt;sq4st2</v>
      </c>
      <c r="B6" s="22">
        <v>40028</v>
      </c>
      <c r="C6" s="21">
        <v>2</v>
      </c>
      <c r="D6" s="2" t="str">
        <f t="shared" ref="D6:D7" si="4">B6&amp;"_"&amp;C6</f>
        <v>40028_2</v>
      </c>
      <c r="E6" s="4" t="str">
        <f ca="1">VLOOKUP($B6,OFFSET([2]quests!$A$1,0,0,COUNTA([2]quests!$A:$A),MATCH(E$1,[2]quests!$1:$1,0)-MATCH($B$1,[2]quests!$1:$1,0)+1),MATCH(E$1,[2]quests!$1:$1,0)-MATCH($B$1,[2]quests!$1:$1,0)+1,FALSE)</f>
        <v>ルピカ襲来！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【ウィザード級】ルピカ襲来</v>
      </c>
      <c r="G6" s="21">
        <v>4</v>
      </c>
      <c r="H6" s="15" t="str">
        <f t="shared" ref="H6:H7" si="5">B6&amp;"_"&amp;C6&amp;"-"&amp;G6</f>
        <v>40028_2-4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1098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ルピカ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99</v>
      </c>
      <c r="T6" s="25">
        <v>3</v>
      </c>
      <c r="U6" s="106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424944</v>
      </c>
      <c r="V6" s="25">
        <v>1.3</v>
      </c>
      <c r="W6" s="106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12838.800000000001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40028008</v>
      </c>
      <c r="AA6" s="71">
        <v>1</v>
      </c>
    </row>
    <row r="7" spans="1:27" ht="21" customHeight="1" x14ac:dyDescent="0.15">
      <c r="A7" s="16" t="str">
        <f t="shared" si="3"/>
        <v>40028_2-4/1099&lt;lv99&gt;sq4st3</v>
      </c>
      <c r="B7" s="22">
        <v>40028</v>
      </c>
      <c r="C7" s="21">
        <v>2</v>
      </c>
      <c r="D7" s="2" t="str">
        <f t="shared" si="4"/>
        <v>40028_2</v>
      </c>
      <c r="E7" s="4" t="str">
        <f ca="1">VLOOKUP($B7,OFFSET([2]quests!$A$1,0,0,COUNTA([2]quests!$A:$A),MATCH(E$1,[2]quests!$1:$1,0)-MATCH($B$1,[2]quests!$1:$1,0)+1),MATCH(E$1,[2]quests!$1:$1,0)-MATCH($B$1,[2]quests!$1:$1,0)+1,FALSE)</f>
        <v>ルピカ襲来！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【ウィザード級】ルピカ襲来</v>
      </c>
      <c r="G7" s="21">
        <v>4</v>
      </c>
      <c r="H7" s="15" t="str">
        <f t="shared" si="5"/>
        <v>40028_2-4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1099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破築の連創 ルピカ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99</v>
      </c>
      <c r="T7" s="25">
        <v>3.5</v>
      </c>
      <c r="U7" s="106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495768</v>
      </c>
      <c r="V7" s="25">
        <v>1.2</v>
      </c>
      <c r="W7" s="106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11851.199999999999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40028009</v>
      </c>
      <c r="AA7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2"/>
  <sheetViews>
    <sheetView showGridLines="0" workbookViewId="0">
      <pane xSplit="5" ySplit="1" topLeftCell="F56" activePane="bottomRight" state="frozen"/>
      <selection pane="topRight"/>
      <selection pane="bottomLeft"/>
      <selection pane="bottomRight" activeCell="D46" sqref="D4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5.164062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40028001_40028001</v>
      </c>
      <c r="B2" s="47">
        <v>40028001</v>
      </c>
      <c r="C2" s="47">
        <v>40028001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塗りつぶしツール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赤パネルを黄パネルに変換(最大3個) _x000D_＋クリティカル！</v>
      </c>
      <c r="F2" s="47">
        <v>40028001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" s="47"/>
      <c r="Q2" s="47"/>
      <c r="R2" s="47"/>
    </row>
    <row r="3" spans="1:18" ht="21" customHeight="1" x14ac:dyDescent="0.15">
      <c r="A3" s="39" t="str">
        <f t="shared" ref="A3:A32" si="1">B3&amp;"_"&amp;C3</f>
        <v>40028002_40028002</v>
      </c>
      <c r="B3" s="109">
        <v>40028002</v>
      </c>
      <c r="C3" s="109">
        <v>40028002</v>
      </c>
      <c r="D3" s="110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上の句</v>
      </c>
      <c r="E3" s="110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パネルをランダムに5つプロテクト＋単体攻撃</v>
      </c>
      <c r="F3" s="109">
        <v>40028002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" s="109"/>
      <c r="Q3" s="109"/>
      <c r="R3" s="109"/>
    </row>
    <row r="4" spans="1:18" s="180" customFormat="1" ht="21" customHeight="1" thickBot="1" x14ac:dyDescent="0.2">
      <c r="A4" s="179" t="str">
        <f t="shared" si="1"/>
        <v>40028003_40028003</v>
      </c>
      <c r="B4" s="115">
        <v>40028003</v>
      </c>
      <c r="C4" s="115">
        <v>40028003</v>
      </c>
      <c r="D4" s="11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金箔ぺたぺた</v>
      </c>
      <c r="E4" s="11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赤パネルを黄パネルに変換(最大3個) _x000D_＋クリティカル！</v>
      </c>
      <c r="F4" s="115">
        <v>40028003</v>
      </c>
      <c r="G4" s="11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1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1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" s="11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1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1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1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1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1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" s="115"/>
      <c r="Q4" s="115"/>
      <c r="R4" s="115"/>
    </row>
    <row r="5" spans="1:18" ht="21" customHeight="1" thickTop="1" x14ac:dyDescent="0.15">
      <c r="A5" s="39" t="str">
        <f t="shared" si="1"/>
        <v>40028004_40028004</v>
      </c>
      <c r="B5" s="119">
        <v>40028004</v>
      </c>
      <c r="C5" s="111">
        <v>40028004</v>
      </c>
      <c r="D5" s="11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およよ、キミって新参？</v>
      </c>
      <c r="E5" s="112" t="str">
        <f ca="1">VLOOKUP($C5,OFFSET(enemy_skills!$A$1,0,0,COUNTA(enemy_skills!$A:$A),MATCH(E$1,enemy_skills!$1:$1,0)-MATCH("enemy_skill_id",enemy_skills!$1:$1,0)+1),MATCH(E$1,enemy_skills!$1:$1,0)-MATCH("enemy_skill_id",enemy_skills!$1:$1,0)+1,FALSE)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" s="111">
        <v>40028004</v>
      </c>
      <c r="G5" s="11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13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11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1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1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1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1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13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1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1"/>
      <c r="Q5" s="111"/>
      <c r="R5" s="111"/>
    </row>
    <row r="6" spans="1:18" ht="21" customHeight="1" x14ac:dyDescent="0.15">
      <c r="A6" s="39" t="str">
        <f t="shared" ref="A6" si="2">B6&amp;"_"&amp;C6</f>
        <v>40028004_40028005</v>
      </c>
      <c r="B6" s="120">
        <v>40028004</v>
      </c>
      <c r="C6" s="47">
        <v>40028005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最近ルピカ流行ってるよねー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6" s="47">
        <v>40028005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40028004_40028006</v>
      </c>
      <c r="B7" s="120">
        <v>40028004</v>
      </c>
      <c r="C7" s="47">
        <v>40028006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調和イズム・イエロー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7" s="47">
        <v>40028006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" s="47"/>
      <c r="Q7" s="47"/>
      <c r="R7" s="47"/>
    </row>
    <row r="8" spans="1:18" ht="21" customHeight="1" x14ac:dyDescent="0.15">
      <c r="A8" s="39" t="str">
        <f t="shared" si="1"/>
        <v>40028004_40028007</v>
      </c>
      <c r="B8" s="121">
        <v>40028004</v>
      </c>
      <c r="C8" s="47">
        <v>40028007</v>
      </c>
      <c r="D8" s="110" t="str">
        <f ca="1">VLOOKUP($C8,OFFSET(enemy_skills!$A$1,0,0,COUNTA(enemy_skills!$A:$A),MATCH(D$1,enemy_skills!$1:$1,0)-MATCH("enemy_skill_id",enemy_skills!$1:$1,0)+1),MATCH(D$1,enemy_skills!$1:$1,0)-MATCH("enemy_skill_id",enemy_skills!$1:$1,0)+1,FALSE)</f>
        <v>写実ティック・レッド</v>
      </c>
      <c r="E8" s="110" t="str">
        <f ca="1">VLOOKUP($C8,OFFSET(enemy_skills!$A$1,0,0,COUNTA(enemy_skills!$A:$A),MATCH(E$1,enemy_skills!$1:$1,0)-MATCH("enemy_skill_id",enemy_skills!$1:$1,0)+1),MATCH(E$1,enemy_skills!$1:$1,0)-MATCH("enemy_skill_id",enemy_skills!$1:$1,0)+1,FALSE)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8" s="47">
        <v>40028007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109"/>
      <c r="Q8" s="109"/>
      <c r="R8" s="109"/>
    </row>
    <row r="9" spans="1:18" s="118" customFormat="1" ht="21" customHeight="1" thickBot="1" x14ac:dyDescent="0.2">
      <c r="A9" s="114" t="str">
        <f t="shared" si="1"/>
        <v>40028004_40028008</v>
      </c>
      <c r="B9" s="122">
        <v>40028004</v>
      </c>
      <c r="C9" s="115">
        <v>40028008</v>
      </c>
      <c r="D9" s="11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はー、抽象画ってムズイ！</v>
      </c>
      <c r="E9" s="11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9" s="115">
        <v>40028008</v>
      </c>
      <c r="G9" s="11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1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11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1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1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1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11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1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1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15"/>
      <c r="Q9" s="115"/>
      <c r="R9" s="115"/>
    </row>
    <row r="10" spans="1:18" ht="21" customHeight="1" thickTop="1" x14ac:dyDescent="0.15">
      <c r="A10" s="39" t="str">
        <f t="shared" si="1"/>
        <v>40028005_40028009</v>
      </c>
      <c r="B10" s="111">
        <v>40028005</v>
      </c>
      <c r="C10" s="111">
        <v>40028009</v>
      </c>
      <c r="D10" s="11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新参ちゃん、深入りする気？</v>
      </c>
      <c r="E10" s="11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0" s="111">
        <v>40028009</v>
      </c>
      <c r="G10" s="11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11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11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1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1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1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1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1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1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11"/>
      <c r="Q10" s="111"/>
      <c r="R10" s="111"/>
    </row>
    <row r="11" spans="1:18" ht="21" customHeight="1" x14ac:dyDescent="0.15">
      <c r="A11" s="39" t="str">
        <f t="shared" si="1"/>
        <v>40028005_40028010</v>
      </c>
      <c r="B11" s="47">
        <v>40028005</v>
      </c>
      <c r="C11" s="47">
        <v>40028010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またルピカがランクイン…？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11" s="47">
        <v>40028010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" s="47"/>
      <c r="Q11" s="47"/>
      <c r="R11" s="47"/>
    </row>
    <row r="12" spans="1:18" ht="21" customHeight="1" x14ac:dyDescent="0.15">
      <c r="A12" s="39" t="str">
        <f t="shared" si="1"/>
        <v>40028005_40028011</v>
      </c>
      <c r="B12" s="47">
        <v>40028005</v>
      </c>
      <c r="C12" s="47">
        <v>40028011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うーん、やっぱ変よね…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12" s="47">
        <v>40028011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7"/>
      <c r="Q12" s="47"/>
      <c r="R12" s="47"/>
    </row>
    <row r="13" spans="1:18" ht="21" customHeight="1" x14ac:dyDescent="0.15">
      <c r="A13" s="39" t="str">
        <f t="shared" si="1"/>
        <v>40028005_40028012</v>
      </c>
      <c r="B13" s="109">
        <v>40028005</v>
      </c>
      <c r="C13" s="47">
        <v>40028012</v>
      </c>
      <c r="D13" s="110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てか、新作まだー？</v>
      </c>
      <c r="E13" s="110" t="str">
        <f ca="1">VLOOKUP($C13,OFFSET(enemy_skills!$A$1,0,0,COUNTA(enemy_skills!$A:$A),MATCH(E$1,enemy_skills!$1:$1,0)-MATCH("enemy_skill_id",enemy_skills!$1:$1,0)+1),MATCH(E$1,enemy_skills!$1:$1,0)-MATCH("enemy_skill_id",enemy_skills!$1:$1,0)+1,FALSE)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3" s="47">
        <v>40028012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09"/>
      <c r="Q13" s="109"/>
      <c r="R13" s="109"/>
    </row>
    <row r="14" spans="1:18" s="180" customFormat="1" ht="21" customHeight="1" thickBot="1" x14ac:dyDescent="0.2">
      <c r="A14" s="179" t="str">
        <f t="shared" si="1"/>
        <v>40028005_40028013</v>
      </c>
      <c r="B14" s="115">
        <v>40028005</v>
      </c>
      <c r="C14" s="115">
        <v>40028013</v>
      </c>
      <c r="D14" s="11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「お気に入りに登録」…っと！</v>
      </c>
      <c r="E14" s="11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5ターンの間ハートパネル無効</v>
      </c>
      <c r="F14" s="115">
        <v>40028013</v>
      </c>
      <c r="G14" s="11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1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11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1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11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1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1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11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1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5"/>
      <c r="Q14" s="115"/>
      <c r="R14" s="115"/>
    </row>
    <row r="15" spans="1:18" ht="21" customHeight="1" thickTop="1" x14ac:dyDescent="0.15">
      <c r="A15" s="39" t="str">
        <f t="shared" si="1"/>
        <v>40028006_40028014</v>
      </c>
      <c r="B15" s="111">
        <v>40028006</v>
      </c>
      <c r="C15" s="111">
        <v>40028014</v>
      </c>
      <c r="D15" s="11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きみは…？</v>
      </c>
      <c r="E15" s="11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黄パネルをプロテクト</v>
      </c>
      <c r="F15" s="111">
        <v>40028014</v>
      </c>
      <c r="G15" s="113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113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113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113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13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13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13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113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13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11"/>
      <c r="Q15" s="111"/>
      <c r="R15" s="111"/>
    </row>
    <row r="16" spans="1:18" ht="21" customHeight="1" x14ac:dyDescent="0.15">
      <c r="A16" s="39" t="str">
        <f t="shared" si="1"/>
        <v>40028006_40028015</v>
      </c>
      <c r="B16" s="47">
        <v>40028006</v>
      </c>
      <c r="C16" s="47">
        <v>40028015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ルピカに会いに…？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6" s="47">
        <v>40028015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40028006_40028016</v>
      </c>
      <c r="B17" s="47">
        <v>40028006</v>
      </c>
      <c r="C17" s="47">
        <v>40028016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やめたほうがいい…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3回連続攻撃＋黄パネルをプロテクト</v>
      </c>
      <c r="F17" s="47">
        <v>40028016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40028006_40028017</v>
      </c>
      <c r="B18" s="47">
        <v>40028006</v>
      </c>
      <c r="C18" s="47">
        <v>40028017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彼女は気難しい…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8" s="47">
        <v>40028017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40028006_40028018</v>
      </c>
      <c r="B19" s="47">
        <v>40028006</v>
      </c>
      <c r="C19" s="47">
        <v>40028018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この事件の…中心…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5回連続攻撃＋黄パネルをプロテクト</v>
      </c>
      <c r="F19" s="47">
        <v>40028018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40028006_40028019</v>
      </c>
      <c r="B20" s="47">
        <v>40028006</v>
      </c>
      <c r="C20" s="47">
        <v>40028019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一筋縄じゃ…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20" s="47">
        <v>40028019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40028006_40028020</v>
      </c>
      <c r="B21" s="109">
        <v>40028006</v>
      </c>
      <c r="C21" s="47">
        <v>40028020</v>
      </c>
      <c r="D21" s="110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……。</v>
      </c>
      <c r="E21" s="110" t="str">
        <f ca="1">VLOOKUP($C21,OFFSET(enemy_skills!$A$1,0,0,COUNTA(enemy_skills!$A:$A),MATCH(E$1,enemy_skills!$1:$1,0)-MATCH("enemy_skill_id",enemy_skills!$1:$1,0)+1),MATCH(E$1,enemy_skills!$1:$1,0)-MATCH("enemy_skill_id",enemy_skills!$1:$1,0)+1,FALSE)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21" s="47">
        <v>40028020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9"/>
      <c r="Q21" s="109"/>
      <c r="R21" s="109"/>
    </row>
    <row r="22" spans="1:18" s="180" customFormat="1" ht="21" customHeight="1" thickBot="1" x14ac:dyDescent="0.2">
      <c r="A22" s="179" t="str">
        <f t="shared" si="1"/>
        <v>40028006_40028021</v>
      </c>
      <c r="B22" s="115">
        <v>40028006</v>
      </c>
      <c r="C22" s="115">
        <v>40028021</v>
      </c>
      <c r="D22" s="11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そう…先に行くんだね…</v>
      </c>
      <c r="E22" s="11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…気をつけて。</v>
      </c>
      <c r="F22" s="115">
        <v>40028021</v>
      </c>
      <c r="G22" s="11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1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11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1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2" s="11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1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1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11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1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15"/>
      <c r="Q22" s="115"/>
      <c r="R22" s="115"/>
    </row>
    <row r="23" spans="1:18" ht="21" customHeight="1" thickTop="1" x14ac:dyDescent="0.15">
      <c r="A23" s="39" t="str">
        <f t="shared" si="1"/>
        <v>40028007_40028049</v>
      </c>
      <c r="B23" s="111">
        <v>40028007</v>
      </c>
      <c r="C23" s="111">
        <v>40028049</v>
      </c>
      <c r="D23" s="112" t="str">
        <f ca="1">VLOOKUP($C23,OFFSET(enemy_skills!$A$1,0,0,COUNTA(enemy_skills!$A:$A),MATCH(D$1,enemy_skills!$1:$1,0)-MATCH("enemy_skill_id",enemy_skills!$1:$1,0)+1),MATCH(D$1,enemy_skills!$1:$1,0)-MATCH("enemy_skill_id",enemy_skills!$1:$1,0)+1,FALSE)</f>
        <v xml:space="preserve">うぇえ！？おばけネズミ！？ </v>
      </c>
      <c r="E23" s="11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23" s="111">
        <v>40028049</v>
      </c>
      <c r="G23" s="113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13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3" s="113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13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13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13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13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13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1103</v>
      </c>
      <c r="O23" s="113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11"/>
      <c r="Q23" s="111"/>
      <c r="R23" s="111"/>
    </row>
    <row r="24" spans="1:18" ht="21" customHeight="1" x14ac:dyDescent="0.15">
      <c r="A24" s="39" t="str">
        <f t="shared" si="1"/>
        <v>40028007_40028049</v>
      </c>
      <c r="B24" s="47">
        <v>40028007</v>
      </c>
      <c r="C24" s="111">
        <v>40028049</v>
      </c>
      <c r="D24" s="112" t="str">
        <f ca="1">VLOOKUP($C24,OFFSET(enemy_skills!$A$1,0,0,COUNTA(enemy_skills!$A:$A),MATCH(D$1,enemy_skills!$1:$1,0)-MATCH("enemy_skill_id",enemy_skills!$1:$1,0)+1),MATCH(D$1,enemy_skills!$1:$1,0)-MATCH("enemy_skill_id",enemy_skills!$1:$1,0)+1,FALSE)</f>
        <v xml:space="preserve">うぇえ！？おばけネズミ！？ </v>
      </c>
      <c r="E24" s="11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24" s="111">
        <v>40028050</v>
      </c>
      <c r="G24" s="113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113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113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13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13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13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13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13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1102</v>
      </c>
      <c r="O24" s="113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11"/>
      <c r="Q24" s="111"/>
      <c r="R24" s="111"/>
    </row>
    <row r="25" spans="1:18" ht="21" customHeight="1" x14ac:dyDescent="0.15">
      <c r="A25" s="39" t="str">
        <f t="shared" si="1"/>
        <v>40028007_40028022</v>
      </c>
      <c r="B25" s="111">
        <v>40028007</v>
      </c>
      <c r="C25" s="111">
        <v>40028022</v>
      </c>
      <c r="D25" s="11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ちょっと！静かにしてくれる？</v>
      </c>
      <c r="E25" s="11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25" s="111">
        <v>40028022</v>
      </c>
      <c r="G25" s="113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113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113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13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13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13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113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13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13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11"/>
      <c r="Q25" s="111"/>
      <c r="R25" s="111"/>
    </row>
    <row r="26" spans="1:18" ht="21" customHeight="1" x14ac:dyDescent="0.15">
      <c r="A26" s="39" t="str">
        <f t="shared" si="1"/>
        <v>40028007_40028023</v>
      </c>
      <c r="B26" s="47">
        <v>40028007</v>
      </c>
      <c r="C26" s="47">
        <v>40028023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もう！集中したいのにー！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青パネルをプロテクト状態にしてドロップ _x000D_＋青パネルのドロップ率UP</v>
      </c>
      <c r="F26" s="47">
        <v>40028023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40028007_40028024</v>
      </c>
      <c r="B27" s="109">
        <v>40028007</v>
      </c>
      <c r="C27" s="47">
        <v>40028024</v>
      </c>
      <c r="D27" s="110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青…新作完成の予感！！</v>
      </c>
      <c r="E27" s="110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青パネルを吸収し、攻撃（最大15個）</v>
      </c>
      <c r="F27" s="47">
        <v>40028024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7" s="109"/>
      <c r="Q27" s="109"/>
      <c r="R27" s="109"/>
    </row>
    <row r="28" spans="1:18" s="180" customFormat="1" ht="21" customHeight="1" thickBot="1" x14ac:dyDescent="0.2">
      <c r="A28" s="179" t="str">
        <f t="shared" si="1"/>
        <v>40028007_40028025</v>
      </c>
      <c r="B28" s="115">
        <v>40028007</v>
      </c>
      <c r="C28" s="115">
        <v>40028025</v>
      </c>
      <c r="D28" s="11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邪魔しないでくれる！？</v>
      </c>
      <c r="E28" s="11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1ターン防御力UP _x000D_＋黄パネルを吸収し、攻撃 (最大10個)</v>
      </c>
      <c r="F28" s="115">
        <v>40028025</v>
      </c>
      <c r="G28" s="11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1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11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8" s="11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1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1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11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11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1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8" s="115"/>
      <c r="Q28" s="115"/>
      <c r="R28" s="115"/>
    </row>
    <row r="29" spans="1:18" ht="21" customHeight="1" thickTop="1" x14ac:dyDescent="0.15">
      <c r="A29" s="39" t="str">
        <f t="shared" si="1"/>
        <v>40028008_40028026</v>
      </c>
      <c r="B29" s="111">
        <v>40028008</v>
      </c>
      <c r="C29" s="111">
        <v>40028026</v>
      </c>
      <c r="D29" s="11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そうだ…愛と情熱を作品に！</v>
      </c>
      <c r="E29" s="11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3ターンの間赤属性に変化＋状態異常無効</v>
      </c>
      <c r="F29" s="111">
        <v>40028026</v>
      </c>
      <c r="G29" s="113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113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113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13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13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13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113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13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13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11"/>
      <c r="Q29" s="111"/>
      <c r="R29" s="111"/>
    </row>
    <row r="30" spans="1:18" ht="21" customHeight="1" x14ac:dyDescent="0.15">
      <c r="A30" s="39" t="str">
        <f t="shared" si="1"/>
        <v>40028008_40028027</v>
      </c>
      <c r="B30" s="47">
        <v>40028008</v>
      </c>
      <c r="C30" s="47">
        <v>40028027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ちょっと過激でもイイよね…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確率で赤時限式ダメージパネルをドロップ _x000D_＋赤パネルのドロップ率UP</v>
      </c>
      <c r="F30" s="47">
        <v>40028027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40028008_40028028</v>
      </c>
      <c r="B31" s="109">
        <v>40028008</v>
      </c>
      <c r="C31" s="47">
        <v>40028028</v>
      </c>
      <c r="D31" s="110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邪魔なものは、追放っ！</v>
      </c>
      <c r="E31" s="110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赤パネルとハートパネルを吸収し、攻撃</v>
      </c>
      <c r="F31" s="47">
        <v>40028028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1" s="109"/>
      <c r="Q31" s="109"/>
      <c r="R31" s="109"/>
    </row>
    <row r="32" spans="1:18" s="180" customFormat="1" ht="21" customHeight="1" thickBot="1" x14ac:dyDescent="0.2">
      <c r="A32" s="179" t="str">
        <f t="shared" si="1"/>
        <v>40028008_40028029</v>
      </c>
      <c r="B32" s="115">
        <v>40028008</v>
      </c>
      <c r="C32" s="115">
        <v>40028029</v>
      </c>
      <c r="D32" s="11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あーもう！気が散る！！</v>
      </c>
      <c r="E32" s="11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1ターン攻撃力UP _x000D_＋黄パネルを5個赤パネルに変換_x000D_＋6回連続攻撃</v>
      </c>
      <c r="F32" s="115">
        <v>40028029</v>
      </c>
      <c r="G32" s="11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11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11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2" s="11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1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1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11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11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1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2" s="115"/>
      <c r="Q32" s="115"/>
      <c r="R32" s="115"/>
    </row>
    <row r="33" spans="1:18" ht="21" customHeight="1" thickTop="1" x14ac:dyDescent="0.15">
      <c r="A33" s="39" t="str">
        <f t="shared" ref="A33:A37" si="3">B33&amp;"_"&amp;C33</f>
        <v>40028009_40028030</v>
      </c>
      <c r="B33" s="111">
        <v>40028009</v>
      </c>
      <c r="C33" s="111">
        <v>40028030</v>
      </c>
      <c r="D33" s="11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…できたわ！見せてあげる！</v>
      </c>
      <c r="E33" s="11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3" s="111">
        <v>40028030</v>
      </c>
      <c r="G33" s="113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113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3" s="113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113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113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113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113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113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113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11"/>
      <c r="Q33" s="111"/>
      <c r="R33" s="111"/>
    </row>
    <row r="34" spans="1:18" ht="21" customHeight="1" x14ac:dyDescent="0.15">
      <c r="A34" s="39" t="str">
        <f t="shared" si="3"/>
        <v>40028009_40028031</v>
      </c>
      <c r="B34" s="47">
        <v>40028009</v>
      </c>
      <c r="C34" s="47">
        <v>40028031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これがアタシの傑作！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全てのパネルをハートパネル以外に変換</v>
      </c>
      <c r="F34" s="47">
        <v>40028031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40028009_40028032</v>
      </c>
      <c r="B35" s="109">
        <v>40028009</v>
      </c>
      <c r="C35" s="109">
        <v>40028032</v>
      </c>
      <c r="D35" s="110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もっと見て、アタシの作品！</v>
      </c>
      <c r="E35" s="110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ランダムで時限式ダメージパネルに変換＋単体攻撃</v>
      </c>
      <c r="F35" s="109">
        <v>40028032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109"/>
      <c r="Q35" s="109"/>
      <c r="R35" s="109"/>
    </row>
    <row r="36" spans="1:18" s="182" customFormat="1" ht="21" customHeight="1" x14ac:dyDescent="0.15">
      <c r="A36" s="181" t="str">
        <f t="shared" si="3"/>
        <v>40028009_40028033</v>
      </c>
      <c r="B36" s="47">
        <v>40028009</v>
      </c>
      <c r="C36" s="47">
        <v>40028033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アタシの絵で埋め尽くすわ！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黄パネルを吸収し、攻撃（最大15個）</v>
      </c>
      <c r="F36" s="47">
        <v>40028033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36" s="47"/>
      <c r="Q36" s="47"/>
      <c r="R36" s="47"/>
    </row>
    <row r="37" spans="1:18" ht="21" customHeight="1" x14ac:dyDescent="0.15">
      <c r="A37" s="39" t="str">
        <f t="shared" si="3"/>
        <v>40028009_40028034</v>
      </c>
      <c r="B37" s="111">
        <v>40028009</v>
      </c>
      <c r="C37" s="111">
        <v>40028034</v>
      </c>
      <c r="D37" s="11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こんなこともできるわ！</v>
      </c>
      <c r="E37" s="11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全パネルをプロテクト</v>
      </c>
      <c r="F37" s="111">
        <v>40028034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v>75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11"/>
      <c r="Q37" s="111"/>
      <c r="R37" s="111"/>
    </row>
    <row r="38" spans="1:18" ht="21" customHeight="1" x14ac:dyDescent="0.15">
      <c r="A38" s="39" t="str">
        <f t="shared" ref="A38:A40" si="4">B38&amp;"_"&amp;C38</f>
        <v>40028009_40028035</v>
      </c>
      <c r="B38" s="47">
        <v>40028009</v>
      </c>
      <c r="C38" s="47">
        <v>40028035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伝わる？アタシのイメージ！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8" s="47">
        <v>40028035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v>75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4"/>
        <v>40028009_40028036</v>
      </c>
      <c r="B39" s="47">
        <v>40028009</v>
      </c>
      <c r="C39" s="47">
        <v>40028036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どう？この感じ！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全パネルをプロテクト</v>
      </c>
      <c r="F39" s="47">
        <v>40028036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v>50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4"/>
        <v>40028009_40028037</v>
      </c>
      <c r="B40" s="47">
        <v>40028009</v>
      </c>
      <c r="C40" s="47">
        <v>40028037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邪魔者は追放するわよ？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0" s="47">
        <v>40028037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2" si="5">B41&amp;"_"&amp;C41</f>
        <v>40028009_40028038</v>
      </c>
      <c r="B41" s="47">
        <v>40028009</v>
      </c>
      <c r="C41" s="47">
        <v>40028038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わかった…そこまで言うなら…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【！】次のターンに即死攻撃【！】</v>
      </c>
      <c r="F41" s="47">
        <v>40028038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v>25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s="200" customFormat="1" ht="21" customHeight="1" thickBot="1" x14ac:dyDescent="0.2">
      <c r="A42" s="199" t="str">
        <f t="shared" si="5"/>
        <v>40028009_40028039</v>
      </c>
      <c r="B42" s="115">
        <v>40028009</v>
      </c>
      <c r="C42" s="115">
        <v>40028039</v>
      </c>
      <c r="D42" s="11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超大作、見せてあげる！</v>
      </c>
      <c r="E42" s="116" t="str">
        <f ca="1">VLOOKUP($C42,OFFSET(enemy_skills!$A$1,0,0,COUNTA(enemy_skills!$A:$A),MATCH(E$1,enemy_skills!$1:$1,0)-MATCH("enemy_skill_id",enemy_skills!$1:$1,0)+1),MATCH(E$1,enemy_skills!$1:$1,0)-MATCH("enemy_skill_id",enemy_skills!$1:$1,0)+1,FALSE)</f>
        <v xml:space="preserve">どう！？アタシすごい！？ …褒めてくれる…？ </v>
      </c>
      <c r="F42" s="115">
        <v>40028039</v>
      </c>
      <c r="G42" s="11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1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2" s="11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17">
        <v>25</v>
      </c>
      <c r="K42" s="11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1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11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1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1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15"/>
      <c r="Q42" s="115"/>
      <c r="R42" s="115"/>
    </row>
    <row r="43" spans="1:18" ht="21" customHeight="1" thickTop="1" x14ac:dyDescent="0.15">
      <c r="A43" s="39" t="str">
        <f t="shared" ref="A43:A53" si="6">B43&amp;"_"&amp;C43</f>
        <v>40028010_40028004</v>
      </c>
      <c r="B43" s="119">
        <v>40028010</v>
      </c>
      <c r="C43" s="111">
        <v>40028004</v>
      </c>
      <c r="D43" s="11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およよ、キミって新参？</v>
      </c>
      <c r="E43" s="11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3" s="111">
        <v>40028004</v>
      </c>
      <c r="G43" s="113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13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113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13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13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13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13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13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13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11"/>
      <c r="Q43" s="111"/>
      <c r="R43" s="111"/>
    </row>
    <row r="44" spans="1:18" ht="21" customHeight="1" x14ac:dyDescent="0.15">
      <c r="A44" s="39" t="str">
        <f t="shared" si="6"/>
        <v>40028010_40028005</v>
      </c>
      <c r="B44" s="119">
        <v>40028010</v>
      </c>
      <c r="C44" s="47">
        <v>40028005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最近ルピカ流行ってるよねー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44" s="47">
        <v>40028005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6"/>
        <v>40028010_40028006</v>
      </c>
      <c r="B45" s="119">
        <v>40028010</v>
      </c>
      <c r="C45" s="47">
        <v>40028006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調和イズム・イエロー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45" s="47">
        <v>40028006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5" s="47"/>
      <c r="Q45" s="47"/>
      <c r="R45" s="47"/>
    </row>
    <row r="46" spans="1:18" ht="21" customHeight="1" x14ac:dyDescent="0.15">
      <c r="A46" s="39" t="str">
        <f t="shared" si="6"/>
        <v>40028010_40028040</v>
      </c>
      <c r="B46" s="119">
        <v>40028010</v>
      </c>
      <c r="C46" s="47">
        <v>40028040</v>
      </c>
      <c r="D46" s="110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写実ティック・レッド</v>
      </c>
      <c r="E46" s="110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46" s="47">
        <v>40028007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6" s="109"/>
      <c r="Q46" s="109"/>
      <c r="R46" s="109"/>
    </row>
    <row r="47" spans="1:18" s="118" customFormat="1" ht="21" customHeight="1" thickBot="1" x14ac:dyDescent="0.2">
      <c r="A47" s="114" t="str">
        <f t="shared" si="6"/>
        <v>40028010_40028008</v>
      </c>
      <c r="B47" s="119">
        <v>40028010</v>
      </c>
      <c r="C47" s="115">
        <v>40028008</v>
      </c>
      <c r="D47" s="11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はー、抽象画ってムズイ！</v>
      </c>
      <c r="E47" s="11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7" s="115">
        <v>40028008</v>
      </c>
      <c r="G47" s="11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11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7" s="11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1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1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1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11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1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11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15"/>
      <c r="Q47" s="115"/>
      <c r="R47" s="115"/>
    </row>
    <row r="48" spans="1:18" ht="21" customHeight="1" thickTop="1" x14ac:dyDescent="0.15">
      <c r="A48" s="39" t="str">
        <f t="shared" si="6"/>
        <v>40028011_40028009</v>
      </c>
      <c r="B48" s="111">
        <v>40028011</v>
      </c>
      <c r="C48" s="111">
        <v>40028009</v>
      </c>
      <c r="D48" s="11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新参ちゃん、深入りする気？</v>
      </c>
      <c r="E48" s="11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8" s="111">
        <v>40028009</v>
      </c>
      <c r="G48" s="113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13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113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13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13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13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13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13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113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11"/>
      <c r="Q48" s="111"/>
      <c r="R48" s="111"/>
    </row>
    <row r="49" spans="1:18" ht="21" customHeight="1" x14ac:dyDescent="0.15">
      <c r="A49" s="39" t="str">
        <f t="shared" si="6"/>
        <v>40028011_40028010</v>
      </c>
      <c r="B49" s="111">
        <v>40028011</v>
      </c>
      <c r="C49" s="47">
        <v>40028010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またルピカがランクイン…？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ハートパネルを黄パネルに変換(最大3個)_x000D_＋単体攻撃</v>
      </c>
      <c r="F49" s="47">
        <v>40028010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9" s="47"/>
      <c r="Q49" s="47"/>
      <c r="R49" s="47"/>
    </row>
    <row r="50" spans="1:18" ht="21" customHeight="1" x14ac:dyDescent="0.15">
      <c r="A50" s="39" t="str">
        <f t="shared" si="6"/>
        <v>40028011_40028041</v>
      </c>
      <c r="B50" s="111">
        <v>40028011</v>
      </c>
      <c r="C50" s="47">
        <v>40028041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うーん、やっぱ変よね…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赤パネルを吸収し、攻撃</v>
      </c>
      <c r="F50" s="47">
        <v>40028011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7"/>
      <c r="Q50" s="47"/>
      <c r="R50" s="47"/>
    </row>
    <row r="51" spans="1:18" ht="21" customHeight="1" x14ac:dyDescent="0.15">
      <c r="A51" s="39" t="str">
        <f t="shared" si="6"/>
        <v>40028011_40028012</v>
      </c>
      <c r="B51" s="111">
        <v>40028011</v>
      </c>
      <c r="C51" s="47">
        <v>40028012</v>
      </c>
      <c r="D51" s="110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てか、新作まだー？</v>
      </c>
      <c r="E51" s="110" t="str">
        <f ca="1">VLOOKUP($C51,OFFSET(enemy_skills!$A$1,0,0,COUNTA(enemy_skills!$A:$A),MATCH(E$1,enemy_skills!$1:$1,0)-MATCH("enemy_skill_id",enemy_skills!$1:$1,0)+1),MATCH(E$1,enemy_skills!$1:$1,0)-MATCH("enemy_skill_id",enemy_skills!$1:$1,0)+1,FALSE)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51" s="47">
        <v>40028012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09"/>
      <c r="Q51" s="109"/>
      <c r="R51" s="109"/>
    </row>
    <row r="52" spans="1:18" s="180" customFormat="1" ht="21" customHeight="1" thickBot="1" x14ac:dyDescent="0.2">
      <c r="A52" s="179" t="str">
        <f t="shared" si="6"/>
        <v>40028011_40028013</v>
      </c>
      <c r="B52" s="115">
        <v>40028011</v>
      </c>
      <c r="C52" s="115">
        <v>40028013</v>
      </c>
      <c r="D52" s="11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「お気に入りに登録」…っと！</v>
      </c>
      <c r="E52" s="11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5ターンの間ハートパネル無効</v>
      </c>
      <c r="F52" s="115">
        <v>40028013</v>
      </c>
      <c r="G52" s="11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1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11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1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11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1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1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1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1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15"/>
      <c r="Q52" s="115"/>
      <c r="R52" s="115"/>
    </row>
    <row r="53" spans="1:18" ht="21" customHeight="1" thickTop="1" x14ac:dyDescent="0.15">
      <c r="A53" s="39" t="str">
        <f t="shared" si="6"/>
        <v>40028012_40028049</v>
      </c>
      <c r="B53" s="111">
        <v>40028012</v>
      </c>
      <c r="C53" s="111">
        <v>40028049</v>
      </c>
      <c r="D53" s="112" t="str">
        <f ca="1">VLOOKUP($C53,OFFSET(enemy_skills!$A$1,0,0,COUNTA(enemy_skills!$A:$A),MATCH(D$1,enemy_skills!$1:$1,0)-MATCH("enemy_skill_id",enemy_skills!$1:$1,0)+1),MATCH(D$1,enemy_skills!$1:$1,0)-MATCH("enemy_skill_id",enemy_skills!$1:$1,0)+1,FALSE)</f>
        <v xml:space="preserve">うぇえ！？おばけネズミ！？ </v>
      </c>
      <c r="E53" s="11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53" s="111">
        <v>40028049</v>
      </c>
      <c r="G53" s="113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113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3" s="113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13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13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13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13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13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1103</v>
      </c>
      <c r="O53" s="113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11"/>
      <c r="Q53" s="111"/>
      <c r="R53" s="111"/>
    </row>
    <row r="54" spans="1:18" ht="21" customHeight="1" x14ac:dyDescent="0.15">
      <c r="A54" s="39" t="str">
        <f t="shared" ref="A54" si="7">B54&amp;"_"&amp;C54</f>
        <v>40028012_40028049</v>
      </c>
      <c r="B54" s="111">
        <v>40028012</v>
      </c>
      <c r="C54" s="111">
        <v>40028049</v>
      </c>
      <c r="D54" s="112" t="str">
        <f ca="1">VLOOKUP($C54,OFFSET(enemy_skills!$A$1,0,0,COUNTA(enemy_skills!$A:$A),MATCH(D$1,enemy_skills!$1:$1,0)-MATCH("enemy_skill_id",enemy_skills!$1:$1,0)+1),MATCH(D$1,enemy_skills!$1:$1,0)-MATCH("enemy_skill_id",enemy_skills!$1:$1,0)+1,FALSE)</f>
        <v xml:space="preserve">うぇえ！？おばけネズミ！？ </v>
      </c>
      <c r="E54" s="11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54" s="111">
        <v>40028050</v>
      </c>
      <c r="G54" s="113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113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4" s="113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13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13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13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13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13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1102</v>
      </c>
      <c r="O54" s="113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11"/>
      <c r="Q54" s="111"/>
      <c r="R54" s="111"/>
    </row>
    <row r="55" spans="1:18" ht="21" customHeight="1" x14ac:dyDescent="0.15">
      <c r="A55" s="39" t="str">
        <f t="shared" ref="A55:A72" si="8">B55&amp;"_"&amp;C55</f>
        <v>40028012_40028022</v>
      </c>
      <c r="B55" s="111">
        <v>40028012</v>
      </c>
      <c r="C55" s="111">
        <v>40028022</v>
      </c>
      <c r="D55" s="11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ちょっと！静かにしてくれる？</v>
      </c>
      <c r="E55" s="11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3ターンの間青属性に変化＋状態異常無効</v>
      </c>
      <c r="F55" s="111">
        <v>40028022</v>
      </c>
      <c r="G55" s="113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13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113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13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13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13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13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13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113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11"/>
      <c r="Q55" s="111"/>
      <c r="R55" s="111"/>
    </row>
    <row r="56" spans="1:18" ht="21" customHeight="1" x14ac:dyDescent="0.15">
      <c r="A56" s="39" t="str">
        <f t="shared" si="8"/>
        <v>40028012_40028042</v>
      </c>
      <c r="B56" s="111">
        <v>40028012</v>
      </c>
      <c r="C56" s="47">
        <v>40028042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もう！集中したいのにー！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確率で青パネルをプロテクト状態にしてドロップ _x000D_＋青パネルのドロップ率UP</v>
      </c>
      <c r="F56" s="47">
        <v>40028023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8"/>
        <v>40028012_40028043</v>
      </c>
      <c r="B57" s="111">
        <v>40028012</v>
      </c>
      <c r="C57" s="47">
        <v>40028043</v>
      </c>
      <c r="D57" s="110" t="str">
        <f ca="1">VLOOKUP($C57,OFFSET(enemy_skills!$A$1,0,0,COUNTA(enemy_skills!$A:$A),MATCH(D$1,enemy_skills!$1:$1,0)-MATCH("enemy_skill_id",enemy_skills!$1:$1,0)+1),MATCH(D$1,enemy_skills!$1:$1,0)-MATCH("enemy_skill_id",enemy_skills!$1:$1,0)+1,FALSE)</f>
        <v>青…新作完成の予感！！</v>
      </c>
      <c r="E57" s="110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青パネルを吸収し、攻撃（最大15個）</v>
      </c>
      <c r="F57" s="47">
        <v>40028024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7" s="109"/>
      <c r="Q57" s="109"/>
      <c r="R57" s="109"/>
    </row>
    <row r="58" spans="1:18" s="180" customFormat="1" ht="21" customHeight="1" thickBot="1" x14ac:dyDescent="0.2">
      <c r="A58" s="179" t="str">
        <f t="shared" si="8"/>
        <v>40028012_40028044</v>
      </c>
      <c r="B58" s="115">
        <v>40028012</v>
      </c>
      <c r="C58" s="115">
        <v>40028044</v>
      </c>
      <c r="D58" s="11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邪魔しないでくれる！？</v>
      </c>
      <c r="E58" s="11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1ターン防御力UP _x000D_＋黄パネルを吸収し、攻撃 (最大15個)</v>
      </c>
      <c r="F58" s="115">
        <v>40028025</v>
      </c>
      <c r="G58" s="11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11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8" s="11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8" s="11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11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11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11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11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11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8" s="115"/>
      <c r="Q58" s="115"/>
      <c r="R58" s="115"/>
    </row>
    <row r="59" spans="1:18" ht="21" customHeight="1" thickTop="1" x14ac:dyDescent="0.15">
      <c r="A59" s="39" t="str">
        <f t="shared" si="8"/>
        <v>40028013_40028026</v>
      </c>
      <c r="B59" s="111">
        <v>40028013</v>
      </c>
      <c r="C59" s="111">
        <v>40028026</v>
      </c>
      <c r="D59" s="11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そうだ…愛と情熱を作品に！</v>
      </c>
      <c r="E59" s="11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3ターンの間赤属性に変化＋状態異常無効</v>
      </c>
      <c r="F59" s="111">
        <v>40028026</v>
      </c>
      <c r="G59" s="113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113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113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113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113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113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113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113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113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111"/>
      <c r="Q59" s="111"/>
      <c r="R59" s="111"/>
    </row>
    <row r="60" spans="1:18" ht="21" customHeight="1" x14ac:dyDescent="0.15">
      <c r="A60" s="39" t="str">
        <f t="shared" si="8"/>
        <v>40028013_40028045</v>
      </c>
      <c r="B60" s="111">
        <v>40028013</v>
      </c>
      <c r="C60" s="47">
        <v>40028045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ちょっと過激でもイイよね…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確率で赤時限式ダメージパネルをドロップ _x000D_＋赤パネルのドロップ率UP</v>
      </c>
      <c r="F60" s="47">
        <v>40028027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8"/>
        <v>40028013_40028046</v>
      </c>
      <c r="B61" s="111">
        <v>40028013</v>
      </c>
      <c r="C61" s="47">
        <v>40028046</v>
      </c>
      <c r="D61" s="110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邪魔なものは、追放っ！</v>
      </c>
      <c r="E61" s="110" t="str">
        <f ca="1">VLOOKUP($C61,OFFSET(enemy_skills!$A$1,0,0,COUNTA(enemy_skills!$A:$A),MATCH(E$1,enemy_skills!$1:$1,0)-MATCH("enemy_skill_id",enemy_skills!$1:$1,0)+1),MATCH(E$1,enemy_skills!$1:$1,0)-MATCH("enemy_skill_id",enemy_skills!$1:$1,0)+1,FALSE)</f>
        <v>赤パネルとハートパネルを吸収し、攻撃</v>
      </c>
      <c r="F61" s="47">
        <v>40028028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1" s="109"/>
      <c r="Q61" s="109"/>
      <c r="R61" s="109"/>
    </row>
    <row r="62" spans="1:18" s="180" customFormat="1" ht="21" customHeight="1" thickBot="1" x14ac:dyDescent="0.2">
      <c r="A62" s="179" t="str">
        <f t="shared" si="8"/>
        <v>40028013_40028047</v>
      </c>
      <c r="B62" s="115">
        <v>40028013</v>
      </c>
      <c r="C62" s="115">
        <v>40028047</v>
      </c>
      <c r="D62" s="11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あーもう！気が散る！！</v>
      </c>
      <c r="E62" s="11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1ターン攻撃力UP _x000D_＋黄パネルを5個赤パネルに変換_x000D_＋6回連続攻撃</v>
      </c>
      <c r="F62" s="115">
        <v>40028029</v>
      </c>
      <c r="G62" s="11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1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2" s="11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2" s="11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1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17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117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11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11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2" s="115"/>
      <c r="Q62" s="115"/>
      <c r="R62" s="115"/>
    </row>
    <row r="63" spans="1:18" ht="21" customHeight="1" thickTop="1" x14ac:dyDescent="0.15">
      <c r="A63" s="39" t="str">
        <f t="shared" si="8"/>
        <v>40028014_40028030</v>
      </c>
      <c r="B63" s="111">
        <v>40028014</v>
      </c>
      <c r="C63" s="111">
        <v>40028030</v>
      </c>
      <c r="D63" s="11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…できたわ！見せてあげる！</v>
      </c>
      <c r="E63" s="11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3" s="111">
        <v>40028030</v>
      </c>
      <c r="G63" s="113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113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3" s="113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13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13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13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113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13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113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111"/>
      <c r="Q63" s="111"/>
      <c r="R63" s="111"/>
    </row>
    <row r="64" spans="1:18" ht="21" customHeight="1" x14ac:dyDescent="0.15">
      <c r="A64" s="39" t="str">
        <f t="shared" si="8"/>
        <v>40028014_40028031</v>
      </c>
      <c r="B64" s="111">
        <v>40028014</v>
      </c>
      <c r="C64" s="47">
        <v>40028031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これがアタシの傑作！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全てのパネルをハートパネル以外に変換</v>
      </c>
      <c r="F64" s="47">
        <v>40028031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8"/>
        <v>40028014_40028032</v>
      </c>
      <c r="B65" s="111">
        <v>40028014</v>
      </c>
      <c r="C65" s="109">
        <v>40028032</v>
      </c>
      <c r="D65" s="110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もっと見て、アタシの作品！</v>
      </c>
      <c r="E65" s="110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ランダムで時限式ダメージパネルに変換＋単体攻撃</v>
      </c>
      <c r="F65" s="109">
        <v>40028032</v>
      </c>
      <c r="G65" s="113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113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5" s="113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5" s="113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113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113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113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113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113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5" s="109"/>
      <c r="Q65" s="109"/>
      <c r="R65" s="109"/>
    </row>
    <row r="66" spans="1:18" s="182" customFormat="1" ht="21" customHeight="1" x14ac:dyDescent="0.15">
      <c r="A66" s="181" t="str">
        <f t="shared" si="8"/>
        <v>40028014_40028048</v>
      </c>
      <c r="B66" s="111">
        <v>40028014</v>
      </c>
      <c r="C66" s="47">
        <v>40028048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アタシの絵で埋め尽くすわ！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黄パネルを吸収し、攻撃（最大23個）</v>
      </c>
      <c r="F66" s="47">
        <v>40028033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6" s="47"/>
      <c r="Q66" s="47"/>
      <c r="R66" s="47"/>
    </row>
    <row r="67" spans="1:18" ht="21" customHeight="1" x14ac:dyDescent="0.15">
      <c r="A67" s="39" t="str">
        <f t="shared" si="8"/>
        <v>40028014_40028050</v>
      </c>
      <c r="B67" s="111">
        <v>40028014</v>
      </c>
      <c r="C67" s="111">
        <v>40028050</v>
      </c>
      <c r="D67" s="112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こんなこともできるわ！</v>
      </c>
      <c r="E67" s="112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青パネルをプロテクト</v>
      </c>
      <c r="F67" s="111">
        <v>40028034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v>75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11"/>
      <c r="Q67" s="111"/>
      <c r="R67" s="111"/>
    </row>
    <row r="68" spans="1:18" ht="21" customHeight="1" x14ac:dyDescent="0.15">
      <c r="A68" s="39" t="str">
        <f t="shared" si="8"/>
        <v>40028014_40028035</v>
      </c>
      <c r="B68" s="111">
        <v>40028014</v>
      </c>
      <c r="C68" s="47">
        <v>40028035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伝わる？アタシのイメージ！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8" s="47">
        <v>40028035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>
        <v>75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8"/>
        <v>40028014_40028051</v>
      </c>
      <c r="B69" s="111">
        <v>40028014</v>
      </c>
      <c r="C69" s="47">
        <v>40028051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どう？この感じ！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赤パネルをプロテクト</v>
      </c>
      <c r="F69" s="47">
        <v>40028036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>
        <v>50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8"/>
        <v>40028014_40028037</v>
      </c>
      <c r="B70" s="111">
        <v>40028014</v>
      </c>
      <c r="C70" s="47">
        <v>40028037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邪魔者は追放するわよ？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70" s="47">
        <v>40028037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>
        <v>50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8"/>
        <v>40028014_40028038</v>
      </c>
      <c r="B71" s="111">
        <v>40028014</v>
      </c>
      <c r="C71" s="47">
        <v>40028038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わかった…そこまで言うなら…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【！】次のターンに即死攻撃【！】</v>
      </c>
      <c r="F71" s="47">
        <v>40028038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>
        <v>25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8"/>
        <v>40028014_40028039</v>
      </c>
      <c r="B72" s="111">
        <v>40028014</v>
      </c>
      <c r="C72" s="47">
        <v>40028039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超大作、見せてあげる！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 xml:space="preserve">どう！？アタシすごい！？ …褒めてくれる…？ </v>
      </c>
      <c r="F72" s="47">
        <v>40028039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>
        <v>25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2"/>
  <sheetViews>
    <sheetView showGridLines="0" tabSelected="1" workbookViewId="0">
      <pane ySplit="1" topLeftCell="A6" activePane="bottomLeft" state="frozenSplit"/>
      <selection pane="bottomLeft" activeCell="B22" sqref="B2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5" style="49" customWidth="1"/>
    <col min="3" max="3" width="4.33203125" style="49" customWidth="1"/>
    <col min="4" max="4" width="5.1640625" style="49" customWidth="1"/>
    <col min="5" max="5" width="24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40028001</v>
      </c>
      <c r="B2" s="47" t="s">
        <v>343</v>
      </c>
      <c r="C2" s="50">
        <v>3</v>
      </c>
      <c r="D2" s="50" t="s">
        <v>126</v>
      </c>
      <c r="E2" s="108" t="s">
        <v>278</v>
      </c>
      <c r="F2" s="51" t="s">
        <v>344</v>
      </c>
      <c r="G2" s="64" t="str">
        <f>IFERROR(LEFT(B2,FIND("],",B2)),B2)</f>
        <v>[effect:force_change_block, new_block:block_yellow, target:block_red, count:3, val:0, animation:change_block]</v>
      </c>
      <c r="H2" s="64">
        <f>FIND("effect:",G2)+7</f>
        <v>9</v>
      </c>
      <c r="I2" s="64">
        <f>IFERROR(FIND(",",G2),LEN(G2))</f>
        <v>27</v>
      </c>
      <c r="J2" s="64">
        <f>FIND("target:",G2)+7</f>
        <v>60</v>
      </c>
      <c r="K2" s="64">
        <f>FIND(",",G2,I2+1)</f>
        <v>51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IFERROR(RIGHT(B2,LEN(B2)-FIND("],",B2)-1),"none")</f>
        <v>[effect:critical, val:1.3]</v>
      </c>
      <c r="N2" s="48" t="str">
        <f>IFERROR(LEFT(M2,FIND("],",M2)+S13),M2)</f>
        <v>[effect:critical, val:1.3]</v>
      </c>
      <c r="O2" s="64">
        <f>FIND("effect:",N2)+7</f>
        <v>9</v>
      </c>
      <c r="P2" s="64">
        <f>IFERROR(FIND(",",N2),LEN(N2))</f>
        <v>17</v>
      </c>
      <c r="Q2" s="64" t="e">
        <f>FIND("target:",N2)+7</f>
        <v>#VALUE!</v>
      </c>
      <c r="R2" s="64" t="e">
        <f>FIND(",",N2,P2+1)</f>
        <v>#VALUE!</v>
      </c>
      <c r="S2" s="64" t="str">
        <f>IFERROR(VLOOKUP(MID(N2,Q2,R2-Q2),[6]skilldef!$C:$D,2,FALSE),"-") &amp; " / " &amp; IFERROR(VLOOKUP(MID(N2,O2,P2-O2),[6]skilldef!$A:$B,2,FALSE),"-")</f>
        <v>- / 大攻撃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40028002</v>
      </c>
      <c r="B3" s="109" t="s">
        <v>265</v>
      </c>
      <c r="C3" s="50">
        <v>3</v>
      </c>
      <c r="D3" s="50" t="s">
        <v>126</v>
      </c>
      <c r="E3" s="108" t="s">
        <v>280</v>
      </c>
      <c r="F3" s="51" t="s">
        <v>395</v>
      </c>
      <c r="G3" s="64" t="str">
        <f t="shared" ref="G3:G35" si="0">IFERROR(LEFT(B3,FIND("],",B3)),B3)</f>
        <v>[effect:panel_freeze, target:normal, count:5, break_count:1]</v>
      </c>
      <c r="H3" s="64">
        <f t="shared" ref="H3:H40" si="1">FIND("effect:",G3)+7</f>
        <v>9</v>
      </c>
      <c r="I3" s="64">
        <f t="shared" ref="I3:I35" si="2">IFERROR(FIND(",",G3),LEN(G3))</f>
        <v>21</v>
      </c>
      <c r="J3" s="64">
        <f t="shared" ref="J3:J35" si="3">FIND("target:",G3)+7</f>
        <v>30</v>
      </c>
      <c r="K3" s="64">
        <f t="shared" ref="K3:K35" si="4">FIND(",",G3,I3+1)</f>
        <v>36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ref="M3:M35" si="5">IFERROR(RIGHT(B3,LEN(B3)-FIND("],",B3)-1),"none")</f>
        <v>[effect:rush, count:1, val:1]</v>
      </c>
      <c r="N3" s="48" t="str">
        <f>IFERROR(LEFT(M3,FIND("],",M3)+S14),M3)</f>
        <v>[effect:rush, count:1, val:1]</v>
      </c>
      <c r="O3" s="64">
        <f t="shared" ref="O3:O40" si="6">FIND("effect:",N3)+7</f>
        <v>9</v>
      </c>
      <c r="P3" s="64">
        <f t="shared" ref="P3:P35" si="7">IFERROR(FIND(",",N3),LEN(N3))</f>
        <v>13</v>
      </c>
      <c r="Q3" s="64" t="e">
        <f t="shared" ref="Q3:Q35" si="8">FIND("target:",N3)+7</f>
        <v>#VALUE!</v>
      </c>
      <c r="R3" s="64">
        <f t="shared" ref="R3:R35" si="9">FIND(",",N3,P3+1)</f>
        <v>22</v>
      </c>
      <c r="S3" s="64" t="str">
        <f>IFERROR(VLOOKUP(MID(N3,Q3,R3-Q3),[6]skilldef!$C:$D,2,FALSE),"-") &amp; " / " &amp; IFERROR(VLOOKUP(MID(N3,O3,P3-O3),[6]skilldef!$A:$B,2,FALSE),"-")</f>
        <v>- / 連続攻撃</v>
      </c>
      <c r="T3" s="48" t="str">
        <f t="shared" ref="T3:T35" si="10">IFERROR(RIGHT(M3,LEN(M3)-FIND("],",M3)-1),"none")</f>
        <v>none</v>
      </c>
      <c r="U3" s="64" t="e">
        <f t="shared" ref="U3:U40" si="11">FIND("effect:",T3)+7</f>
        <v>#VALUE!</v>
      </c>
      <c r="V3" s="64">
        <f t="shared" ref="V3:V35" si="12">IFERROR(FIND(",",T3),LEN(T3))</f>
        <v>4</v>
      </c>
      <c r="W3" s="64" t="e">
        <f t="shared" ref="W3:W35" si="13">FIND("target:",T3)+7</f>
        <v>#VALUE!</v>
      </c>
      <c r="X3" s="64" t="e">
        <f t="shared" ref="X3:X35" si="14">FIND(",",T3,V3+1)</f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40028003</v>
      </c>
      <c r="B4" s="47" t="s">
        <v>264</v>
      </c>
      <c r="C4" s="50">
        <v>3</v>
      </c>
      <c r="D4" s="50" t="s">
        <v>126</v>
      </c>
      <c r="E4" s="108" t="s">
        <v>281</v>
      </c>
      <c r="F4" s="51" t="s">
        <v>345</v>
      </c>
      <c r="G4" s="64" t="str">
        <f t="shared" si="0"/>
        <v>[effect:force_change_block, new_block:block_yellow, target:block_red, count:3, val:0, animation:change_block]</v>
      </c>
      <c r="H4" s="64">
        <f t="shared" si="1"/>
        <v>9</v>
      </c>
      <c r="I4" s="64">
        <f t="shared" si="2"/>
        <v>27</v>
      </c>
      <c r="J4" s="64">
        <f t="shared" si="3"/>
        <v>60</v>
      </c>
      <c r="K4" s="64">
        <f t="shared" si="4"/>
        <v>51</v>
      </c>
      <c r="L4" s="64" t="str">
        <f>IFERROR(VLOOKUP(MID(G4,J4,K4-J4),[6]skilldef!$C:$D,2,FALSE),"-") &amp; " / " &amp; IFERROR(VLOOKUP(MID(G4,H4,I4-H4),[6]skilldef!$A:$B,2,FALSE),"-")</f>
        <v>- / -</v>
      </c>
      <c r="M4" s="64" t="str">
        <f t="shared" si="5"/>
        <v>[effect:critical, val:1.3]</v>
      </c>
      <c r="N4" s="48" t="str">
        <f>IFERROR(LEFT(M4,FIND("],",M4)+S15),M4)</f>
        <v>[effect:critical, val:1.3]</v>
      </c>
      <c r="O4" s="64">
        <f t="shared" si="6"/>
        <v>9</v>
      </c>
      <c r="P4" s="64">
        <f t="shared" si="7"/>
        <v>17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大攻撃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40028004</v>
      </c>
      <c r="B5" s="47" t="s">
        <v>258</v>
      </c>
      <c r="C5" s="50">
        <v>3</v>
      </c>
      <c r="D5" s="50" t="s">
        <v>126</v>
      </c>
      <c r="E5" s="108" t="s">
        <v>282</v>
      </c>
      <c r="F5" s="51" t="s">
        <v>331</v>
      </c>
      <c r="G5" s="64" t="str">
        <f t="shared" si="0"/>
        <v>[effect:tolerance, target:myself, turn:-1, tolerance_effect:all, count:-1, animation:enemy_tolerance]</v>
      </c>
      <c r="H5" s="64">
        <f t="shared" si="1"/>
        <v>9</v>
      </c>
      <c r="I5" s="64">
        <f t="shared" si="2"/>
        <v>18</v>
      </c>
      <c r="J5" s="64">
        <f t="shared" si="3"/>
        <v>27</v>
      </c>
      <c r="K5" s="64">
        <f t="shared" si="4"/>
        <v>33</v>
      </c>
      <c r="L5" s="64" t="str">
        <f>IFERROR(VLOOKUP(MID(G5,J5,K5-J5),[6]skilldef!$C:$D,2,FALSE),"-") &amp; " / " &amp; IFERROR(VLOOKUP(MID(G5,H5,I5-H5),[6]skilldef!$A:$B,2,FALSE),"-")</f>
        <v>自分自身に / 状態異常耐性</v>
      </c>
      <c r="M5" s="64" t="str">
        <f t="shared" si="5"/>
        <v>[effect:fix_speed, target:myself, turn:2]</v>
      </c>
      <c r="N5" s="48" t="str">
        <f>IFERROR(LEFT(M5,FIND("],",M5)+S16),M5)</f>
        <v>[effect:fix_speed, target:myself, turn:2]</v>
      </c>
      <c r="O5" s="64">
        <f t="shared" si="6"/>
        <v>9</v>
      </c>
      <c r="P5" s="64">
        <f t="shared" si="7"/>
        <v>18</v>
      </c>
      <c r="Q5" s="64">
        <f t="shared" si="8"/>
        <v>27</v>
      </c>
      <c r="R5" s="64">
        <f t="shared" si="9"/>
        <v>33</v>
      </c>
      <c r="S5" s="64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40028005</v>
      </c>
      <c r="B6" s="47" t="s">
        <v>273</v>
      </c>
      <c r="C6" s="50">
        <v>3</v>
      </c>
      <c r="D6" s="50" t="s">
        <v>126</v>
      </c>
      <c r="E6" s="108" t="s">
        <v>296</v>
      </c>
      <c r="F6" s="51" t="s">
        <v>396</v>
      </c>
      <c r="G6" s="64" t="str">
        <f t="shared" ref="G6" si="15">IFERROR(LEFT(B6,FIND("],",B6)),B6)</f>
        <v>[effect:force_change_block, new_block:block_yellow, target:block_heart, count:3, val:0, animation:change_block]</v>
      </c>
      <c r="H6" s="64">
        <f t="shared" ref="H6" si="16">FIND("effect:",G6)+7</f>
        <v>9</v>
      </c>
      <c r="I6" s="64">
        <f t="shared" ref="I6" si="17">IFERROR(FIND(",",G6),LEN(G6))</f>
        <v>27</v>
      </c>
      <c r="J6" s="64">
        <f t="shared" ref="J6" si="18">FIND("target:",G6)+7</f>
        <v>60</v>
      </c>
      <c r="K6" s="64">
        <f t="shared" ref="K6" si="19">FIND(",",G6,I6+1)</f>
        <v>51</v>
      </c>
      <c r="L6" s="64" t="str">
        <f>IFERROR(VLOOKUP(MID(G6,J6,K6-J6),[6]skilldef!$C:$D,2,FALSE),"-") &amp; " / " &amp; IFERROR(VLOOKUP(MID(G6,H6,I6-H6),[6]skilldef!$A:$B,2,FALSE),"-")</f>
        <v>- / -</v>
      </c>
      <c r="M6" s="64" t="str">
        <f t="shared" ref="M6" si="20">IFERROR(RIGHT(B6,LEN(B6)-FIND("],",B6)-1),"none")</f>
        <v>[effect:rush, count:1, val:1]</v>
      </c>
      <c r="N6" s="48" t="str">
        <f t="shared" ref="N6" si="21">IFERROR(LEFT(M6,FIND("],",M6)+S16),M6)</f>
        <v>[effect:rush, count:1, val:1]</v>
      </c>
      <c r="O6" s="64">
        <f t="shared" ref="O6" si="22">FIND("effect:",N6)+7</f>
        <v>9</v>
      </c>
      <c r="P6" s="64">
        <f t="shared" ref="P6" si="23">IFERROR(FIND(",",N6),LEN(N6))</f>
        <v>13</v>
      </c>
      <c r="Q6" s="64" t="e">
        <f t="shared" ref="Q6" si="24">FIND("target:",N6)+7</f>
        <v>#VALUE!</v>
      </c>
      <c r="R6" s="64">
        <f t="shared" ref="R6" si="25">FIND(",",N6,P6+1)</f>
        <v>22</v>
      </c>
      <c r="S6" s="64" t="str">
        <f>IFERROR(VLOOKUP(MID(N6,Q6,R6-Q6),[6]skilldef!$C:$D,2,FALSE),"-") &amp; " / " &amp; IFERROR(VLOOKUP(MID(N6,O6,P6-O6),[6]skilldef!$A:$B,2,FALSE),"-")</f>
        <v>- / 連続攻撃</v>
      </c>
      <c r="T6" s="48" t="str">
        <f t="shared" ref="T6" si="26">IFERROR(RIGHT(M6,LEN(M6)-FIND("],",M6)-1),"none")</f>
        <v>none</v>
      </c>
      <c r="U6" s="64" t="e">
        <f t="shared" ref="U6" si="27">FIND("effect:",T6)+7</f>
        <v>#VALUE!</v>
      </c>
      <c r="V6" s="64">
        <f t="shared" ref="V6" si="28">IFERROR(FIND(",",T6),LEN(T6))</f>
        <v>4</v>
      </c>
      <c r="W6" s="64" t="e">
        <f t="shared" ref="W6" si="29">FIND("target:",T6)+7</f>
        <v>#VALUE!</v>
      </c>
      <c r="X6" s="64" t="e">
        <f t="shared" ref="X6" si="30">FIND(",",T6,V6+1)</f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40028006</v>
      </c>
      <c r="B7" s="47" t="s">
        <v>273</v>
      </c>
      <c r="C7" s="50">
        <v>3</v>
      </c>
      <c r="D7" s="50" t="s">
        <v>126</v>
      </c>
      <c r="E7" s="108" t="s">
        <v>283</v>
      </c>
      <c r="F7" s="51" t="s">
        <v>396</v>
      </c>
      <c r="G7" s="64" t="str">
        <f t="shared" si="0"/>
        <v>[effect:force_change_block, new_block:block_yellow, target:block_heart, count:3, val:0, animation:change_block]</v>
      </c>
      <c r="H7" s="64">
        <f t="shared" si="1"/>
        <v>9</v>
      </c>
      <c r="I7" s="64">
        <f t="shared" si="2"/>
        <v>27</v>
      </c>
      <c r="J7" s="64">
        <f t="shared" si="3"/>
        <v>60</v>
      </c>
      <c r="K7" s="64">
        <f t="shared" si="4"/>
        <v>51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[effect:rush, count:1, val:1]</v>
      </c>
      <c r="N7" s="48" t="str">
        <f t="shared" ref="N7:N30" si="31">IFERROR(LEFT(M7,FIND("],",M7)+S17),M7)</f>
        <v>[effect:rush, count:1, val:1]</v>
      </c>
      <c r="O7" s="64">
        <f t="shared" si="6"/>
        <v>9</v>
      </c>
      <c r="P7" s="64">
        <f t="shared" si="7"/>
        <v>13</v>
      </c>
      <c r="Q7" s="64" t="e">
        <f t="shared" si="8"/>
        <v>#VALUE!</v>
      </c>
      <c r="R7" s="64">
        <f t="shared" si="9"/>
        <v>22</v>
      </c>
      <c r="S7" s="64" t="str">
        <f>IFERROR(VLOOKUP(MID(N7,Q7,R7-Q7),[6]skilldef!$C:$D,2,FALSE),"-") &amp; " / " &amp; IFERROR(VLOOKUP(MID(N7,O7,P7-O7),[6]skilldef!$A:$B,2,FALSE),"-")</f>
        <v>- / 連続攻撃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40028007</v>
      </c>
      <c r="B8" s="47" t="s">
        <v>274</v>
      </c>
      <c r="C8" s="50">
        <v>3</v>
      </c>
      <c r="D8" s="50" t="s">
        <v>126</v>
      </c>
      <c r="E8" s="108" t="s">
        <v>284</v>
      </c>
      <c r="F8" s="51" t="s">
        <v>332</v>
      </c>
      <c r="G8" s="64" t="str">
        <f t="shared" si="0"/>
        <v xml:space="preserve">[effect:break_attack_fix, target:unit_all, val:200, lowest_val:2000, count:-1, color:yellow, block01:block_red]    </v>
      </c>
      <c r="H8" s="64">
        <f t="shared" si="1"/>
        <v>9</v>
      </c>
      <c r="I8" s="64">
        <f t="shared" si="2"/>
        <v>25</v>
      </c>
      <c r="J8" s="64">
        <f t="shared" si="3"/>
        <v>34</v>
      </c>
      <c r="K8" s="64">
        <f t="shared" si="4"/>
        <v>42</v>
      </c>
      <c r="L8" s="64" t="str">
        <f>IFERROR(VLOOKUP(MID(G8,J8,K8-J8),[6]skilldef!$C:$D,2,FALSE),"-") &amp; " / " &amp; IFERROR(VLOOKUP(MID(G8,H8,I8-H8),[6]skilldef!$A:$B,2,FALSE),"-")</f>
        <v>味方全体に / -</v>
      </c>
      <c r="M8" s="64" t="str">
        <f t="shared" si="5"/>
        <v>none</v>
      </c>
      <c r="N8" s="48" t="str">
        <f t="shared" si="31"/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s="131" customFormat="1" ht="21" customHeight="1" thickBot="1" x14ac:dyDescent="0.2">
      <c r="A9" s="47">
        <v>40028008</v>
      </c>
      <c r="B9" s="115" t="s">
        <v>255</v>
      </c>
      <c r="C9" s="50">
        <v>3</v>
      </c>
      <c r="D9" s="127" t="s">
        <v>126</v>
      </c>
      <c r="E9" s="108" t="s">
        <v>285</v>
      </c>
      <c r="F9" s="128" t="s">
        <v>348</v>
      </c>
      <c r="G9" s="129" t="str">
        <f t="shared" si="0"/>
        <v>[effect:rush, count:3, val:0.4]</v>
      </c>
      <c r="H9" s="129">
        <f t="shared" si="1"/>
        <v>9</v>
      </c>
      <c r="I9" s="129">
        <f t="shared" si="2"/>
        <v>13</v>
      </c>
      <c r="J9" s="129" t="e">
        <f t="shared" si="3"/>
        <v>#VALUE!</v>
      </c>
      <c r="K9" s="129">
        <f t="shared" si="4"/>
        <v>22</v>
      </c>
      <c r="L9" s="129" t="str">
        <f>IFERROR(VLOOKUP(MID(G9,J9,K9-J9),[6]skilldef!$C:$D,2,FALSE),"-") &amp; " / " &amp; IFERROR(VLOOKUP(MID(G9,H9,I9-H9),[6]skilldef!$A:$B,2,FALSE),"-")</f>
        <v>- / 連続攻撃</v>
      </c>
      <c r="M9" s="129" t="str">
        <f t="shared" si="5"/>
        <v>none</v>
      </c>
      <c r="N9" s="117" t="str">
        <f t="shared" si="31"/>
        <v>none</v>
      </c>
      <c r="O9" s="129" t="e">
        <f t="shared" si="6"/>
        <v>#VALUE!</v>
      </c>
      <c r="P9" s="129">
        <f t="shared" si="7"/>
        <v>4</v>
      </c>
      <c r="Q9" s="129" t="e">
        <f t="shared" si="8"/>
        <v>#VALUE!</v>
      </c>
      <c r="R9" s="129" t="e">
        <f t="shared" si="9"/>
        <v>#VALUE!</v>
      </c>
      <c r="S9" s="129" t="str">
        <f>IFERROR(VLOOKUP(MID(N9,Q9,R9-Q9),[6]skilldef!$C:$D,2,FALSE),"-") &amp; " / " &amp; IFERROR(VLOOKUP(MID(N9,O9,P9-O9),[6]skilldef!$A:$B,2,FALSE),"-")</f>
        <v>- / -</v>
      </c>
      <c r="T9" s="117" t="str">
        <f t="shared" si="10"/>
        <v>none</v>
      </c>
      <c r="U9" s="129" t="e">
        <f t="shared" si="11"/>
        <v>#VALUE!</v>
      </c>
      <c r="V9" s="129">
        <f t="shared" si="12"/>
        <v>4</v>
      </c>
      <c r="W9" s="129" t="e">
        <f t="shared" si="13"/>
        <v>#VALUE!</v>
      </c>
      <c r="X9" s="129" t="e">
        <f t="shared" si="14"/>
        <v>#VALUE!</v>
      </c>
      <c r="Y9" s="129" t="str">
        <f>IFERROR(VLOOKUP(MID(T9,W9,X9-W9),[6]skilldef!$C:$D,2,FALSE),"-") &amp; " / " &amp; IFERROR(VLOOKUP(MID(T9,U9,V9-U9),[6]skilldef!$A:$B,2,FALSE),"-")</f>
        <v>- / -</v>
      </c>
      <c r="Z9" s="127"/>
      <c r="AA9" s="130"/>
      <c r="AB9" s="127"/>
    </row>
    <row r="10" spans="1:28" ht="21" customHeight="1" thickTop="1" x14ac:dyDescent="0.15">
      <c r="A10" s="47">
        <v>40028009</v>
      </c>
      <c r="B10" s="47" t="s">
        <v>259</v>
      </c>
      <c r="C10" s="50">
        <v>3</v>
      </c>
      <c r="D10" s="123" t="s">
        <v>126</v>
      </c>
      <c r="E10" s="108" t="s">
        <v>286</v>
      </c>
      <c r="F10" s="51" t="s">
        <v>331</v>
      </c>
      <c r="G10" s="125" t="str">
        <f t="shared" si="0"/>
        <v>[effect:tolerance, target:myself, turn:-1, tolerance_effect:all, count:-1, animation:enemy_tolerance]</v>
      </c>
      <c r="H10" s="125">
        <f t="shared" si="1"/>
        <v>9</v>
      </c>
      <c r="I10" s="125">
        <f t="shared" si="2"/>
        <v>18</v>
      </c>
      <c r="J10" s="125">
        <f t="shared" si="3"/>
        <v>27</v>
      </c>
      <c r="K10" s="125">
        <f t="shared" si="4"/>
        <v>33</v>
      </c>
      <c r="L10" s="125" t="str">
        <f>IFERROR(VLOOKUP(MID(G10,J10,K10-J10),[6]skilldef!$C:$D,2,FALSE),"-") &amp; " / " &amp; IFERROR(VLOOKUP(MID(G10,H10,I10-H10),[6]skilldef!$A:$B,2,FALSE),"-")</f>
        <v>自分自身に / 状態異常耐性</v>
      </c>
      <c r="M10" s="125" t="str">
        <f t="shared" si="5"/>
        <v>[effect:fix_speed, target:myself, turn:1]</v>
      </c>
      <c r="N10" s="113" t="str">
        <f t="shared" si="31"/>
        <v>[effect:fix_speed, target:myself, turn:1]</v>
      </c>
      <c r="O10" s="125">
        <f t="shared" si="6"/>
        <v>9</v>
      </c>
      <c r="P10" s="125">
        <f t="shared" si="7"/>
        <v>18</v>
      </c>
      <c r="Q10" s="125">
        <f t="shared" si="8"/>
        <v>27</v>
      </c>
      <c r="R10" s="125">
        <f t="shared" si="9"/>
        <v>33</v>
      </c>
      <c r="S10" s="125" t="str">
        <f>IFERROR(VLOOKUP(MID(N10,Q10,R10-Q10),[6]skilldef!$C:$D,2,FALSE),"-") &amp; " / " &amp; IFERROR(VLOOKUP(MID(N10,O10,P10-O10),[6]skilldef!$A:$B,2,FALSE),"-")</f>
        <v>自分自身に / 行動値設定</v>
      </c>
      <c r="T10" s="113" t="str">
        <f t="shared" si="10"/>
        <v>none</v>
      </c>
      <c r="U10" s="125" t="e">
        <f t="shared" si="11"/>
        <v>#VALUE!</v>
      </c>
      <c r="V10" s="125">
        <f t="shared" si="12"/>
        <v>4</v>
      </c>
      <c r="W10" s="125" t="e">
        <f t="shared" si="13"/>
        <v>#VALUE!</v>
      </c>
      <c r="X10" s="125" t="e">
        <f t="shared" si="14"/>
        <v>#VALUE!</v>
      </c>
      <c r="Y10" s="125" t="str">
        <f>IFERROR(VLOOKUP(MID(T10,W10,X10-W10),[6]skilldef!$C:$D,2,FALSE),"-") &amp; " / " &amp; IFERROR(VLOOKUP(MID(T10,U10,V10-U10),[6]skilldef!$A:$B,2,FALSE),"-")</f>
        <v>- / -</v>
      </c>
      <c r="Z10" s="123"/>
      <c r="AA10" s="126"/>
      <c r="AB10" s="123"/>
    </row>
    <row r="11" spans="1:28" ht="21" customHeight="1" x14ac:dyDescent="0.15">
      <c r="A11" s="47">
        <v>40028010</v>
      </c>
      <c r="B11" s="47" t="s">
        <v>272</v>
      </c>
      <c r="C11" s="50">
        <v>3</v>
      </c>
      <c r="D11" s="50" t="s">
        <v>126</v>
      </c>
      <c r="E11" s="108" t="s">
        <v>297</v>
      </c>
      <c r="F11" s="51" t="s">
        <v>396</v>
      </c>
      <c r="G11" s="64" t="str">
        <f t="shared" si="0"/>
        <v>[effect:force_change_block, new_block:block_yellow, target:block_heart, count:3, val:0, animation:change_block]</v>
      </c>
      <c r="H11" s="64">
        <f t="shared" si="1"/>
        <v>9</v>
      </c>
      <c r="I11" s="64">
        <f t="shared" si="2"/>
        <v>27</v>
      </c>
      <c r="J11" s="64">
        <f t="shared" si="3"/>
        <v>60</v>
      </c>
      <c r="K11" s="64">
        <f t="shared" si="4"/>
        <v>51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>[effect:rush, count:1, val:1]</v>
      </c>
      <c r="N11" s="48" t="str">
        <f t="shared" si="31"/>
        <v>[effect:rush, count:1, val:1]</v>
      </c>
      <c r="O11" s="64">
        <f t="shared" si="6"/>
        <v>9</v>
      </c>
      <c r="P11" s="64">
        <f t="shared" si="7"/>
        <v>13</v>
      </c>
      <c r="Q11" s="64" t="e">
        <f t="shared" si="8"/>
        <v>#VALUE!</v>
      </c>
      <c r="R11" s="64">
        <f t="shared" si="9"/>
        <v>22</v>
      </c>
      <c r="S11" s="64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40028011</v>
      </c>
      <c r="B12" s="47" t="s">
        <v>275</v>
      </c>
      <c r="C12" s="50">
        <v>3</v>
      </c>
      <c r="D12" s="50" t="s">
        <v>126</v>
      </c>
      <c r="E12" s="108" t="s">
        <v>308</v>
      </c>
      <c r="F12" s="51" t="s">
        <v>332</v>
      </c>
      <c r="G12" s="64" t="str">
        <f t="shared" si="0"/>
        <v xml:space="preserve">[effect:break_attack_fix, target:unit_all, val:200, lowest_val:2000, count:-1, color:yellow, block01:block_red]    </v>
      </c>
      <c r="H12" s="64">
        <f t="shared" si="1"/>
        <v>9</v>
      </c>
      <c r="I12" s="64">
        <f t="shared" si="2"/>
        <v>25</v>
      </c>
      <c r="J12" s="64">
        <f t="shared" si="3"/>
        <v>34</v>
      </c>
      <c r="K12" s="64">
        <f t="shared" si="4"/>
        <v>42</v>
      </c>
      <c r="L12" s="64" t="str">
        <f>IFERROR(VLOOKUP(MID(G12,J12,K12-J12),[6]skilldef!$C:$D,2,FALSE),"-") &amp; " / " &amp; IFERROR(VLOOKUP(MID(G12,H12,I12-H12),[6]skilldef!$A:$B,2,FALSE),"-")</f>
        <v>味方全体に / -</v>
      </c>
      <c r="M12" s="64" t="str">
        <f t="shared" si="5"/>
        <v>none</v>
      </c>
      <c r="N12" s="48" t="str">
        <f t="shared" si="31"/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40028012</v>
      </c>
      <c r="B13" s="109" t="s">
        <v>256</v>
      </c>
      <c r="C13" s="50">
        <v>3</v>
      </c>
      <c r="D13" s="50" t="s">
        <v>126</v>
      </c>
      <c r="E13" s="108" t="s">
        <v>287</v>
      </c>
      <c r="F13" s="51" t="s">
        <v>349</v>
      </c>
      <c r="G13" s="64" t="str">
        <f t="shared" si="0"/>
        <v>[effect:rush, count:6, val:0.23]</v>
      </c>
      <c r="H13" s="64">
        <f t="shared" si="1"/>
        <v>9</v>
      </c>
      <c r="I13" s="64">
        <f t="shared" si="2"/>
        <v>13</v>
      </c>
      <c r="J13" s="64" t="e">
        <f t="shared" si="3"/>
        <v>#VALUE!</v>
      </c>
      <c r="K13" s="64">
        <f t="shared" si="4"/>
        <v>22</v>
      </c>
      <c r="L13" s="64" t="str">
        <f>IFERROR(VLOOKUP(MID(G13,J13,K13-J13),[6]skilldef!$C:$D,2,FALSE),"-") &amp; " / " &amp; IFERROR(VLOOKUP(MID(G13,H13,I13-H13),[6]skilldef!$A:$B,2,FALSE),"-")</f>
        <v>- / 連続攻撃</v>
      </c>
      <c r="M13" s="64" t="str">
        <f t="shared" si="5"/>
        <v>none</v>
      </c>
      <c r="N13" s="48" t="str">
        <f t="shared" si="31"/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40028013</v>
      </c>
      <c r="B14" s="47" t="s">
        <v>257</v>
      </c>
      <c r="C14" s="50">
        <v>3</v>
      </c>
      <c r="D14" s="50" t="s">
        <v>126</v>
      </c>
      <c r="E14" s="108" t="s">
        <v>288</v>
      </c>
      <c r="F14" s="51" t="s">
        <v>333</v>
      </c>
      <c r="G14" s="64" t="str">
        <f t="shared" si="0"/>
        <v xml:space="preserve">[effect:dis_heart, turn:5, animation:enemy_dis_heart]    </v>
      </c>
      <c r="H14" s="64">
        <f t="shared" si="1"/>
        <v>9</v>
      </c>
      <c r="I14" s="64">
        <f t="shared" si="2"/>
        <v>18</v>
      </c>
      <c r="J14" s="64" t="e">
        <f t="shared" si="3"/>
        <v>#VALUE!</v>
      </c>
      <c r="K14" s="64">
        <f t="shared" si="4"/>
        <v>26</v>
      </c>
      <c r="L14" s="64" t="str">
        <f>IFERROR(VLOOKUP(MID(G14,J14,K14-J14),[6]skilldef!$C:$D,2,FALSE),"-") &amp; " / " &amp; IFERROR(VLOOKUP(MID(G14,H14,I14-H14),[6]skilldef!$A:$B,2,FALSE),"-")</f>
        <v>- / ディスハート</v>
      </c>
      <c r="M14" s="64" t="str">
        <f t="shared" si="5"/>
        <v>none</v>
      </c>
      <c r="N14" s="48" t="str">
        <f t="shared" si="31"/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40028014</v>
      </c>
      <c r="B15" s="111" t="s">
        <v>266</v>
      </c>
      <c r="C15" s="50">
        <v>3</v>
      </c>
      <c r="D15" s="50" t="s">
        <v>126</v>
      </c>
      <c r="E15" s="108" t="s">
        <v>310</v>
      </c>
      <c r="F15" s="51" t="s">
        <v>334</v>
      </c>
      <c r="G15" s="64" t="str">
        <f t="shared" si="0"/>
        <v>[effect:fix_speed, target:myself, turn:1]</v>
      </c>
      <c r="H15" s="64">
        <f t="shared" si="1"/>
        <v>9</v>
      </c>
      <c r="I15" s="64">
        <f t="shared" si="2"/>
        <v>18</v>
      </c>
      <c r="J15" s="64">
        <f t="shared" si="3"/>
        <v>27</v>
      </c>
      <c r="K15" s="64">
        <f t="shared" si="4"/>
        <v>33</v>
      </c>
      <c r="L15" s="64" t="str">
        <f>IFERROR(VLOOKUP(MID(G15,J15,K15-J15),[6]skilldef!$C:$D,2,FALSE),"-") &amp; " / " &amp; IFERROR(VLOOKUP(MID(G15,H15,I15-H15),[6]skilldef!$A:$B,2,FALSE),"-")</f>
        <v>自分自身に / 行動値設定</v>
      </c>
      <c r="M15" s="64" t="str">
        <f t="shared" si="5"/>
        <v xml:space="preserve">[effect:panel_freeze, target:normal, color:block_yellow, count:-1, break_count:1]    </v>
      </c>
      <c r="N15" s="48" t="str">
        <f t="shared" si="31"/>
        <v xml:space="preserve">[effect:panel_freeze, target:normal, color:block_yellow, count:-1, break_count:1]    </v>
      </c>
      <c r="O15" s="64">
        <f t="shared" si="6"/>
        <v>9</v>
      </c>
      <c r="P15" s="64">
        <f t="shared" si="7"/>
        <v>21</v>
      </c>
      <c r="Q15" s="64">
        <f t="shared" si="8"/>
        <v>30</v>
      </c>
      <c r="R15" s="64">
        <f t="shared" si="9"/>
        <v>36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40028015</v>
      </c>
      <c r="B16" s="109" t="s">
        <v>267</v>
      </c>
      <c r="C16" s="50">
        <v>3</v>
      </c>
      <c r="D16" s="50" t="s">
        <v>126</v>
      </c>
      <c r="E16" s="108" t="s">
        <v>298</v>
      </c>
      <c r="F16" s="51" t="s">
        <v>350</v>
      </c>
      <c r="G16" s="64" t="str">
        <f t="shared" si="0"/>
        <v>[effect:rush, count:2, val:0.4]</v>
      </c>
      <c r="H16" s="64">
        <f t="shared" si="1"/>
        <v>9</v>
      </c>
      <c r="I16" s="64">
        <f t="shared" si="2"/>
        <v>13</v>
      </c>
      <c r="J16" s="64" t="e">
        <f t="shared" si="3"/>
        <v>#VALUE!</v>
      </c>
      <c r="K16" s="64">
        <f t="shared" si="4"/>
        <v>22</v>
      </c>
      <c r="L16" s="64" t="str">
        <f>IFERROR(VLOOKUP(MID(G16,J16,K16-J16),[6]skilldef!$C:$D,2,FALSE),"-") &amp; " / " &amp; IFERROR(VLOOKUP(MID(G16,H16,I16-H16),[6]skilldef!$A:$B,2,FALSE),"-")</f>
        <v>- / 連続攻撃</v>
      </c>
      <c r="M16" s="64" t="str">
        <f t="shared" si="5"/>
        <v>none</v>
      </c>
      <c r="N16" s="48" t="str">
        <f t="shared" si="31"/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40028016</v>
      </c>
      <c r="B17" s="109" t="s">
        <v>268</v>
      </c>
      <c r="C17" s="50">
        <v>3</v>
      </c>
      <c r="D17" s="50" t="s">
        <v>126</v>
      </c>
      <c r="E17" s="108" t="s">
        <v>304</v>
      </c>
      <c r="F17" s="51" t="s">
        <v>351</v>
      </c>
      <c r="G17" s="64" t="str">
        <f t="shared" si="0"/>
        <v>[effect:rush, count:3, val:0.4]</v>
      </c>
      <c r="H17" s="64">
        <f t="shared" si="1"/>
        <v>9</v>
      </c>
      <c r="I17" s="64">
        <f t="shared" si="2"/>
        <v>13</v>
      </c>
      <c r="J17" s="64" t="e">
        <f t="shared" si="3"/>
        <v>#VALUE!</v>
      </c>
      <c r="K17" s="64">
        <f t="shared" si="4"/>
        <v>22</v>
      </c>
      <c r="L17" s="64" t="str">
        <f>IFERROR(VLOOKUP(MID(G17,J17,K17-J17),[6]skilldef!$C:$D,2,FALSE),"-") &amp; " / " &amp; IFERROR(VLOOKUP(MID(G17,H17,I17-H17),[6]skilldef!$A:$B,2,FALSE),"-")</f>
        <v>- / 連続攻撃</v>
      </c>
      <c r="M17" s="64" t="str">
        <f t="shared" si="5"/>
        <v xml:space="preserve">[effect:panel_freeze, target:normal, color:block_yellow, count:-1, break_count:1]    </v>
      </c>
      <c r="N17" s="48" t="str">
        <f t="shared" si="31"/>
        <v xml:space="preserve">[effect:panel_freeze, target:normal, color:block_yellow, count:-1, break_count:1]    </v>
      </c>
      <c r="O17" s="64">
        <f t="shared" si="6"/>
        <v>9</v>
      </c>
      <c r="P17" s="64">
        <f t="shared" si="7"/>
        <v>21</v>
      </c>
      <c r="Q17" s="64">
        <f t="shared" si="8"/>
        <v>30</v>
      </c>
      <c r="R17" s="64">
        <f t="shared" si="9"/>
        <v>36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40028017</v>
      </c>
      <c r="B18" s="109" t="s">
        <v>269</v>
      </c>
      <c r="C18" s="50">
        <v>3</v>
      </c>
      <c r="D18" s="50" t="s">
        <v>126</v>
      </c>
      <c r="E18" s="108" t="s">
        <v>305</v>
      </c>
      <c r="F18" s="51" t="s">
        <v>352</v>
      </c>
      <c r="G18" s="64" t="str">
        <f t="shared" si="0"/>
        <v>[effect:rush, count:4, val:0.4]</v>
      </c>
      <c r="H18" s="64">
        <f t="shared" si="1"/>
        <v>9</v>
      </c>
      <c r="I18" s="64">
        <f t="shared" si="2"/>
        <v>13</v>
      </c>
      <c r="J18" s="64" t="e">
        <f t="shared" si="3"/>
        <v>#VALUE!</v>
      </c>
      <c r="K18" s="64">
        <f t="shared" si="4"/>
        <v>22</v>
      </c>
      <c r="L18" s="64" t="str">
        <f>IFERROR(VLOOKUP(MID(G18,J18,K18-J18),[6]skilldef!$C:$D,2,FALSE),"-") &amp; " / " &amp; IFERROR(VLOOKUP(MID(G18,H18,I18-H18),[6]skilldef!$A:$B,2,FALSE),"-")</f>
        <v>- / 連続攻撃</v>
      </c>
      <c r="M18" s="64" t="str">
        <f t="shared" si="5"/>
        <v>none</v>
      </c>
      <c r="N18" s="48" t="str">
        <f t="shared" si="31"/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40028018</v>
      </c>
      <c r="B19" s="109" t="s">
        <v>270</v>
      </c>
      <c r="C19" s="50">
        <v>3</v>
      </c>
      <c r="D19" s="50" t="s">
        <v>126</v>
      </c>
      <c r="E19" s="108" t="s">
        <v>309</v>
      </c>
      <c r="F19" s="51" t="s">
        <v>353</v>
      </c>
      <c r="G19" s="64" t="str">
        <f t="shared" si="0"/>
        <v>[effect:rush, count:5, val:0.4]</v>
      </c>
      <c r="H19" s="64">
        <f t="shared" si="1"/>
        <v>9</v>
      </c>
      <c r="I19" s="64">
        <f t="shared" si="2"/>
        <v>13</v>
      </c>
      <c r="J19" s="64" t="e">
        <f t="shared" si="3"/>
        <v>#VALUE!</v>
      </c>
      <c r="K19" s="64">
        <f t="shared" si="4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5"/>
        <v xml:space="preserve">[effect:panel_freeze, target:normal, color:block_yellow, count:-1, break_count:1]    </v>
      </c>
      <c r="N19" s="48" t="str">
        <f t="shared" si="31"/>
        <v xml:space="preserve">[effect:panel_freeze, target:normal, color:block_yellow, count:-1, break_count:1]    </v>
      </c>
      <c r="O19" s="64">
        <f t="shared" si="6"/>
        <v>9</v>
      </c>
      <c r="P19" s="64">
        <f t="shared" si="7"/>
        <v>21</v>
      </c>
      <c r="Q19" s="64">
        <f t="shared" si="8"/>
        <v>30</v>
      </c>
      <c r="R19" s="64">
        <f t="shared" si="9"/>
        <v>36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40028019</v>
      </c>
      <c r="B20" s="109" t="s">
        <v>260</v>
      </c>
      <c r="C20" s="50">
        <v>3</v>
      </c>
      <c r="D20" s="50" t="s">
        <v>126</v>
      </c>
      <c r="E20" s="184" t="s">
        <v>307</v>
      </c>
      <c r="F20" s="51" t="s">
        <v>349</v>
      </c>
      <c r="G20" s="64" t="str">
        <f t="shared" si="0"/>
        <v>[effect:rush, count:6, val:0.4]</v>
      </c>
      <c r="H20" s="64">
        <f t="shared" si="1"/>
        <v>9</v>
      </c>
      <c r="I20" s="64">
        <f t="shared" si="2"/>
        <v>13</v>
      </c>
      <c r="J20" s="64" t="e">
        <f t="shared" si="3"/>
        <v>#VALUE!</v>
      </c>
      <c r="K20" s="64">
        <f t="shared" si="4"/>
        <v>22</v>
      </c>
      <c r="L20" s="64" t="str">
        <f>IFERROR(VLOOKUP(MID(G20,J20,K20-J20),[6]skilldef!$C:$D,2,FALSE),"-") &amp; " / " &amp; IFERROR(VLOOKUP(MID(G20,H20,I20-H20),[6]skilldef!$A:$B,2,FALSE),"-")</f>
        <v>- / 連続攻撃</v>
      </c>
      <c r="M20" s="64" t="str">
        <f t="shared" si="5"/>
        <v>none</v>
      </c>
      <c r="N20" s="48" t="str">
        <f t="shared" si="31"/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40028020</v>
      </c>
      <c r="B21" s="109" t="s">
        <v>271</v>
      </c>
      <c r="C21" s="50">
        <v>3</v>
      </c>
      <c r="D21" s="50" t="s">
        <v>126</v>
      </c>
      <c r="E21" s="108" t="s">
        <v>299</v>
      </c>
      <c r="F21" s="51" t="s">
        <v>354</v>
      </c>
      <c r="G21" s="64" t="str">
        <f t="shared" si="0"/>
        <v>[effect:rush, count:7, val:0.4]</v>
      </c>
      <c r="H21" s="64">
        <f t="shared" si="1"/>
        <v>9</v>
      </c>
      <c r="I21" s="64">
        <f t="shared" si="2"/>
        <v>13</v>
      </c>
      <c r="J21" s="64" t="e">
        <f t="shared" si="3"/>
        <v>#VALUE!</v>
      </c>
      <c r="K21" s="64">
        <f t="shared" si="4"/>
        <v>22</v>
      </c>
      <c r="L21" s="64" t="str">
        <f>IFERROR(VLOOKUP(MID(G21,J21,K21-J21),[6]skilldef!$C:$D,2,FALSE),"-") &amp; " / " &amp; IFERROR(VLOOKUP(MID(G21,H21,I21-H21),[6]skilldef!$A:$B,2,FALSE),"-")</f>
        <v>- / 連続攻撃</v>
      </c>
      <c r="M21" s="64" t="str">
        <f t="shared" si="5"/>
        <v>none</v>
      </c>
      <c r="N21" s="48" t="str">
        <f t="shared" si="31"/>
        <v>none</v>
      </c>
      <c r="O21" s="64" t="e">
        <f t="shared" si="6"/>
        <v>#VALUE!</v>
      </c>
      <c r="P21" s="64">
        <f t="shared" si="7"/>
        <v>4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40028021</v>
      </c>
      <c r="B22" s="47" t="s">
        <v>399</v>
      </c>
      <c r="C22" s="50">
        <v>3</v>
      </c>
      <c r="D22" s="50" t="s">
        <v>126</v>
      </c>
      <c r="E22" s="108" t="s">
        <v>300</v>
      </c>
      <c r="F22" s="183" t="s">
        <v>306</v>
      </c>
      <c r="G22" s="64" t="str">
        <f t="shared" si="0"/>
        <v>[effect:force_change_block, new_block:block_heart, target:block_all, ignore01:block_positive, ignore02:block_negative, count:12, val:0, animation:change_block]</v>
      </c>
      <c r="H22" s="64">
        <f t="shared" si="1"/>
        <v>9</v>
      </c>
      <c r="I22" s="64">
        <f t="shared" si="2"/>
        <v>27</v>
      </c>
      <c r="J22" s="64">
        <f t="shared" si="3"/>
        <v>59</v>
      </c>
      <c r="K22" s="64">
        <f t="shared" si="4"/>
        <v>50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[effect:suicide, val:1, dead_type:escape, target:myself]</v>
      </c>
      <c r="N22" s="48" t="str">
        <f t="shared" si="31"/>
        <v>[effect:suicide, val:1, dead_type:escape, target:myself]</v>
      </c>
      <c r="O22" s="64">
        <f t="shared" si="6"/>
        <v>9</v>
      </c>
      <c r="P22" s="64">
        <f t="shared" si="7"/>
        <v>16</v>
      </c>
      <c r="Q22" s="64">
        <f t="shared" si="8"/>
        <v>50</v>
      </c>
      <c r="R22" s="64">
        <f t="shared" si="9"/>
        <v>23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4" t="e">
        <f t="shared" si="11"/>
        <v>#VALUE!</v>
      </c>
      <c r="V22" s="64">
        <f t="shared" si="12"/>
        <v>4</v>
      </c>
      <c r="W22" s="64" t="e">
        <f t="shared" si="13"/>
        <v>#VALUE!</v>
      </c>
      <c r="X22" s="64" t="e">
        <f t="shared" si="14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40028022</v>
      </c>
      <c r="B23" s="47" t="s">
        <v>367</v>
      </c>
      <c r="C23" s="50">
        <v>3</v>
      </c>
      <c r="D23" s="50" t="s">
        <v>126</v>
      </c>
      <c r="E23" s="108" t="s">
        <v>289</v>
      </c>
      <c r="F23" s="51" t="s">
        <v>335</v>
      </c>
      <c r="G23" s="64" t="str">
        <f t="shared" si="0"/>
        <v>[effect:enemy_message, val1:1.3]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 t="e">
        <f t="shared" si="4"/>
        <v>#VALUE!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[effect:change_attribute, target:myself, color:blue, turn:3, animation:change_attribute_blue],[effect:tolerance, target:myself, turn:-1, tolerance_effect:all, count:-1, animation:enemy_tolerance]</v>
      </c>
      <c r="N23" s="48" t="str">
        <f t="shared" si="31"/>
        <v>[effect:change_attribute, target:myself, color:blue, turn:3, animation:change_attribute_blue],[effect:tolerance, target:myself, turn:-1, tolerance_effect:all, count:-1, animation:enemy_tolerance]</v>
      </c>
      <c r="O23" s="64">
        <f t="shared" si="6"/>
        <v>9</v>
      </c>
      <c r="P23" s="64">
        <f t="shared" si="7"/>
        <v>25</v>
      </c>
      <c r="Q23" s="64">
        <f t="shared" si="8"/>
        <v>34</v>
      </c>
      <c r="R23" s="64">
        <f t="shared" si="9"/>
        <v>40</v>
      </c>
      <c r="S23" s="64" t="str">
        <f>IFERROR(VLOOKUP(MID(N23,Q23,R23-Q23),[6]skilldef!$C:$D,2,FALSE),"-") &amp; " / " &amp; IFERROR(VLOOKUP(MID(N23,O23,P23-O23),[6]skilldef!$A:$B,2,FALSE),"-")</f>
        <v>自分自身に / -</v>
      </c>
      <c r="T23" s="48" t="str">
        <f t="shared" si="10"/>
        <v>[effect:tolerance, target:myself, turn:-1, tolerance_effect:all, count:-1, animation:enemy_tolerance]</v>
      </c>
      <c r="U23" s="64">
        <f t="shared" si="11"/>
        <v>9</v>
      </c>
      <c r="V23" s="64">
        <f t="shared" si="12"/>
        <v>18</v>
      </c>
      <c r="W23" s="64">
        <f t="shared" si="13"/>
        <v>27</v>
      </c>
      <c r="X23" s="64">
        <f t="shared" si="14"/>
        <v>33</v>
      </c>
      <c r="Y23" s="64" t="str">
        <f>IFERROR(VLOOKUP(MID(T23,W23,X23-W23),[6]skilldef!$C:$D,2,FALSE),"-") &amp; " / " &amp; IFERROR(VLOOKUP(MID(T23,U23,V23-U23),[6]skilldef!$A:$B,2,FALSE),"-")</f>
        <v>自分自身に / 状態異常耐性</v>
      </c>
      <c r="Z23" s="50"/>
      <c r="AA23" s="52"/>
      <c r="AB23" s="50"/>
    </row>
    <row r="24" spans="1:28" ht="21" customHeight="1" x14ac:dyDescent="0.15">
      <c r="A24" s="47">
        <v>40028023</v>
      </c>
      <c r="B24" s="47" t="s">
        <v>377</v>
      </c>
      <c r="C24" s="50">
        <v>3</v>
      </c>
      <c r="D24" s="50" t="s">
        <v>126</v>
      </c>
      <c r="E24" s="108" t="s">
        <v>359</v>
      </c>
      <c r="F24" s="183" t="s">
        <v>337</v>
      </c>
      <c r="G24" s="64" t="str">
        <f t="shared" si="0"/>
        <v>[effect:enemy_message, val2:2.5]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 t="e">
        <f t="shared" si="4"/>
        <v>#VALUE!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5"/>
        <v xml:space="preserve">[effect:change_panel_ratio, turn:-1, block_type:blue, val:0.4, animation:block_incidence04],[effect:drop_freeze, block_type:block_all, block_color:block_blue, frozen_count:1, rate:1, turn:-1, animation:drop_protect]    </v>
      </c>
      <c r="N24" s="48" t="str">
        <f t="shared" si="31"/>
        <v xml:space="preserve">[effect:change_panel_ratio, turn:-1, block_type:blue, val:0.4, animation:block_incidence04],[effect:drop_freeze, block_type:block_all, block_color:block_blue, frozen_count:1, rate:1, turn:-1, animation:drop_protect]    </v>
      </c>
      <c r="O24" s="64">
        <f t="shared" si="6"/>
        <v>9</v>
      </c>
      <c r="P24" s="64">
        <f t="shared" si="7"/>
        <v>27</v>
      </c>
      <c r="Q24" s="64" t="e">
        <f t="shared" si="8"/>
        <v>#VALUE!</v>
      </c>
      <c r="R24" s="64">
        <f t="shared" si="9"/>
        <v>36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 xml:space="preserve">[effect:drop_freeze, block_type:block_all, block_color:block_blue, frozen_count:1, rate:1, turn:-1, animation:drop_protect]    </v>
      </c>
      <c r="U24" s="64">
        <f t="shared" si="11"/>
        <v>9</v>
      </c>
      <c r="V24" s="64">
        <f t="shared" si="12"/>
        <v>20</v>
      </c>
      <c r="W24" s="64" t="e">
        <f t="shared" si="13"/>
        <v>#VALUE!</v>
      </c>
      <c r="X24" s="64">
        <f t="shared" si="14"/>
        <v>42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40028024</v>
      </c>
      <c r="B25" s="47" t="s">
        <v>370</v>
      </c>
      <c r="C25" s="50">
        <v>3</v>
      </c>
      <c r="D25" s="50" t="s">
        <v>126</v>
      </c>
      <c r="E25" s="108" t="s">
        <v>311</v>
      </c>
      <c r="F25" s="51" t="s">
        <v>360</v>
      </c>
      <c r="G25" s="64" t="str">
        <f t="shared" si="0"/>
        <v xml:space="preserve">[effect:break_attack_fix, target:unit_all, val:250, lowest_val:2000, count:15, color:blue, block01:block_blue]    </v>
      </c>
      <c r="H25" s="64">
        <f t="shared" si="1"/>
        <v>9</v>
      </c>
      <c r="I25" s="64">
        <f t="shared" si="2"/>
        <v>25</v>
      </c>
      <c r="J25" s="64">
        <f t="shared" si="3"/>
        <v>34</v>
      </c>
      <c r="K25" s="64">
        <f t="shared" si="4"/>
        <v>42</v>
      </c>
      <c r="L25" s="64" t="str">
        <f>IFERROR(VLOOKUP(MID(G25,J25,K25-J25),[6]skilldef!$C:$D,2,FALSE),"-") &amp; " / " &amp; IFERROR(VLOOKUP(MID(G25,H25,I25-H25),[6]skilldef!$A:$B,2,FALSE),"-")</f>
        <v>味方全体に / -</v>
      </c>
      <c r="M25" s="64" t="str">
        <f t="shared" si="5"/>
        <v>none</v>
      </c>
      <c r="N25" s="48" t="str">
        <f t="shared" si="31"/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s="131" customFormat="1" ht="21" customHeight="1" thickBot="1" x14ac:dyDescent="0.2">
      <c r="A26" s="47">
        <v>40028025</v>
      </c>
      <c r="B26" s="115" t="s">
        <v>364</v>
      </c>
      <c r="C26" s="50">
        <v>3</v>
      </c>
      <c r="D26" s="127" t="s">
        <v>126</v>
      </c>
      <c r="E26" s="108" t="s">
        <v>295</v>
      </c>
      <c r="F26" s="128" t="s">
        <v>342</v>
      </c>
      <c r="G26" s="129" t="str">
        <f t="shared" si="0"/>
        <v>[effect:enemy_message, val2:2.5]</v>
      </c>
      <c r="H26" s="129">
        <f t="shared" si="1"/>
        <v>9</v>
      </c>
      <c r="I26" s="129">
        <f t="shared" si="2"/>
        <v>22</v>
      </c>
      <c r="J26" s="129" t="e">
        <f t="shared" si="3"/>
        <v>#VALUE!</v>
      </c>
      <c r="K26" s="129" t="e">
        <f t="shared" si="4"/>
        <v>#VALUE!</v>
      </c>
      <c r="L26" s="129" t="str">
        <f>IFERROR(VLOOKUP(MID(G26,J26,K26-J26),[6]skilldef!$C:$D,2,FALSE),"-") &amp; " / " &amp; IFERROR(VLOOKUP(MID(G26,H26,I26-H26),[6]skilldef!$A:$B,2,FALSE),"-")</f>
        <v>- / -</v>
      </c>
      <c r="M26" s="129" t="str">
        <f t="shared" si="5"/>
        <v xml:space="preserve">[effect:enhance_enemy, target:myself, turn:1, status:defense, val:2000, calc:add, animation:enemy_enhance_defense],[effect:break_attack_fix, target:unit_all, val:100, lowest_val:2200, count:10, color:yellow, block01:block_yellow]       </v>
      </c>
      <c r="N26" s="117" t="str">
        <f t="shared" si="31"/>
        <v xml:space="preserve">[effect:enhance_enemy, target:myself, turn:1, status:defense, val:2000, calc:add, animation:enemy_enhance_defense],[effect:break_attack_fix, target:unit_all, val:100, lowest_val:2200, count:10, color:yellow, block01:block_yellow]       </v>
      </c>
      <c r="O26" s="129">
        <f t="shared" si="6"/>
        <v>9</v>
      </c>
      <c r="P26" s="129">
        <f t="shared" si="7"/>
        <v>22</v>
      </c>
      <c r="Q26" s="129">
        <f t="shared" si="8"/>
        <v>31</v>
      </c>
      <c r="R26" s="129">
        <f t="shared" si="9"/>
        <v>37</v>
      </c>
      <c r="S26" s="129" t="str">
        <f>IFERROR(VLOOKUP(MID(N26,Q26,R26-Q26),[6]skilldef!$C:$D,2,FALSE),"-") &amp; " / " &amp; IFERROR(VLOOKUP(MID(N26,O26,P26-O26),[6]skilldef!$A:$B,2,FALSE),"-")</f>
        <v>自分自身に / ステータス強化</v>
      </c>
      <c r="T26" s="117" t="str">
        <f t="shared" si="10"/>
        <v xml:space="preserve">[effect:break_attack_fix, target:unit_all, val:100, lowest_val:2200, count:10, color:yellow, block01:block_yellow]       </v>
      </c>
      <c r="U26" s="129">
        <f t="shared" si="11"/>
        <v>9</v>
      </c>
      <c r="V26" s="129">
        <f t="shared" si="12"/>
        <v>25</v>
      </c>
      <c r="W26" s="129">
        <f t="shared" si="13"/>
        <v>34</v>
      </c>
      <c r="X26" s="129">
        <f t="shared" si="14"/>
        <v>42</v>
      </c>
      <c r="Y26" s="129" t="str">
        <f>IFERROR(VLOOKUP(MID(T26,W26,X26-W26),[6]skilldef!$C:$D,2,FALSE),"-") &amp; " / " &amp; IFERROR(VLOOKUP(MID(T26,U26,V26-U26),[6]skilldef!$A:$B,2,FALSE),"-")</f>
        <v>味方全体に / -</v>
      </c>
      <c r="Z26" s="127"/>
      <c r="AA26" s="130"/>
      <c r="AB26" s="127"/>
    </row>
    <row r="27" spans="1:28" ht="21" customHeight="1" thickTop="1" x14ac:dyDescent="0.15">
      <c r="A27" s="47">
        <v>40028026</v>
      </c>
      <c r="B27" s="47" t="s">
        <v>368</v>
      </c>
      <c r="C27" s="50">
        <v>3</v>
      </c>
      <c r="D27" s="123" t="s">
        <v>126</v>
      </c>
      <c r="E27" s="108" t="s">
        <v>290</v>
      </c>
      <c r="F27" s="51" t="s">
        <v>336</v>
      </c>
      <c r="G27" s="125" t="str">
        <f t="shared" si="0"/>
        <v>[effect:enemy_message, val1:1.3]</v>
      </c>
      <c r="H27" s="125">
        <f t="shared" si="1"/>
        <v>9</v>
      </c>
      <c r="I27" s="125">
        <f t="shared" si="2"/>
        <v>22</v>
      </c>
      <c r="J27" s="125" t="e">
        <f t="shared" si="3"/>
        <v>#VALUE!</v>
      </c>
      <c r="K27" s="125" t="e">
        <f t="shared" si="4"/>
        <v>#VALUE!</v>
      </c>
      <c r="L27" s="125" t="str">
        <f>IFERROR(VLOOKUP(MID(G27,J27,K27-J27),[6]skilldef!$C:$D,2,FALSE),"-") &amp; " / " &amp; IFERROR(VLOOKUP(MID(G27,H27,I27-H27),[6]skilldef!$A:$B,2,FALSE),"-")</f>
        <v>- / -</v>
      </c>
      <c r="M27" s="125" t="str">
        <f t="shared" si="5"/>
        <v>[effect:change_attribute, target:myself, color:red, turn:3, animation:change_attribute_red],[effect:tolerance, target:myself, turn:-1, tolerance_effect:all, count:-1, animation:enemy_tolerance]</v>
      </c>
      <c r="N27" s="113" t="str">
        <f t="shared" si="31"/>
        <v>[effect:change_attribute, target:myself, color:red, turn:3, animation:change_attribute_red],[effect:tolerance, target:myself, turn:-1, tolerance_effect:all, count:-1, animation:enemy_tolerance]</v>
      </c>
      <c r="O27" s="125">
        <f t="shared" si="6"/>
        <v>9</v>
      </c>
      <c r="P27" s="125">
        <f t="shared" si="7"/>
        <v>25</v>
      </c>
      <c r="Q27" s="125">
        <f t="shared" si="8"/>
        <v>34</v>
      </c>
      <c r="R27" s="125">
        <f t="shared" si="9"/>
        <v>40</v>
      </c>
      <c r="S27" s="125" t="str">
        <f>IFERROR(VLOOKUP(MID(N27,Q27,R27-Q27),[6]skilldef!$C:$D,2,FALSE),"-") &amp; " / " &amp; IFERROR(VLOOKUP(MID(N27,O27,P27-O27),[6]skilldef!$A:$B,2,FALSE),"-")</f>
        <v>自分自身に / -</v>
      </c>
      <c r="T27" s="113" t="str">
        <f t="shared" si="10"/>
        <v>[effect:tolerance, target:myself, turn:-1, tolerance_effect:all, count:-1, animation:enemy_tolerance]</v>
      </c>
      <c r="U27" s="125">
        <f t="shared" si="11"/>
        <v>9</v>
      </c>
      <c r="V27" s="125">
        <f t="shared" si="12"/>
        <v>18</v>
      </c>
      <c r="W27" s="125">
        <f t="shared" si="13"/>
        <v>27</v>
      </c>
      <c r="X27" s="125">
        <f t="shared" si="14"/>
        <v>33</v>
      </c>
      <c r="Y27" s="125" t="str">
        <f>IFERROR(VLOOKUP(MID(T27,W27,X27-W27),[6]skilldef!$C:$D,2,FALSE),"-") &amp; " / " &amp; IFERROR(VLOOKUP(MID(T27,U27,V27-U27),[6]skilldef!$A:$B,2,FALSE),"-")</f>
        <v>自分自身に / 状態異常耐性</v>
      </c>
      <c r="Z27" s="123"/>
      <c r="AA27" s="126"/>
      <c r="AB27" s="123"/>
    </row>
    <row r="28" spans="1:28" ht="21" customHeight="1" x14ac:dyDescent="0.15">
      <c r="A28" s="47">
        <v>40028027</v>
      </c>
      <c r="B28" s="47" t="s">
        <v>393</v>
      </c>
      <c r="C28" s="50">
        <v>3</v>
      </c>
      <c r="D28" s="50" t="s">
        <v>126</v>
      </c>
      <c r="E28" s="108" t="s">
        <v>291</v>
      </c>
      <c r="F28" s="183" t="s">
        <v>347</v>
      </c>
      <c r="G28" s="64" t="str">
        <f t="shared" si="0"/>
        <v>[effect:enemy_message, val2:2.5]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 t="e">
        <f t="shared" si="4"/>
        <v>#VALUE!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 xml:space="preserve">[effect:change_panel_ratio, turn:-1, block_type:red, val:0.4, animation:block_incidence04],[effect:drop_block, block_type:time_bomb, block_color:block_red, color:block_red, val:0.1, rate:0.5, turn:-1, min_time_count:3, max_time_count:3, animation:time_bomb_influence04]    </v>
      </c>
      <c r="N28" s="48" t="str">
        <f t="shared" si="31"/>
        <v xml:space="preserve">[effect:change_panel_ratio, turn:-1, block_type:red, val:0.4, animation:block_incidence04],[effect:drop_block, block_type:time_bomb, block_color:block_red, color:block_red, val:0.1, rate:0.5, turn:-1, min_time_count:3, max_time_count:3, animation:time_bomb_influence04]    </v>
      </c>
      <c r="O28" s="64">
        <f t="shared" si="6"/>
        <v>9</v>
      </c>
      <c r="P28" s="64">
        <f t="shared" si="7"/>
        <v>27</v>
      </c>
      <c r="Q28" s="64" t="e">
        <f t="shared" si="8"/>
        <v>#VALUE!</v>
      </c>
      <c r="R28" s="64">
        <f t="shared" si="9"/>
        <v>36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 xml:space="preserve">[effect:drop_block, block_type:time_bomb, block_color:block_red, color:block_red, val:0.1, rate:0.5, turn:-1, min_time_count:3, max_time_count:3, animation:time_bomb_influence04]    </v>
      </c>
      <c r="U28" s="64">
        <f t="shared" si="11"/>
        <v>9</v>
      </c>
      <c r="V28" s="64">
        <f t="shared" si="12"/>
        <v>19</v>
      </c>
      <c r="W28" s="64" t="e">
        <f t="shared" si="13"/>
        <v>#VALUE!</v>
      </c>
      <c r="X28" s="64">
        <f t="shared" si="14"/>
        <v>41</v>
      </c>
      <c r="Y28" s="64" t="str">
        <f>IFERROR(VLOOKUP(MID(T28,W28,X28-W28),[6]skilldef!$C:$D,2,FALSE),"-") &amp; " / " &amp; IFERROR(VLOOKUP(MID(T28,U28,V28-U28),[6]skilldef!$A:$B,2,FALSE),"-")</f>
        <v>- / 特定ブロックの割合ドロップ</v>
      </c>
      <c r="Z28" s="50"/>
      <c r="AA28" s="52"/>
      <c r="AB28" s="50"/>
    </row>
    <row r="29" spans="1:28" ht="21" customHeight="1" x14ac:dyDescent="0.15">
      <c r="A29" s="47">
        <v>40028028</v>
      </c>
      <c r="B29" s="47" t="s">
        <v>277</v>
      </c>
      <c r="C29" s="50">
        <v>3</v>
      </c>
      <c r="D29" s="50" t="s">
        <v>126</v>
      </c>
      <c r="E29" s="108" t="s">
        <v>316</v>
      </c>
      <c r="F29" s="51" t="s">
        <v>338</v>
      </c>
      <c r="G29" s="64" t="str">
        <f t="shared" si="0"/>
        <v>[effect:break_attack_fix, target:unit_all, val:50, lowest_val:2000, count:-1, color:red, block01:block_red, block02:block_heart]</v>
      </c>
      <c r="H29" s="64">
        <f t="shared" si="1"/>
        <v>9</v>
      </c>
      <c r="I29" s="64">
        <f t="shared" si="2"/>
        <v>25</v>
      </c>
      <c r="J29" s="64">
        <f t="shared" si="3"/>
        <v>34</v>
      </c>
      <c r="K29" s="64">
        <f t="shared" si="4"/>
        <v>42</v>
      </c>
      <c r="L29" s="64" t="str">
        <f>IFERROR(VLOOKUP(MID(G29,J29,K29-J29),[6]skilldef!$C:$D,2,FALSE),"-") &amp; " / " &amp; IFERROR(VLOOKUP(MID(G29,H29,I29-H29),[6]skilldef!$A:$B,2,FALSE),"-")</f>
        <v>味方全体に / -</v>
      </c>
      <c r="M29" s="64" t="str">
        <f t="shared" si="5"/>
        <v>none</v>
      </c>
      <c r="N29" s="48" t="str">
        <f t="shared" si="31"/>
        <v>none</v>
      </c>
      <c r="O29" s="64" t="e">
        <f t="shared" si="6"/>
        <v>#VALUE!</v>
      </c>
      <c r="P29" s="64">
        <f t="shared" si="7"/>
        <v>4</v>
      </c>
      <c r="Q29" s="64" t="e">
        <f t="shared" si="8"/>
        <v>#VALUE!</v>
      </c>
      <c r="R29" s="64" t="e">
        <f t="shared" si="9"/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si="10"/>
        <v>none</v>
      </c>
      <c r="U29" s="64" t="e">
        <f t="shared" si="11"/>
        <v>#VALUE!</v>
      </c>
      <c r="V29" s="64">
        <f t="shared" si="12"/>
        <v>4</v>
      </c>
      <c r="W29" s="64" t="e">
        <f t="shared" si="13"/>
        <v>#VALUE!</v>
      </c>
      <c r="X29" s="64" t="e">
        <f t="shared" si="14"/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s="131" customFormat="1" ht="21" customHeight="1" thickBot="1" x14ac:dyDescent="0.2">
      <c r="A30" s="47">
        <v>40028029</v>
      </c>
      <c r="B30" s="115" t="s">
        <v>365</v>
      </c>
      <c r="C30" s="50">
        <v>3</v>
      </c>
      <c r="D30" s="127" t="s">
        <v>126</v>
      </c>
      <c r="E30" s="108" t="s">
        <v>292</v>
      </c>
      <c r="F30" s="128" t="s">
        <v>394</v>
      </c>
      <c r="G30" s="129" t="str">
        <f t="shared" si="0"/>
        <v>[effect:enemy_message, val2:2.5]</v>
      </c>
      <c r="H30" s="129">
        <f t="shared" si="1"/>
        <v>9</v>
      </c>
      <c r="I30" s="129">
        <f t="shared" si="2"/>
        <v>22</v>
      </c>
      <c r="J30" s="129" t="e">
        <f t="shared" si="3"/>
        <v>#VALUE!</v>
      </c>
      <c r="K30" s="129" t="e">
        <f t="shared" si="4"/>
        <v>#VALUE!</v>
      </c>
      <c r="L30" s="129" t="str">
        <f>IFERROR(VLOOKUP(MID(G30,J30,K30-J30),[6]skilldef!$C:$D,2,FALSE),"-") &amp; " / " &amp; IFERROR(VLOOKUP(MID(G30,H30,I30-H30),[6]skilldef!$A:$B,2,FALSE),"-")</f>
        <v>- / -</v>
      </c>
      <c r="M30" s="129" t="str">
        <f t="shared" si="5"/>
        <v xml:space="preserve">[effect:rush, count:6, val:0.2],[effect:enhance_enemy, target:myself, turn:1, status:attack, val:0.3, calc:mul, animation:enemy_enhance_attack],[effect:force_change_block, new_block:block_red, target:block_yellow, count:5, val:0, animation:change_block] </v>
      </c>
      <c r="N30" s="117" t="str">
        <f t="shared" si="31"/>
        <v xml:space="preserve">[effect:rush, count:6, val:0.2],[effect:enhance_enemy, target:myself, turn:1, status:attack, val:0.3, calc:mul, animation:enemy_enhance_attack],[effect:force_change_block, new_block:block_red, target:block_yellow, count:5, val:0, animation:change_block] </v>
      </c>
      <c r="O30" s="129">
        <f t="shared" si="6"/>
        <v>9</v>
      </c>
      <c r="P30" s="129">
        <f t="shared" si="7"/>
        <v>13</v>
      </c>
      <c r="Q30" s="129">
        <f t="shared" si="8"/>
        <v>63</v>
      </c>
      <c r="R30" s="129">
        <f t="shared" si="9"/>
        <v>22</v>
      </c>
      <c r="S30" s="129" t="str">
        <f>IFERROR(VLOOKUP(MID(N30,Q30,R30-Q30),[6]skilldef!$C:$D,2,FALSE),"-") &amp; " / " &amp; IFERROR(VLOOKUP(MID(N30,O30,P30-O30),[6]skilldef!$A:$B,2,FALSE),"-")</f>
        <v>- / 連続攻撃</v>
      </c>
      <c r="T30" s="117" t="str">
        <f t="shared" si="10"/>
        <v xml:space="preserve">[effect:enhance_enemy, target:myself, turn:1, status:attack, val:0.3, calc:mul, animation:enemy_enhance_attack],[effect:force_change_block, new_block:block_red, target:block_yellow, count:5, val:0, animation:change_block] </v>
      </c>
      <c r="U30" s="129">
        <f t="shared" si="11"/>
        <v>9</v>
      </c>
      <c r="V30" s="129">
        <f t="shared" si="12"/>
        <v>22</v>
      </c>
      <c r="W30" s="129">
        <f t="shared" si="13"/>
        <v>31</v>
      </c>
      <c r="X30" s="129">
        <f t="shared" si="14"/>
        <v>37</v>
      </c>
      <c r="Y30" s="129" t="str">
        <f>IFERROR(VLOOKUP(MID(T30,W30,X30-W30),[6]skilldef!$C:$D,2,FALSE),"-") &amp; " / " &amp; IFERROR(VLOOKUP(MID(T30,U30,V30-U30),[6]skilldef!$A:$B,2,FALSE),"-")</f>
        <v>自分自身に / ステータス強化</v>
      </c>
      <c r="Z30" s="127"/>
      <c r="AA30" s="130"/>
      <c r="AB30" s="127"/>
    </row>
    <row r="31" spans="1:28" ht="21" customHeight="1" thickTop="1" x14ac:dyDescent="0.15">
      <c r="A31" s="47">
        <v>40028030</v>
      </c>
      <c r="B31" s="111" t="s">
        <v>262</v>
      </c>
      <c r="C31" s="50">
        <v>3</v>
      </c>
      <c r="D31" s="123" t="s">
        <v>126</v>
      </c>
      <c r="E31" s="108" t="s">
        <v>301</v>
      </c>
      <c r="F31" s="124" t="s">
        <v>339</v>
      </c>
      <c r="G31" s="125" t="str">
        <f t="shared" si="0"/>
        <v>[effect:tolerance, target:myself, turn:-1, tolerance_effect:all, count:-1, animation:enemy_tolerance]</v>
      </c>
      <c r="H31" s="125">
        <f t="shared" si="1"/>
        <v>9</v>
      </c>
      <c r="I31" s="125">
        <f t="shared" si="2"/>
        <v>18</v>
      </c>
      <c r="J31" s="125">
        <f t="shared" si="3"/>
        <v>27</v>
      </c>
      <c r="K31" s="125">
        <f t="shared" si="4"/>
        <v>33</v>
      </c>
      <c r="L31" s="125" t="str">
        <f>IFERROR(VLOOKUP(MID(G31,J31,K31-J31),[6]skilldef!$C:$D,2,FALSE),"-") &amp; " / " &amp; IFERROR(VLOOKUP(MID(G31,H31,I31-H31),[6]skilldef!$A:$B,2,FALSE),"-")</f>
        <v>自分自身に / 状態異常耐性</v>
      </c>
      <c r="M31" s="125" t="str">
        <f t="shared" si="5"/>
        <v>none</v>
      </c>
      <c r="N31" s="113" t="str">
        <f>IFERROR(LEFT(M31,FIND("],",M31)+#REF!),M31)</f>
        <v>none</v>
      </c>
      <c r="O31" s="125" t="e">
        <f t="shared" si="6"/>
        <v>#VALUE!</v>
      </c>
      <c r="P31" s="125">
        <f t="shared" si="7"/>
        <v>4</v>
      </c>
      <c r="Q31" s="125" t="e">
        <f t="shared" si="8"/>
        <v>#VALUE!</v>
      </c>
      <c r="R31" s="125" t="e">
        <f t="shared" si="9"/>
        <v>#VALUE!</v>
      </c>
      <c r="S31" s="125" t="str">
        <f>IFERROR(VLOOKUP(MID(N31,Q31,R31-Q31),[6]skilldef!$C:$D,2,FALSE),"-") &amp; " / " &amp; IFERROR(VLOOKUP(MID(N31,O31,P31-O31),[6]skilldef!$A:$B,2,FALSE),"-")</f>
        <v>- / -</v>
      </c>
      <c r="T31" s="113" t="str">
        <f t="shared" si="10"/>
        <v>none</v>
      </c>
      <c r="U31" s="125" t="e">
        <f t="shared" si="11"/>
        <v>#VALUE!</v>
      </c>
      <c r="V31" s="125">
        <f t="shared" si="12"/>
        <v>4</v>
      </c>
      <c r="W31" s="125" t="e">
        <f t="shared" si="13"/>
        <v>#VALUE!</v>
      </c>
      <c r="X31" s="125" t="e">
        <f t="shared" si="14"/>
        <v>#VALUE!</v>
      </c>
      <c r="Y31" s="125" t="str">
        <f>IFERROR(VLOOKUP(MID(T31,W31,X31-W31),[6]skilldef!$C:$D,2,FALSE),"-") &amp; " / " &amp; IFERROR(VLOOKUP(MID(T31,U31,V31-U31),[6]skilldef!$A:$B,2,FALSE),"-")</f>
        <v>- / -</v>
      </c>
      <c r="Z31" s="123"/>
      <c r="AA31" s="126"/>
      <c r="AB31" s="123"/>
    </row>
    <row r="32" spans="1:28" ht="21" customHeight="1" x14ac:dyDescent="0.15">
      <c r="A32" s="47">
        <v>40028031</v>
      </c>
      <c r="B32" s="47" t="s">
        <v>261</v>
      </c>
      <c r="C32" s="50">
        <v>3</v>
      </c>
      <c r="D32" s="50" t="s">
        <v>126</v>
      </c>
      <c r="E32" s="108" t="s">
        <v>302</v>
      </c>
      <c r="F32" s="183" t="s">
        <v>392</v>
      </c>
      <c r="G32" s="64" t="str">
        <f t="shared" si="0"/>
        <v>[effect:force_change_block, new_block:jammer, target:block_all, count:0, val:0, animation:change_block]</v>
      </c>
      <c r="H32" s="64">
        <f t="shared" si="1"/>
        <v>9</v>
      </c>
      <c r="I32" s="64">
        <f t="shared" si="2"/>
        <v>27</v>
      </c>
      <c r="J32" s="64">
        <f t="shared" si="3"/>
        <v>54</v>
      </c>
      <c r="K32" s="64">
        <f t="shared" si="4"/>
        <v>45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5"/>
        <v xml:space="preserve">[effect:force_change_block, new_block:block_blue, target:jammer, count:10, val:0, animation:change_block],[effect:force_change_block, new_block:block_red, target:jammer, count:10, val:0, animation:change_block],[effect:force_change_block, new_block:block_yellow, target:jammer, count:10, val:0, animation:change_block],[effect:force_change_block, new_block:block_green, target:jammer, count:0, val:0, animation:change_block]    </v>
      </c>
      <c r="N32" s="48" t="str">
        <f>IFERROR(LEFT(M32,FIND("],",M32)+#REF!),M32)</f>
        <v xml:space="preserve">[effect:force_change_block, new_block:block_blue, target:jammer, count:10, val:0, animation:change_block],[effect:force_change_block, new_block:block_red, target:jammer, count:10, val:0, animation:change_block],[effect:force_change_block, new_block:block_yellow, target:jammer, count:10, val:0, animation:change_block],[effect:force_change_block, new_block:block_green, target:jammer, count:0, val:0, animation:change_block]    </v>
      </c>
      <c r="O32" s="64">
        <f t="shared" si="6"/>
        <v>9</v>
      </c>
      <c r="P32" s="64">
        <f t="shared" si="7"/>
        <v>27</v>
      </c>
      <c r="Q32" s="64">
        <f t="shared" si="8"/>
        <v>58</v>
      </c>
      <c r="R32" s="64">
        <f t="shared" si="9"/>
        <v>49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10"/>
        <v xml:space="preserve">[effect:force_change_block, new_block:block_red, target:jammer, count:10, val:0, animation:change_block],[effect:force_change_block, new_block:block_yellow, target:jammer, count:10, val:0, animation:change_block],[effect:force_change_block, new_block:block_green, target:jammer, count:0, val:0, animation:change_block]    </v>
      </c>
      <c r="U32" s="64">
        <f t="shared" si="11"/>
        <v>9</v>
      </c>
      <c r="V32" s="64">
        <f t="shared" si="12"/>
        <v>27</v>
      </c>
      <c r="W32" s="64">
        <f t="shared" si="13"/>
        <v>57</v>
      </c>
      <c r="X32" s="64">
        <f t="shared" si="14"/>
        <v>48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40028032</v>
      </c>
      <c r="B33" s="47" t="s">
        <v>397</v>
      </c>
      <c r="C33" s="50">
        <v>3</v>
      </c>
      <c r="D33" s="50" t="s">
        <v>126</v>
      </c>
      <c r="E33" s="108" t="s">
        <v>313</v>
      </c>
      <c r="F33" s="51" t="s">
        <v>361</v>
      </c>
      <c r="G33" s="64" t="str">
        <f t="shared" si="0"/>
        <v>[effect:force_change_block, new_block:time_bomb, target:block_all, ignore01:block_positive, ignore02:block_negative, ignore03:block_blue, count:3, val:0.3]</v>
      </c>
      <c r="H33" s="64">
        <f t="shared" si="1"/>
        <v>9</v>
      </c>
      <c r="I33" s="64">
        <f t="shared" si="2"/>
        <v>27</v>
      </c>
      <c r="J33" s="64">
        <f t="shared" si="3"/>
        <v>57</v>
      </c>
      <c r="K33" s="64">
        <f t="shared" si="4"/>
        <v>48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si="5"/>
        <v>[effect:rush, count:1, val:1]</v>
      </c>
      <c r="N33" s="48" t="str">
        <f>IFERROR(LEFT(M33,FIND("],",M33)+S41),M33)</f>
        <v>[effect:rush, count:1, val:1]</v>
      </c>
      <c r="O33" s="64">
        <f t="shared" si="6"/>
        <v>9</v>
      </c>
      <c r="P33" s="64">
        <f t="shared" si="7"/>
        <v>13</v>
      </c>
      <c r="Q33" s="64" t="e">
        <f t="shared" si="8"/>
        <v>#VALUE!</v>
      </c>
      <c r="R33" s="64">
        <f t="shared" si="9"/>
        <v>22</v>
      </c>
      <c r="S33" s="64" t="str">
        <f>IFERROR(VLOOKUP(MID(N33,Q33,R33-Q33),[6]skilldef!$C:$D,2,FALSE),"-") &amp; " / " &amp; IFERROR(VLOOKUP(MID(N33,O33,P33-O33),[6]skilldef!$A:$B,2,FALSE),"-")</f>
        <v>- / 連続攻撃</v>
      </c>
      <c r="T33" s="48" t="str">
        <f t="shared" si="10"/>
        <v>none</v>
      </c>
      <c r="U33" s="64" t="e">
        <f t="shared" si="11"/>
        <v>#VALUE!</v>
      </c>
      <c r="V33" s="64">
        <f t="shared" si="12"/>
        <v>4</v>
      </c>
      <c r="W33" s="64" t="e">
        <f t="shared" si="13"/>
        <v>#VALUE!</v>
      </c>
      <c r="X33" s="64" t="e">
        <f t="shared" si="14"/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40028033</v>
      </c>
      <c r="B34" s="47" t="s">
        <v>363</v>
      </c>
      <c r="C34" s="50">
        <v>3</v>
      </c>
      <c r="D34" s="50" t="s">
        <v>126</v>
      </c>
      <c r="E34" s="108" t="s">
        <v>317</v>
      </c>
      <c r="F34" s="51" t="s">
        <v>362</v>
      </c>
      <c r="G34" s="64" t="str">
        <f t="shared" si="0"/>
        <v xml:space="preserve">[effect:break_attack_fix, target:unit_all, val:300, lowest_val:2000, count:15, color:yellow, block01:block_yellow]    </v>
      </c>
      <c r="H34" s="64">
        <f t="shared" si="1"/>
        <v>9</v>
      </c>
      <c r="I34" s="64">
        <f t="shared" si="2"/>
        <v>25</v>
      </c>
      <c r="J34" s="64">
        <f t="shared" si="3"/>
        <v>34</v>
      </c>
      <c r="K34" s="64">
        <f t="shared" si="4"/>
        <v>42</v>
      </c>
      <c r="L34" s="64" t="str">
        <f>IFERROR(VLOOKUP(MID(G34,J34,K34-J34),[6]skilldef!$C:$D,2,FALSE),"-") &amp; " / " &amp; IFERROR(VLOOKUP(MID(G34,H34,I34-H34),[6]skilldef!$A:$B,2,FALSE),"-")</f>
        <v>味方全体に / -</v>
      </c>
      <c r="M34" s="64" t="str">
        <f t="shared" si="5"/>
        <v>none</v>
      </c>
      <c r="N34" s="48" t="str">
        <f>IFERROR(LEFT(M34,FIND("],",M34)+S42),M34)</f>
        <v>none</v>
      </c>
      <c r="O34" s="64" t="e">
        <f t="shared" si="6"/>
        <v>#VALUE!</v>
      </c>
      <c r="P34" s="64">
        <f t="shared" si="7"/>
        <v>4</v>
      </c>
      <c r="Q34" s="64" t="e">
        <f t="shared" si="8"/>
        <v>#VALUE!</v>
      </c>
      <c r="R34" s="64" t="e">
        <f t="shared" si="9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none</v>
      </c>
      <c r="U34" s="64" t="e">
        <f t="shared" si="11"/>
        <v>#VALUE!</v>
      </c>
      <c r="V34" s="64">
        <f t="shared" si="12"/>
        <v>4</v>
      </c>
      <c r="W34" s="64" t="e">
        <f t="shared" si="13"/>
        <v>#VALUE!</v>
      </c>
      <c r="X34" s="64" t="e">
        <f t="shared" si="14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40028034</v>
      </c>
      <c r="B35" s="47" t="s">
        <v>263</v>
      </c>
      <c r="C35" s="50">
        <v>3</v>
      </c>
      <c r="D35" s="50" t="s">
        <v>126</v>
      </c>
      <c r="E35" s="108" t="s">
        <v>312</v>
      </c>
      <c r="F35" s="51" t="s">
        <v>340</v>
      </c>
      <c r="G35" s="64" t="str">
        <f t="shared" si="0"/>
        <v>[effect:panel_freeze, target:normal, color:block_red, count:-1, break_count:1]</v>
      </c>
      <c r="H35" s="64">
        <f t="shared" si="1"/>
        <v>9</v>
      </c>
      <c r="I35" s="64">
        <f t="shared" si="2"/>
        <v>21</v>
      </c>
      <c r="J35" s="64">
        <f t="shared" si="3"/>
        <v>30</v>
      </c>
      <c r="K35" s="64">
        <f t="shared" si="4"/>
        <v>36</v>
      </c>
      <c r="L35" s="64" t="str">
        <f>IFERROR(VLOOKUP(MID(G35,J35,K35-J35),[6]skilldef!$C:$D,2,FALSE),"-") &amp; " / " &amp; IFERROR(VLOOKUP(MID(G35,H35,I35-H35),[6]skilldef!$A:$B,2,FALSE),"-")</f>
        <v>- / -</v>
      </c>
      <c r="M35" s="64" t="str">
        <f t="shared" si="5"/>
        <v xml:space="preserve">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N35" s="48" t="str">
        <f>IFERROR(LEFT(M35,FIND("],",M35)+#REF!),M35)</f>
        <v xml:space="preserve">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O35" s="64">
        <f t="shared" si="6"/>
        <v>9</v>
      </c>
      <c r="P35" s="64">
        <f t="shared" si="7"/>
        <v>21</v>
      </c>
      <c r="Q35" s="64">
        <f t="shared" si="8"/>
        <v>30</v>
      </c>
      <c r="R35" s="64">
        <f t="shared" si="9"/>
        <v>36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 xml:space="preserve">[effect:panel_freeze, target:normal, color:block_yellow, count:-1, break_count:1],[effect:panel_freeze, target:normal, color:block_green, count:-1, break_count:1],[effect:panel_freeze, target:normal, color:block_heart, count:-1, break_count:1]    </v>
      </c>
      <c r="U35" s="64">
        <f t="shared" si="11"/>
        <v>9</v>
      </c>
      <c r="V35" s="64">
        <f t="shared" si="12"/>
        <v>21</v>
      </c>
      <c r="W35" s="64">
        <f t="shared" si="13"/>
        <v>30</v>
      </c>
      <c r="X35" s="64">
        <f t="shared" si="14"/>
        <v>36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40028035</v>
      </c>
      <c r="B36" s="47" t="s">
        <v>254</v>
      </c>
      <c r="C36" s="50">
        <v>3</v>
      </c>
      <c r="D36" s="50" t="s">
        <v>126</v>
      </c>
      <c r="E36" s="185" t="s">
        <v>315</v>
      </c>
      <c r="F36" s="51" t="s">
        <v>341</v>
      </c>
      <c r="G36" s="64" t="str">
        <f t="shared" ref="G36:G40" si="32">IFERROR(LEFT(B36,FIND("],",B36)),B36)</f>
        <v>[effect:critical, val:2]</v>
      </c>
      <c r="H36" s="64">
        <f t="shared" si="1"/>
        <v>9</v>
      </c>
      <c r="I36" s="64">
        <f t="shared" ref="I36:I40" si="33">IFERROR(FIND(",",G36),LEN(G36))</f>
        <v>17</v>
      </c>
      <c r="J36" s="64" t="e">
        <f t="shared" ref="J36:J40" si="34">FIND("target:",G36)+7</f>
        <v>#VALUE!</v>
      </c>
      <c r="K36" s="64" t="e">
        <f t="shared" ref="K36:K40" si="35">FIND(",",G36,I36+1)</f>
        <v>#VALUE!</v>
      </c>
      <c r="L36" s="64" t="str">
        <f>IFERROR(VLOOKUP(MID(G36,J36,K36-J36),[6]skilldef!$C:$D,2,FALSE),"-") &amp; " / " &amp; IFERROR(VLOOKUP(MID(G36,H36,I36-H36),[6]skilldef!$A:$B,2,FALSE),"-")</f>
        <v>- / 大攻撃</v>
      </c>
      <c r="M36" s="64" t="str">
        <f t="shared" ref="M36:M40" si="36">IFERROR(RIGHT(B36,LEN(B36)-FIND("],",B36)-1),"none")</f>
        <v>none</v>
      </c>
      <c r="N36" s="48" t="str">
        <f>IFERROR(LEFT(M36,FIND("],",M36)+S43),M36)</f>
        <v>none</v>
      </c>
      <c r="O36" s="64" t="e">
        <f t="shared" si="6"/>
        <v>#VALUE!</v>
      </c>
      <c r="P36" s="64">
        <f t="shared" ref="P36:P40" si="37">IFERROR(FIND(",",N36),LEN(N36))</f>
        <v>4</v>
      </c>
      <c r="Q36" s="64" t="e">
        <f t="shared" ref="Q36:Q40" si="38">FIND("target:",N36)+7</f>
        <v>#VALUE!</v>
      </c>
      <c r="R36" s="64" t="e">
        <f t="shared" ref="R36:R40" si="39">FIND(",",N36,P36+1)</f>
        <v>#VALUE!</v>
      </c>
      <c r="S36" s="64" t="str">
        <f>IFERROR(VLOOKUP(MID(N36,Q36,R36-Q36),[6]skilldef!$C:$D,2,FALSE),"-") &amp; " / " &amp; IFERROR(VLOOKUP(MID(N36,O36,P36-O36),[6]skilldef!$A:$B,2,FALSE),"-")</f>
        <v>- / -</v>
      </c>
      <c r="T36" s="48" t="str">
        <f t="shared" ref="T36:T40" si="40">IFERROR(RIGHT(M36,LEN(M36)-FIND("],",M36)-1),"none")</f>
        <v>none</v>
      </c>
      <c r="U36" s="64" t="e">
        <f t="shared" si="11"/>
        <v>#VALUE!</v>
      </c>
      <c r="V36" s="64">
        <f t="shared" ref="V36:V40" si="41">IFERROR(FIND(",",T36),LEN(T36))</f>
        <v>4</v>
      </c>
      <c r="W36" s="64" t="e">
        <f t="shared" ref="W36:W40" si="42">FIND("target:",T36)+7</f>
        <v>#VALUE!</v>
      </c>
      <c r="X36" s="64" t="e">
        <f t="shared" ref="X36:X40" si="43">FIND(",",T36,V36+1)</f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40028036</v>
      </c>
      <c r="B37" s="47" t="s">
        <v>263</v>
      </c>
      <c r="C37" s="50">
        <v>3</v>
      </c>
      <c r="D37" s="50" t="s">
        <v>126</v>
      </c>
      <c r="E37" s="108" t="s">
        <v>314</v>
      </c>
      <c r="F37" s="51" t="s">
        <v>340</v>
      </c>
      <c r="G37" s="64" t="str">
        <f t="shared" si="32"/>
        <v>[effect:panel_freeze, target:normal, color:block_red, count:-1, break_count:1]</v>
      </c>
      <c r="H37" s="64">
        <f t="shared" si="1"/>
        <v>9</v>
      </c>
      <c r="I37" s="64">
        <f t="shared" si="33"/>
        <v>21</v>
      </c>
      <c r="J37" s="64">
        <f t="shared" si="34"/>
        <v>30</v>
      </c>
      <c r="K37" s="64">
        <f t="shared" si="35"/>
        <v>36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si="36"/>
        <v xml:space="preserve">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N37" s="48" t="str">
        <f>IFERROR(LEFT(M37,FIND("],",M37)+S44),M37)</f>
        <v xml:space="preserve">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O37" s="64">
        <f t="shared" si="6"/>
        <v>9</v>
      </c>
      <c r="P37" s="64">
        <f t="shared" si="37"/>
        <v>21</v>
      </c>
      <c r="Q37" s="64">
        <f t="shared" si="38"/>
        <v>30</v>
      </c>
      <c r="R37" s="64">
        <f t="shared" si="39"/>
        <v>36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40"/>
        <v xml:space="preserve">[effect:panel_freeze, target:normal, color:block_yellow, count:-1, break_count:1],[effect:panel_freeze, target:normal, color:block_green, count:-1, break_count:1],[effect:panel_freeze, target:normal, color:block_heart, count:-1, break_count:1]    </v>
      </c>
      <c r="U37" s="64">
        <f t="shared" si="11"/>
        <v>9</v>
      </c>
      <c r="V37" s="64">
        <f t="shared" si="41"/>
        <v>21</v>
      </c>
      <c r="W37" s="64">
        <f t="shared" si="42"/>
        <v>30</v>
      </c>
      <c r="X37" s="64">
        <f t="shared" si="43"/>
        <v>36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40028037</v>
      </c>
      <c r="B38" s="47" t="s">
        <v>254</v>
      </c>
      <c r="C38" s="50">
        <v>3</v>
      </c>
      <c r="D38" s="50" t="s">
        <v>126</v>
      </c>
      <c r="E38" s="108" t="s">
        <v>318</v>
      </c>
      <c r="F38" s="51" t="s">
        <v>341</v>
      </c>
      <c r="G38" s="64" t="str">
        <f t="shared" si="32"/>
        <v>[effect:critical, val:2]</v>
      </c>
      <c r="H38" s="64">
        <f t="shared" si="1"/>
        <v>9</v>
      </c>
      <c r="I38" s="64">
        <f t="shared" si="33"/>
        <v>17</v>
      </c>
      <c r="J38" s="64" t="e">
        <f t="shared" si="34"/>
        <v>#VALUE!</v>
      </c>
      <c r="K38" s="64" t="e">
        <f t="shared" si="35"/>
        <v>#VALUE!</v>
      </c>
      <c r="L38" s="64" t="str">
        <f>IFERROR(VLOOKUP(MID(G38,J38,K38-J38),[6]skilldef!$C:$D,2,FALSE),"-") &amp; " / " &amp; IFERROR(VLOOKUP(MID(G38,H38,I38-H38),[6]skilldef!$A:$B,2,FALSE),"-")</f>
        <v>- / 大攻撃</v>
      </c>
      <c r="M38" s="64" t="str">
        <f t="shared" si="36"/>
        <v>none</v>
      </c>
      <c r="N38" s="48" t="str">
        <f>IFERROR(LEFT(M38,FIND("],",M38)+S45),M38)</f>
        <v>none</v>
      </c>
      <c r="O38" s="64" t="e">
        <f t="shared" si="6"/>
        <v>#VALUE!</v>
      </c>
      <c r="P38" s="64">
        <f t="shared" si="37"/>
        <v>4</v>
      </c>
      <c r="Q38" s="64" t="e">
        <f t="shared" si="38"/>
        <v>#VALUE!</v>
      </c>
      <c r="R38" s="64" t="e">
        <f t="shared" si="39"/>
        <v>#VALUE!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si="40"/>
        <v>none</v>
      </c>
      <c r="U38" s="64" t="e">
        <f t="shared" si="11"/>
        <v>#VALUE!</v>
      </c>
      <c r="V38" s="64">
        <f t="shared" si="41"/>
        <v>4</v>
      </c>
      <c r="W38" s="64" t="e">
        <f t="shared" si="42"/>
        <v>#VALUE!</v>
      </c>
      <c r="X38" s="64" t="e">
        <f t="shared" si="43"/>
        <v>#VALUE!</v>
      </c>
      <c r="Y38" s="64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40028038</v>
      </c>
      <c r="B39" s="47" t="s">
        <v>369</v>
      </c>
      <c r="C39" s="50">
        <v>3</v>
      </c>
      <c r="D39" s="50" t="s">
        <v>126</v>
      </c>
      <c r="E39" s="108" t="s">
        <v>293</v>
      </c>
      <c r="F39" s="183" t="s">
        <v>279</v>
      </c>
      <c r="G39" s="64" t="str">
        <f t="shared" si="32"/>
        <v>[effect:enemy_message, val1:1.3]</v>
      </c>
      <c r="H39" s="64">
        <f t="shared" si="1"/>
        <v>9</v>
      </c>
      <c r="I39" s="64">
        <f t="shared" si="33"/>
        <v>22</v>
      </c>
      <c r="J39" s="64" t="e">
        <f t="shared" si="34"/>
        <v>#VALUE!</v>
      </c>
      <c r="K39" s="64" t="e">
        <f t="shared" si="35"/>
        <v>#VALUE!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36"/>
        <v xml:space="preserve">[effect:panel_freeze, target:normal, color:block_red, count:-1, break_count:1],[effect:panel_freeze,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N39" s="48" t="str">
        <f>IFERROR(LEFT(M39,FIND("],",M39)+#REF!),M39)</f>
        <v xml:space="preserve">[effect:panel_freeze, target:normal, color:block_red, count:-1, break_count:1],[effect:panel_freeze,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O39" s="64">
        <f t="shared" si="6"/>
        <v>9</v>
      </c>
      <c r="P39" s="64">
        <f t="shared" si="37"/>
        <v>21</v>
      </c>
      <c r="Q39" s="64">
        <f t="shared" si="38"/>
        <v>30</v>
      </c>
      <c r="R39" s="64">
        <f t="shared" si="39"/>
        <v>36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40"/>
        <v xml:space="preserve">[effect:panel_freeze, target:normal, color:block_blue, count:-1, break_count:1],[effect:panel_freeze, target:normal, color:block_yellow, count:-1, break_count:1],[effect:panel_freeze, target:normal, color:block_green, count:-1, break_count:1],[effect:panel_freeze, target:normal, color:block_heart, count:-1, break_count:1]    </v>
      </c>
      <c r="U39" s="64">
        <f t="shared" si="11"/>
        <v>9</v>
      </c>
      <c r="V39" s="64">
        <f t="shared" si="41"/>
        <v>21</v>
      </c>
      <c r="W39" s="64">
        <f t="shared" si="42"/>
        <v>30</v>
      </c>
      <c r="X39" s="64">
        <f t="shared" si="43"/>
        <v>36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s="131" customFormat="1" ht="21" customHeight="1" thickBot="1" x14ac:dyDescent="0.2">
      <c r="A40" s="115">
        <v>40028039</v>
      </c>
      <c r="B40" s="115" t="s">
        <v>398</v>
      </c>
      <c r="C40" s="50">
        <v>3</v>
      </c>
      <c r="D40" s="127" t="s">
        <v>126</v>
      </c>
      <c r="E40" s="198" t="s">
        <v>303</v>
      </c>
      <c r="F40" s="128" t="s">
        <v>294</v>
      </c>
      <c r="G40" s="129" t="str">
        <f t="shared" si="32"/>
        <v>[effect:critical, val:200]</v>
      </c>
      <c r="H40" s="129">
        <f t="shared" si="1"/>
        <v>9</v>
      </c>
      <c r="I40" s="129">
        <f t="shared" si="33"/>
        <v>17</v>
      </c>
      <c r="J40" s="129" t="e">
        <f t="shared" si="34"/>
        <v>#VALUE!</v>
      </c>
      <c r="K40" s="129" t="e">
        <f t="shared" si="35"/>
        <v>#VALUE!</v>
      </c>
      <c r="L40" s="129" t="str">
        <f>IFERROR(VLOOKUP(MID(G40,J40,K40-J40),[6]skilldef!$C:$D,2,FALSE),"-") &amp; " / " &amp; IFERROR(VLOOKUP(MID(G40,H40,I40-H40),[6]skilldef!$A:$B,2,FALSE),"-")</f>
        <v>- / 大攻撃</v>
      </c>
      <c r="M40" s="129" t="str">
        <f t="shared" si="36"/>
        <v>[effect:force_change_block, new_block:crack_bomb, target:block_all, count:10, val:30]</v>
      </c>
      <c r="N40" s="117" t="str">
        <f>IFERROR(LEFT(M40,FIND("],",M40)+S46),M40)</f>
        <v>[effect:force_change_block, new_block:crack_bomb, target:block_all, count:10, val:30]</v>
      </c>
      <c r="O40" s="129">
        <f t="shared" si="6"/>
        <v>9</v>
      </c>
      <c r="P40" s="129">
        <f t="shared" si="37"/>
        <v>27</v>
      </c>
      <c r="Q40" s="129">
        <f t="shared" si="38"/>
        <v>58</v>
      </c>
      <c r="R40" s="129">
        <f t="shared" si="39"/>
        <v>49</v>
      </c>
      <c r="S40" s="129" t="str">
        <f>IFERROR(VLOOKUP(MID(N40,Q40,R40-Q40),[6]skilldef!$C:$D,2,FALSE),"-") &amp; " / " &amp; IFERROR(VLOOKUP(MID(N40,O40,P40-O40),[6]skilldef!$A:$B,2,FALSE),"-")</f>
        <v>- / -</v>
      </c>
      <c r="T40" s="117" t="str">
        <f t="shared" si="40"/>
        <v>none</v>
      </c>
      <c r="U40" s="129" t="e">
        <f t="shared" si="11"/>
        <v>#VALUE!</v>
      </c>
      <c r="V40" s="129">
        <f t="shared" si="41"/>
        <v>4</v>
      </c>
      <c r="W40" s="129" t="e">
        <f t="shared" si="42"/>
        <v>#VALUE!</v>
      </c>
      <c r="X40" s="129" t="e">
        <f t="shared" si="43"/>
        <v>#VALUE!</v>
      </c>
      <c r="Y40" s="129" t="str">
        <f>IFERROR(VLOOKUP(MID(T40,W40,X40-W40),[6]skilldef!$C:$D,2,FALSE),"-") &amp; " / " &amp; IFERROR(VLOOKUP(MID(T40,U40,V40-U40),[6]skilldef!$A:$B,2,FALSE),"-")</f>
        <v>- / -</v>
      </c>
      <c r="Z40" s="127"/>
      <c r="AA40" s="130"/>
      <c r="AB40" s="127"/>
    </row>
    <row r="41" spans="1:28" ht="21" customHeight="1" thickTop="1" x14ac:dyDescent="0.15">
      <c r="A41" s="111">
        <v>40028040</v>
      </c>
      <c r="B41" s="111" t="s">
        <v>325</v>
      </c>
      <c r="C41" s="50">
        <v>3</v>
      </c>
      <c r="D41" s="123" t="s">
        <v>126</v>
      </c>
      <c r="E41" s="197" t="s">
        <v>284</v>
      </c>
      <c r="F41" s="51" t="s">
        <v>332</v>
      </c>
      <c r="G41" s="125" t="str">
        <f t="shared" ref="G41:G42" si="44">IFERROR(LEFT(B41,FIND("],",B41)),B41)</f>
        <v xml:space="preserve">[effect:break_attack_fix, target:unit_all, val:150, lowest_val:1500, count:-1, color:yellow, block01:block_red]    </v>
      </c>
      <c r="H41" s="125">
        <f t="shared" ref="H41:H42" si="45">FIND("effect:",G41)+7</f>
        <v>9</v>
      </c>
      <c r="I41" s="125">
        <f t="shared" ref="I41:I42" si="46">IFERROR(FIND(",",G41),LEN(G41))</f>
        <v>25</v>
      </c>
      <c r="J41" s="125">
        <f t="shared" ref="J41:J42" si="47">FIND("target:",G41)+7</f>
        <v>34</v>
      </c>
      <c r="K41" s="125">
        <f t="shared" ref="K41:K42" si="48">FIND(",",G41,I41+1)</f>
        <v>42</v>
      </c>
      <c r="L41" s="125" t="str">
        <f>IFERROR(VLOOKUP(MID(G41,J41,K41-J41),[6]skilldef!$C:$D,2,FALSE),"-") &amp; " / " &amp; IFERROR(VLOOKUP(MID(G41,H41,I41-H41),[6]skilldef!$A:$B,2,FALSE),"-")</f>
        <v>味方全体に / -</v>
      </c>
      <c r="M41" s="125" t="str">
        <f t="shared" ref="M41:M42" si="49">IFERROR(RIGHT(B41,LEN(B41)-FIND("],",B41)-1),"none")</f>
        <v>none</v>
      </c>
      <c r="N41" s="113" t="str">
        <f>IFERROR(LEFT(M41,FIND("],",M41)+#REF!),M41)</f>
        <v>none</v>
      </c>
      <c r="O41" s="125" t="e">
        <f t="shared" ref="O41:O42" si="50">FIND("effect:",N41)+7</f>
        <v>#VALUE!</v>
      </c>
      <c r="P41" s="125">
        <f t="shared" ref="P41:P42" si="51">IFERROR(FIND(",",N41),LEN(N41))</f>
        <v>4</v>
      </c>
      <c r="Q41" s="125" t="e">
        <f t="shared" ref="Q41:Q42" si="52">FIND("target:",N41)+7</f>
        <v>#VALUE!</v>
      </c>
      <c r="R41" s="125" t="e">
        <f t="shared" ref="R41:R42" si="53">FIND(",",N41,P41+1)</f>
        <v>#VALUE!</v>
      </c>
      <c r="S41" s="125" t="str">
        <f>IFERROR(VLOOKUP(MID(N41,Q41,R41-Q41),[6]skilldef!$C:$D,2,FALSE),"-") &amp; " / " &amp; IFERROR(VLOOKUP(MID(N41,O41,P41-O41),[6]skilldef!$A:$B,2,FALSE),"-")</f>
        <v>- / -</v>
      </c>
      <c r="T41" s="113" t="str">
        <f t="shared" ref="T41:T42" si="54">IFERROR(RIGHT(M41,LEN(M41)-FIND("],",M41)-1),"none")</f>
        <v>none</v>
      </c>
      <c r="U41" s="125" t="e">
        <f t="shared" ref="U41:U42" si="55">FIND("effect:",T41)+7</f>
        <v>#VALUE!</v>
      </c>
      <c r="V41" s="125">
        <f t="shared" ref="V41:V42" si="56">IFERROR(FIND(",",T41),LEN(T41))</f>
        <v>4</v>
      </c>
      <c r="W41" s="125" t="e">
        <f t="shared" ref="W41:W42" si="57">FIND("target:",T41)+7</f>
        <v>#VALUE!</v>
      </c>
      <c r="X41" s="125" t="e">
        <f t="shared" ref="X41:X42" si="58">FIND(",",T41,V41+1)</f>
        <v>#VALUE!</v>
      </c>
      <c r="Y41" s="125" t="str">
        <f>IFERROR(VLOOKUP(MID(T41,W41,X41-W41),[6]skilldef!$C:$D,2,FALSE),"-") &amp; " / " &amp; IFERROR(VLOOKUP(MID(T41,U41,V41-U41),[6]skilldef!$A:$B,2,FALSE),"-")</f>
        <v>- / -</v>
      </c>
      <c r="Z41" s="123"/>
      <c r="AA41" s="126"/>
      <c r="AB41" s="123"/>
    </row>
    <row r="42" spans="1:28" ht="21" customHeight="1" x14ac:dyDescent="0.15">
      <c r="A42" s="111">
        <v>40028041</v>
      </c>
      <c r="B42" s="47" t="s">
        <v>326</v>
      </c>
      <c r="C42" s="50">
        <v>3</v>
      </c>
      <c r="D42" s="50" t="s">
        <v>126</v>
      </c>
      <c r="E42" s="108" t="s">
        <v>308</v>
      </c>
      <c r="F42" s="51" t="s">
        <v>332</v>
      </c>
      <c r="G42" s="64" t="str">
        <f t="shared" si="44"/>
        <v xml:space="preserve">[effect:break_attack_fix, target:unit_all, val:150, lowest_val:1500, count:-1, color:yellow, block01:block_red]    </v>
      </c>
      <c r="H42" s="64">
        <f t="shared" si="45"/>
        <v>9</v>
      </c>
      <c r="I42" s="64">
        <f t="shared" si="46"/>
        <v>25</v>
      </c>
      <c r="J42" s="64">
        <f t="shared" si="47"/>
        <v>34</v>
      </c>
      <c r="K42" s="64">
        <f t="shared" si="48"/>
        <v>42</v>
      </c>
      <c r="L42" s="64" t="str">
        <f>IFERROR(VLOOKUP(MID(G42,J42,K42-J42),[6]skilldef!$C:$D,2,FALSE),"-") &amp; " / " &amp; IFERROR(VLOOKUP(MID(G42,H42,I42-H42),[6]skilldef!$A:$B,2,FALSE),"-")</f>
        <v>味方全体に / -</v>
      </c>
      <c r="M42" s="64" t="str">
        <f t="shared" si="49"/>
        <v>none</v>
      </c>
      <c r="N42" s="48" t="str">
        <f>IFERROR(LEFT(M42,FIND("],",M42)+#REF!),M42)</f>
        <v>none</v>
      </c>
      <c r="O42" s="64" t="e">
        <f t="shared" si="50"/>
        <v>#VALUE!</v>
      </c>
      <c r="P42" s="64">
        <f t="shared" si="51"/>
        <v>4</v>
      </c>
      <c r="Q42" s="64" t="e">
        <f t="shared" si="52"/>
        <v>#VALUE!</v>
      </c>
      <c r="R42" s="64" t="e">
        <f t="shared" si="53"/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54"/>
        <v>none</v>
      </c>
      <c r="U42" s="64" t="e">
        <f t="shared" si="55"/>
        <v>#VALUE!</v>
      </c>
      <c r="V42" s="64">
        <f t="shared" si="56"/>
        <v>4</v>
      </c>
      <c r="W42" s="64" t="e">
        <f t="shared" si="57"/>
        <v>#VALUE!</v>
      </c>
      <c r="X42" s="64" t="e">
        <f t="shared" si="58"/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11">
        <v>40028042</v>
      </c>
      <c r="B43" s="47" t="s">
        <v>371</v>
      </c>
      <c r="C43" s="50">
        <v>3</v>
      </c>
      <c r="D43" s="50" t="s">
        <v>126</v>
      </c>
      <c r="E43" s="108" t="s">
        <v>359</v>
      </c>
      <c r="F43" s="51" t="s">
        <v>346</v>
      </c>
      <c r="G43" s="64" t="str">
        <f t="shared" ref="G43:G45" si="59">IFERROR(LEFT(B43,FIND("],",B43)),B43)</f>
        <v>[effect:enemy_message, val2:2.5]</v>
      </c>
      <c r="H43" s="64">
        <f t="shared" ref="H43:H45" si="60">FIND("effect:",G43)+7</f>
        <v>9</v>
      </c>
      <c r="I43" s="64">
        <f t="shared" ref="I43:I45" si="61">IFERROR(FIND(",",G43),LEN(G43))</f>
        <v>22</v>
      </c>
      <c r="J43" s="64" t="e">
        <f t="shared" ref="J43:J45" si="62">FIND("target:",G43)+7</f>
        <v>#VALUE!</v>
      </c>
      <c r="K43" s="64" t="e">
        <f t="shared" ref="K43:K45" si="63">FIND(",",G43,I43+1)</f>
        <v>#VALUE!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ref="M43:M45" si="64">IFERROR(RIGHT(B43,LEN(B43)-FIND("],",B43)-1),"none")</f>
        <v xml:space="preserve">[effect:change_panel_ratio, turn:-1, block_type:blue, val:0.4, animation:block_incidence04],[effect:drop_freeze, block_type:block_all, block_color:block_blue, frozen_count:1, rate:0.5, turn:-1, animation:drop_protect]    </v>
      </c>
      <c r="N43" s="48" t="str">
        <f>IFERROR(LEFT(M43,FIND("],",M43)+#REF!),M43)</f>
        <v xml:space="preserve">[effect:change_panel_ratio, turn:-1, block_type:blue, val:0.4, animation:block_incidence04],[effect:drop_freeze, block_type:block_all, block_color:block_blue, frozen_count:1, rate:0.5, turn:-1, animation:drop_protect]    </v>
      </c>
      <c r="O43" s="64">
        <f t="shared" ref="O43:O45" si="65">FIND("effect:",N43)+7</f>
        <v>9</v>
      </c>
      <c r="P43" s="64">
        <f t="shared" ref="P43:P45" si="66">IFERROR(FIND(",",N43),LEN(N43))</f>
        <v>27</v>
      </c>
      <c r="Q43" s="64" t="e">
        <f t="shared" ref="Q43:Q45" si="67">FIND("target:",N43)+7</f>
        <v>#VALUE!</v>
      </c>
      <c r="R43" s="64">
        <f t="shared" ref="R43:R45" si="68">FIND(",",N43,P43+1)</f>
        <v>36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ref="T43:T45" si="69">IFERROR(RIGHT(M43,LEN(M43)-FIND("],",M43)-1),"none")</f>
        <v xml:space="preserve">[effect:drop_freeze, block_type:block_all, block_color:block_blue, frozen_count:1, rate:0.5, turn:-1, animation:drop_protect]    </v>
      </c>
      <c r="U43" s="64">
        <f t="shared" ref="U43:U45" si="70">FIND("effect:",T43)+7</f>
        <v>9</v>
      </c>
      <c r="V43" s="64">
        <f t="shared" ref="V43:V45" si="71">IFERROR(FIND(",",T43),LEN(T43))</f>
        <v>20</v>
      </c>
      <c r="W43" s="64" t="e">
        <f t="shared" ref="W43:W45" si="72">FIND("target:",T43)+7</f>
        <v>#VALUE!</v>
      </c>
      <c r="X43" s="64">
        <f t="shared" ref="X43:X45" si="73">FIND(",",T43,V43+1)</f>
        <v>42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11">
        <v>40028043</v>
      </c>
      <c r="B44" s="47" t="s">
        <v>378</v>
      </c>
      <c r="C44" s="50">
        <v>3</v>
      </c>
      <c r="D44" s="50" t="s">
        <v>126</v>
      </c>
      <c r="E44" s="108" t="s">
        <v>311</v>
      </c>
      <c r="F44" s="51" t="s">
        <v>360</v>
      </c>
      <c r="G44" s="64" t="str">
        <f t="shared" si="59"/>
        <v xml:space="preserve">[effect:break_attack_fix, target:unit_all, val:150, lowest_val:1800, count:15, color:blue, block01:block_blue]    </v>
      </c>
      <c r="H44" s="64">
        <f t="shared" si="60"/>
        <v>9</v>
      </c>
      <c r="I44" s="64">
        <f t="shared" si="61"/>
        <v>25</v>
      </c>
      <c r="J44" s="64">
        <f t="shared" si="62"/>
        <v>34</v>
      </c>
      <c r="K44" s="64">
        <f t="shared" si="63"/>
        <v>42</v>
      </c>
      <c r="L44" s="64" t="str">
        <f>IFERROR(VLOOKUP(MID(G44,J44,K44-J44),[6]skilldef!$C:$D,2,FALSE),"-") &amp; " / " &amp; IFERROR(VLOOKUP(MID(G44,H44,I44-H44),[6]skilldef!$A:$B,2,FALSE),"-")</f>
        <v>味方全体に / -</v>
      </c>
      <c r="M44" s="64" t="str">
        <f t="shared" si="64"/>
        <v>none</v>
      </c>
      <c r="N44" s="48" t="str">
        <f>IFERROR(LEFT(M44,FIND("],",M44)+S50),M44)</f>
        <v>none</v>
      </c>
      <c r="O44" s="64" t="e">
        <f t="shared" si="65"/>
        <v>#VALUE!</v>
      </c>
      <c r="P44" s="64">
        <f t="shared" si="66"/>
        <v>4</v>
      </c>
      <c r="Q44" s="64" t="e">
        <f t="shared" si="67"/>
        <v>#VALUE!</v>
      </c>
      <c r="R44" s="64" t="e">
        <f t="shared" si="68"/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si="69"/>
        <v>none</v>
      </c>
      <c r="U44" s="64" t="e">
        <f t="shared" si="70"/>
        <v>#VALUE!</v>
      </c>
      <c r="V44" s="64">
        <f t="shared" si="71"/>
        <v>4</v>
      </c>
      <c r="W44" s="64" t="e">
        <f t="shared" si="72"/>
        <v>#VALUE!</v>
      </c>
      <c r="X44" s="64" t="e">
        <f t="shared" si="73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s="131" customFormat="1" ht="21" customHeight="1" thickBot="1" x14ac:dyDescent="0.2">
      <c r="A45" s="111">
        <v>40028044</v>
      </c>
      <c r="B45" s="115" t="s">
        <v>366</v>
      </c>
      <c r="C45" s="50">
        <v>3</v>
      </c>
      <c r="D45" s="127" t="s">
        <v>126</v>
      </c>
      <c r="E45" s="108" t="s">
        <v>295</v>
      </c>
      <c r="F45" s="128" t="s">
        <v>356</v>
      </c>
      <c r="G45" s="129" t="str">
        <f t="shared" si="59"/>
        <v>[effect:enemy_message, val2:2.5]</v>
      </c>
      <c r="H45" s="129">
        <f t="shared" si="60"/>
        <v>9</v>
      </c>
      <c r="I45" s="129">
        <f t="shared" si="61"/>
        <v>22</v>
      </c>
      <c r="J45" s="129" t="e">
        <f t="shared" si="62"/>
        <v>#VALUE!</v>
      </c>
      <c r="K45" s="129" t="e">
        <f t="shared" si="63"/>
        <v>#VALUE!</v>
      </c>
      <c r="L45" s="129" t="str">
        <f>IFERROR(VLOOKUP(MID(G45,J45,K45-J45),[6]skilldef!$C:$D,2,FALSE),"-") &amp; " / " &amp; IFERROR(VLOOKUP(MID(G45,H45,I45-H45),[6]skilldef!$A:$B,2,FALSE),"-")</f>
        <v>- / -</v>
      </c>
      <c r="M45" s="129" t="str">
        <f t="shared" si="64"/>
        <v xml:space="preserve">[effect:enhance_enemy, target:myself, turn:1, status:defense, val:1800, calc:add, animation:enemy_enhance_defense],[effect:break_attack_fix, target:unit_all, val:100, lowest_val:1500, count:15, color:yellow, block01:block_yellow]         </v>
      </c>
      <c r="N45" s="117" t="str">
        <f>IFERROR(LEFT(M45,FIND("],",M45)+#REF!),M45)</f>
        <v xml:space="preserve">[effect:enhance_enemy, target:myself, turn:1, status:defense, val:1800, calc:add, animation:enemy_enhance_defense],[effect:break_attack_fix, target:unit_all, val:100, lowest_val:1500, count:15, color:yellow, block01:block_yellow]         </v>
      </c>
      <c r="O45" s="129">
        <f t="shared" si="65"/>
        <v>9</v>
      </c>
      <c r="P45" s="129">
        <f t="shared" si="66"/>
        <v>22</v>
      </c>
      <c r="Q45" s="129">
        <f t="shared" si="67"/>
        <v>31</v>
      </c>
      <c r="R45" s="129">
        <f t="shared" si="68"/>
        <v>37</v>
      </c>
      <c r="S45" s="129" t="str">
        <f>IFERROR(VLOOKUP(MID(N45,Q45,R45-Q45),[6]skilldef!$C:$D,2,FALSE),"-") &amp; " / " &amp; IFERROR(VLOOKUP(MID(N45,O45,P45-O45),[6]skilldef!$A:$B,2,FALSE),"-")</f>
        <v>自分自身に / ステータス強化</v>
      </c>
      <c r="T45" s="117" t="str">
        <f t="shared" si="69"/>
        <v xml:space="preserve">[effect:break_attack_fix, target:unit_all, val:100, lowest_val:1500, count:15, color:yellow, block01:block_yellow]         </v>
      </c>
      <c r="U45" s="129">
        <f t="shared" si="70"/>
        <v>9</v>
      </c>
      <c r="V45" s="129">
        <f t="shared" si="71"/>
        <v>25</v>
      </c>
      <c r="W45" s="129">
        <f t="shared" si="72"/>
        <v>34</v>
      </c>
      <c r="X45" s="129">
        <f t="shared" si="73"/>
        <v>42</v>
      </c>
      <c r="Y45" s="129" t="str">
        <f>IFERROR(VLOOKUP(MID(T45,W45,X45-W45),[6]skilldef!$C:$D,2,FALSE),"-") &amp; " / " &amp; IFERROR(VLOOKUP(MID(T45,U45,V45-U45),[6]skilldef!$A:$B,2,FALSE),"-")</f>
        <v>味方全体に / -</v>
      </c>
      <c r="Z45" s="127"/>
      <c r="AA45" s="130"/>
      <c r="AB45" s="127"/>
    </row>
    <row r="46" spans="1:28" ht="21" customHeight="1" thickTop="1" x14ac:dyDescent="0.15">
      <c r="A46" s="111">
        <v>40028045</v>
      </c>
      <c r="B46" s="47" t="s">
        <v>372</v>
      </c>
      <c r="C46" s="50">
        <v>3</v>
      </c>
      <c r="D46" s="50" t="s">
        <v>126</v>
      </c>
      <c r="E46" s="108" t="s">
        <v>291</v>
      </c>
      <c r="F46" s="51" t="s">
        <v>347</v>
      </c>
      <c r="G46" s="64" t="str">
        <f t="shared" ref="G46:G48" si="74">IFERROR(LEFT(B46,FIND("],",B46)),B46)</f>
        <v>[effect:enemy_message, val2:2.5]</v>
      </c>
      <c r="H46" s="64">
        <f t="shared" ref="H46:H48" si="75">FIND("effect:",G46)+7</f>
        <v>9</v>
      </c>
      <c r="I46" s="64">
        <f t="shared" ref="I46:I48" si="76">IFERROR(FIND(",",G46),LEN(G46))</f>
        <v>22</v>
      </c>
      <c r="J46" s="64" t="e">
        <f t="shared" ref="J46:J48" si="77">FIND("target:",G46)+7</f>
        <v>#VALUE!</v>
      </c>
      <c r="K46" s="64" t="e">
        <f t="shared" ref="K46:K48" si="78">FIND(",",G46,I46+1)</f>
        <v>#VALUE!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ref="M46:M48" si="79">IFERROR(RIGHT(B46,LEN(B46)-FIND("],",B46)-1),"none")</f>
        <v xml:space="preserve">[effect:change_panel_ratio, turn:-1, block_type:red, val:0.4, animation:block_incidence04],[effect:drop_block, block_type:time_bomb, block_color:block_red, color:block_red, val:0.1, rate:0.4, turn:-1, min_time_count:3, max_time_count:3, animation:time_bomb_influence04]    </v>
      </c>
      <c r="N46" s="48" t="str">
        <f>IFERROR(LEFT(M46,FIND("],",M46)+S52),M46)</f>
        <v xml:space="preserve">[effect:change_panel_ratio, turn:-1, block_type:red, val:0.4, animation:block_incidence04],[effect:drop_block, block_type:time_bomb, block_color:block_red, color:block_red, val:0.1, rate:0.4, turn:-1, min_time_count:3, max_time_count:3, animation:time_bomb_influence04]    </v>
      </c>
      <c r="O46" s="64">
        <f t="shared" ref="O46:O48" si="80">FIND("effect:",N46)+7</f>
        <v>9</v>
      </c>
      <c r="P46" s="64">
        <f t="shared" ref="P46:P48" si="81">IFERROR(FIND(",",N46),LEN(N46))</f>
        <v>27</v>
      </c>
      <c r="Q46" s="64" t="e">
        <f t="shared" ref="Q46:Q48" si="82">FIND("target:",N46)+7</f>
        <v>#VALUE!</v>
      </c>
      <c r="R46" s="64">
        <f t="shared" ref="R46:R48" si="83">FIND(",",N46,P46+1)</f>
        <v>36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ref="T46:T48" si="84">IFERROR(RIGHT(M46,LEN(M46)-FIND("],",M46)-1),"none")</f>
        <v xml:space="preserve">[effect:drop_block, block_type:time_bomb, block_color:block_red, color:block_red, val:0.1, rate:0.4, turn:-1, min_time_count:3, max_time_count:3, animation:time_bomb_influence04]    </v>
      </c>
      <c r="U46" s="64">
        <f t="shared" ref="U46:U48" si="85">FIND("effect:",T46)+7</f>
        <v>9</v>
      </c>
      <c r="V46" s="64">
        <f t="shared" ref="V46:V48" si="86">IFERROR(FIND(",",T46),LEN(T46))</f>
        <v>19</v>
      </c>
      <c r="W46" s="64" t="e">
        <f t="shared" ref="W46:W48" si="87">FIND("target:",T46)+7</f>
        <v>#VALUE!</v>
      </c>
      <c r="X46" s="64">
        <f t="shared" ref="X46:X48" si="88">FIND(",",T46,V46+1)</f>
        <v>41</v>
      </c>
      <c r="Y46" s="64" t="str">
        <f>IFERROR(VLOOKUP(MID(T46,W46,X46-W46),[6]skilldef!$C:$D,2,FALSE),"-") &amp; " / " &amp; IFERROR(VLOOKUP(MID(T46,U46,V46-U46),[6]skilldef!$A:$B,2,FALSE),"-")</f>
        <v>- / 特定ブロックの割合ドロップ</v>
      </c>
      <c r="Z46" s="50"/>
      <c r="AA46" s="52"/>
      <c r="AB46" s="50"/>
    </row>
    <row r="47" spans="1:28" ht="21" customHeight="1" x14ac:dyDescent="0.15">
      <c r="A47" s="111">
        <v>40028046</v>
      </c>
      <c r="B47" s="47" t="s">
        <v>379</v>
      </c>
      <c r="C47" s="50">
        <v>3</v>
      </c>
      <c r="D47" s="50" t="s">
        <v>126</v>
      </c>
      <c r="E47" s="108" t="s">
        <v>316</v>
      </c>
      <c r="F47" s="51" t="s">
        <v>338</v>
      </c>
      <c r="G47" s="64" t="str">
        <f t="shared" si="74"/>
        <v>[effect:break_attack_fix, target:unit_all, val:50, lowest_val:1200, count:-1, color:red, block01:block_red, block02:block_heart]</v>
      </c>
      <c r="H47" s="64">
        <f t="shared" si="75"/>
        <v>9</v>
      </c>
      <c r="I47" s="64">
        <f t="shared" si="76"/>
        <v>25</v>
      </c>
      <c r="J47" s="64">
        <f t="shared" si="77"/>
        <v>34</v>
      </c>
      <c r="K47" s="64">
        <f t="shared" si="78"/>
        <v>42</v>
      </c>
      <c r="L47" s="64" t="str">
        <f>IFERROR(VLOOKUP(MID(G47,J47,K47-J47),[6]skilldef!$C:$D,2,FALSE),"-") &amp; " / " &amp; IFERROR(VLOOKUP(MID(G47,H47,I47-H47),[6]skilldef!$A:$B,2,FALSE),"-")</f>
        <v>味方全体に / -</v>
      </c>
      <c r="M47" s="64" t="str">
        <f t="shared" si="79"/>
        <v>none</v>
      </c>
      <c r="N47" s="48" t="str">
        <f>IFERROR(LEFT(M47,FIND("],",M47)+S53),M47)</f>
        <v>none</v>
      </c>
      <c r="O47" s="64" t="e">
        <f t="shared" si="80"/>
        <v>#VALUE!</v>
      </c>
      <c r="P47" s="64">
        <f t="shared" si="81"/>
        <v>4</v>
      </c>
      <c r="Q47" s="64" t="e">
        <f t="shared" si="82"/>
        <v>#VALUE!</v>
      </c>
      <c r="R47" s="64" t="e">
        <f t="shared" si="83"/>
        <v>#VALUE!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si="84"/>
        <v>none</v>
      </c>
      <c r="U47" s="64" t="e">
        <f t="shared" si="85"/>
        <v>#VALUE!</v>
      </c>
      <c r="V47" s="64">
        <f t="shared" si="86"/>
        <v>4</v>
      </c>
      <c r="W47" s="64" t="e">
        <f t="shared" si="87"/>
        <v>#VALUE!</v>
      </c>
      <c r="X47" s="64" t="e">
        <f t="shared" si="88"/>
        <v>#VALUE!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s="131" customFormat="1" ht="21" customHeight="1" thickBot="1" x14ac:dyDescent="0.2">
      <c r="A48" s="111">
        <v>40028047</v>
      </c>
      <c r="B48" s="115" t="s">
        <v>373</v>
      </c>
      <c r="C48" s="50">
        <v>3</v>
      </c>
      <c r="D48" s="127" t="s">
        <v>126</v>
      </c>
      <c r="E48" s="108" t="s">
        <v>292</v>
      </c>
      <c r="F48" s="128" t="s">
        <v>394</v>
      </c>
      <c r="G48" s="129" t="str">
        <f t="shared" si="74"/>
        <v>[effect:enemy_message, val2:2.5]</v>
      </c>
      <c r="H48" s="129">
        <f t="shared" si="75"/>
        <v>9</v>
      </c>
      <c r="I48" s="129">
        <f t="shared" si="76"/>
        <v>22</v>
      </c>
      <c r="J48" s="129" t="e">
        <f t="shared" si="77"/>
        <v>#VALUE!</v>
      </c>
      <c r="K48" s="129" t="e">
        <f t="shared" si="78"/>
        <v>#VALUE!</v>
      </c>
      <c r="L48" s="129" t="str">
        <f>IFERROR(VLOOKUP(MID(G48,J48,K48-J48),[6]skilldef!$C:$D,2,FALSE),"-") &amp; " / " &amp; IFERROR(VLOOKUP(MID(G48,H48,I48-H48),[6]skilldef!$A:$B,2,FALSE),"-")</f>
        <v>- / -</v>
      </c>
      <c r="M48" s="129" t="str">
        <f t="shared" si="79"/>
        <v xml:space="preserve">[effect:rush, count:6, val:0.2],[effect:enhance_enemy, target:myself, turn:1, status:attack, val:0.15, calc:mul, animation:enemy_enhance_attack],[effect:force_change_block, new_block:block_red, target:block_yellow, count:5, val:0, animation:change_block]   </v>
      </c>
      <c r="N48" s="117" t="str">
        <f>IFERROR(LEFT(M48,FIND("],",M48)+S54),M48)</f>
        <v>[effect:rush, count:6, val:0.2]</v>
      </c>
      <c r="O48" s="129">
        <f t="shared" si="80"/>
        <v>9</v>
      </c>
      <c r="P48" s="129">
        <f t="shared" si="81"/>
        <v>13</v>
      </c>
      <c r="Q48" s="129" t="e">
        <f t="shared" si="82"/>
        <v>#VALUE!</v>
      </c>
      <c r="R48" s="129">
        <f t="shared" si="83"/>
        <v>22</v>
      </c>
      <c r="S48" s="129" t="str">
        <f>IFERROR(VLOOKUP(MID(N48,Q48,R48-Q48),[6]skilldef!$C:$D,2,FALSE),"-") &amp; " / " &amp; IFERROR(VLOOKUP(MID(N48,O48,P48-O48),[6]skilldef!$A:$B,2,FALSE),"-")</f>
        <v>- / 連続攻撃</v>
      </c>
      <c r="T48" s="117" t="str">
        <f t="shared" si="84"/>
        <v xml:space="preserve">[effect:enhance_enemy, target:myself, turn:1, status:attack, val:0.15, calc:mul, animation:enemy_enhance_attack],[effect:force_change_block, new_block:block_red, target:block_yellow, count:5, val:0, animation:change_block]   </v>
      </c>
      <c r="U48" s="129">
        <f t="shared" si="85"/>
        <v>9</v>
      </c>
      <c r="V48" s="129">
        <f t="shared" si="86"/>
        <v>22</v>
      </c>
      <c r="W48" s="129">
        <f t="shared" si="87"/>
        <v>31</v>
      </c>
      <c r="X48" s="129">
        <f t="shared" si="88"/>
        <v>37</v>
      </c>
      <c r="Y48" s="129" t="str">
        <f>IFERROR(VLOOKUP(MID(T48,W48,X48-W48),[6]skilldef!$C:$D,2,FALSE),"-") &amp; " / " &amp; IFERROR(VLOOKUP(MID(T48,U48,V48-U48),[6]skilldef!$A:$B,2,FALSE),"-")</f>
        <v>自分自身に / ステータス強化</v>
      </c>
      <c r="Z48" s="127"/>
      <c r="AA48" s="130"/>
      <c r="AB48" s="127"/>
    </row>
    <row r="49" spans="1:28" ht="21" customHeight="1" thickTop="1" x14ac:dyDescent="0.15">
      <c r="A49" s="111">
        <v>40028048</v>
      </c>
      <c r="B49" s="47" t="s">
        <v>374</v>
      </c>
      <c r="C49" s="50">
        <v>3</v>
      </c>
      <c r="D49" s="50" t="s">
        <v>126</v>
      </c>
      <c r="E49" s="108" t="s">
        <v>317</v>
      </c>
      <c r="F49" s="51" t="s">
        <v>355</v>
      </c>
      <c r="G49" s="64" t="str">
        <f t="shared" ref="G49" si="89">IFERROR(LEFT(B49,FIND("],",B49)),B49)</f>
        <v xml:space="preserve">[effect:break_attack_fix, target:unit_all, val:200, lowest_val:1500, count:23, color:yellow, block01:block_yellow]    </v>
      </c>
      <c r="H49" s="64">
        <f t="shared" ref="H49" si="90">FIND("effect:",G49)+7</f>
        <v>9</v>
      </c>
      <c r="I49" s="64">
        <f t="shared" ref="I49" si="91">IFERROR(FIND(",",G49),LEN(G49))</f>
        <v>25</v>
      </c>
      <c r="J49" s="64">
        <f t="shared" ref="J49" si="92">FIND("target:",G49)+7</f>
        <v>34</v>
      </c>
      <c r="K49" s="64">
        <f t="shared" ref="K49" si="93">FIND(",",G49,I49+1)</f>
        <v>42</v>
      </c>
      <c r="L49" s="64" t="str">
        <f>IFERROR(VLOOKUP(MID(G49,J49,K49-J49),[6]skilldef!$C:$D,2,FALSE),"-") &amp; " / " &amp; IFERROR(VLOOKUP(MID(G49,H49,I49-H49),[6]skilldef!$A:$B,2,FALSE),"-")</f>
        <v>味方全体に / -</v>
      </c>
      <c r="M49" s="64" t="str">
        <f t="shared" ref="M49" si="94">IFERROR(RIGHT(B49,LEN(B49)-FIND("],",B49)-1),"none")</f>
        <v>none</v>
      </c>
      <c r="N49" s="48" t="str">
        <f>IFERROR(LEFT(M49,FIND("],",M49)+S56),M49)</f>
        <v>none</v>
      </c>
      <c r="O49" s="64" t="e">
        <f t="shared" ref="O49" si="95">FIND("effect:",N49)+7</f>
        <v>#VALUE!</v>
      </c>
      <c r="P49" s="64">
        <f t="shared" ref="P49" si="96">IFERROR(FIND(",",N49),LEN(N49))</f>
        <v>4</v>
      </c>
      <c r="Q49" s="64" t="e">
        <f t="shared" ref="Q49" si="97">FIND("target:",N49)+7</f>
        <v>#VALUE!</v>
      </c>
      <c r="R49" s="64" t="e">
        <f t="shared" ref="R49" si="98">FIND(",",N49,P49+1)</f>
        <v>#VALUE!</v>
      </c>
      <c r="S49" s="64" t="str">
        <f>IFERROR(VLOOKUP(MID(N49,Q49,R49-Q49),[6]skilldef!$C:$D,2,FALSE),"-") &amp; " / " &amp; IFERROR(VLOOKUP(MID(N49,O49,P49-O49),[6]skilldef!$A:$B,2,FALSE),"-")</f>
        <v>- / -</v>
      </c>
      <c r="T49" s="48" t="str">
        <f t="shared" ref="T49" si="99">IFERROR(RIGHT(M49,LEN(M49)-FIND("],",M49)-1),"none")</f>
        <v>none</v>
      </c>
      <c r="U49" s="64" t="e">
        <f t="shared" ref="U49" si="100">FIND("effect:",T49)+7</f>
        <v>#VALUE!</v>
      </c>
      <c r="V49" s="64">
        <f t="shared" ref="V49" si="101">IFERROR(FIND(",",T49),LEN(T49))</f>
        <v>4</v>
      </c>
      <c r="W49" s="64" t="e">
        <f t="shared" ref="W49" si="102">FIND("target:",T49)+7</f>
        <v>#VALUE!</v>
      </c>
      <c r="X49" s="64" t="e">
        <f t="shared" ref="X49" si="103">FIND(",",T49,V49+1)</f>
        <v>#VALUE!</v>
      </c>
      <c r="Y49" s="64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40028049</v>
      </c>
      <c r="B50" s="47" t="s">
        <v>367</v>
      </c>
      <c r="C50" s="50">
        <v>3</v>
      </c>
      <c r="D50" s="50" t="s">
        <v>126</v>
      </c>
      <c r="E50" s="202" t="s">
        <v>358</v>
      </c>
      <c r="F50" s="51" t="s">
        <v>357</v>
      </c>
      <c r="G50" s="64" t="str">
        <f t="shared" ref="G50" si="104">IFERROR(LEFT(B50,FIND("],",B50)),B50)</f>
        <v>[effect:enemy_message, val1:1.3]</v>
      </c>
      <c r="H50" s="64">
        <f t="shared" ref="H50" si="105">FIND("effect:",G50)+7</f>
        <v>9</v>
      </c>
      <c r="I50" s="64">
        <f t="shared" ref="I50" si="106">IFERROR(FIND(",",G50),LEN(G50))</f>
        <v>22</v>
      </c>
      <c r="J50" s="64" t="e">
        <f t="shared" ref="J50" si="107">FIND("target:",G50)+7</f>
        <v>#VALUE!</v>
      </c>
      <c r="K50" s="64" t="e">
        <f t="shared" ref="K50" si="108">FIND(",",G50,I50+1)</f>
        <v>#VALUE!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ref="M50" si="109">IFERROR(RIGHT(B50,LEN(B50)-FIND("],",B50)-1),"none")</f>
        <v>[effect:change_attribute, target:myself, color:blue, turn:3, animation:change_attribute_blue],[effect:tolerance, target:myself, turn:-1, tolerance_effect:all, count:-1, animation:enemy_tolerance]</v>
      </c>
      <c r="N50" s="48" t="str">
        <f>IFERROR(LEFT(M50,FIND("],",M50)+S59),M50)</f>
        <v>[effect:change_attribute, target:myself, color:blue, turn:3, animation:change_attribute_blue]</v>
      </c>
      <c r="O50" s="64">
        <f t="shared" ref="O50" si="110">FIND("effect:",N50)+7</f>
        <v>9</v>
      </c>
      <c r="P50" s="64">
        <f t="shared" ref="P50" si="111">IFERROR(FIND(",",N50),LEN(N50))</f>
        <v>25</v>
      </c>
      <c r="Q50" s="64">
        <f t="shared" ref="Q50" si="112">FIND("target:",N50)+7</f>
        <v>34</v>
      </c>
      <c r="R50" s="64">
        <f t="shared" ref="R50" si="113">FIND(",",N50,P50+1)</f>
        <v>40</v>
      </c>
      <c r="S50" s="64" t="str">
        <f>IFERROR(VLOOKUP(MID(N50,Q50,R50-Q50),[6]skilldef!$C:$D,2,FALSE),"-") &amp; " / " &amp; IFERROR(VLOOKUP(MID(N50,O50,P50-O50),[6]skilldef!$A:$B,2,FALSE),"-")</f>
        <v>自分自身に / -</v>
      </c>
      <c r="T50" s="48" t="str">
        <f t="shared" ref="T50" si="114">IFERROR(RIGHT(M50,LEN(M50)-FIND("],",M50)-1),"none")</f>
        <v>[effect:tolerance, target:myself, turn:-1, tolerance_effect:all, count:-1, animation:enemy_tolerance]</v>
      </c>
      <c r="U50" s="64">
        <f t="shared" ref="U50" si="115">FIND("effect:",T50)+7</f>
        <v>9</v>
      </c>
      <c r="V50" s="64">
        <f t="shared" ref="V50" si="116">IFERROR(FIND(",",T50),LEN(T50))</f>
        <v>18</v>
      </c>
      <c r="W50" s="64">
        <f t="shared" ref="W50" si="117">FIND("target:",T50)+7</f>
        <v>27</v>
      </c>
      <c r="X50" s="64">
        <f t="shared" ref="X50" si="118">FIND(",",T50,V50+1)</f>
        <v>33</v>
      </c>
      <c r="Y50" s="64" t="str">
        <f>IFERROR(VLOOKUP(MID(T50,W50,X50-W50),[6]skilldef!$C:$D,2,FALSE),"-") &amp; " / " &amp; IFERROR(VLOOKUP(MID(T50,U50,V50-U50),[6]skilldef!$A:$B,2,FALSE),"-")</f>
        <v>自分自身に / 状態異常耐性</v>
      </c>
      <c r="Z50" s="50"/>
      <c r="AA50" s="52"/>
      <c r="AB50" s="50"/>
    </row>
    <row r="51" spans="1:28" ht="21" customHeight="1" x14ac:dyDescent="0.15">
      <c r="A51" s="47">
        <v>40028050</v>
      </c>
      <c r="B51" s="47" t="s">
        <v>382</v>
      </c>
      <c r="C51" s="50">
        <v>3</v>
      </c>
      <c r="D51" s="50" t="s">
        <v>126</v>
      </c>
      <c r="E51" s="108" t="s">
        <v>312</v>
      </c>
      <c r="F51" s="51" t="s">
        <v>380</v>
      </c>
      <c r="G51" s="64" t="str">
        <f t="shared" ref="G51:G52" si="119">IFERROR(LEFT(B51,FIND("],",B51)),B51)</f>
        <v>[effect:panel_freeze, target:normal, color:block_blue, count:-1, break_count:1]</v>
      </c>
      <c r="H51" s="64">
        <f t="shared" ref="H51:H52" si="120">FIND("effect:",G51)+7</f>
        <v>9</v>
      </c>
      <c r="I51" s="64">
        <f t="shared" ref="I51:I52" si="121">IFERROR(FIND(",",G51),LEN(G51))</f>
        <v>21</v>
      </c>
      <c r="J51" s="64">
        <f t="shared" ref="J51:J52" si="122">FIND("target:",G51)+7</f>
        <v>30</v>
      </c>
      <c r="K51" s="64">
        <f t="shared" ref="K51:K52" si="123">FIND(",",G51,I51+1)</f>
        <v>36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ref="M51:M52" si="124">IFERROR(RIGHT(B51,LEN(B51)-FIND("],",B51)-1),"none")</f>
        <v>none</v>
      </c>
      <c r="N51" s="48" t="str">
        <f>IFERROR(LEFT(M51,FIND("],",M51)+#REF!),M51)</f>
        <v>none</v>
      </c>
      <c r="O51" s="64" t="e">
        <f t="shared" ref="O51:O52" si="125">FIND("effect:",N51)+7</f>
        <v>#VALUE!</v>
      </c>
      <c r="P51" s="64">
        <f t="shared" ref="P51:P52" si="126">IFERROR(FIND(",",N51),LEN(N51))</f>
        <v>4</v>
      </c>
      <c r="Q51" s="64" t="e">
        <f t="shared" ref="Q51:Q52" si="127">FIND("target:",N51)+7</f>
        <v>#VALUE!</v>
      </c>
      <c r="R51" s="64" t="e">
        <f t="shared" ref="R51:R52" si="128">FIND(",",N51,P51+1)</f>
        <v>#VALUE!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ref="T51:T52" si="129">IFERROR(RIGHT(M51,LEN(M51)-FIND("],",M51)-1),"none")</f>
        <v>none</v>
      </c>
      <c r="U51" s="64" t="e">
        <f t="shared" ref="U51:U52" si="130">FIND("effect:",T51)+7</f>
        <v>#VALUE!</v>
      </c>
      <c r="V51" s="64">
        <f t="shared" ref="V51:V52" si="131">IFERROR(FIND(",",T51),LEN(T51))</f>
        <v>4</v>
      </c>
      <c r="W51" s="64" t="e">
        <f t="shared" ref="W51:W52" si="132">FIND("target:",T51)+7</f>
        <v>#VALUE!</v>
      </c>
      <c r="X51" s="64" t="e">
        <f t="shared" ref="X51:X52" si="133">FIND(",",T51,V51+1)</f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40028051</v>
      </c>
      <c r="B52" s="47" t="s">
        <v>383</v>
      </c>
      <c r="C52" s="50">
        <v>3</v>
      </c>
      <c r="D52" s="50" t="s">
        <v>126</v>
      </c>
      <c r="E52" s="108" t="s">
        <v>314</v>
      </c>
      <c r="F52" s="51" t="s">
        <v>381</v>
      </c>
      <c r="G52" s="64" t="str">
        <f t="shared" si="119"/>
        <v>[effect:panel_freeze, target:normal, color:block_red, count:-1, break_count:1]</v>
      </c>
      <c r="H52" s="64">
        <f t="shared" si="120"/>
        <v>9</v>
      </c>
      <c r="I52" s="64">
        <f t="shared" si="121"/>
        <v>21</v>
      </c>
      <c r="J52" s="64">
        <f t="shared" si="122"/>
        <v>30</v>
      </c>
      <c r="K52" s="64">
        <f t="shared" si="123"/>
        <v>36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si="124"/>
        <v>none</v>
      </c>
      <c r="N52" s="48" t="str">
        <f>IFERROR(LEFT(M52,FIND("],",M52)+S59),M52)</f>
        <v>none</v>
      </c>
      <c r="O52" s="64" t="e">
        <f t="shared" si="125"/>
        <v>#VALUE!</v>
      </c>
      <c r="P52" s="64">
        <f t="shared" si="126"/>
        <v>4</v>
      </c>
      <c r="Q52" s="64" t="e">
        <f t="shared" si="127"/>
        <v>#VALUE!</v>
      </c>
      <c r="R52" s="64" t="e">
        <f t="shared" si="128"/>
        <v>#VALUE!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si="129"/>
        <v>none</v>
      </c>
      <c r="U52" s="64" t="e">
        <f t="shared" si="130"/>
        <v>#VALUE!</v>
      </c>
      <c r="V52" s="64">
        <f t="shared" si="131"/>
        <v>4</v>
      </c>
      <c r="W52" s="64" t="e">
        <f t="shared" si="132"/>
        <v>#VALUE!</v>
      </c>
      <c r="X52" s="64" t="e">
        <f t="shared" si="133"/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</sheetData>
  <autoFilter ref="A1:AB1"/>
  <phoneticPr fontId="52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2"/>
  <sheetViews>
    <sheetView showGridLines="0" zoomScale="139" zoomScaleNormal="139" zoomScalePageLayoutView="139" workbookViewId="0">
      <pane ySplit="1" topLeftCell="A21" activePane="bottomLeft" state="frozenSplit"/>
      <selection pane="bottomLeft" activeCell="D34" sqref="D34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40028001</v>
      </c>
      <c r="B2" s="178">
        <v>0</v>
      </c>
      <c r="C2" s="178" t="s">
        <v>252</v>
      </c>
      <c r="D2" s="178">
        <v>75</v>
      </c>
      <c r="E2" s="178" t="s">
        <v>253</v>
      </c>
      <c r="F2" s="178" t="s">
        <v>253</v>
      </c>
      <c r="G2" s="178" t="s">
        <v>253</v>
      </c>
      <c r="H2" s="178" t="s">
        <v>253</v>
      </c>
      <c r="I2" s="178" t="s">
        <v>253</v>
      </c>
      <c r="J2" s="48">
        <f t="shared" ref="J2" si="0">D2</f>
        <v>75</v>
      </c>
    </row>
    <row r="3" spans="1:11" ht="21" customHeight="1" x14ac:dyDescent="0.15">
      <c r="A3" s="109">
        <v>40028002</v>
      </c>
      <c r="B3" s="178">
        <v>0</v>
      </c>
      <c r="C3" s="178" t="s">
        <v>252</v>
      </c>
      <c r="D3" s="178">
        <v>75</v>
      </c>
      <c r="E3" s="178" t="s">
        <v>253</v>
      </c>
      <c r="F3" s="178" t="s">
        <v>253</v>
      </c>
      <c r="G3" s="178" t="s">
        <v>253</v>
      </c>
      <c r="H3" s="178" t="s">
        <v>253</v>
      </c>
      <c r="I3" s="178" t="s">
        <v>253</v>
      </c>
      <c r="J3" s="48">
        <f t="shared" ref="J3:J34" si="1">D3</f>
        <v>75</v>
      </c>
    </row>
    <row r="4" spans="1:11" ht="21" customHeight="1" thickBot="1" x14ac:dyDescent="0.2">
      <c r="A4" s="115">
        <v>40028003</v>
      </c>
      <c r="B4" s="117">
        <v>0</v>
      </c>
      <c r="C4" s="117" t="s">
        <v>252</v>
      </c>
      <c r="D4" s="117">
        <v>75</v>
      </c>
      <c r="E4" s="117" t="s">
        <v>253</v>
      </c>
      <c r="F4" s="117" t="s">
        <v>253</v>
      </c>
      <c r="G4" s="117" t="s">
        <v>253</v>
      </c>
      <c r="H4" s="117" t="s">
        <v>253</v>
      </c>
      <c r="I4" s="117" t="s">
        <v>253</v>
      </c>
      <c r="J4" s="48">
        <f t="shared" si="1"/>
        <v>75</v>
      </c>
    </row>
    <row r="5" spans="1:11" ht="21" customHeight="1" thickTop="1" x14ac:dyDescent="0.15">
      <c r="A5" s="111">
        <v>40028004</v>
      </c>
      <c r="B5" s="113">
        <v>1</v>
      </c>
      <c r="C5" s="113">
        <v>100</v>
      </c>
      <c r="D5" s="113">
        <v>100</v>
      </c>
      <c r="E5" s="113" t="s">
        <v>253</v>
      </c>
      <c r="F5" s="113" t="s">
        <v>253</v>
      </c>
      <c r="G5" s="113">
        <v>1</v>
      </c>
      <c r="H5" s="113" t="s">
        <v>253</v>
      </c>
      <c r="I5" s="113" t="s">
        <v>253</v>
      </c>
      <c r="J5" s="48">
        <f t="shared" si="1"/>
        <v>100</v>
      </c>
    </row>
    <row r="6" spans="1:11" ht="21" customHeight="1" x14ac:dyDescent="0.15">
      <c r="A6" s="47">
        <v>40028005</v>
      </c>
      <c r="B6" s="48">
        <v>0</v>
      </c>
      <c r="C6" s="48">
        <v>90</v>
      </c>
      <c r="D6" s="48">
        <v>100</v>
      </c>
      <c r="E6" s="48" t="s">
        <v>253</v>
      </c>
      <c r="F6" s="48" t="s">
        <v>253</v>
      </c>
      <c r="G6" s="48">
        <v>1</v>
      </c>
      <c r="H6" s="48" t="s">
        <v>253</v>
      </c>
      <c r="I6" s="48" t="s">
        <v>253</v>
      </c>
      <c r="J6" s="48">
        <f t="shared" si="1"/>
        <v>100</v>
      </c>
    </row>
    <row r="7" spans="1:11" ht="21" customHeight="1" x14ac:dyDescent="0.15">
      <c r="A7" s="47">
        <v>40028006</v>
      </c>
      <c r="B7" s="48">
        <v>0</v>
      </c>
      <c r="C7" s="48">
        <v>80</v>
      </c>
      <c r="D7" s="48">
        <v>33</v>
      </c>
      <c r="E7" s="48" t="s">
        <v>253</v>
      </c>
      <c r="F7" s="48" t="s">
        <v>253</v>
      </c>
      <c r="G7" s="48" t="s">
        <v>253</v>
      </c>
      <c r="H7" s="48" t="s">
        <v>253</v>
      </c>
      <c r="I7" s="48" t="s">
        <v>253</v>
      </c>
      <c r="J7" s="48">
        <f t="shared" si="1"/>
        <v>33</v>
      </c>
    </row>
    <row r="8" spans="1:11" ht="21" customHeight="1" x14ac:dyDescent="0.15">
      <c r="A8" s="47">
        <v>40028007</v>
      </c>
      <c r="B8" s="48">
        <v>0</v>
      </c>
      <c r="C8" s="48">
        <v>70</v>
      </c>
      <c r="D8" s="48">
        <v>50</v>
      </c>
      <c r="E8" s="48" t="s">
        <v>253</v>
      </c>
      <c r="F8" s="48" t="s">
        <v>253</v>
      </c>
      <c r="G8" s="48" t="s">
        <v>253</v>
      </c>
      <c r="H8" s="48" t="s">
        <v>253</v>
      </c>
      <c r="I8" s="48" t="s">
        <v>253</v>
      </c>
      <c r="J8" s="48">
        <f t="shared" si="1"/>
        <v>50</v>
      </c>
    </row>
    <row r="9" spans="1:11" ht="21" customHeight="1" thickBot="1" x14ac:dyDescent="0.2">
      <c r="A9" s="115">
        <v>40028008</v>
      </c>
      <c r="B9" s="117">
        <v>0</v>
      </c>
      <c r="C9" s="117">
        <v>60</v>
      </c>
      <c r="D9" s="117">
        <v>100</v>
      </c>
      <c r="E9" s="117" t="s">
        <v>253</v>
      </c>
      <c r="F9" s="117" t="s">
        <v>253</v>
      </c>
      <c r="G9" s="117" t="s">
        <v>253</v>
      </c>
      <c r="H9" s="117" t="s">
        <v>253</v>
      </c>
      <c r="I9" s="117" t="s">
        <v>253</v>
      </c>
      <c r="J9" s="48">
        <f t="shared" si="1"/>
        <v>100</v>
      </c>
    </row>
    <row r="10" spans="1:11" ht="21" customHeight="1" thickTop="1" x14ac:dyDescent="0.15">
      <c r="A10" s="111">
        <v>40028009</v>
      </c>
      <c r="B10" s="113">
        <v>1</v>
      </c>
      <c r="C10" s="113">
        <v>100</v>
      </c>
      <c r="D10" s="113">
        <v>100</v>
      </c>
      <c r="E10" s="113" t="s">
        <v>253</v>
      </c>
      <c r="F10" s="113" t="s">
        <v>253</v>
      </c>
      <c r="G10" s="113">
        <v>1</v>
      </c>
      <c r="H10" s="113" t="s">
        <v>253</v>
      </c>
      <c r="I10" s="113" t="s">
        <v>253</v>
      </c>
      <c r="J10" s="48">
        <f t="shared" si="1"/>
        <v>100</v>
      </c>
    </row>
    <row r="11" spans="1:11" ht="21" customHeight="1" x14ac:dyDescent="0.15">
      <c r="A11" s="47">
        <v>40028010</v>
      </c>
      <c r="B11" s="48">
        <v>0</v>
      </c>
      <c r="C11" s="48">
        <v>80</v>
      </c>
      <c r="D11" s="48">
        <v>33</v>
      </c>
      <c r="E11" s="48" t="s">
        <v>253</v>
      </c>
      <c r="F11" s="48" t="s">
        <v>253</v>
      </c>
      <c r="G11" s="48" t="s">
        <v>253</v>
      </c>
      <c r="H11" s="48" t="s">
        <v>253</v>
      </c>
      <c r="I11" s="48" t="s">
        <v>253</v>
      </c>
      <c r="J11" s="48">
        <f t="shared" si="1"/>
        <v>33</v>
      </c>
    </row>
    <row r="12" spans="1:11" ht="21" customHeight="1" x14ac:dyDescent="0.15">
      <c r="A12" s="47">
        <v>40028011</v>
      </c>
      <c r="B12" s="48">
        <v>0</v>
      </c>
      <c r="C12" s="48">
        <v>70</v>
      </c>
      <c r="D12" s="48">
        <v>50</v>
      </c>
      <c r="E12" s="48" t="s">
        <v>253</v>
      </c>
      <c r="F12" s="48" t="s">
        <v>253</v>
      </c>
      <c r="G12" s="48" t="s">
        <v>253</v>
      </c>
      <c r="H12" s="48" t="s">
        <v>253</v>
      </c>
      <c r="I12" s="48" t="s">
        <v>253</v>
      </c>
      <c r="J12" s="48">
        <f t="shared" si="1"/>
        <v>50</v>
      </c>
    </row>
    <row r="13" spans="1:11" ht="21" customHeight="1" x14ac:dyDescent="0.15">
      <c r="A13" s="47">
        <v>40028012</v>
      </c>
      <c r="B13" s="48">
        <v>0</v>
      </c>
      <c r="C13" s="48">
        <v>60</v>
      </c>
      <c r="D13" s="48">
        <v>100</v>
      </c>
      <c r="E13" s="48" t="s">
        <v>253</v>
      </c>
      <c r="F13" s="48" t="s">
        <v>253</v>
      </c>
      <c r="G13" s="48" t="s">
        <v>253</v>
      </c>
      <c r="H13" s="48" t="s">
        <v>253</v>
      </c>
      <c r="I13" s="48" t="s">
        <v>253</v>
      </c>
      <c r="J13" s="48">
        <f t="shared" si="1"/>
        <v>100</v>
      </c>
    </row>
    <row r="14" spans="1:11" ht="21" customHeight="1" thickBot="1" x14ac:dyDescent="0.2">
      <c r="A14" s="115">
        <v>40028013</v>
      </c>
      <c r="B14" s="117">
        <v>0</v>
      </c>
      <c r="C14" s="117">
        <v>100</v>
      </c>
      <c r="D14" s="117">
        <v>100</v>
      </c>
      <c r="E14" s="117">
        <v>50</v>
      </c>
      <c r="F14" s="117" t="s">
        <v>253</v>
      </c>
      <c r="G14" s="117">
        <v>1</v>
      </c>
      <c r="H14" s="117">
        <v>1</v>
      </c>
      <c r="I14" s="117" t="s">
        <v>253</v>
      </c>
      <c r="J14" s="48">
        <f t="shared" si="1"/>
        <v>100</v>
      </c>
    </row>
    <row r="15" spans="1:11" ht="21" customHeight="1" thickTop="1" x14ac:dyDescent="0.15">
      <c r="A15" s="111">
        <v>40028014</v>
      </c>
      <c r="B15" s="113">
        <v>1</v>
      </c>
      <c r="C15" s="113">
        <v>100</v>
      </c>
      <c r="D15" s="113">
        <v>100</v>
      </c>
      <c r="E15" s="113" t="s">
        <v>253</v>
      </c>
      <c r="F15" s="113" t="s">
        <v>253</v>
      </c>
      <c r="G15" s="113">
        <v>1</v>
      </c>
      <c r="H15" s="113" t="s">
        <v>253</v>
      </c>
      <c r="I15" s="113" t="s">
        <v>253</v>
      </c>
      <c r="J15" s="48">
        <f t="shared" si="1"/>
        <v>100</v>
      </c>
    </row>
    <row r="16" spans="1:11" ht="21" customHeight="1" x14ac:dyDescent="0.15">
      <c r="A16" s="47">
        <v>40028015</v>
      </c>
      <c r="B16" s="48">
        <v>0</v>
      </c>
      <c r="C16" s="48">
        <v>99</v>
      </c>
      <c r="D16" s="48">
        <v>100</v>
      </c>
      <c r="E16" s="48" t="s">
        <v>253</v>
      </c>
      <c r="F16" s="48" t="s">
        <v>253</v>
      </c>
      <c r="G16" s="48">
        <v>1</v>
      </c>
      <c r="H16" s="48">
        <v>1</v>
      </c>
      <c r="I16" s="48" t="s">
        <v>253</v>
      </c>
      <c r="J16" s="48">
        <f t="shared" si="1"/>
        <v>100</v>
      </c>
    </row>
    <row r="17" spans="1:10" ht="21" customHeight="1" x14ac:dyDescent="0.15">
      <c r="A17" s="47">
        <v>40028016</v>
      </c>
      <c r="B17" s="48">
        <v>0</v>
      </c>
      <c r="C17" s="48">
        <v>95</v>
      </c>
      <c r="D17" s="48">
        <v>100</v>
      </c>
      <c r="E17" s="48" t="s">
        <v>253</v>
      </c>
      <c r="F17" s="48" t="s">
        <v>253</v>
      </c>
      <c r="G17" s="48">
        <v>1</v>
      </c>
      <c r="H17" s="48">
        <v>2</v>
      </c>
      <c r="I17" s="48" t="s">
        <v>253</v>
      </c>
      <c r="J17" s="48">
        <f t="shared" si="1"/>
        <v>100</v>
      </c>
    </row>
    <row r="18" spans="1:10" ht="21" customHeight="1" x14ac:dyDescent="0.15">
      <c r="A18" s="47">
        <v>40028017</v>
      </c>
      <c r="B18" s="48">
        <v>0</v>
      </c>
      <c r="C18" s="48">
        <v>90</v>
      </c>
      <c r="D18" s="48">
        <v>100</v>
      </c>
      <c r="E18" s="48" t="s">
        <v>253</v>
      </c>
      <c r="F18" s="48" t="s">
        <v>253</v>
      </c>
      <c r="G18" s="48">
        <v>1</v>
      </c>
      <c r="H18" s="48">
        <v>3</v>
      </c>
      <c r="I18" s="48" t="s">
        <v>253</v>
      </c>
      <c r="J18" s="48">
        <f t="shared" si="1"/>
        <v>100</v>
      </c>
    </row>
    <row r="19" spans="1:10" ht="21" customHeight="1" x14ac:dyDescent="0.15">
      <c r="A19" s="47">
        <v>40028018</v>
      </c>
      <c r="B19" s="48">
        <v>0</v>
      </c>
      <c r="C19" s="48">
        <v>85</v>
      </c>
      <c r="D19" s="48">
        <v>100</v>
      </c>
      <c r="E19" s="48" t="s">
        <v>253</v>
      </c>
      <c r="F19" s="48" t="s">
        <v>253</v>
      </c>
      <c r="G19" s="48">
        <v>1</v>
      </c>
      <c r="H19" s="48">
        <v>4</v>
      </c>
      <c r="I19" s="48" t="s">
        <v>253</v>
      </c>
      <c r="J19" s="48">
        <f t="shared" si="1"/>
        <v>100</v>
      </c>
    </row>
    <row r="20" spans="1:10" ht="21" customHeight="1" x14ac:dyDescent="0.15">
      <c r="A20" s="47">
        <v>40028019</v>
      </c>
      <c r="B20" s="48">
        <v>0</v>
      </c>
      <c r="C20" s="48">
        <v>80</v>
      </c>
      <c r="D20" s="48">
        <v>100</v>
      </c>
      <c r="E20" s="48" t="s">
        <v>253</v>
      </c>
      <c r="F20" s="48" t="s">
        <v>253</v>
      </c>
      <c r="G20" s="48">
        <v>1</v>
      </c>
      <c r="H20" s="48">
        <v>5</v>
      </c>
      <c r="I20" s="48" t="s">
        <v>253</v>
      </c>
      <c r="J20" s="48">
        <f t="shared" si="1"/>
        <v>100</v>
      </c>
    </row>
    <row r="21" spans="1:10" ht="21" customHeight="1" x14ac:dyDescent="0.15">
      <c r="A21" s="47">
        <v>40028020</v>
      </c>
      <c r="B21" s="48">
        <v>0</v>
      </c>
      <c r="C21" s="48">
        <v>75</v>
      </c>
      <c r="D21" s="48">
        <v>100</v>
      </c>
      <c r="E21" s="48" t="s">
        <v>253</v>
      </c>
      <c r="F21" s="48" t="s">
        <v>253</v>
      </c>
      <c r="G21" s="48" t="s">
        <v>53</v>
      </c>
      <c r="H21" s="48">
        <v>1</v>
      </c>
      <c r="I21" s="48" t="s">
        <v>253</v>
      </c>
      <c r="J21" s="48">
        <f t="shared" si="1"/>
        <v>100</v>
      </c>
    </row>
    <row r="22" spans="1:10" ht="21" customHeight="1" thickBot="1" x14ac:dyDescent="0.2">
      <c r="A22" s="115">
        <v>40028021</v>
      </c>
      <c r="B22" s="117">
        <v>0</v>
      </c>
      <c r="C22" s="117">
        <v>100</v>
      </c>
      <c r="D22" s="117">
        <v>100</v>
      </c>
      <c r="E22" s="117">
        <v>20</v>
      </c>
      <c r="F22" s="117" t="s">
        <v>253</v>
      </c>
      <c r="G22" s="117">
        <v>1</v>
      </c>
      <c r="H22" s="117">
        <v>1</v>
      </c>
      <c r="I22" s="117" t="s">
        <v>253</v>
      </c>
      <c r="J22" s="48">
        <f t="shared" si="1"/>
        <v>100</v>
      </c>
    </row>
    <row r="23" spans="1:10" ht="21" customHeight="1" thickTop="1" x14ac:dyDescent="0.15">
      <c r="A23" s="111">
        <v>40028022</v>
      </c>
      <c r="B23" s="113">
        <v>1</v>
      </c>
      <c r="C23" s="113">
        <v>100</v>
      </c>
      <c r="D23" s="113">
        <v>100</v>
      </c>
      <c r="E23" s="113" t="s">
        <v>276</v>
      </c>
      <c r="F23" s="113" t="s">
        <v>276</v>
      </c>
      <c r="G23" s="113">
        <v>1</v>
      </c>
      <c r="H23" s="113" t="s">
        <v>276</v>
      </c>
      <c r="I23" s="113" t="s">
        <v>276</v>
      </c>
      <c r="J23" s="48">
        <f t="shared" si="1"/>
        <v>100</v>
      </c>
    </row>
    <row r="24" spans="1:10" ht="21" customHeight="1" x14ac:dyDescent="0.15">
      <c r="A24" s="47">
        <v>40028023</v>
      </c>
      <c r="B24" s="48">
        <v>0</v>
      </c>
      <c r="C24" s="48">
        <v>100</v>
      </c>
      <c r="D24" s="48">
        <v>100</v>
      </c>
      <c r="E24" s="48" t="s">
        <v>276</v>
      </c>
      <c r="F24" s="48" t="s">
        <v>276</v>
      </c>
      <c r="G24" s="48">
        <v>1</v>
      </c>
      <c r="H24" s="48">
        <v>1</v>
      </c>
      <c r="I24" s="48" t="s">
        <v>276</v>
      </c>
      <c r="J24" s="48">
        <f t="shared" si="1"/>
        <v>100</v>
      </c>
    </row>
    <row r="25" spans="1:10" ht="21" customHeight="1" x14ac:dyDescent="0.15">
      <c r="A25" s="47">
        <v>40028024</v>
      </c>
      <c r="B25" s="48">
        <v>0</v>
      </c>
      <c r="C25" s="48">
        <v>95</v>
      </c>
      <c r="D25" s="178">
        <v>75</v>
      </c>
      <c r="E25" s="48" t="s">
        <v>276</v>
      </c>
      <c r="F25" s="48" t="s">
        <v>276</v>
      </c>
      <c r="G25" s="48" t="s">
        <v>276</v>
      </c>
      <c r="H25" s="48">
        <v>2</v>
      </c>
      <c r="I25" s="48" t="s">
        <v>276</v>
      </c>
      <c r="J25" s="48">
        <f t="shared" si="1"/>
        <v>75</v>
      </c>
    </row>
    <row r="26" spans="1:10" ht="21" customHeight="1" thickBot="1" x14ac:dyDescent="0.2">
      <c r="A26" s="115">
        <v>40028025</v>
      </c>
      <c r="B26" s="117">
        <v>0</v>
      </c>
      <c r="C26" s="117">
        <v>90</v>
      </c>
      <c r="D26" s="117">
        <v>75</v>
      </c>
      <c r="E26" s="117" t="s">
        <v>276</v>
      </c>
      <c r="F26" s="117" t="s">
        <v>276</v>
      </c>
      <c r="G26" s="117" t="s">
        <v>276</v>
      </c>
      <c r="H26" s="117">
        <v>1</v>
      </c>
      <c r="I26" s="117" t="s">
        <v>276</v>
      </c>
      <c r="J26" s="48">
        <f t="shared" si="1"/>
        <v>75</v>
      </c>
    </row>
    <row r="27" spans="1:10" ht="21" customHeight="1" thickTop="1" x14ac:dyDescent="0.15">
      <c r="A27" s="111">
        <v>40028026</v>
      </c>
      <c r="B27" s="113">
        <v>1</v>
      </c>
      <c r="C27" s="113">
        <v>100</v>
      </c>
      <c r="D27" s="113">
        <v>100</v>
      </c>
      <c r="E27" s="113" t="s">
        <v>276</v>
      </c>
      <c r="F27" s="113" t="s">
        <v>276</v>
      </c>
      <c r="G27" s="113">
        <v>1</v>
      </c>
      <c r="H27" s="113" t="s">
        <v>276</v>
      </c>
      <c r="I27" s="113" t="s">
        <v>276</v>
      </c>
      <c r="J27" s="48">
        <f t="shared" si="1"/>
        <v>100</v>
      </c>
    </row>
    <row r="28" spans="1:10" ht="21" customHeight="1" x14ac:dyDescent="0.15">
      <c r="A28" s="47">
        <v>40028027</v>
      </c>
      <c r="B28" s="48">
        <v>0</v>
      </c>
      <c r="C28" s="48">
        <v>100</v>
      </c>
      <c r="D28" s="48">
        <v>100</v>
      </c>
      <c r="E28" s="48" t="s">
        <v>276</v>
      </c>
      <c r="F28" s="48" t="s">
        <v>276</v>
      </c>
      <c r="G28" s="48">
        <v>1</v>
      </c>
      <c r="H28" s="48">
        <v>1</v>
      </c>
      <c r="I28" s="48" t="s">
        <v>276</v>
      </c>
      <c r="J28" s="48">
        <f t="shared" si="1"/>
        <v>100</v>
      </c>
    </row>
    <row r="29" spans="1:10" ht="21" customHeight="1" x14ac:dyDescent="0.15">
      <c r="A29" s="47">
        <v>40028028</v>
      </c>
      <c r="B29" s="48">
        <v>0</v>
      </c>
      <c r="C29" s="48">
        <v>95</v>
      </c>
      <c r="D29" s="178">
        <v>75</v>
      </c>
      <c r="E29" s="48" t="s">
        <v>276</v>
      </c>
      <c r="F29" s="48" t="s">
        <v>276</v>
      </c>
      <c r="G29" s="48" t="s">
        <v>276</v>
      </c>
      <c r="H29" s="48">
        <v>2</v>
      </c>
      <c r="I29" s="48" t="s">
        <v>276</v>
      </c>
      <c r="J29" s="48">
        <f t="shared" si="1"/>
        <v>75</v>
      </c>
    </row>
    <row r="30" spans="1:10" ht="21" customHeight="1" thickBot="1" x14ac:dyDescent="0.2">
      <c r="A30" s="115">
        <v>40028029</v>
      </c>
      <c r="B30" s="117">
        <v>0</v>
      </c>
      <c r="C30" s="117">
        <v>90</v>
      </c>
      <c r="D30" s="117">
        <v>75</v>
      </c>
      <c r="E30" s="117" t="s">
        <v>276</v>
      </c>
      <c r="F30" s="117" t="s">
        <v>276</v>
      </c>
      <c r="G30" s="117" t="s">
        <v>276</v>
      </c>
      <c r="H30" s="117">
        <v>1</v>
      </c>
      <c r="I30" s="117" t="s">
        <v>276</v>
      </c>
      <c r="J30" s="48">
        <f t="shared" si="1"/>
        <v>75</v>
      </c>
    </row>
    <row r="31" spans="1:10" ht="21" customHeight="1" thickTop="1" x14ac:dyDescent="0.15">
      <c r="A31" s="111">
        <v>40028030</v>
      </c>
      <c r="B31" s="113">
        <v>1</v>
      </c>
      <c r="C31" s="113">
        <v>150</v>
      </c>
      <c r="D31" s="113">
        <v>100</v>
      </c>
      <c r="E31" s="113" t="s">
        <v>276</v>
      </c>
      <c r="F31" s="113" t="s">
        <v>276</v>
      </c>
      <c r="G31" s="113">
        <v>1</v>
      </c>
      <c r="H31" s="113" t="s">
        <v>276</v>
      </c>
      <c r="I31" s="113" t="s">
        <v>276</v>
      </c>
      <c r="J31" s="48">
        <f t="shared" si="1"/>
        <v>100</v>
      </c>
    </row>
    <row r="32" spans="1:10" ht="21" customHeight="1" x14ac:dyDescent="0.15">
      <c r="A32" s="47">
        <v>40028031</v>
      </c>
      <c r="B32" s="48">
        <v>0</v>
      </c>
      <c r="C32" s="48">
        <v>100</v>
      </c>
      <c r="D32" s="48">
        <v>100</v>
      </c>
      <c r="E32" s="48" t="s">
        <v>276</v>
      </c>
      <c r="F32" s="48" t="s">
        <v>276</v>
      </c>
      <c r="G32" s="48">
        <v>1</v>
      </c>
      <c r="H32" s="48">
        <v>1</v>
      </c>
      <c r="I32" s="48" t="s">
        <v>276</v>
      </c>
      <c r="J32" s="48">
        <f t="shared" si="1"/>
        <v>100</v>
      </c>
    </row>
    <row r="33" spans="1:10" ht="21" customHeight="1" x14ac:dyDescent="0.15">
      <c r="A33" s="109">
        <v>40028032</v>
      </c>
      <c r="B33" s="178">
        <v>0</v>
      </c>
      <c r="C33" s="178">
        <v>50</v>
      </c>
      <c r="D33" s="178">
        <v>50</v>
      </c>
      <c r="E33" s="178" t="s">
        <v>276</v>
      </c>
      <c r="F33" s="178" t="s">
        <v>276</v>
      </c>
      <c r="G33" s="178" t="s">
        <v>276</v>
      </c>
      <c r="H33" s="178" t="s">
        <v>276</v>
      </c>
      <c r="I33" s="178" t="s">
        <v>276</v>
      </c>
      <c r="J33" s="48">
        <f t="shared" si="1"/>
        <v>50</v>
      </c>
    </row>
    <row r="34" spans="1:10" ht="21" customHeight="1" x14ac:dyDescent="0.15">
      <c r="A34" s="47">
        <v>40028033</v>
      </c>
      <c r="B34" s="48">
        <v>0</v>
      </c>
      <c r="C34" s="48">
        <v>40</v>
      </c>
      <c r="D34" s="48">
        <v>80</v>
      </c>
      <c r="E34" s="48" t="s">
        <v>276</v>
      </c>
      <c r="F34" s="48" t="s">
        <v>276</v>
      </c>
      <c r="G34" s="48" t="s">
        <v>276</v>
      </c>
      <c r="H34" s="48" t="s">
        <v>276</v>
      </c>
      <c r="I34" s="48" t="s">
        <v>276</v>
      </c>
      <c r="J34" s="48">
        <f t="shared" si="1"/>
        <v>80</v>
      </c>
    </row>
    <row r="35" spans="1:10" ht="21" customHeight="1" x14ac:dyDescent="0.15">
      <c r="A35" s="111">
        <v>40028034</v>
      </c>
      <c r="B35" s="113">
        <v>0</v>
      </c>
      <c r="C35" s="113">
        <v>91</v>
      </c>
      <c r="D35" s="113">
        <v>100</v>
      </c>
      <c r="E35" s="113">
        <v>75</v>
      </c>
      <c r="F35" s="113" t="s">
        <v>276</v>
      </c>
      <c r="G35" s="113">
        <v>1</v>
      </c>
      <c r="H35" s="113" t="s">
        <v>276</v>
      </c>
      <c r="I35" s="113" t="s">
        <v>276</v>
      </c>
      <c r="J35" s="48">
        <v>100</v>
      </c>
    </row>
    <row r="36" spans="1:10" ht="21" customHeight="1" x14ac:dyDescent="0.15">
      <c r="A36" s="47">
        <v>40028035</v>
      </c>
      <c r="B36" s="48">
        <v>0</v>
      </c>
      <c r="C36" s="48">
        <v>90</v>
      </c>
      <c r="D36" s="48">
        <v>100</v>
      </c>
      <c r="E36" s="48">
        <v>75</v>
      </c>
      <c r="F36" s="48" t="s">
        <v>276</v>
      </c>
      <c r="G36" s="48">
        <v>1</v>
      </c>
      <c r="H36" s="48" t="s">
        <v>276</v>
      </c>
      <c r="I36" s="48" t="s">
        <v>276</v>
      </c>
      <c r="J36" s="48">
        <v>100</v>
      </c>
    </row>
    <row r="37" spans="1:10" ht="21" customHeight="1" x14ac:dyDescent="0.15">
      <c r="A37" s="47">
        <v>40028036</v>
      </c>
      <c r="B37" s="48">
        <v>0</v>
      </c>
      <c r="C37" s="48">
        <v>81</v>
      </c>
      <c r="D37" s="48">
        <v>100</v>
      </c>
      <c r="E37" s="48">
        <v>50</v>
      </c>
      <c r="F37" s="48" t="s">
        <v>276</v>
      </c>
      <c r="G37" s="48">
        <v>1</v>
      </c>
      <c r="H37" s="48" t="s">
        <v>276</v>
      </c>
      <c r="I37" s="48" t="s">
        <v>276</v>
      </c>
      <c r="J37" s="48">
        <v>100</v>
      </c>
    </row>
    <row r="38" spans="1:10" ht="21" customHeight="1" x14ac:dyDescent="0.15">
      <c r="A38" s="47">
        <v>40028037</v>
      </c>
      <c r="B38" s="48">
        <v>0</v>
      </c>
      <c r="C38" s="48">
        <v>80</v>
      </c>
      <c r="D38" s="48">
        <v>100</v>
      </c>
      <c r="E38" s="48">
        <v>50</v>
      </c>
      <c r="F38" s="48" t="s">
        <v>276</v>
      </c>
      <c r="G38" s="48">
        <v>1</v>
      </c>
      <c r="H38" s="48" t="s">
        <v>276</v>
      </c>
      <c r="I38" s="48" t="s">
        <v>276</v>
      </c>
      <c r="J38" s="48">
        <v>100</v>
      </c>
    </row>
    <row r="39" spans="1:10" ht="21" customHeight="1" x14ac:dyDescent="0.15">
      <c r="A39" s="47">
        <v>40028038</v>
      </c>
      <c r="B39" s="48">
        <v>0</v>
      </c>
      <c r="C39" s="48">
        <v>71</v>
      </c>
      <c r="D39" s="48">
        <v>100</v>
      </c>
      <c r="E39" s="48">
        <v>25</v>
      </c>
      <c r="F39" s="48" t="s">
        <v>276</v>
      </c>
      <c r="G39" s="48">
        <v>1</v>
      </c>
      <c r="H39" s="48" t="s">
        <v>276</v>
      </c>
      <c r="I39" s="48" t="s">
        <v>276</v>
      </c>
      <c r="J39" s="48">
        <v>100</v>
      </c>
    </row>
    <row r="40" spans="1:10" ht="21" customHeight="1" x14ac:dyDescent="0.15">
      <c r="A40" s="47">
        <v>40028039</v>
      </c>
      <c r="B40" s="48">
        <v>0</v>
      </c>
      <c r="C40" s="48">
        <v>70</v>
      </c>
      <c r="D40" s="48">
        <v>100</v>
      </c>
      <c r="E40" s="48">
        <v>25</v>
      </c>
      <c r="F40" s="48" t="s">
        <v>276</v>
      </c>
      <c r="G40" s="48">
        <v>1</v>
      </c>
      <c r="H40" s="48" t="s">
        <v>276</v>
      </c>
      <c r="I40" s="48" t="s">
        <v>276</v>
      </c>
      <c r="J40" s="48">
        <v>100</v>
      </c>
    </row>
    <row r="41" spans="1:10" ht="21" customHeight="1" x14ac:dyDescent="0.15">
      <c r="A41" s="47">
        <v>40028049</v>
      </c>
      <c r="B41" s="48">
        <v>1</v>
      </c>
      <c r="C41" s="48">
        <v>120</v>
      </c>
      <c r="D41" s="48">
        <v>100</v>
      </c>
      <c r="E41" s="48" t="s">
        <v>276</v>
      </c>
      <c r="F41" s="48" t="s">
        <v>276</v>
      </c>
      <c r="G41" s="48">
        <v>1</v>
      </c>
      <c r="H41" s="48" t="s">
        <v>276</v>
      </c>
      <c r="I41" s="48">
        <v>1103</v>
      </c>
      <c r="J41" s="48">
        <v>100</v>
      </c>
    </row>
    <row r="42" spans="1:10" ht="21" customHeight="1" x14ac:dyDescent="0.15">
      <c r="A42" s="47">
        <v>40028050</v>
      </c>
      <c r="B42" s="48">
        <v>1</v>
      </c>
      <c r="C42" s="48">
        <v>110</v>
      </c>
      <c r="D42" s="48">
        <v>100</v>
      </c>
      <c r="E42" s="48" t="s">
        <v>276</v>
      </c>
      <c r="F42" s="48" t="s">
        <v>276</v>
      </c>
      <c r="G42" s="48">
        <v>1</v>
      </c>
      <c r="H42" s="48" t="s">
        <v>276</v>
      </c>
      <c r="I42" s="48">
        <v>1102</v>
      </c>
      <c r="J42" s="48"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D1" zoomScale="124" zoomScaleNormal="124" zoomScalePageLayoutView="124" workbookViewId="0">
      <selection activeCell="H23" sqref="H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3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40028</v>
      </c>
      <c r="B2" s="57">
        <v>1</v>
      </c>
      <c r="C2" s="72" t="str">
        <f t="shared" ref="C2:C18" si="0">A2&amp; "_"&amp;B2</f>
        <v>40028_1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319</v>
      </c>
      <c r="G2" s="57">
        <v>40000</v>
      </c>
      <c r="H2" s="57" t="s">
        <v>320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321</v>
      </c>
      <c r="R2" s="57" t="s">
        <v>322</v>
      </c>
    </row>
    <row r="3" spans="1:18" x14ac:dyDescent="0.15">
      <c r="A3" s="57">
        <v>40028</v>
      </c>
      <c r="B3" s="57">
        <v>1</v>
      </c>
      <c r="C3" s="72" t="str">
        <f t="shared" si="0"/>
        <v>40028_1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323</v>
      </c>
      <c r="G3" s="57">
        <v>30</v>
      </c>
      <c r="H3" s="57" t="s">
        <v>320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321</v>
      </c>
      <c r="R3" s="57" t="s">
        <v>322</v>
      </c>
    </row>
    <row r="4" spans="1:18" x14ac:dyDescent="0.15">
      <c r="A4" s="57">
        <v>40028</v>
      </c>
      <c r="B4" s="57">
        <v>1</v>
      </c>
      <c r="C4" s="72" t="str">
        <f t="shared" si="0"/>
        <v>40028_1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324</v>
      </c>
      <c r="G4" s="57">
        <v>345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321</v>
      </c>
      <c r="R4" s="57" t="s">
        <v>322</v>
      </c>
    </row>
    <row r="5" spans="1:18" x14ac:dyDescent="0.15">
      <c r="A5" s="57">
        <v>40028</v>
      </c>
      <c r="B5" s="57">
        <v>1</v>
      </c>
      <c r="C5" s="72" t="str">
        <f t="shared" si="0"/>
        <v>40028_1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324</v>
      </c>
      <c r="G5" s="57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321</v>
      </c>
      <c r="R5" s="57" t="s">
        <v>322</v>
      </c>
    </row>
    <row r="6" spans="1:18" x14ac:dyDescent="0.15">
      <c r="A6" s="57">
        <v>40028</v>
      </c>
      <c r="B6" s="57">
        <v>1</v>
      </c>
      <c r="C6" s="72" t="str">
        <f t="shared" si="0"/>
        <v>40028_1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324</v>
      </c>
      <c r="G6" s="57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7" t="s">
        <v>321</v>
      </c>
      <c r="R6" s="57" t="s">
        <v>322</v>
      </c>
    </row>
    <row r="7" spans="1:18" x14ac:dyDescent="0.15">
      <c r="A7" s="57">
        <v>40028</v>
      </c>
      <c r="B7" s="57">
        <v>1</v>
      </c>
      <c r="C7" s="72" t="str">
        <f t="shared" si="0"/>
        <v>40028_1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324</v>
      </c>
      <c r="G7" s="57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7" t="s">
        <v>321</v>
      </c>
      <c r="R7" s="57" t="s">
        <v>322</v>
      </c>
    </row>
    <row r="8" spans="1:18" x14ac:dyDescent="0.15">
      <c r="A8" s="57">
        <v>40028</v>
      </c>
      <c r="B8" s="57">
        <v>1</v>
      </c>
      <c r="C8" s="72" t="str">
        <f t="shared" si="0"/>
        <v>40028_1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324</v>
      </c>
      <c r="G8" s="57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321</v>
      </c>
      <c r="R8" s="57" t="s">
        <v>322</v>
      </c>
    </row>
    <row r="9" spans="1:18" x14ac:dyDescent="0.15">
      <c r="A9" s="57">
        <v>40028</v>
      </c>
      <c r="B9" s="57">
        <v>1</v>
      </c>
      <c r="C9" s="72" t="str">
        <f t="shared" si="0"/>
        <v>40028_1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324</v>
      </c>
      <c r="G9" s="57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321</v>
      </c>
      <c r="R9" s="57" t="s">
        <v>322</v>
      </c>
    </row>
    <row r="10" spans="1:18" x14ac:dyDescent="0.15">
      <c r="A10" s="57">
        <v>40028</v>
      </c>
      <c r="B10" s="57">
        <v>1</v>
      </c>
      <c r="C10" s="72" t="str">
        <f t="shared" si="0"/>
        <v>40028_1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324</v>
      </c>
      <c r="G10" s="57">
        <v>354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150</v>
      </c>
      <c r="Q10" s="57" t="s">
        <v>321</v>
      </c>
      <c r="R10" s="57" t="s">
        <v>322</v>
      </c>
    </row>
    <row r="11" spans="1:18" s="192" customFormat="1" ht="16" thickBot="1" x14ac:dyDescent="0.2">
      <c r="A11" s="189">
        <v>40028</v>
      </c>
      <c r="B11" s="189">
        <v>1</v>
      </c>
      <c r="C11" s="190" t="str">
        <f t="shared" si="0"/>
        <v>40028_1</v>
      </c>
      <c r="D11" s="19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89">
        <v>10</v>
      </c>
      <c r="F11" s="189" t="s">
        <v>324</v>
      </c>
      <c r="G11" s="189">
        <v>1098</v>
      </c>
      <c r="H11" s="189">
        <v>1</v>
      </c>
      <c r="I11" s="189">
        <v>1</v>
      </c>
      <c r="J11" s="189">
        <v>1</v>
      </c>
      <c r="K11" s="189">
        <v>0</v>
      </c>
      <c r="L11" s="189">
        <v>0</v>
      </c>
      <c r="M11" s="189">
        <v>0</v>
      </c>
      <c r="N11" s="189">
        <v>0</v>
      </c>
      <c r="O11" s="189">
        <v>1</v>
      </c>
      <c r="P11" s="189">
        <v>100</v>
      </c>
      <c r="Q11" s="189" t="s">
        <v>321</v>
      </c>
      <c r="R11" s="189" t="s">
        <v>322</v>
      </c>
    </row>
    <row r="12" spans="1:18" ht="16" thickTop="1" x14ac:dyDescent="0.15">
      <c r="A12" s="186">
        <v>40028</v>
      </c>
      <c r="B12" s="186">
        <v>2</v>
      </c>
      <c r="C12" s="187" t="str">
        <f t="shared" si="0"/>
        <v>40028_2</v>
      </c>
      <c r="D12" s="18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86">
        <v>11</v>
      </c>
      <c r="F12" s="186" t="s">
        <v>324</v>
      </c>
      <c r="G12" s="186">
        <v>346</v>
      </c>
      <c r="H12" s="186">
        <v>1</v>
      </c>
      <c r="I12" s="186">
        <v>1</v>
      </c>
      <c r="J12" s="186">
        <v>1</v>
      </c>
      <c r="K12" s="186">
        <v>0</v>
      </c>
      <c r="L12" s="186">
        <v>0</v>
      </c>
      <c r="M12" s="186">
        <v>0</v>
      </c>
      <c r="N12" s="186">
        <v>0</v>
      </c>
      <c r="O12" s="186">
        <v>1</v>
      </c>
      <c r="P12" s="186">
        <v>50</v>
      </c>
      <c r="Q12" s="186" t="s">
        <v>321</v>
      </c>
      <c r="R12" s="186" t="s">
        <v>322</v>
      </c>
    </row>
    <row r="13" spans="1:18" x14ac:dyDescent="0.15">
      <c r="A13" s="57">
        <v>40028</v>
      </c>
      <c r="B13" s="57">
        <v>2</v>
      </c>
      <c r="C13" s="72" t="str">
        <f t="shared" si="0"/>
        <v>40028_2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324</v>
      </c>
      <c r="G13" s="57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321</v>
      </c>
      <c r="R13" s="57" t="s">
        <v>322</v>
      </c>
    </row>
    <row r="14" spans="1:18" x14ac:dyDescent="0.15">
      <c r="A14" s="57">
        <v>40028</v>
      </c>
      <c r="B14" s="57">
        <v>2</v>
      </c>
      <c r="C14" s="72" t="str">
        <f t="shared" si="0"/>
        <v>40028_2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324</v>
      </c>
      <c r="G14" s="57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321</v>
      </c>
      <c r="R14" s="57" t="s">
        <v>322</v>
      </c>
    </row>
    <row r="15" spans="1:18" x14ac:dyDescent="0.15">
      <c r="A15" s="57">
        <v>40028</v>
      </c>
      <c r="B15" s="57">
        <v>2</v>
      </c>
      <c r="C15" s="72" t="str">
        <f t="shared" si="0"/>
        <v>40028_2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324</v>
      </c>
      <c r="G15" s="57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321</v>
      </c>
      <c r="R15" s="57" t="s">
        <v>322</v>
      </c>
    </row>
    <row r="16" spans="1:18" x14ac:dyDescent="0.15">
      <c r="A16" s="57">
        <v>40028</v>
      </c>
      <c r="B16" s="57">
        <v>2</v>
      </c>
      <c r="C16" s="72" t="str">
        <f t="shared" si="0"/>
        <v>40028_2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324</v>
      </c>
      <c r="G16" s="57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321</v>
      </c>
      <c r="R16" s="57" t="s">
        <v>322</v>
      </c>
    </row>
    <row r="17" spans="1:18" x14ac:dyDescent="0.15">
      <c r="A17" s="57">
        <v>40028</v>
      </c>
      <c r="B17" s="57">
        <v>2</v>
      </c>
      <c r="C17" s="72" t="str">
        <f t="shared" si="0"/>
        <v>40028_2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324</v>
      </c>
      <c r="G17" s="57">
        <v>1098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321</v>
      </c>
      <c r="R17" s="57" t="s">
        <v>322</v>
      </c>
    </row>
    <row r="18" spans="1:18" x14ac:dyDescent="0.15">
      <c r="A18" s="57">
        <v>40028</v>
      </c>
      <c r="B18" s="57">
        <v>2</v>
      </c>
      <c r="C18" s="72" t="str">
        <f t="shared" si="0"/>
        <v>40028_2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324</v>
      </c>
      <c r="G18" s="57">
        <v>354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120</v>
      </c>
      <c r="Q18" s="57" t="s">
        <v>321</v>
      </c>
      <c r="R18" s="57" t="s">
        <v>322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zoomScale="159" zoomScaleNormal="159" zoomScalePageLayoutView="159" workbookViewId="0">
      <pane ySplit="1" topLeftCell="A2" activePane="bottomLeft" state="frozen"/>
      <selection pane="bottomLeft" activeCell="L30" sqref="L3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183</v>
      </c>
      <c r="B1" s="74" t="s">
        <v>184</v>
      </c>
      <c r="C1" s="78" t="s">
        <v>185</v>
      </c>
      <c r="D1" s="78" t="s">
        <v>33</v>
      </c>
      <c r="E1" s="74" t="s">
        <v>150</v>
      </c>
      <c r="F1" s="78" t="s">
        <v>187</v>
      </c>
      <c r="G1" s="78" t="s">
        <v>33</v>
      </c>
      <c r="H1" s="74" t="s">
        <v>188</v>
      </c>
      <c r="I1" s="92" t="s">
        <v>190</v>
      </c>
      <c r="J1" s="80" t="s">
        <v>125</v>
      </c>
      <c r="K1" s="79" t="s">
        <v>182</v>
      </c>
      <c r="L1" s="93" t="s">
        <v>181</v>
      </c>
      <c r="M1" s="81" t="s">
        <v>191</v>
      </c>
    </row>
    <row r="2" spans="1:13" x14ac:dyDescent="0.15">
      <c r="A2" s="82" t="s">
        <v>196</v>
      </c>
      <c r="B2" s="83">
        <v>40028</v>
      </c>
      <c r="C2" s="84" t="str">
        <f ca="1">VLOOKUP($B2,OFFSET([2]quests!$A$1,0,0,COUNTA([2]quests!$A:$A),MATCH(C$1,[2]quests!$1:$1,0)-MATCH($B$1,[2]quests!$1:$1,0)+1),MATCH(C$1,[2]quests!$1:$1,0)-MATCH($B$1,[2]quests!$1:$1,0)+1,FALSE)</f>
        <v>ルピカ襲来！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降臨28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【超絶級】ルピカ襲来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降臨28</v>
      </c>
      <c r="H2" s="86">
        <v>0</v>
      </c>
      <c r="I2">
        <v>12</v>
      </c>
      <c r="J2" s="85" t="s">
        <v>193</v>
      </c>
      <c r="K2" s="94" t="str">
        <f>VLOOKUP(I2,[7]stage_hints!$A:$C,3,FALSE)</f>
        <v>ユニットのお気に入り登録</v>
      </c>
      <c r="L2" s="95" t="str">
        <f>VLOOKUP(I2,[7]stage_hints!$A:$D,4,FALSE)</f>
        <v>大事なユニットを誤って消さないように_x000D_フォルダから「お気に入り登録」しましょう</v>
      </c>
      <c r="M2" s="57" t="s">
        <v>206</v>
      </c>
    </row>
    <row r="3" spans="1:13" x14ac:dyDescent="0.15">
      <c r="A3" s="82" t="s">
        <v>196</v>
      </c>
      <c r="B3" s="83">
        <v>40028</v>
      </c>
      <c r="C3" s="84" t="str">
        <f ca="1">VLOOKUP($B3,OFFSET([2]quests!$A$1,0,0,COUNTA([2]quests!$A:$A),MATCH(C$1,[2]quests!$1:$1,0)-MATCH($B$1,[2]quests!$1:$1,0)+1),MATCH(C$1,[2]quests!$1:$1,0)-MATCH($B$1,[2]quests!$1:$1,0)+1,FALSE)</f>
        <v>ルピカ襲来！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降臨28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【超絶級】ルピカ襲来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降臨28</v>
      </c>
      <c r="H3" s="86">
        <v>0</v>
      </c>
      <c r="I3">
        <v>17</v>
      </c>
      <c r="J3" s="85" t="s">
        <v>193</v>
      </c>
      <c r="K3" s="94" t="str">
        <f>VLOOKUP(I3,[7]stage_hints!$A:$C,3,FALSE)</f>
        <v>リンクガチャ</v>
      </c>
      <c r="L3" s="95" t="str">
        <f>VLOOKUP(I3,[7]stage_hints!$A:$D,4,FALSE)</f>
        <v>無料のリンクガチャを回して_x000D_経験値素材や売却素材を獲得しましょう</v>
      </c>
      <c r="M3" s="57" t="s">
        <v>206</v>
      </c>
    </row>
    <row r="4" spans="1:13" x14ac:dyDescent="0.15">
      <c r="A4" s="82" t="s">
        <v>196</v>
      </c>
      <c r="B4" s="83">
        <v>40028</v>
      </c>
      <c r="C4" s="84" t="str">
        <f ca="1">VLOOKUP($B4,OFFSET([2]quests!$A$1,0,0,COUNTA([2]quests!$A:$A),MATCH(C$1,[2]quests!$1:$1,0)-MATCH($B$1,[2]quests!$1:$1,0)+1),MATCH(C$1,[2]quests!$1:$1,0)-MATCH($B$1,[2]quests!$1:$1,0)+1,FALSE)</f>
        <v>ルピカ襲来！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降臨28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【超絶級】ルピカ襲来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降臨28</v>
      </c>
      <c r="H4" s="86">
        <v>0</v>
      </c>
      <c r="I4">
        <v>19</v>
      </c>
      <c r="J4" s="85" t="s">
        <v>193</v>
      </c>
      <c r="K4" s="94" t="str">
        <f>VLOOKUP(I4,[7]stage_hints!$A:$C,3,FALSE)</f>
        <v>ソロ専用チャレンジタワー</v>
      </c>
      <c r="L4" s="95" t="str">
        <f>VLOOKUP(I4,[7]stage_hints!$A:$D,4,FALSE)</f>
        <v>ソロ専用の「チャレンジタワー」では_x000D_各フロアごとにクリア報酬がもらえます</v>
      </c>
      <c r="M4" s="57" t="s">
        <v>206</v>
      </c>
    </row>
    <row r="5" spans="1:13" x14ac:dyDescent="0.15">
      <c r="A5" s="82" t="s">
        <v>196</v>
      </c>
      <c r="B5" s="83">
        <v>40028</v>
      </c>
      <c r="C5" s="84" t="str">
        <f ca="1">VLOOKUP($B5,OFFSET([2]quests!$A$1,0,0,COUNTA([2]quests!$A:$A),MATCH(C$1,[2]quests!$1:$1,0)-MATCH($B$1,[2]quests!$1:$1,0)+1),MATCH(C$1,[2]quests!$1:$1,0)-MATCH($B$1,[2]quests!$1:$1,0)+1,FALSE)</f>
        <v>ルピカ襲来！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降臨28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【超絶級】ルピカ襲来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降臨28</v>
      </c>
      <c r="H5" s="86">
        <v>0</v>
      </c>
      <c r="I5">
        <v>21</v>
      </c>
      <c r="J5" s="85" t="s">
        <v>193</v>
      </c>
      <c r="K5" s="94" t="str">
        <f>VLOOKUP(I5,[7]stage_hints!$A:$C,3,FALSE)</f>
        <v>スキルを有効に</v>
      </c>
      <c r="L5" s="95" t="str">
        <f>VLOOKUP(I5,[7]stage_hints!$A:$D,4,FALSE)</f>
        <v>ターン経過でユニットのスキルが使えます_x000D_強力スキルでバトルを有利に進めましょう</v>
      </c>
      <c r="M5" s="57" t="s">
        <v>206</v>
      </c>
    </row>
    <row r="6" spans="1:13" x14ac:dyDescent="0.15">
      <c r="A6" s="82" t="s">
        <v>196</v>
      </c>
      <c r="B6" s="83">
        <v>40028</v>
      </c>
      <c r="C6" s="84" t="str">
        <f ca="1">VLOOKUP($B6,OFFSET([2]quests!$A$1,0,0,COUNTA([2]quests!$A:$A),MATCH(C$1,[2]quests!$1:$1,0)-MATCH($B$1,[2]quests!$1:$1,0)+1),MATCH(C$1,[2]quests!$1:$1,0)-MATCH($B$1,[2]quests!$1:$1,0)+1,FALSE)</f>
        <v>ルピカ襲来！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降臨28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【超絶級】ルピカ襲来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降臨28</v>
      </c>
      <c r="H6" s="86">
        <v>0</v>
      </c>
      <c r="I6">
        <v>29</v>
      </c>
      <c r="J6" s="85" t="s">
        <v>193</v>
      </c>
      <c r="K6" s="94" t="str">
        <f>VLOOKUP(I6,[7]stage_hints!$A:$C,3,FALSE)</f>
        <v>「バグ」のメリット</v>
      </c>
      <c r="L6" s="95" t="str">
        <f>VLOOKUP(I6,[7]stage_hints!$A:$D,4,FALSE)</f>
        <v>ユニットの「バグ」を増やすと_x000D_報酬をもらえる確率がアップします</v>
      </c>
      <c r="M6" s="57" t="s">
        <v>206</v>
      </c>
    </row>
    <row r="7" spans="1:13" x14ac:dyDescent="0.15">
      <c r="A7" s="82" t="s">
        <v>196</v>
      </c>
      <c r="B7" s="83">
        <v>40028</v>
      </c>
      <c r="C7" s="84" t="str">
        <f ca="1">VLOOKUP($B7,OFFSET([2]quests!$A$1,0,0,COUNTA([2]quests!$A:$A),MATCH(C$1,[2]quests!$1:$1,0)-MATCH($B$1,[2]quests!$1:$1,0)+1),MATCH(C$1,[2]quests!$1:$1,0)-MATCH($B$1,[2]quests!$1:$1,0)+1,FALSE)</f>
        <v>ルピカ襲来！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降臨28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【超絶級】ルピカ襲来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降臨28</v>
      </c>
      <c r="H7" s="86">
        <v>0</v>
      </c>
      <c r="I7">
        <v>30</v>
      </c>
      <c r="J7" s="85" t="s">
        <v>193</v>
      </c>
      <c r="K7" s="94" t="str">
        <f>VLOOKUP(I7,[7]stage_hints!$A:$C,3,FALSE)</f>
        <v>「バグ」の増やし方</v>
      </c>
      <c r="L7" s="95" t="str">
        <f>VLOOKUP(I7,[7]stage_hints!$A:$D,4,FALSE)</f>
        <v>同じユニット同士を強化で合成すると_x000D_「バグ」を増やすことができます</v>
      </c>
      <c r="M7" s="57" t="s">
        <v>206</v>
      </c>
    </row>
    <row r="8" spans="1:13" x14ac:dyDescent="0.15">
      <c r="A8" s="82" t="s">
        <v>196</v>
      </c>
      <c r="B8" s="83">
        <v>40028</v>
      </c>
      <c r="C8" s="84" t="str">
        <f ca="1">VLOOKUP($B8,OFFSET([2]quests!$A$1,0,0,COUNTA([2]quests!$A:$A),MATCH(C$1,[2]quests!$1:$1,0)-MATCH($B$1,[2]quests!$1:$1,0)+1),MATCH(C$1,[2]quests!$1:$1,0)-MATCH($B$1,[2]quests!$1:$1,0)+1,FALSE)</f>
        <v>ルピカ襲来！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降臨28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【超絶級】ルピカ襲来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降臨28</v>
      </c>
      <c r="H8" s="86">
        <v>0</v>
      </c>
      <c r="I8">
        <v>32</v>
      </c>
      <c r="J8" s="85" t="s">
        <v>193</v>
      </c>
      <c r="K8" s="94" t="str">
        <f>VLOOKUP(I8,[7]stage_hints!$A:$C,3,FALSE)</f>
        <v>敵の連続攻撃には</v>
      </c>
      <c r="L8" s="95" t="str">
        <f>VLOOKUP(I8,[7]stage_hints!$A:$D,4,FALSE)</f>
        <v>カウンタースキルを持つユニットがいれば_x000D_ダメージ回数分の反撃ができます</v>
      </c>
      <c r="M8" s="57" t="s">
        <v>206</v>
      </c>
    </row>
    <row r="9" spans="1:13" x14ac:dyDescent="0.15">
      <c r="A9" s="82" t="s">
        <v>196</v>
      </c>
      <c r="B9" s="83">
        <v>40028</v>
      </c>
      <c r="C9" s="84" t="str">
        <f ca="1">VLOOKUP($B9,OFFSET([2]quests!$A$1,0,0,COUNTA([2]quests!$A:$A),MATCH(C$1,[2]quests!$1:$1,0)-MATCH($B$1,[2]quests!$1:$1,0)+1),MATCH(C$1,[2]quests!$1:$1,0)-MATCH($B$1,[2]quests!$1:$1,0)+1,FALSE)</f>
        <v>ルピカ襲来！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降臨28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【超絶級】ルピカ襲来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降臨28</v>
      </c>
      <c r="H9" s="86">
        <v>0</v>
      </c>
      <c r="I9">
        <v>33</v>
      </c>
      <c r="J9" s="85" t="s">
        <v>193</v>
      </c>
      <c r="K9" s="94" t="str">
        <f>VLOOKUP(I9,[7]stage_hints!$A:$C,3,FALSE)</f>
        <v>敵のカウンター攻撃には</v>
      </c>
      <c r="L9" s="95" t="str">
        <f>VLOOKUP(I9,[7]stage_hints!$A:$D,4,FALSE)</f>
        <v>カウンターブレイクスキルを持っていれば_x000D_敵のカウンターを解除して攻撃ができます</v>
      </c>
      <c r="M9" s="57" t="s">
        <v>206</v>
      </c>
    </row>
    <row r="10" spans="1:13" x14ac:dyDescent="0.15">
      <c r="A10" s="82" t="s">
        <v>196</v>
      </c>
      <c r="B10" s="83">
        <v>40028</v>
      </c>
      <c r="C10" s="84" t="str">
        <f ca="1">VLOOKUP($B10,OFFSET([2]quests!$A$1,0,0,COUNTA([2]quests!$A:$A),MATCH(C$1,[2]quests!$1:$1,0)-MATCH($B$1,[2]quests!$1:$1,0)+1),MATCH(C$1,[2]quests!$1:$1,0)-MATCH($B$1,[2]quests!$1:$1,0)+1,FALSE)</f>
        <v>ルピカ襲来！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降臨28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【超絶級】ルピカ襲来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降臨28</v>
      </c>
      <c r="H10" s="86">
        <v>0</v>
      </c>
      <c r="I10">
        <v>34</v>
      </c>
      <c r="J10" s="85" t="s">
        <v>193</v>
      </c>
      <c r="K10" s="94" t="str">
        <f>VLOOKUP(I10,[7]stage_hints!$A:$C,3,FALSE)</f>
        <v>ステータスをスキルで下げられたら</v>
      </c>
      <c r="L10" s="95" t="str">
        <f>VLOOKUP(I10,[7]stage_hints!$A:$D,4,FALSE)</f>
        <v>ステータスダウンのスキルを受けたら_x000D_ステータスアップスキルで上書きしましょう</v>
      </c>
      <c r="M10" s="57" t="s">
        <v>206</v>
      </c>
    </row>
    <row r="11" spans="1:13" x14ac:dyDescent="0.15">
      <c r="A11" s="82" t="s">
        <v>196</v>
      </c>
      <c r="B11" s="83">
        <v>40028</v>
      </c>
      <c r="C11" s="84" t="str">
        <f ca="1">VLOOKUP($B11,OFFSET([2]quests!$A$1,0,0,COUNTA([2]quests!$A:$A),MATCH(C$1,[2]quests!$1:$1,0)-MATCH($B$1,[2]quests!$1:$1,0)+1),MATCH(C$1,[2]quests!$1:$1,0)-MATCH($B$1,[2]quests!$1:$1,0)+1,FALSE)</f>
        <v>ルピカ襲来！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降臨28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【超絶級】ルピカ襲来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降臨28</v>
      </c>
      <c r="H11" s="86">
        <v>0</v>
      </c>
      <c r="I11">
        <v>35</v>
      </c>
      <c r="J11" s="85" t="s">
        <v>193</v>
      </c>
      <c r="K11" s="94" t="str">
        <f>VLOOKUP(I11,[7]stage_hints!$A:$C,3,FALSE)</f>
        <v>敵のステータスがスキルで上がったら</v>
      </c>
      <c r="L11" s="95" t="str">
        <f>VLOOKUP(I11,[7]stage_hints!$A:$D,4,FALSE)</f>
        <v>敵のステータスがスキルでアップしたときは_x000D_ステータスダウンスキルで上書きしましょう</v>
      </c>
      <c r="M11" s="57" t="s">
        <v>206</v>
      </c>
    </row>
    <row r="12" spans="1:13" x14ac:dyDescent="0.15">
      <c r="A12" s="82" t="s">
        <v>196</v>
      </c>
      <c r="B12" s="83">
        <v>40028</v>
      </c>
      <c r="C12" s="84" t="str">
        <f ca="1">VLOOKUP($B12,OFFSET([2]quests!$A$1,0,0,COUNTA([2]quests!$A:$A),MATCH(C$1,[2]quests!$1:$1,0)-MATCH($B$1,[2]quests!$1:$1,0)+1),MATCH(C$1,[2]quests!$1:$1,0)-MATCH($B$1,[2]quests!$1:$1,0)+1,FALSE)</f>
        <v>ルピカ襲来！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降臨28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【超絶級】ルピカ襲来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降臨28</v>
      </c>
      <c r="H12" s="86">
        <v>0</v>
      </c>
      <c r="I12">
        <v>36</v>
      </c>
      <c r="J12" s="85" t="s">
        <v>193</v>
      </c>
      <c r="K12" s="94" t="str">
        <f>VLOOKUP(I12,[7]stage_hints!$A:$C,3,FALSE)</f>
        <v>チャレンジタワーのボス</v>
      </c>
      <c r="L12" s="95" t="str">
        <f>VLOOKUP(I12,[7]stage_hints!$A:$D,4,FALSE)</f>
        <v>チャレンジタワーでのみ登場するボスは_x000D_一定確率で獲得することができます</v>
      </c>
      <c r="M12" s="57" t="s">
        <v>206</v>
      </c>
    </row>
    <row r="13" spans="1:13" x14ac:dyDescent="0.15">
      <c r="A13" s="82" t="s">
        <v>196</v>
      </c>
      <c r="B13" s="83">
        <v>40028</v>
      </c>
      <c r="C13" s="84" t="str">
        <f ca="1">VLOOKUP($B13,OFFSET([2]quests!$A$1,0,0,COUNTA([2]quests!$A:$A),MATCH(C$1,[2]quests!$1:$1,0)-MATCH($B$1,[2]quests!$1:$1,0)+1),MATCH(C$1,[2]quests!$1:$1,0)-MATCH($B$1,[2]quests!$1:$1,0)+1,FALSE)</f>
        <v>ルピカ襲来！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降臨28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【超絶級】ルピカ襲来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降臨28</v>
      </c>
      <c r="H13" s="86">
        <v>0</v>
      </c>
      <c r="I13">
        <v>37</v>
      </c>
      <c r="J13" s="85" t="s">
        <v>193</v>
      </c>
      <c r="K13" s="94" t="str">
        <f>VLOOKUP(I13,[7]stage_hints!$A:$C,3,FALSE)</f>
        <v>限界突破値の引き継ぎ</v>
      </c>
      <c r="L13" s="95" t="str">
        <f>VLOOKUP(I13,[7]stage_hints!$A:$D,4,FALSE)</f>
        <v>同じユニットを強化で合成すると_x000D_限界突破値を引き継げます（覚醒前後も可）</v>
      </c>
      <c r="M13" s="57" t="s">
        <v>206</v>
      </c>
    </row>
    <row r="14" spans="1:13" x14ac:dyDescent="0.15">
      <c r="A14" s="82" t="s">
        <v>196</v>
      </c>
      <c r="B14" s="83">
        <v>40028</v>
      </c>
      <c r="C14" s="84" t="str">
        <f ca="1">VLOOKUP($B14,OFFSET([2]quests!$A$1,0,0,COUNTA([2]quests!$A:$A),MATCH(C$1,[2]quests!$1:$1,0)-MATCH($B$1,[2]quests!$1:$1,0)+1),MATCH(C$1,[2]quests!$1:$1,0)-MATCH($B$1,[2]quests!$1:$1,0)+1,FALSE)</f>
        <v>ルピカ襲来！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降臨28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【超絶級】ルピカ襲来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降臨28</v>
      </c>
      <c r="H14" s="86">
        <v>0</v>
      </c>
      <c r="I14">
        <v>39</v>
      </c>
      <c r="J14" s="85" t="s">
        <v>193</v>
      </c>
      <c r="K14" s="94" t="str">
        <f>VLOOKUP(I14,[7]stage_hints!$A:$C,3,FALSE)</f>
        <v>システム適合者を確認</v>
      </c>
      <c r="L14" s="95" t="str">
        <f>VLOOKUP(I14,[7]stage_hints!$A:$D,4,FALSE)</f>
        <v>ALICEが 「アナタ」を呼んでいます</v>
      </c>
      <c r="M14" s="57" t="s">
        <v>206</v>
      </c>
    </row>
    <row r="15" spans="1:13" x14ac:dyDescent="0.15">
      <c r="A15" s="82" t="s">
        <v>196</v>
      </c>
      <c r="B15" s="83">
        <v>40028</v>
      </c>
      <c r="C15" s="84" t="str">
        <f ca="1">VLOOKUP($B15,OFFSET([2]quests!$A$1,0,0,COUNTA([2]quests!$A:$A),MATCH(C$1,[2]quests!$1:$1,0)-MATCH($B$1,[2]quests!$1:$1,0)+1),MATCH(C$1,[2]quests!$1:$1,0)-MATCH($B$1,[2]quests!$1:$1,0)+1,FALSE)</f>
        <v>ルピカ襲来！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降臨28</v>
      </c>
      <c r="E15" s="88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降臨28</v>
      </c>
      <c r="H15" s="86">
        <v>0</v>
      </c>
      <c r="I15">
        <v>12</v>
      </c>
      <c r="J15" s="85" t="s">
        <v>193</v>
      </c>
      <c r="K15" s="94" t="str">
        <f>VLOOKUP(I15,[7]stage_hints!$A:$C,3,FALSE)</f>
        <v>ユニットのお気に入り登録</v>
      </c>
      <c r="L15" s="95" t="str">
        <f>VLOOKUP(I15,[7]stage_hints!$A:$D,4,FALSE)</f>
        <v>大事なユニットを誤って消さないように_x000D_フォルダから「お気に入り登録」しましょう</v>
      </c>
      <c r="M15" s="57" t="s">
        <v>206</v>
      </c>
    </row>
    <row r="16" spans="1:13" x14ac:dyDescent="0.15">
      <c r="A16" s="82" t="s">
        <v>196</v>
      </c>
      <c r="B16" s="83">
        <v>40028</v>
      </c>
      <c r="C16" s="84" t="str">
        <f ca="1">VLOOKUP($B16,OFFSET([2]quests!$A$1,0,0,COUNTA([2]quests!$A:$A),MATCH(C$1,[2]quests!$1:$1,0)-MATCH($B$1,[2]quests!$1:$1,0)+1),MATCH(C$1,[2]quests!$1:$1,0)-MATCH($B$1,[2]quests!$1:$1,0)+1,FALSE)</f>
        <v>ルピカ襲来！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降臨28</v>
      </c>
      <c r="E16" s="88">
        <v>2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降臨28</v>
      </c>
      <c r="H16" s="86">
        <v>0</v>
      </c>
      <c r="I16">
        <v>17</v>
      </c>
      <c r="J16" s="85" t="s">
        <v>193</v>
      </c>
      <c r="K16" s="94" t="str">
        <f>VLOOKUP(I16,[7]stage_hints!$A:$C,3,FALSE)</f>
        <v>リンクガチャ</v>
      </c>
      <c r="L16" s="95" t="str">
        <f>VLOOKUP(I16,[7]stage_hints!$A:$D,4,FALSE)</f>
        <v>無料のリンクガチャを回して_x000D_経験値素材や売却素材を獲得しましょう</v>
      </c>
      <c r="M16" s="57" t="s">
        <v>206</v>
      </c>
    </row>
    <row r="17" spans="1:13" x14ac:dyDescent="0.15">
      <c r="A17" s="82" t="s">
        <v>196</v>
      </c>
      <c r="B17" s="83">
        <v>40028</v>
      </c>
      <c r="C17" s="84" t="str">
        <f ca="1">VLOOKUP($B17,OFFSET([2]quests!$A$1,0,0,COUNTA([2]quests!$A:$A),MATCH(C$1,[2]quests!$1:$1,0)-MATCH($B$1,[2]quests!$1:$1,0)+1),MATCH(C$1,[2]quests!$1:$1,0)-MATCH($B$1,[2]quests!$1:$1,0)+1,FALSE)</f>
        <v>ルピカ襲来！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降臨28</v>
      </c>
      <c r="E17" s="88">
        <v>2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降臨28</v>
      </c>
      <c r="H17" s="86">
        <v>0</v>
      </c>
      <c r="I17">
        <v>19</v>
      </c>
      <c r="J17" s="85" t="s">
        <v>193</v>
      </c>
      <c r="K17" s="94" t="str">
        <f>VLOOKUP(I17,[7]stage_hints!$A:$C,3,FALSE)</f>
        <v>ソロ専用チャレンジタワー</v>
      </c>
      <c r="L17" s="95" t="str">
        <f>VLOOKUP(I17,[7]stage_hints!$A:$D,4,FALSE)</f>
        <v>ソロ専用の「チャレンジタワー」では_x000D_各フロアごとにクリア報酬がもらえます</v>
      </c>
      <c r="M17" s="57" t="s">
        <v>206</v>
      </c>
    </row>
    <row r="18" spans="1:13" x14ac:dyDescent="0.15">
      <c r="A18" s="82" t="s">
        <v>196</v>
      </c>
      <c r="B18" s="83">
        <v>40028</v>
      </c>
      <c r="C18" s="84" t="str">
        <f ca="1">VLOOKUP($B18,OFFSET([2]quests!$A$1,0,0,COUNTA([2]quests!$A:$A),MATCH(C$1,[2]quests!$1:$1,0)-MATCH($B$1,[2]quests!$1:$1,0)+1),MATCH(C$1,[2]quests!$1:$1,0)-MATCH($B$1,[2]quests!$1:$1,0)+1,FALSE)</f>
        <v>ルピカ襲来！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降臨28</v>
      </c>
      <c r="E18" s="88">
        <v>2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降臨28</v>
      </c>
      <c r="H18" s="86">
        <v>0</v>
      </c>
      <c r="I18">
        <v>21</v>
      </c>
      <c r="J18" s="85" t="s">
        <v>193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206</v>
      </c>
    </row>
    <row r="19" spans="1:13" x14ac:dyDescent="0.15">
      <c r="A19" s="82" t="s">
        <v>196</v>
      </c>
      <c r="B19" s="83">
        <v>40028</v>
      </c>
      <c r="C19" s="84" t="str">
        <f ca="1">VLOOKUP($B19,OFFSET([2]quests!$A$1,0,0,COUNTA([2]quests!$A:$A),MATCH(C$1,[2]quests!$1:$1,0)-MATCH($B$1,[2]quests!$1:$1,0)+1),MATCH(C$1,[2]quests!$1:$1,0)-MATCH($B$1,[2]quests!$1:$1,0)+1,FALSE)</f>
        <v>ルピカ襲来！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降臨28</v>
      </c>
      <c r="E19" s="88">
        <v>2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降臨28</v>
      </c>
      <c r="H19" s="86">
        <v>0</v>
      </c>
      <c r="I19">
        <v>29</v>
      </c>
      <c r="J19" s="85" t="s">
        <v>193</v>
      </c>
      <c r="K19" s="94" t="str">
        <f>VLOOKUP(I19,[7]stage_hints!$A:$C,3,FALSE)</f>
        <v>「バグ」のメリット</v>
      </c>
      <c r="L19" s="95" t="str">
        <f>VLOOKUP(I19,[7]stage_hints!$A:$D,4,FALSE)</f>
        <v>ユニットの「バグ」を増やすと_x000D_報酬をもらえる確率がアップします</v>
      </c>
      <c r="M19" s="57" t="s">
        <v>206</v>
      </c>
    </row>
    <row r="20" spans="1:13" x14ac:dyDescent="0.15">
      <c r="A20" s="82" t="s">
        <v>196</v>
      </c>
      <c r="B20" s="83">
        <v>40028</v>
      </c>
      <c r="C20" s="84" t="str">
        <f ca="1">VLOOKUP($B20,OFFSET([2]quests!$A$1,0,0,COUNTA([2]quests!$A:$A),MATCH(C$1,[2]quests!$1:$1,0)-MATCH($B$1,[2]quests!$1:$1,0)+1),MATCH(C$1,[2]quests!$1:$1,0)-MATCH($B$1,[2]quests!$1:$1,0)+1,FALSE)</f>
        <v>ルピカ襲来！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降臨28</v>
      </c>
      <c r="E20" s="88">
        <v>2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降臨28</v>
      </c>
      <c r="H20" s="86">
        <v>0</v>
      </c>
      <c r="I20">
        <v>30</v>
      </c>
      <c r="J20" s="85" t="s">
        <v>193</v>
      </c>
      <c r="K20" s="94" t="str">
        <f>VLOOKUP(I20,[7]stage_hints!$A:$C,3,FALSE)</f>
        <v>「バグ」の増やし方</v>
      </c>
      <c r="L20" s="95" t="str">
        <f>VLOOKUP(I20,[7]stage_hints!$A:$D,4,FALSE)</f>
        <v>同じユニット同士を強化で合成すると_x000D_「バグ」を増やすことができます</v>
      </c>
      <c r="M20" s="57" t="s">
        <v>206</v>
      </c>
    </row>
    <row r="21" spans="1:13" x14ac:dyDescent="0.15">
      <c r="A21" s="82" t="s">
        <v>196</v>
      </c>
      <c r="B21" s="83">
        <v>40028</v>
      </c>
      <c r="C21" s="84" t="str">
        <f ca="1">VLOOKUP($B21,OFFSET([2]quests!$A$1,0,0,COUNTA([2]quests!$A:$A),MATCH(C$1,[2]quests!$1:$1,0)-MATCH($B$1,[2]quests!$1:$1,0)+1),MATCH(C$1,[2]quests!$1:$1,0)-MATCH($B$1,[2]quests!$1:$1,0)+1,FALSE)</f>
        <v>ルピカ襲来！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降臨28</v>
      </c>
      <c r="E21" s="88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降臨28</v>
      </c>
      <c r="H21" s="86">
        <v>0</v>
      </c>
      <c r="I21">
        <v>32</v>
      </c>
      <c r="J21" s="85" t="s">
        <v>193</v>
      </c>
      <c r="K21" s="94" t="str">
        <f>VLOOKUP(I21,[7]stage_hints!$A:$C,3,FALSE)</f>
        <v>敵の連続攻撃には</v>
      </c>
      <c r="L21" s="95" t="str">
        <f>VLOOKUP(I21,[7]stage_hints!$A:$D,4,FALSE)</f>
        <v>カウンタースキルを持つユニットがいれば_x000D_ダメージ回数分の反撃ができます</v>
      </c>
      <c r="M21" s="57" t="s">
        <v>206</v>
      </c>
    </row>
    <row r="22" spans="1:13" x14ac:dyDescent="0.15">
      <c r="A22" s="82" t="s">
        <v>196</v>
      </c>
      <c r="B22" s="83">
        <v>40028</v>
      </c>
      <c r="C22" s="84" t="str">
        <f ca="1">VLOOKUP($B22,OFFSET([2]quests!$A$1,0,0,COUNTA([2]quests!$A:$A),MATCH(C$1,[2]quests!$1:$1,0)-MATCH($B$1,[2]quests!$1:$1,0)+1),MATCH(C$1,[2]quests!$1:$1,0)-MATCH($B$1,[2]quests!$1:$1,0)+1,FALSE)</f>
        <v>ルピカ襲来！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降臨28</v>
      </c>
      <c r="E22" s="88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降臨28</v>
      </c>
      <c r="H22" s="86">
        <v>0</v>
      </c>
      <c r="I22">
        <v>33</v>
      </c>
      <c r="J22" s="85" t="s">
        <v>193</v>
      </c>
      <c r="K22" s="94" t="str">
        <f>VLOOKUP(I22,[7]stage_hints!$A:$C,3,FALSE)</f>
        <v>敵のカウンター攻撃には</v>
      </c>
      <c r="L22" s="95" t="str">
        <f>VLOOKUP(I22,[7]stage_hints!$A:$D,4,FALSE)</f>
        <v>カウンターブレイクスキルを持っていれば_x000D_敵のカウンターを解除して攻撃ができます</v>
      </c>
      <c r="M22" s="57" t="s">
        <v>206</v>
      </c>
    </row>
    <row r="23" spans="1:13" x14ac:dyDescent="0.15">
      <c r="A23" s="82" t="s">
        <v>196</v>
      </c>
      <c r="B23" s="83">
        <v>40028</v>
      </c>
      <c r="C23" s="84" t="str">
        <f ca="1">VLOOKUP($B23,OFFSET([2]quests!$A$1,0,0,COUNTA([2]quests!$A:$A),MATCH(C$1,[2]quests!$1:$1,0)-MATCH($B$1,[2]quests!$1:$1,0)+1),MATCH(C$1,[2]quests!$1:$1,0)-MATCH($B$1,[2]quests!$1:$1,0)+1,FALSE)</f>
        <v>ルピカ襲来！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降臨28</v>
      </c>
      <c r="E23" s="88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降臨28</v>
      </c>
      <c r="H23" s="86">
        <v>0</v>
      </c>
      <c r="I23">
        <v>34</v>
      </c>
      <c r="J23" s="85" t="s">
        <v>193</v>
      </c>
      <c r="K23" s="94" t="str">
        <f>VLOOKUP(I23,[7]stage_hints!$A:$C,3,FALSE)</f>
        <v>ステータスをスキルで下げられたら</v>
      </c>
      <c r="L23" s="95" t="str">
        <f>VLOOKUP(I23,[7]stage_hints!$A:$D,4,FALSE)</f>
        <v>ステータスダウンのスキルを受けたら_x000D_ステータスアップスキルで上書きしましょう</v>
      </c>
      <c r="M23" s="57" t="s">
        <v>206</v>
      </c>
    </row>
    <row r="24" spans="1:13" x14ac:dyDescent="0.15">
      <c r="A24" s="82" t="s">
        <v>196</v>
      </c>
      <c r="B24" s="83">
        <v>40028</v>
      </c>
      <c r="C24" s="84" t="str">
        <f ca="1">VLOOKUP($B24,OFFSET([2]quests!$A$1,0,0,COUNTA([2]quests!$A:$A),MATCH(C$1,[2]quests!$1:$1,0)-MATCH($B$1,[2]quests!$1:$1,0)+1),MATCH(C$1,[2]quests!$1:$1,0)-MATCH($B$1,[2]quests!$1:$1,0)+1,FALSE)</f>
        <v>ルピカ襲来！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降臨28</v>
      </c>
      <c r="E24" s="88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降臨28</v>
      </c>
      <c r="H24" s="86">
        <v>0</v>
      </c>
      <c r="I24">
        <v>35</v>
      </c>
      <c r="J24" s="85" t="s">
        <v>193</v>
      </c>
      <c r="K24" s="94" t="str">
        <f>VLOOKUP(I24,[7]stage_hints!$A:$C,3,FALSE)</f>
        <v>敵のステータスがスキルで上がったら</v>
      </c>
      <c r="L24" s="95" t="str">
        <f>VLOOKUP(I24,[7]stage_hints!$A:$D,4,FALSE)</f>
        <v>敵のステータスがスキルでアップしたときは_x000D_ステータスダウンスキルで上書きしましょう</v>
      </c>
      <c r="M24" s="57" t="s">
        <v>206</v>
      </c>
    </row>
    <row r="25" spans="1:13" x14ac:dyDescent="0.15">
      <c r="A25" s="82" t="s">
        <v>196</v>
      </c>
      <c r="B25" s="83">
        <v>40028</v>
      </c>
      <c r="C25" s="84" t="str">
        <f ca="1">VLOOKUP($B25,OFFSET([2]quests!$A$1,0,0,COUNTA([2]quests!$A:$A),MATCH(C$1,[2]quests!$1:$1,0)-MATCH($B$1,[2]quests!$1:$1,0)+1),MATCH(C$1,[2]quests!$1:$1,0)-MATCH($B$1,[2]quests!$1:$1,0)+1,FALSE)</f>
        <v>ルピカ襲来！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降臨28</v>
      </c>
      <c r="E25" s="88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降臨28</v>
      </c>
      <c r="H25" s="86">
        <v>0</v>
      </c>
      <c r="I25">
        <v>36</v>
      </c>
      <c r="J25" s="85" t="s">
        <v>193</v>
      </c>
      <c r="K25" s="94" t="str">
        <f>VLOOKUP(I25,[7]stage_hints!$A:$C,3,FALSE)</f>
        <v>チャレンジタワーのボス</v>
      </c>
      <c r="L25" s="95" t="str">
        <f>VLOOKUP(I25,[7]stage_hints!$A:$D,4,FALSE)</f>
        <v>チャレンジタワーでのみ登場するボスは_x000D_一定確率で獲得することができます</v>
      </c>
      <c r="M25" s="57" t="s">
        <v>206</v>
      </c>
    </row>
    <row r="26" spans="1:13" x14ac:dyDescent="0.15">
      <c r="A26" s="82" t="s">
        <v>196</v>
      </c>
      <c r="B26" s="83">
        <v>40028</v>
      </c>
      <c r="C26" s="84" t="str">
        <f ca="1">VLOOKUP($B26,OFFSET([2]quests!$A$1,0,0,COUNTA([2]quests!$A:$A),MATCH(C$1,[2]quests!$1:$1,0)-MATCH($B$1,[2]quests!$1:$1,0)+1),MATCH(C$1,[2]quests!$1:$1,0)-MATCH($B$1,[2]quests!$1:$1,0)+1,FALSE)</f>
        <v>ルピカ襲来！</v>
      </c>
      <c r="D26" s="84" t="str">
        <f ca="1">VLOOKUP($B26,OFFSET([2]quests!$A$1,0,0,COUNTA([2]quests!$A:$A),MATCH(D$1,[2]quests!$1:$1,0)-MATCH($B$1,[2]quests!$1:$1,0)+1),MATCH(D$1,[2]quests!$1:$1,0)-MATCH($B$1,[2]quests!$1:$1,0)+1,FALSE)</f>
        <v>降臨28</v>
      </c>
      <c r="E26" s="88">
        <v>2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降臨28</v>
      </c>
      <c r="H26" s="86">
        <v>0</v>
      </c>
      <c r="I26">
        <v>37</v>
      </c>
      <c r="J26" s="85" t="s">
        <v>193</v>
      </c>
      <c r="K26" s="94" t="str">
        <f>VLOOKUP(I26,[7]stage_hints!$A:$C,3,FALSE)</f>
        <v>限界突破値の引き継ぎ</v>
      </c>
      <c r="L26" s="95" t="str">
        <f>VLOOKUP(I26,[7]stage_hints!$A:$D,4,FALSE)</f>
        <v>同じユニットを強化で合成すると_x000D_限界突破値を引き継げます（覚醒前後も可）</v>
      </c>
      <c r="M26" s="57" t="s">
        <v>206</v>
      </c>
    </row>
    <row r="27" spans="1:13" x14ac:dyDescent="0.15">
      <c r="A27" s="82" t="s">
        <v>196</v>
      </c>
      <c r="B27" s="83">
        <v>40028</v>
      </c>
      <c r="C27" s="84" t="str">
        <f ca="1">VLOOKUP($B27,OFFSET([2]quests!$A$1,0,0,COUNTA([2]quests!$A:$A),MATCH(C$1,[2]quests!$1:$1,0)-MATCH($B$1,[2]quests!$1:$1,0)+1),MATCH(C$1,[2]quests!$1:$1,0)-MATCH($B$1,[2]quests!$1:$1,0)+1,FALSE)</f>
        <v>ルピカ襲来！</v>
      </c>
      <c r="D27" s="84" t="str">
        <f ca="1">VLOOKUP($B27,OFFSET([2]quests!$A$1,0,0,COUNTA([2]quests!$A:$A),MATCH(D$1,[2]quests!$1:$1,0)-MATCH($B$1,[2]quests!$1:$1,0)+1),MATCH(D$1,[2]quests!$1:$1,0)-MATCH($B$1,[2]quests!$1:$1,0)+1,FALSE)</f>
        <v>降臨28</v>
      </c>
      <c r="E27" s="88">
        <v>2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降臨28</v>
      </c>
      <c r="H27" s="86">
        <v>0</v>
      </c>
      <c r="I27">
        <v>39</v>
      </c>
      <c r="J27" s="85" t="s">
        <v>193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7" t="s">
        <v>206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zoomScale="145" zoomScaleNormal="145" zoomScalePageLayoutView="145" workbookViewId="0">
      <pane ySplit="1" topLeftCell="A6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183</v>
      </c>
      <c r="B1" s="74" t="s">
        <v>149</v>
      </c>
      <c r="C1" s="78" t="s">
        <v>185</v>
      </c>
      <c r="D1" s="78" t="s">
        <v>33</v>
      </c>
      <c r="E1" s="74" t="s">
        <v>186</v>
      </c>
      <c r="F1" s="78" t="s">
        <v>18</v>
      </c>
      <c r="G1" s="78" t="s">
        <v>33</v>
      </c>
      <c r="H1" s="74" t="s">
        <v>188</v>
      </c>
      <c r="I1" s="90" t="s">
        <v>189</v>
      </c>
      <c r="J1" s="92" t="s">
        <v>190</v>
      </c>
      <c r="K1" s="80" t="s">
        <v>125</v>
      </c>
      <c r="L1" s="79" t="s">
        <v>182</v>
      </c>
      <c r="M1" s="93" t="s">
        <v>181</v>
      </c>
      <c r="N1" s="81" t="s">
        <v>191</v>
      </c>
    </row>
    <row r="2" spans="1:14" ht="42" x14ac:dyDescent="0.15">
      <c r="A2" s="82" t="s">
        <v>192</v>
      </c>
      <c r="B2" s="83">
        <v>40028</v>
      </c>
      <c r="C2" s="84" t="str">
        <f ca="1">VLOOKUP($B2,OFFSET([2]quests!$A$1,0,0,COUNTA([2]quests!$A:$A),MATCH(C$1,[2]quests!$1:$1,0)-MATCH($B$1,[2]quests!$1:$1,0)+1),MATCH(C$1,[2]quests!$1:$1,0)-MATCH($B$1,[2]quests!$1:$1,0)+1,FALSE)</f>
        <v>ルピカ襲来！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降臨28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【超絶級】ルピカ襲来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降臨28</v>
      </c>
      <c r="H2" s="86">
        <v>1</v>
      </c>
      <c r="I2" s="91">
        <f>ROW()-1</f>
        <v>1</v>
      </c>
      <c r="J2" s="87" t="str">
        <f>B2&amp;TEXT(I2,"00")</f>
        <v>4002801</v>
      </c>
      <c r="K2" s="85" t="s">
        <v>193</v>
      </c>
      <c r="L2" s="88" t="s">
        <v>194</v>
      </c>
      <c r="M2" s="201" t="s">
        <v>328</v>
      </c>
      <c r="N2" s="57" t="s">
        <v>195</v>
      </c>
    </row>
    <row r="3" spans="1:14" ht="28" x14ac:dyDescent="0.15">
      <c r="A3" s="82" t="s">
        <v>192</v>
      </c>
      <c r="B3" s="83">
        <v>40028</v>
      </c>
      <c r="C3" s="84" t="str">
        <f ca="1">VLOOKUP($B3,OFFSET([2]quests!$A$1,0,0,COUNTA([2]quests!$A:$A),MATCH(C$1,[2]quests!$1:$1,0)-MATCH($B$1,[2]quests!$1:$1,0)+1),MATCH(C$1,[2]quests!$1:$1,0)-MATCH($B$1,[2]quests!$1:$1,0)+1,FALSE)</f>
        <v>ルピカ襲来！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降臨28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【超絶級】ルピカ襲来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降臨28</v>
      </c>
      <c r="H3" s="86">
        <v>2</v>
      </c>
      <c r="I3" s="91">
        <f t="shared" ref="I3:I6" si="0">ROW()-1</f>
        <v>2</v>
      </c>
      <c r="J3" s="87" t="str">
        <f t="shared" ref="J3:J5" si="1">B3&amp;TEXT(I3,"00")</f>
        <v>4002802</v>
      </c>
      <c r="K3" s="85" t="s">
        <v>193</v>
      </c>
      <c r="L3" s="88" t="s">
        <v>194</v>
      </c>
      <c r="M3" s="201" t="s">
        <v>329</v>
      </c>
      <c r="N3" s="57" t="s">
        <v>195</v>
      </c>
    </row>
    <row r="4" spans="1:14" ht="28" x14ac:dyDescent="0.15">
      <c r="A4" s="82" t="s">
        <v>192</v>
      </c>
      <c r="B4" s="83">
        <v>40028</v>
      </c>
      <c r="C4" s="84" t="str">
        <f ca="1">VLOOKUP($B4,OFFSET([2]quests!$A$1,0,0,COUNTA([2]quests!$A:$A),MATCH(C$1,[2]quests!$1:$1,0)-MATCH($B$1,[2]quests!$1:$1,0)+1),MATCH(C$1,[2]quests!$1:$1,0)-MATCH($B$1,[2]quests!$1:$1,0)+1,FALSE)</f>
        <v>ルピカ襲来！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降臨28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【超絶級】ルピカ襲来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降臨28</v>
      </c>
      <c r="H4" s="86">
        <v>3</v>
      </c>
      <c r="I4" s="91">
        <f t="shared" si="0"/>
        <v>3</v>
      </c>
      <c r="J4" s="87" t="str">
        <f t="shared" si="1"/>
        <v>4002803</v>
      </c>
      <c r="K4" s="85" t="s">
        <v>193</v>
      </c>
      <c r="L4" s="88" t="s">
        <v>194</v>
      </c>
      <c r="M4" s="201" t="s">
        <v>327</v>
      </c>
      <c r="N4" s="57" t="s">
        <v>195</v>
      </c>
    </row>
    <row r="5" spans="1:14" ht="42" x14ac:dyDescent="0.15">
      <c r="A5" s="82" t="s">
        <v>192</v>
      </c>
      <c r="B5" s="83">
        <v>40028</v>
      </c>
      <c r="C5" s="84" t="str">
        <f ca="1">VLOOKUP($B5,OFFSET([2]quests!$A$1,0,0,COUNTA([2]quests!$A:$A),MATCH(C$1,[2]quests!$1:$1,0)-MATCH($B$1,[2]quests!$1:$1,0)+1),MATCH(C$1,[2]quests!$1:$1,0)-MATCH($B$1,[2]quests!$1:$1,0)+1,FALSE)</f>
        <v>ルピカ襲来！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降臨28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【超絶級】ルピカ襲来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降臨28</v>
      </c>
      <c r="H5" s="86">
        <v>4</v>
      </c>
      <c r="I5" s="91">
        <f t="shared" si="0"/>
        <v>4</v>
      </c>
      <c r="J5" s="87" t="str">
        <f t="shared" si="1"/>
        <v>4002804</v>
      </c>
      <c r="K5" s="85" t="s">
        <v>193</v>
      </c>
      <c r="L5" s="88" t="s">
        <v>194</v>
      </c>
      <c r="M5" s="201" t="s">
        <v>376</v>
      </c>
      <c r="N5" s="57" t="s">
        <v>195</v>
      </c>
    </row>
    <row r="6" spans="1:14" ht="42" x14ac:dyDescent="0.15">
      <c r="A6" s="82" t="s">
        <v>192</v>
      </c>
      <c r="B6" s="83">
        <v>40028</v>
      </c>
      <c r="C6" s="84" t="str">
        <f ca="1">VLOOKUP($B6,OFFSET([2]quests!$A$1,0,0,COUNTA([2]quests!$A:$A),MATCH(C$1,[2]quests!$1:$1,0)-MATCH($B$1,[2]quests!$1:$1,0)+1),MATCH(C$1,[2]quests!$1:$1,0)-MATCH($B$1,[2]quests!$1:$1,0)+1,FALSE)</f>
        <v>ルピカ襲来！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降臨28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【超絶級】ルピカ襲来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降臨28</v>
      </c>
      <c r="H6" s="86">
        <v>4</v>
      </c>
      <c r="I6" s="91">
        <f t="shared" si="0"/>
        <v>5</v>
      </c>
      <c r="J6" s="87" t="str">
        <f t="shared" ref="J6" si="2">B6&amp;TEXT(I6,"00")</f>
        <v>4002805</v>
      </c>
      <c r="K6" s="85" t="s">
        <v>193</v>
      </c>
      <c r="L6" s="88" t="s">
        <v>194</v>
      </c>
      <c r="M6" s="201" t="s">
        <v>330</v>
      </c>
      <c r="N6" s="57" t="s">
        <v>195</v>
      </c>
    </row>
    <row r="7" spans="1:14" ht="42" x14ac:dyDescent="0.15">
      <c r="A7" s="82" t="s">
        <v>192</v>
      </c>
      <c r="B7" s="83">
        <v>40028</v>
      </c>
      <c r="C7" s="84" t="str">
        <f ca="1">VLOOKUP($B7,OFFSET([2]quests!$A$1,0,0,COUNTA([2]quests!$A:$A),MATCH(C$1,[2]quests!$1:$1,0)-MATCH($B$1,[2]quests!$1:$1,0)+1),MATCH(C$1,[2]quests!$1:$1,0)-MATCH($B$1,[2]quests!$1:$1,0)+1,FALSE)</f>
        <v>ルピカ襲来！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降臨28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降臨28</v>
      </c>
      <c r="H7" s="86">
        <v>1</v>
      </c>
      <c r="I7" s="91">
        <f>ROW()-1</f>
        <v>6</v>
      </c>
      <c r="J7" s="87" t="str">
        <f>B7&amp;TEXT(I7,"00")</f>
        <v>4002806</v>
      </c>
      <c r="K7" s="85" t="s">
        <v>193</v>
      </c>
      <c r="L7" s="88" t="s">
        <v>194</v>
      </c>
      <c r="M7" s="201" t="s">
        <v>328</v>
      </c>
      <c r="N7" s="57" t="s">
        <v>195</v>
      </c>
    </row>
    <row r="8" spans="1:14" ht="28" x14ac:dyDescent="0.15">
      <c r="A8" s="82" t="s">
        <v>192</v>
      </c>
      <c r="B8" s="83">
        <v>40028</v>
      </c>
      <c r="C8" s="84" t="str">
        <f ca="1">VLOOKUP($B8,OFFSET([2]quests!$A$1,0,0,COUNTA([2]quests!$A:$A),MATCH(C$1,[2]quests!$1:$1,0)-MATCH($B$1,[2]quests!$1:$1,0)+1),MATCH(C$1,[2]quests!$1:$1,0)-MATCH($B$1,[2]quests!$1:$1,0)+1,FALSE)</f>
        <v>ルピカ襲来！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降臨28</v>
      </c>
      <c r="E8" s="85">
        <v>2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降臨28</v>
      </c>
      <c r="H8" s="86">
        <v>2</v>
      </c>
      <c r="I8" s="91">
        <f t="shared" ref="I8:I15" si="3">ROW()-1</f>
        <v>7</v>
      </c>
      <c r="J8" s="87" t="str">
        <f t="shared" ref="J8:J11" si="4">B8&amp;TEXT(I8,"00")</f>
        <v>4002807</v>
      </c>
      <c r="K8" s="85" t="s">
        <v>193</v>
      </c>
      <c r="L8" s="88" t="s">
        <v>194</v>
      </c>
      <c r="M8" s="201" t="s">
        <v>329</v>
      </c>
      <c r="N8" s="57" t="s">
        <v>195</v>
      </c>
    </row>
    <row r="9" spans="1:14" ht="28" x14ac:dyDescent="0.15">
      <c r="A9" s="82" t="s">
        <v>192</v>
      </c>
      <c r="B9" s="83">
        <v>40028</v>
      </c>
      <c r="C9" s="84" t="str">
        <f ca="1">VLOOKUP($B9,OFFSET([2]quests!$A$1,0,0,COUNTA([2]quests!$A:$A),MATCH(C$1,[2]quests!$1:$1,0)-MATCH($B$1,[2]quests!$1:$1,0)+1),MATCH(C$1,[2]quests!$1:$1,0)-MATCH($B$1,[2]quests!$1:$1,0)+1,FALSE)</f>
        <v>ルピカ襲来！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降臨28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降臨28</v>
      </c>
      <c r="H9" s="86">
        <v>3</v>
      </c>
      <c r="I9" s="91">
        <f t="shared" si="3"/>
        <v>8</v>
      </c>
      <c r="J9" s="87" t="str">
        <f t="shared" si="4"/>
        <v>4002808</v>
      </c>
      <c r="K9" s="85" t="s">
        <v>193</v>
      </c>
      <c r="L9" s="88" t="s">
        <v>194</v>
      </c>
      <c r="M9" s="201" t="s">
        <v>327</v>
      </c>
      <c r="N9" s="57" t="s">
        <v>195</v>
      </c>
    </row>
    <row r="10" spans="1:14" ht="42" x14ac:dyDescent="0.15">
      <c r="A10" s="82" t="s">
        <v>192</v>
      </c>
      <c r="B10" s="83">
        <v>40028</v>
      </c>
      <c r="C10" s="84" t="str">
        <f ca="1">VLOOKUP($B10,OFFSET([2]quests!$A$1,0,0,COUNTA([2]quests!$A:$A),MATCH(C$1,[2]quests!$1:$1,0)-MATCH($B$1,[2]quests!$1:$1,0)+1),MATCH(C$1,[2]quests!$1:$1,0)-MATCH($B$1,[2]quests!$1:$1,0)+1,FALSE)</f>
        <v>ルピカ襲来！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降臨28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降臨28</v>
      </c>
      <c r="H10" s="86">
        <v>4</v>
      </c>
      <c r="I10" s="91">
        <f t="shared" si="3"/>
        <v>9</v>
      </c>
      <c r="J10" s="87" t="str">
        <f t="shared" si="4"/>
        <v>4002809</v>
      </c>
      <c r="K10" s="85" t="s">
        <v>193</v>
      </c>
      <c r="L10" s="88" t="s">
        <v>194</v>
      </c>
      <c r="M10" s="201" t="s">
        <v>375</v>
      </c>
      <c r="N10" s="57" t="s">
        <v>195</v>
      </c>
    </row>
    <row r="11" spans="1:14" ht="44" customHeight="1" x14ac:dyDescent="0.15">
      <c r="A11" s="82" t="s">
        <v>192</v>
      </c>
      <c r="B11" s="83">
        <v>40028</v>
      </c>
      <c r="C11" s="84" t="str">
        <f ca="1">VLOOKUP($B11,OFFSET([2]quests!$A$1,0,0,COUNTA([2]quests!$A:$A),MATCH(C$1,[2]quests!$1:$1,0)-MATCH($B$1,[2]quests!$1:$1,0)+1),MATCH(C$1,[2]quests!$1:$1,0)-MATCH($B$1,[2]quests!$1:$1,0)+1,FALSE)</f>
        <v>ルピカ襲来！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降臨28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降臨28</v>
      </c>
      <c r="H11" s="86">
        <v>4</v>
      </c>
      <c r="I11" s="91">
        <f t="shared" si="3"/>
        <v>10</v>
      </c>
      <c r="J11" s="87" t="str">
        <f t="shared" si="4"/>
        <v>4002810</v>
      </c>
      <c r="K11" s="85" t="s">
        <v>193</v>
      </c>
      <c r="L11" s="88" t="s">
        <v>194</v>
      </c>
      <c r="M11" s="201" t="s">
        <v>330</v>
      </c>
      <c r="N11" s="57" t="s">
        <v>195</v>
      </c>
    </row>
    <row r="12" spans="1:14" ht="62" customHeight="1" x14ac:dyDescent="0.15">
      <c r="A12" s="82" t="s">
        <v>196</v>
      </c>
      <c r="B12" s="83">
        <v>40028</v>
      </c>
      <c r="C12" s="84" t="str">
        <f ca="1">VLOOKUP($B12,OFFSET([2]quests!$A$1,0,0,COUNTA([2]quests!$A:$A),MATCH(C$1,[2]quests!$1:$1,0)-MATCH($B$1,[2]quests!$1:$1,0)+1),MATCH(C$1,[2]quests!$1:$1,0)-MATCH($B$1,[2]quests!$1:$1,0)+1,FALSE)</f>
        <v>ルピカ襲来！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降臨28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降臨28</v>
      </c>
      <c r="H12" s="86">
        <v>0</v>
      </c>
      <c r="I12" s="91">
        <f t="shared" si="3"/>
        <v>11</v>
      </c>
      <c r="J12" s="87" t="str">
        <f t="shared" ref="J12:J15" si="5">B12&amp;TEXT(I12,"00")</f>
        <v>4002811</v>
      </c>
      <c r="K12" s="85" t="s">
        <v>126</v>
      </c>
      <c r="L12" s="88" t="s">
        <v>385</v>
      </c>
      <c r="M12" s="201" t="s">
        <v>384</v>
      </c>
      <c r="N12" s="57" t="s">
        <v>195</v>
      </c>
    </row>
    <row r="13" spans="1:14" ht="44" customHeight="1" x14ac:dyDescent="0.15">
      <c r="A13" s="82" t="s">
        <v>196</v>
      </c>
      <c r="B13" s="83">
        <v>40028</v>
      </c>
      <c r="C13" s="84" t="str">
        <f ca="1">VLOOKUP($B13,OFFSET([2]quests!$A$1,0,0,COUNTA([2]quests!$A:$A),MATCH(C$1,[2]quests!$1:$1,0)-MATCH($B$1,[2]quests!$1:$1,0)+1),MATCH(C$1,[2]quests!$1:$1,0)-MATCH($B$1,[2]quests!$1:$1,0)+1,FALSE)</f>
        <v>ルピカ襲来！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降臨28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降臨28</v>
      </c>
      <c r="H13" s="86">
        <v>0</v>
      </c>
      <c r="I13" s="91">
        <f t="shared" si="3"/>
        <v>12</v>
      </c>
      <c r="J13" s="87" t="str">
        <f t="shared" si="5"/>
        <v>4002812</v>
      </c>
      <c r="K13" s="85" t="s">
        <v>126</v>
      </c>
      <c r="L13" s="88" t="s">
        <v>387</v>
      </c>
      <c r="M13" s="201" t="s">
        <v>386</v>
      </c>
      <c r="N13" s="57" t="s">
        <v>195</v>
      </c>
    </row>
    <row r="14" spans="1:14" ht="58" customHeight="1" x14ac:dyDescent="0.15">
      <c r="A14" s="82" t="s">
        <v>196</v>
      </c>
      <c r="B14" s="83">
        <v>40028</v>
      </c>
      <c r="C14" s="84" t="str">
        <f ca="1">VLOOKUP($B14,OFFSET([2]quests!$A$1,0,0,COUNTA([2]quests!$A:$A),MATCH(C$1,[2]quests!$1:$1,0)-MATCH($B$1,[2]quests!$1:$1,0)+1),MATCH(C$1,[2]quests!$1:$1,0)-MATCH($B$1,[2]quests!$1:$1,0)+1,FALSE)</f>
        <v>ルピカ襲来！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降臨28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降臨28</v>
      </c>
      <c r="H14" s="86">
        <v>0</v>
      </c>
      <c r="I14" s="91">
        <f t="shared" si="3"/>
        <v>13</v>
      </c>
      <c r="J14" s="87" t="str">
        <f t="shared" si="5"/>
        <v>4002813</v>
      </c>
      <c r="K14" s="85" t="s">
        <v>126</v>
      </c>
      <c r="L14" s="88" t="s">
        <v>389</v>
      </c>
      <c r="M14" s="201" t="s">
        <v>388</v>
      </c>
      <c r="N14" s="57" t="s">
        <v>195</v>
      </c>
    </row>
    <row r="15" spans="1:14" ht="44" customHeight="1" x14ac:dyDescent="0.15">
      <c r="A15" s="82" t="s">
        <v>196</v>
      </c>
      <c r="B15" s="83">
        <v>40028</v>
      </c>
      <c r="C15" s="84" t="str">
        <f ca="1">VLOOKUP($B15,OFFSET([2]quests!$A$1,0,0,COUNTA([2]quests!$A:$A),MATCH(C$1,[2]quests!$1:$1,0)-MATCH($B$1,[2]quests!$1:$1,0)+1),MATCH(C$1,[2]quests!$1:$1,0)-MATCH($B$1,[2]quests!$1:$1,0)+1,FALSE)</f>
        <v>ルピカ襲来！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降臨28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降臨28</v>
      </c>
      <c r="H15" s="86">
        <v>0</v>
      </c>
      <c r="I15" s="91">
        <f t="shared" si="3"/>
        <v>14</v>
      </c>
      <c r="J15" s="87" t="str">
        <f t="shared" si="5"/>
        <v>4002814</v>
      </c>
      <c r="K15" s="85" t="s">
        <v>126</v>
      </c>
      <c r="L15" s="88" t="s">
        <v>391</v>
      </c>
      <c r="M15" s="201" t="s">
        <v>390</v>
      </c>
      <c r="N15" s="57" t="s">
        <v>195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M7" sqref="M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209</v>
      </c>
      <c r="B1" s="98" t="s">
        <v>210</v>
      </c>
      <c r="C1" s="78" t="s">
        <v>211</v>
      </c>
      <c r="D1" s="78" t="s">
        <v>33</v>
      </c>
      <c r="E1" s="98" t="s">
        <v>212</v>
      </c>
      <c r="F1" s="78" t="s">
        <v>213</v>
      </c>
      <c r="G1" s="78" t="s">
        <v>33</v>
      </c>
      <c r="H1" s="98" t="s">
        <v>214</v>
      </c>
      <c r="I1" s="98" t="s">
        <v>215</v>
      </c>
      <c r="J1" s="98" t="s">
        <v>216</v>
      </c>
      <c r="K1" s="74" t="s">
        <v>217</v>
      </c>
      <c r="L1" s="74" t="s">
        <v>218</v>
      </c>
      <c r="M1" s="74" t="s">
        <v>155</v>
      </c>
      <c r="N1" s="78" t="s">
        <v>16</v>
      </c>
      <c r="O1" s="74" t="s">
        <v>219</v>
      </c>
      <c r="P1" s="74" t="s">
        <v>57</v>
      </c>
      <c r="Q1" s="74" t="s">
        <v>220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221</v>
      </c>
      <c r="X1" s="74" t="s">
        <v>222</v>
      </c>
    </row>
    <row r="2" spans="1:24" x14ac:dyDescent="0.15">
      <c r="A2" s="99" t="str">
        <f>B2&amp;"_"&amp;E2&amp;"_"&amp;H2&amp;"_"&amp;I2&amp;"_"&amp;J2</f>
        <v>40028_2_everyone_no_continue_1</v>
      </c>
      <c r="B2" s="83">
        <v>40028</v>
      </c>
      <c r="C2" s="84" t="str">
        <f ca="1">VLOOKUP($B2,OFFSET([2]quests!$A$1,0,0,COUNTA([2]quests!$A:$A),MATCH(C$1,[2]quests!$1:$1,0)-MATCH($B$1,[2]quests!$1:$1,0)+1),MATCH(C$1,[2]quests!$1:$1,0)-MATCH($B$1,[2]quests!$1:$1,0)+1,FALSE)</f>
        <v>ルピカ襲来！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降臨28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【ウィザード級】ルピカ襲来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降臨28</v>
      </c>
      <c r="H2" s="86" t="s">
        <v>223</v>
      </c>
      <c r="I2" s="85" t="s">
        <v>227</v>
      </c>
      <c r="J2" s="85">
        <v>1</v>
      </c>
      <c r="K2" s="85">
        <v>100</v>
      </c>
      <c r="L2" s="85" t="s">
        <v>224</v>
      </c>
      <c r="M2" s="85">
        <v>1098</v>
      </c>
      <c r="N2" s="100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ルピカ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1" t="s">
        <v>225</v>
      </c>
      <c r="X2" s="102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2017-03-30T05:41:58Z</dcterms:modified>
</cp:coreProperties>
</file>