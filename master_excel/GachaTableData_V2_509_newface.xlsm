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8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firstSheet="1" activeTab="2"/>
  </bookViews>
  <sheets>
    <sheet name="確率の考え方" sheetId="110" r:id="rId1"/>
    <sheet name="Sheet1" sheetId="107" r:id="rId2"/>
    <sheet name="output" sheetId="103" r:id="rId3"/>
    <sheet name="input_509010" sheetId="157" r:id="rId4"/>
    <sheet name="tables_509010" sheetId="158" r:id="rId5"/>
    <sheet name="input_509100" sheetId="153" r:id="rId6"/>
    <sheet name="tables_509100" sheetId="154" r:id="rId7"/>
    <sheet name="tables_settle_509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tables_509010!$A$1:$V$294</definedName>
    <definedName name="_xlnm._FilterDatabase" localSheetId="6" hidden="1">tables_509100!$A$1:$V$294</definedName>
    <definedName name="_xlnm._FilterDatabase" localSheetId="7" hidden="1">tables_settle_509100!$A$1:$V$1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53" l="1"/>
  <c r="B29" i="153"/>
  <c r="B28" i="153"/>
  <c r="B27" i="153"/>
  <c r="B26" i="153"/>
  <c r="B25" i="153"/>
  <c r="B24" i="153"/>
  <c r="B23" i="153"/>
  <c r="B22" i="153"/>
  <c r="B21" i="153"/>
  <c r="B20" i="153"/>
  <c r="B19" i="153"/>
  <c r="B18" i="153"/>
  <c r="B17" i="153"/>
  <c r="B19" i="157"/>
  <c r="B24" i="157"/>
  <c r="B17" i="157"/>
  <c r="B20" i="157"/>
  <c r="B23" i="157"/>
  <c r="B22" i="157"/>
  <c r="B25" i="157"/>
  <c r="B27" i="157"/>
  <c r="B30" i="157"/>
  <c r="B18" i="157"/>
  <c r="B26" i="157"/>
  <c r="B28" i="157"/>
  <c r="B29" i="157"/>
  <c r="B21" i="157"/>
  <c r="B6" i="153"/>
  <c r="B10" i="153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E24" i="153"/>
  <c r="E20" i="153"/>
  <c r="E25" i="153"/>
  <c r="F5" i="153"/>
  <c r="E5" i="153"/>
  <c r="E27" i="153"/>
  <c r="N6" i="153"/>
  <c r="C22" i="153"/>
  <c r="E23" i="153"/>
  <c r="N7" i="153"/>
  <c r="N6" i="157"/>
  <c r="N7" i="157"/>
  <c r="C23" i="153"/>
  <c r="C29" i="153"/>
  <c r="B5" i="157"/>
  <c r="I346" i="158"/>
  <c r="D346" i="158"/>
  <c r="J346" i="158"/>
  <c r="E346" i="158"/>
  <c r="F346" i="158"/>
  <c r="C346" i="158"/>
  <c r="Q3" i="157"/>
  <c r="I347" i="158"/>
  <c r="D347" i="158"/>
  <c r="J347" i="158"/>
  <c r="E347" i="158"/>
  <c r="F347" i="158"/>
  <c r="C347" i="158"/>
  <c r="Q4" i="157"/>
  <c r="I348" i="158"/>
  <c r="D348" i="158"/>
  <c r="J348" i="158"/>
  <c r="E348" i="158"/>
  <c r="F348" i="158"/>
  <c r="C348" i="158"/>
  <c r="Q5" i="157"/>
  <c r="I349" i="158"/>
  <c r="D349" i="158"/>
  <c r="J349" i="158"/>
  <c r="E349" i="158"/>
  <c r="F349" i="158"/>
  <c r="C349" i="158"/>
  <c r="Q6" i="157"/>
  <c r="I350" i="158"/>
  <c r="D350" i="158"/>
  <c r="J350" i="158"/>
  <c r="E350" i="158"/>
  <c r="F350" i="158"/>
  <c r="C350" i="158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C23" i="157"/>
  <c r="C29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E23" i="157"/>
  <c r="B10" i="157"/>
  <c r="F6" i="157"/>
  <c r="E6" i="157"/>
  <c r="E26" i="157"/>
  <c r="F5" i="157"/>
  <c r="E5" i="157"/>
  <c r="E28" i="157"/>
  <c r="E29" i="157"/>
  <c r="E20" i="157"/>
  <c r="E25" i="157"/>
  <c r="E27" i="157"/>
  <c r="C22" i="157"/>
  <c r="E22" i="157"/>
  <c r="E19" i="157"/>
  <c r="E24" i="157"/>
  <c r="A2" i="153"/>
  <c r="A346" i="154"/>
  <c r="H346" i="154"/>
  <c r="K346" i="154"/>
  <c r="L346" i="154"/>
  <c r="M346" i="154"/>
  <c r="N346" i="154"/>
  <c r="A36" i="153"/>
  <c r="R7" i="153"/>
  <c r="E29" i="153"/>
  <c r="G29" i="153"/>
  <c r="H29" i="153"/>
  <c r="R3" i="153"/>
  <c r="O346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E21" i="153"/>
  <c r="O54" i="154"/>
  <c r="O55" i="154"/>
  <c r="O57" i="154"/>
  <c r="O58" i="154"/>
  <c r="O60" i="154"/>
  <c r="O61" i="154"/>
  <c r="O63" i="154"/>
  <c r="O64" i="154"/>
  <c r="O66" i="154"/>
  <c r="O67" i="154"/>
  <c r="O69" i="154"/>
  <c r="O70" i="154"/>
  <c r="O72" i="154"/>
  <c r="O73" i="154"/>
  <c r="O75" i="154"/>
  <c r="O76" i="154"/>
  <c r="O78" i="154"/>
  <c r="O79" i="154"/>
  <c r="O81" i="154"/>
  <c r="O82" i="154"/>
  <c r="O84" i="154"/>
  <c r="O85" i="154"/>
  <c r="O87" i="154"/>
  <c r="O88" i="154"/>
  <c r="O90" i="154"/>
  <c r="O91" i="154"/>
  <c r="O93" i="154"/>
  <c r="O94" i="154"/>
  <c r="O96" i="154"/>
  <c r="O97" i="154"/>
  <c r="O99" i="154"/>
  <c r="O100" i="154"/>
  <c r="O102" i="154"/>
  <c r="O103" i="154"/>
  <c r="O105" i="154"/>
  <c r="O106" i="154"/>
  <c r="O108" i="154"/>
  <c r="O109" i="154"/>
  <c r="O111" i="154"/>
  <c r="O112" i="154"/>
  <c r="O113" i="154"/>
  <c r="O114" i="154"/>
  <c r="O115" i="154"/>
  <c r="O117" i="154"/>
  <c r="O118" i="154"/>
  <c r="O120" i="154"/>
  <c r="O121" i="154"/>
  <c r="O123" i="154"/>
  <c r="O124" i="154"/>
  <c r="O126" i="154"/>
  <c r="O127" i="154"/>
  <c r="O129" i="154"/>
  <c r="O130" i="154"/>
  <c r="O132" i="154"/>
  <c r="O133" i="154"/>
  <c r="O135" i="154"/>
  <c r="O136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9" i="154"/>
  <c r="O150" i="154"/>
  <c r="O151" i="154"/>
  <c r="O152" i="154"/>
  <c r="O153" i="154"/>
  <c r="O154" i="154"/>
  <c r="O156" i="154"/>
  <c r="O157" i="154"/>
  <c r="O158" i="154"/>
  <c r="O159" i="154"/>
  <c r="O161" i="154"/>
  <c r="O162" i="154"/>
  <c r="O164" i="154"/>
  <c r="O165" i="154"/>
  <c r="O166" i="154"/>
  <c r="O167" i="154"/>
  <c r="O169" i="154"/>
  <c r="O170" i="154"/>
  <c r="O171" i="154"/>
  <c r="O172" i="154"/>
  <c r="O174" i="154"/>
  <c r="O175" i="154"/>
  <c r="O176" i="154"/>
  <c r="O177" i="154"/>
  <c r="O178" i="154"/>
  <c r="O179" i="154"/>
  <c r="O181" i="154"/>
  <c r="O182" i="154"/>
  <c r="O184" i="154"/>
  <c r="O185" i="154"/>
  <c r="O186" i="154"/>
  <c r="O187" i="154"/>
  <c r="O189" i="154"/>
  <c r="O190" i="154"/>
  <c r="O191" i="154"/>
  <c r="O192" i="154"/>
  <c r="O193" i="154"/>
  <c r="O194" i="154"/>
  <c r="O196" i="154"/>
  <c r="O197" i="154"/>
  <c r="O198" i="154"/>
  <c r="O199" i="154"/>
  <c r="O201" i="154"/>
  <c r="O202" i="154"/>
  <c r="O203" i="154"/>
  <c r="O204" i="154"/>
  <c r="O206" i="154"/>
  <c r="O207" i="154"/>
  <c r="O208" i="154"/>
  <c r="O209" i="154"/>
  <c r="O210" i="154"/>
  <c r="O211" i="154"/>
  <c r="O213" i="154"/>
  <c r="O214" i="154"/>
  <c r="O221" i="154"/>
  <c r="O222" i="154"/>
  <c r="O223" i="154"/>
  <c r="O224" i="154"/>
  <c r="O226" i="154"/>
  <c r="O227" i="154"/>
  <c r="O229" i="154"/>
  <c r="O230" i="154"/>
  <c r="O231" i="154"/>
  <c r="O232" i="154"/>
  <c r="O234" i="154"/>
  <c r="O235" i="154"/>
  <c r="O237" i="154"/>
  <c r="O238" i="154"/>
  <c r="O239" i="154"/>
  <c r="O240" i="154"/>
  <c r="O242" i="154"/>
  <c r="O243" i="154"/>
  <c r="O244" i="154"/>
  <c r="O245" i="154"/>
  <c r="O246" i="154"/>
  <c r="O247" i="154"/>
  <c r="O249" i="154"/>
  <c r="O250" i="154"/>
  <c r="O252" i="154"/>
  <c r="O253" i="154"/>
  <c r="O255" i="154"/>
  <c r="O256" i="154"/>
  <c r="O258" i="154"/>
  <c r="O259" i="154"/>
  <c r="O260" i="154"/>
  <c r="O261" i="154"/>
  <c r="E22" i="153"/>
  <c r="O266" i="154"/>
  <c r="O267" i="154"/>
  <c r="O268" i="154"/>
  <c r="O269" i="154"/>
  <c r="O274" i="154"/>
  <c r="O275" i="154"/>
  <c r="O276" i="154"/>
  <c r="O277" i="154"/>
  <c r="O278" i="154"/>
  <c r="O279" i="154"/>
  <c r="O281" i="154"/>
  <c r="O282" i="154"/>
  <c r="O284" i="154"/>
  <c r="O285" i="154"/>
  <c r="O294" i="154"/>
  <c r="O295" i="154"/>
  <c r="O296" i="154"/>
  <c r="O299" i="154"/>
  <c r="O300" i="154"/>
  <c r="O301" i="154"/>
  <c r="O302" i="154"/>
  <c r="O305" i="154"/>
  <c r="O308" i="154"/>
  <c r="O309" i="154"/>
  <c r="O310" i="154"/>
  <c r="O313" i="154"/>
  <c r="O314" i="154"/>
  <c r="O315" i="154"/>
  <c r="O316" i="154"/>
  <c r="O317" i="154"/>
  <c r="O320" i="154"/>
  <c r="O321" i="154"/>
  <c r="O322" i="154"/>
  <c r="O323" i="154"/>
  <c r="O328" i="154"/>
  <c r="O329" i="154"/>
  <c r="O330" i="154"/>
  <c r="O331" i="154"/>
  <c r="O332" i="154"/>
  <c r="O333" i="154"/>
  <c r="O336" i="154"/>
  <c r="O337" i="154"/>
  <c r="O338" i="154"/>
  <c r="O341" i="154"/>
  <c r="R4" i="153"/>
  <c r="O342" i="154"/>
  <c r="R5" i="153"/>
  <c r="O343" i="154"/>
  <c r="R6" i="153"/>
  <c r="O347" i="154"/>
  <c r="O348" i="154"/>
  <c r="O349" i="154"/>
  <c r="O350" i="154"/>
  <c r="A347" i="154"/>
  <c r="H347" i="154"/>
  <c r="K347" i="154"/>
  <c r="L347" i="154"/>
  <c r="M347" i="154"/>
  <c r="N347" i="154"/>
  <c r="A348" i="154"/>
  <c r="H348" i="154"/>
  <c r="K348" i="154"/>
  <c r="L348" i="154"/>
  <c r="M348" i="154"/>
  <c r="N348" i="154"/>
  <c r="A349" i="154"/>
  <c r="H349" i="154"/>
  <c r="K349" i="154"/>
  <c r="L349" i="154"/>
  <c r="M349" i="154"/>
  <c r="N349" i="154"/>
  <c r="A350" i="154"/>
  <c r="H350" i="154"/>
  <c r="K350" i="154"/>
  <c r="L350" i="154"/>
  <c r="M350" i="154"/>
  <c r="N350" i="154"/>
  <c r="A345" i="154"/>
  <c r="A2" i="157"/>
  <c r="A350" i="158"/>
  <c r="H350" i="158"/>
  <c r="K350" i="158"/>
  <c r="L350" i="158"/>
  <c r="M350" i="158"/>
  <c r="N350" i="158"/>
  <c r="A36" i="157"/>
  <c r="R7" i="157"/>
  <c r="O350" i="158"/>
  <c r="G17" i="157"/>
  <c r="E17" i="157"/>
  <c r="H17" i="157"/>
  <c r="O2" i="158"/>
  <c r="E18" i="157"/>
  <c r="O4" i="158"/>
  <c r="O6" i="158"/>
  <c r="O8" i="158"/>
  <c r="O10" i="158"/>
  <c r="O12" i="158"/>
  <c r="O14" i="158"/>
  <c r="O16" i="158"/>
  <c r="O18" i="158"/>
  <c r="O20" i="158"/>
  <c r="O22" i="158"/>
  <c r="O24" i="158"/>
  <c r="O26" i="158"/>
  <c r="O28" i="158"/>
  <c r="O30" i="158"/>
  <c r="O32" i="158"/>
  <c r="O34" i="158"/>
  <c r="O36" i="158"/>
  <c r="O38" i="158"/>
  <c r="O40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1" i="157"/>
  <c r="O54" i="158"/>
  <c r="O55" i="158"/>
  <c r="O57" i="158"/>
  <c r="O58" i="158"/>
  <c r="O60" i="158"/>
  <c r="O61" i="158"/>
  <c r="O63" i="158"/>
  <c r="O64" i="158"/>
  <c r="O66" i="158"/>
  <c r="O67" i="158"/>
  <c r="O69" i="158"/>
  <c r="O70" i="158"/>
  <c r="O72" i="158"/>
  <c r="O73" i="158"/>
  <c r="O75" i="158"/>
  <c r="O76" i="158"/>
  <c r="O78" i="158"/>
  <c r="O79" i="158"/>
  <c r="O81" i="158"/>
  <c r="O82" i="158"/>
  <c r="O84" i="158"/>
  <c r="O85" i="158"/>
  <c r="O87" i="158"/>
  <c r="O88" i="158"/>
  <c r="O90" i="158"/>
  <c r="O91" i="158"/>
  <c r="O93" i="158"/>
  <c r="O94" i="158"/>
  <c r="O96" i="158"/>
  <c r="O97" i="158"/>
  <c r="O99" i="158"/>
  <c r="O100" i="158"/>
  <c r="O102" i="158"/>
  <c r="O103" i="158"/>
  <c r="O105" i="158"/>
  <c r="O106" i="158"/>
  <c r="O108" i="158"/>
  <c r="O109" i="158"/>
  <c r="O111" i="158"/>
  <c r="O112" i="158"/>
  <c r="O113" i="158"/>
  <c r="O114" i="158"/>
  <c r="O115" i="158"/>
  <c r="O117" i="158"/>
  <c r="O118" i="158"/>
  <c r="O120" i="158"/>
  <c r="O121" i="158"/>
  <c r="O123" i="158"/>
  <c r="O124" i="158"/>
  <c r="O126" i="158"/>
  <c r="O127" i="158"/>
  <c r="O129" i="158"/>
  <c r="O130" i="158"/>
  <c r="O132" i="158"/>
  <c r="O133" i="158"/>
  <c r="O135" i="158"/>
  <c r="O136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9" i="158"/>
  <c r="O150" i="158"/>
  <c r="O151" i="158"/>
  <c r="O152" i="158"/>
  <c r="O153" i="158"/>
  <c r="O154" i="158"/>
  <c r="O156" i="158"/>
  <c r="O157" i="158"/>
  <c r="O158" i="158"/>
  <c r="O159" i="158"/>
  <c r="O161" i="158"/>
  <c r="O162" i="158"/>
  <c r="O164" i="158"/>
  <c r="O165" i="158"/>
  <c r="O166" i="158"/>
  <c r="O167" i="158"/>
  <c r="O169" i="158"/>
  <c r="O170" i="158"/>
  <c r="O171" i="158"/>
  <c r="O172" i="158"/>
  <c r="O174" i="158"/>
  <c r="O175" i="158"/>
  <c r="O176" i="158"/>
  <c r="O177" i="158"/>
  <c r="O178" i="158"/>
  <c r="O179" i="158"/>
  <c r="O181" i="158"/>
  <c r="O182" i="158"/>
  <c r="O184" i="158"/>
  <c r="O185" i="158"/>
  <c r="O186" i="158"/>
  <c r="O187" i="158"/>
  <c r="O189" i="158"/>
  <c r="O190" i="158"/>
  <c r="O191" i="158"/>
  <c r="O192" i="158"/>
  <c r="O193" i="158"/>
  <c r="O194" i="158"/>
  <c r="O196" i="158"/>
  <c r="O197" i="158"/>
  <c r="O198" i="158"/>
  <c r="O199" i="158"/>
  <c r="O201" i="158"/>
  <c r="O202" i="158"/>
  <c r="O203" i="158"/>
  <c r="O204" i="158"/>
  <c r="O206" i="158"/>
  <c r="O207" i="158"/>
  <c r="O208" i="158"/>
  <c r="O209" i="158"/>
  <c r="O210" i="158"/>
  <c r="O211" i="158"/>
  <c r="O213" i="158"/>
  <c r="O214" i="158"/>
  <c r="O221" i="158"/>
  <c r="O222" i="158"/>
  <c r="O223" i="158"/>
  <c r="O224" i="158"/>
  <c r="O226" i="158"/>
  <c r="O227" i="158"/>
  <c r="O229" i="158"/>
  <c r="O230" i="158"/>
  <c r="O231" i="158"/>
  <c r="O232" i="158"/>
  <c r="O234" i="158"/>
  <c r="O235" i="158"/>
  <c r="O237" i="158"/>
  <c r="O238" i="158"/>
  <c r="O239" i="158"/>
  <c r="O240" i="158"/>
  <c r="O242" i="158"/>
  <c r="O243" i="158"/>
  <c r="O244" i="158"/>
  <c r="O245" i="158"/>
  <c r="O246" i="158"/>
  <c r="O247" i="158"/>
  <c r="O249" i="158"/>
  <c r="O250" i="158"/>
  <c r="O252" i="158"/>
  <c r="O253" i="158"/>
  <c r="O255" i="158"/>
  <c r="O256" i="158"/>
  <c r="O258" i="158"/>
  <c r="O259" i="158"/>
  <c r="O260" i="158"/>
  <c r="O261" i="158"/>
  <c r="G29" i="157"/>
  <c r="H29" i="157"/>
  <c r="O266" i="158"/>
  <c r="O267" i="158"/>
  <c r="O268" i="158"/>
  <c r="O269" i="158"/>
  <c r="O274" i="158"/>
  <c r="O275" i="158"/>
  <c r="O276" i="158"/>
  <c r="O277" i="158"/>
  <c r="O278" i="158"/>
  <c r="O279" i="158"/>
  <c r="O281" i="158"/>
  <c r="O282" i="158"/>
  <c r="O284" i="158"/>
  <c r="O285" i="158"/>
  <c r="O294" i="158"/>
  <c r="O295" i="158"/>
  <c r="O296" i="158"/>
  <c r="O299" i="158"/>
  <c r="O300" i="158"/>
  <c r="O301" i="158"/>
  <c r="O302" i="158"/>
  <c r="O305" i="158"/>
  <c r="O308" i="158"/>
  <c r="O309" i="158"/>
  <c r="O310" i="158"/>
  <c r="O313" i="158"/>
  <c r="O314" i="158"/>
  <c r="O315" i="158"/>
  <c r="O316" i="158"/>
  <c r="O317" i="158"/>
  <c r="O320" i="158"/>
  <c r="O321" i="158"/>
  <c r="O322" i="158"/>
  <c r="O323" i="158"/>
  <c r="O328" i="158"/>
  <c r="O329" i="158"/>
  <c r="O330" i="158"/>
  <c r="O331" i="158"/>
  <c r="O332" i="158"/>
  <c r="O333" i="158"/>
  <c r="O336" i="158"/>
  <c r="O337" i="158"/>
  <c r="O338" i="158"/>
  <c r="R3" i="157"/>
  <c r="O341" i="158"/>
  <c r="R4" i="157"/>
  <c r="O342" i="158"/>
  <c r="R5" i="157"/>
  <c r="O343" i="158"/>
  <c r="R6" i="157"/>
  <c r="O346" i="158"/>
  <c r="O347" i="158"/>
  <c r="O348" i="158"/>
  <c r="O349" i="158"/>
  <c r="A349" i="158"/>
  <c r="H349" i="158"/>
  <c r="K349" i="158"/>
  <c r="L349" i="158"/>
  <c r="M349" i="158"/>
  <c r="N349" i="158"/>
  <c r="A346" i="158"/>
  <c r="H346" i="158"/>
  <c r="K346" i="158"/>
  <c r="L346" i="158"/>
  <c r="M346" i="158"/>
  <c r="N346" i="158"/>
  <c r="A347" i="158"/>
  <c r="H347" i="158"/>
  <c r="K347" i="158"/>
  <c r="L347" i="158"/>
  <c r="M347" i="158"/>
  <c r="N347" i="158"/>
  <c r="A348" i="158"/>
  <c r="H348" i="158"/>
  <c r="K348" i="158"/>
  <c r="L348" i="158"/>
  <c r="M348" i="158"/>
  <c r="N348" i="158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A341" i="154"/>
  <c r="A342" i="154"/>
  <c r="A343" i="154"/>
  <c r="A344" i="154"/>
  <c r="H341" i="158"/>
  <c r="K341" i="158"/>
  <c r="L341" i="158"/>
  <c r="M341" i="158"/>
  <c r="N341" i="158"/>
  <c r="H342" i="158"/>
  <c r="K342" i="158"/>
  <c r="L342" i="158"/>
  <c r="M342" i="158"/>
  <c r="N342" i="158"/>
  <c r="H343" i="158"/>
  <c r="K343" i="158"/>
  <c r="L343" i="158"/>
  <c r="M343" i="158"/>
  <c r="N343" i="158"/>
  <c r="H344" i="158"/>
  <c r="K344" i="158"/>
  <c r="L344" i="158"/>
  <c r="M344" i="158"/>
  <c r="N344" i="158"/>
  <c r="H345" i="158"/>
  <c r="K345" i="158"/>
  <c r="L345" i="158"/>
  <c r="M345" i="158"/>
  <c r="N345" i="158"/>
  <c r="A341" i="158"/>
  <c r="A342" i="158"/>
  <c r="A343" i="158"/>
  <c r="A344" i="158"/>
  <c r="A345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C19" i="157"/>
  <c r="C20" i="157"/>
  <c r="C21" i="157"/>
  <c r="C24" i="157"/>
  <c r="C25" i="157"/>
  <c r="C26" i="157"/>
  <c r="C27" i="157"/>
  <c r="C28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P6" i="159"/>
  <c r="N6" i="159"/>
  <c r="M6" i="159"/>
  <c r="L6" i="159"/>
  <c r="K6" i="159"/>
  <c r="J6" i="159"/>
  <c r="H6" i="159"/>
  <c r="F6" i="159"/>
  <c r="C6" i="159"/>
  <c r="A6" i="159"/>
  <c r="P5" i="159"/>
  <c r="N5" i="159"/>
  <c r="M5" i="159"/>
  <c r="L5" i="159"/>
  <c r="K5" i="159"/>
  <c r="J5" i="159"/>
  <c r="H5" i="159"/>
  <c r="F5" i="159"/>
  <c r="C5" i="159"/>
  <c r="A5" i="159"/>
  <c r="P4" i="159"/>
  <c r="N4" i="159"/>
  <c r="M4" i="159"/>
  <c r="L4" i="159"/>
  <c r="K4" i="159"/>
  <c r="J4" i="159"/>
  <c r="H4" i="159"/>
  <c r="F4" i="159"/>
  <c r="C4" i="159"/>
  <c r="A4" i="159"/>
  <c r="P3" i="159"/>
  <c r="N3" i="159"/>
  <c r="M3" i="159"/>
  <c r="L3" i="159"/>
  <c r="K3" i="159"/>
  <c r="J3" i="159"/>
  <c r="H3" i="159"/>
  <c r="F3" i="159"/>
  <c r="C3" i="159"/>
  <c r="A3" i="159"/>
  <c r="P2" i="159"/>
  <c r="N2" i="159"/>
  <c r="M2" i="159"/>
  <c r="L2" i="159"/>
  <c r="K2" i="159"/>
  <c r="J2" i="159"/>
  <c r="H2" i="159"/>
  <c r="F2" i="159"/>
  <c r="C2" i="159"/>
  <c r="A2" i="159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2" i="157"/>
  <c r="B43" i="157"/>
  <c r="B45" i="157"/>
  <c r="B46" i="157"/>
  <c r="F40" i="157"/>
  <c r="G40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C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5" i="153"/>
  <c r="B46" i="153"/>
  <c r="F40" i="153"/>
  <c r="G40" i="153"/>
  <c r="C19" i="153"/>
  <c r="C20" i="153"/>
  <c r="C21" i="153"/>
  <c r="C24" i="153"/>
  <c r="C25" i="153"/>
  <c r="C26" i="153"/>
  <c r="C27" i="153"/>
  <c r="C28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41" i="153"/>
  <c r="D18" i="157"/>
  <c r="F18" i="157"/>
  <c r="G18" i="157"/>
  <c r="H18" i="157"/>
  <c r="I18" i="157"/>
  <c r="J18" i="157"/>
  <c r="D21" i="157"/>
  <c r="F21" i="157"/>
  <c r="G21" i="157"/>
  <c r="H21" i="157"/>
  <c r="I21" i="157"/>
  <c r="J21" i="157"/>
  <c r="D22" i="157"/>
  <c r="F22" i="157"/>
  <c r="G22" i="157"/>
  <c r="H22" i="157"/>
  <c r="I22" i="157"/>
  <c r="J22" i="157"/>
  <c r="D23" i="157"/>
  <c r="F23" i="157"/>
  <c r="G23" i="157"/>
  <c r="H23" i="157"/>
  <c r="I23" i="157"/>
  <c r="J23" i="157"/>
  <c r="B32" i="157"/>
  <c r="D32" i="157"/>
  <c r="O3" i="158"/>
  <c r="O5" i="158"/>
  <c r="O7" i="158"/>
  <c r="O9" i="158"/>
  <c r="O11" i="158"/>
  <c r="O13" i="158"/>
  <c r="O15" i="158"/>
  <c r="O17" i="158"/>
  <c r="O19" i="158"/>
  <c r="O21" i="158"/>
  <c r="O23" i="158"/>
  <c r="O25" i="158"/>
  <c r="O27" i="158"/>
  <c r="O29" i="158"/>
  <c r="O31" i="158"/>
  <c r="O33" i="158"/>
  <c r="O35" i="158"/>
  <c r="O37" i="158"/>
  <c r="O39" i="158"/>
  <c r="O41" i="158"/>
  <c r="O53" i="158"/>
  <c r="O56" i="158"/>
  <c r="O59" i="158"/>
  <c r="O62" i="158"/>
  <c r="O65" i="158"/>
  <c r="O68" i="158"/>
  <c r="O71" i="158"/>
  <c r="O74" i="158"/>
  <c r="O77" i="158"/>
  <c r="O80" i="158"/>
  <c r="O83" i="158"/>
  <c r="O86" i="158"/>
  <c r="O89" i="158"/>
  <c r="O92" i="158"/>
  <c r="O95" i="158"/>
  <c r="O98" i="158"/>
  <c r="O101" i="158"/>
  <c r="O104" i="158"/>
  <c r="O107" i="158"/>
  <c r="O110" i="158"/>
  <c r="O116" i="158"/>
  <c r="O119" i="158"/>
  <c r="O122" i="158"/>
  <c r="O125" i="158"/>
  <c r="O128" i="158"/>
  <c r="O131" i="158"/>
  <c r="O134" i="158"/>
  <c r="O137" i="158"/>
  <c r="O148" i="158"/>
  <c r="O155" i="158"/>
  <c r="O160" i="158"/>
  <c r="O163" i="158"/>
  <c r="O168" i="158"/>
  <c r="O173" i="158"/>
  <c r="O180" i="158"/>
  <c r="O183" i="158"/>
  <c r="O188" i="158"/>
  <c r="O195" i="158"/>
  <c r="O200" i="158"/>
  <c r="O205" i="158"/>
  <c r="O212" i="158"/>
  <c r="O215" i="158"/>
  <c r="O216" i="158"/>
  <c r="O217" i="158"/>
  <c r="O218" i="158"/>
  <c r="O219" i="158"/>
  <c r="O220" i="158"/>
  <c r="O225" i="158"/>
  <c r="O228" i="158"/>
  <c r="O233" i="158"/>
  <c r="O236" i="158"/>
  <c r="O241" i="158"/>
  <c r="O248" i="158"/>
  <c r="O251" i="158"/>
  <c r="O254" i="158"/>
  <c r="O257" i="158"/>
  <c r="O262" i="158"/>
  <c r="O263" i="158"/>
  <c r="O264" i="158"/>
  <c r="O265" i="158"/>
  <c r="O270" i="158"/>
  <c r="O271" i="158"/>
  <c r="O272" i="158"/>
  <c r="O273" i="158"/>
  <c r="O280" i="158"/>
  <c r="O283" i="158"/>
  <c r="O286" i="158"/>
  <c r="O287" i="158"/>
  <c r="O288" i="158"/>
  <c r="O289" i="158"/>
  <c r="O290" i="158"/>
  <c r="O291" i="158"/>
  <c r="O292" i="158"/>
  <c r="O293" i="158"/>
  <c r="O297" i="158"/>
  <c r="O298" i="158"/>
  <c r="O303" i="158"/>
  <c r="O304" i="158"/>
  <c r="O306" i="158"/>
  <c r="O307" i="158"/>
  <c r="O311" i="158"/>
  <c r="O312" i="158"/>
  <c r="O318" i="158"/>
  <c r="O319" i="158"/>
  <c r="O324" i="158"/>
  <c r="O325" i="158"/>
  <c r="O326" i="158"/>
  <c r="O327" i="158"/>
  <c r="O334" i="158"/>
  <c r="O335" i="158"/>
  <c r="O339" i="158"/>
  <c r="O340" i="158"/>
  <c r="O344" i="158"/>
  <c r="O345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F45" i="157"/>
  <c r="F46" i="157"/>
  <c r="B44" i="157"/>
  <c r="B47" i="157"/>
  <c r="C40" i="157"/>
  <c r="C41" i="157"/>
  <c r="C42" i="157"/>
  <c r="C43" i="157"/>
  <c r="C44" i="157"/>
  <c r="C45" i="157"/>
  <c r="C46" i="157"/>
  <c r="C47" i="157"/>
  <c r="F47" i="157"/>
  <c r="F41" i="157"/>
  <c r="G41" i="157"/>
  <c r="F42" i="157"/>
  <c r="G42" i="157"/>
  <c r="F49" i="157"/>
  <c r="F48" i="157"/>
  <c r="G22" i="153"/>
  <c r="H22" i="153"/>
  <c r="O262" i="154"/>
  <c r="O264" i="154"/>
  <c r="O270" i="154"/>
  <c r="O272" i="154"/>
  <c r="G21" i="153"/>
  <c r="H21" i="153"/>
  <c r="O53" i="154"/>
  <c r="O56" i="154"/>
  <c r="O59" i="154"/>
  <c r="O62" i="154"/>
  <c r="O65" i="154"/>
  <c r="O68" i="154"/>
  <c r="O71" i="154"/>
  <c r="O74" i="154"/>
  <c r="O77" i="154"/>
  <c r="O80" i="154"/>
  <c r="O83" i="154"/>
  <c r="O86" i="154"/>
  <c r="O89" i="154"/>
  <c r="O92" i="154"/>
  <c r="O95" i="154"/>
  <c r="O98" i="154"/>
  <c r="O101" i="154"/>
  <c r="O104" i="154"/>
  <c r="O107" i="154"/>
  <c r="O110" i="154"/>
  <c r="O116" i="154"/>
  <c r="O119" i="154"/>
  <c r="O122" i="154"/>
  <c r="O125" i="154"/>
  <c r="O128" i="154"/>
  <c r="O131" i="154"/>
  <c r="O134" i="154"/>
  <c r="O137" i="154"/>
  <c r="O148" i="154"/>
  <c r="O155" i="154"/>
  <c r="O160" i="154"/>
  <c r="O163" i="154"/>
  <c r="O168" i="154"/>
  <c r="O173" i="154"/>
  <c r="O180" i="154"/>
  <c r="O183" i="154"/>
  <c r="O188" i="154"/>
  <c r="O195" i="154"/>
  <c r="O200" i="154"/>
  <c r="O205" i="154"/>
  <c r="O212" i="154"/>
  <c r="G23" i="153"/>
  <c r="H23" i="153"/>
  <c r="O215" i="154"/>
  <c r="O216" i="154"/>
  <c r="O217" i="154"/>
  <c r="O218" i="154"/>
  <c r="O219" i="154"/>
  <c r="O220" i="154"/>
  <c r="O225" i="154"/>
  <c r="O228" i="154"/>
  <c r="O233" i="154"/>
  <c r="O236" i="154"/>
  <c r="O241" i="154"/>
  <c r="O248" i="154"/>
  <c r="O251" i="154"/>
  <c r="O254" i="154"/>
  <c r="O257" i="154"/>
  <c r="O263" i="154"/>
  <c r="O265" i="154"/>
  <c r="O271" i="154"/>
  <c r="O273" i="154"/>
  <c r="O280" i="154"/>
  <c r="O283" i="154"/>
  <c r="O286" i="154"/>
  <c r="O287" i="154"/>
  <c r="O288" i="154"/>
  <c r="O289" i="154"/>
  <c r="O290" i="154"/>
  <c r="O291" i="154"/>
  <c r="O292" i="154"/>
  <c r="O293" i="154"/>
  <c r="O297" i="154"/>
  <c r="O298" i="154"/>
  <c r="O303" i="154"/>
  <c r="O304" i="154"/>
  <c r="O306" i="154"/>
  <c r="O307" i="154"/>
  <c r="O311" i="154"/>
  <c r="O312" i="154"/>
  <c r="O318" i="154"/>
  <c r="O319" i="154"/>
  <c r="O324" i="154"/>
  <c r="O325" i="154"/>
  <c r="O326" i="154"/>
  <c r="O327" i="154"/>
  <c r="O334" i="154"/>
  <c r="O335" i="154"/>
  <c r="O339" i="154"/>
  <c r="O340" i="154"/>
  <c r="O344" i="154"/>
  <c r="O345" i="154"/>
  <c r="F41" i="153"/>
  <c r="G41" i="153"/>
  <c r="P314" i="154"/>
  <c r="P317" i="154"/>
  <c r="P321" i="154"/>
  <c r="P32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5" i="154"/>
  <c r="P316" i="154"/>
  <c r="P318" i="154"/>
  <c r="P319" i="154"/>
  <c r="P320" i="154"/>
  <c r="P322" i="154"/>
  <c r="P323" i="154"/>
  <c r="P324" i="154"/>
  <c r="P325" i="154"/>
  <c r="P326" i="154"/>
  <c r="P327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F49" i="153"/>
  <c r="F42" i="153"/>
  <c r="G42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B32" i="153"/>
  <c r="D32" i="153"/>
  <c r="F45" i="153"/>
  <c r="F46" i="153"/>
  <c r="B44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<sst xmlns="http://schemas.openxmlformats.org/spreadsheetml/2006/main" count="535" uniqueCount="256">
  <si>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</si>
  <si>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</si>
  <si>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</si>
  <si>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</si>
  <si>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</si>
  <si>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</si>
  <si>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</si>
  <si>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</si>
  <si>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</si>
  <si>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</si>
  <si>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</si>
  <si>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</si>
  <si>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</si>
  <si>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</si>
  <si>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</si>
  <si>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</si>
  <si>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</si>
  <si>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</si>
  <si>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</si>
  <si>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</si>
  <si>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</si>
  <si>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</si>
  <si>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</si>
  <si>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</si>
  <si>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</si>
  <si>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</si>
  <si>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</si>
  <si>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</si>
  <si>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</si>
  <si>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</si>
  <si>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</si>
  <si>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</si>
  <si>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</si>
  <si>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</si>
  <si>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</si>
  <si>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</si>
  <si>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</si>
  <si>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</si>
  <si>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</si>
  <si>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</si>
  <si>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</si>
  <si>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</si>
  <si>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</si>
  <si>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</si>
  <si>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</si>
  <si>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</si>
  <si>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</si>
  <si>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</si>
  <si>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</si>
  <si>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</si>
  <si>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</si>
  <si>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</si>
  <si>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</si>
  <si>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</si>
  <si>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</si>
  <si>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</si>
  <si>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</si>
  <si>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</si>
  <si>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</si>
  <si>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</si>
  <si>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</si>
  <si>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</si>
  <si>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</si>
  <si>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</si>
  <si>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</si>
  <si>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</si>
  <si>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</si>
  <si>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</si>
  <si>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</si>
  <si>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</si>
  <si>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</si>
  <si>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</si>
  <si>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</si>
  <si>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</si>
  <si>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</si>
  <si>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</si>
  <si>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</si>
  <si>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</si>
  <si>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</si>
  <si>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</si>
  <si>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</si>
  <si>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</si>
  <si>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</si>
  <si>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</si>
  <si>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</si>
  <si>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</si>
  <si>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</si>
  <si>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</si>
  <si>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</si>
  <si>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</si>
  <si>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</si>
  <si>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</si>
  <si>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</si>
  <si>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</si>
  <si>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</si>
  <si>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</si>
  <si>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</si>
  <si>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</si>
  <si>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</si>
  <si>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</si>
  <si>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</si>
  <si>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</si>
  <si>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</si>
  <si>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</si>
  <si>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</si>
  <si>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</si>
  <si>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</si>
  <si>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</si>
  <si>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</si>
  <si>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</si>
  <si>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</si>
  <si>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</si>
  <si>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</si>
  <si>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</si>
  <si>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</si>
  <si>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</si>
  <si>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</si>
  <si>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</si>
  <si>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</si>
  <si>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</si>
  <si>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</si>
  <si>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</si>
  <si>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</si>
  <si>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</si>
  <si>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</si>
  <si>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</si>
  <si>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</si>
  <si>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</si>
  <si>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</si>
  <si>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</si>
  <si>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</si>
  <si>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</si>
  <si>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</si>
  <si>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</si>
  <si>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</si>
  <si>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</si>
  <si>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</si>
  <si>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</si>
  <si>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</si>
  <si>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</si>
  <si>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</si>
  <si>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</si>
  <si>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</si>
  <si>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</si>
  <si>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</si>
  <si>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</si>
  <si>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</si>
  <si>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</si>
  <si>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</si>
  <si>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</si>
  <si>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</si>
  <si>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</si>
  <si>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</si>
  <si>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</si>
  <si>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</si>
  <si>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</si>
  <si>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</si>
  <si>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</si>
  <si>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</si>
  <si>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</si>
  <si>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</si>
  <si>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</si>
  <si>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</si>
  <si>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</si>
  <si>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</si>
  <si>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</si>
  <si>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</si>
  <si>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</si>
  <si>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</si>
  <si>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</si>
  <si>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</si>
  <si>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</si>
  <si>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</si>
  <si>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</si>
  <si>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</si>
  <si>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</si>
  <si>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</si>
  <si>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</si>
  <si>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</si>
  <si>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</si>
  <si>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</si>
  <si>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</si>
  <si>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</si>
  <si>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</si>
  <si>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</si>
  <si>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</si>
  <si>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</si>
  <si>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</si>
  <si>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</si>
  <si>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</si>
  <si>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</si>
  <si>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</si>
  <si>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</si>
  <si>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</si>
  <si>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</si>
  <si>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</si>
  <si>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</si>
  <si>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</si>
  <si>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</si>
  <si>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</si>
  <si>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</si>
  <si>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</si>
  <si>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</si>
  <si>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</si>
  <si>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</si>
  <si>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</si>
  <si>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</si>
  <si>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</si>
  <si>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</si>
  <si>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</si>
  <si>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</si>
  <si>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</si>
  <si>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</si>
  <si>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</si>
  <si>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</si>
  <si>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</si>
  <si>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</si>
  <si>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</si>
  <si>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</si>
  <si>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</si>
  <si>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</si>
  <si>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</si>
  <si>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</si>
  <si>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</si>
  <si>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</si>
  <si>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</si>
  <si>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</si>
  <si>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</si>
  <si>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</si>
  <si>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</si>
  <si>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</si>
  <si>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</si>
  <si>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</si>
  <si>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</si>
  <si>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</si>
  <si>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</si>
  <si>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</si>
  <si>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</si>
  <si>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</si>
  <si>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</si>
  <si>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</si>
  <si>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</si>
  <si>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</si>
  <si>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</si>
  <si>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</si>
  <si>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</si>
  <si>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</si>
  <si>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</si>
  <si>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</si>
  <si>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</si>
  <si>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</si>
  <si>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</si>
  <si>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</si>
  <si>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tables_509100</t>
    <phoneticPr fontId="21"/>
  </si>
  <si>
    <t>tables_509010</t>
    <phoneticPr fontId="21"/>
  </si>
  <si>
    <t>tables_settle_509100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</si>
</sst>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3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0" fillId="0" borderId="0" xfId="0" applyFill="1" applyBorder="1"/>
    <xf numFmtId="177" fontId="0" fillId="0" borderId="0" xfId="3575" applyNumberFormat="1" applyFont="1" applyFill="1" applyBorder="1"/>
    <xf numFmtId="0" fontId="53" fillId="0" borderId="0" xfId="0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星海祈る天光妃 媽祖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海戀の絶龍姫 蛟龍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8087</v>
          </cell>
          <cell r="B1481" t="str">
            <v>ja</v>
          </cell>
          <cell r="C1481" t="str">
            <v>財神</v>
          </cell>
          <cell r="H1481" t="str">
            <v>red</v>
          </cell>
          <cell r="I1481">
            <v>5</v>
          </cell>
          <cell r="J1481" t="str">
            <v>PremiumSSS</v>
          </cell>
          <cell r="K1481" t="str">
            <v>technical</v>
          </cell>
          <cell r="L1481" t="str">
            <v>テクニカルタイプ</v>
          </cell>
          <cell r="M1481" t="str">
            <v>god</v>
          </cell>
        </row>
        <row r="1482">
          <cell r="A1482">
            <v>8088</v>
          </cell>
          <cell r="B1482" t="str">
            <v>ja</v>
          </cell>
          <cell r="C1482" t="str">
            <v>★６財神</v>
          </cell>
          <cell r="H1482" t="str">
            <v>red</v>
          </cell>
          <cell r="I1482">
            <v>6</v>
          </cell>
          <cell r="J1482" t="str">
            <v>PremiumSSS</v>
          </cell>
          <cell r="K1482" t="str">
            <v>technical</v>
          </cell>
          <cell r="L1482" t="str">
            <v>テクニカルタイプ</v>
          </cell>
          <cell r="M1482" t="str">
            <v>god</v>
          </cell>
        </row>
        <row r="1483">
          <cell r="A1483">
            <v>8089</v>
          </cell>
          <cell r="B1483" t="str">
            <v>ja</v>
          </cell>
          <cell r="C1483" t="str">
            <v>年獣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8090</v>
          </cell>
          <cell r="B1484" t="str">
            <v>ja</v>
          </cell>
          <cell r="C1484" t="str">
            <v>★６年獣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8095</v>
          </cell>
          <cell r="B1485" t="str">
            <v>ja</v>
          </cell>
          <cell r="C1485" t="str">
            <v>バハムートダック赤</v>
          </cell>
          <cell r="D1485" t="str">
            <v>ポムポムプリン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6</v>
          </cell>
          <cell r="J1485" t="str">
            <v>Material</v>
          </cell>
          <cell r="K1485" t="str">
            <v>exp</v>
          </cell>
          <cell r="L1485" t="str">
            <v>強化素材タイプ</v>
          </cell>
          <cell r="M1485" t="str">
            <v>unknown</v>
          </cell>
        </row>
        <row r="1486">
          <cell r="A1486">
            <v>8096</v>
          </cell>
          <cell r="B1486" t="str">
            <v>ja</v>
          </cell>
          <cell r="C1486" t="str">
            <v>バハムートダック緑</v>
          </cell>
          <cell r="D1486" t="str">
            <v>ポムポムプリン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green</v>
          </cell>
          <cell r="I1486">
            <v>6</v>
          </cell>
          <cell r="J1486" t="str">
            <v>Material</v>
          </cell>
          <cell r="K1486" t="str">
            <v>exp</v>
          </cell>
          <cell r="L1486" t="str">
            <v>強化素材タイプ</v>
          </cell>
          <cell r="M1486" t="str">
            <v>unknown</v>
          </cell>
        </row>
        <row r="1487">
          <cell r="A1487">
            <v>8097</v>
          </cell>
          <cell r="B1487" t="str">
            <v>ja</v>
          </cell>
          <cell r="C1487" t="str">
            <v>バハムートダック青</v>
          </cell>
          <cell r="D1487" t="str">
            <v>ポムポムプリン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6</v>
          </cell>
          <cell r="J1487" t="str">
            <v>Material</v>
          </cell>
          <cell r="K1487" t="str">
            <v>exp</v>
          </cell>
          <cell r="L1487" t="str">
            <v>強化素材タイプ</v>
          </cell>
          <cell r="M1487" t="str">
            <v>unknown</v>
          </cell>
        </row>
        <row r="1488">
          <cell r="A1488">
            <v>8098</v>
          </cell>
          <cell r="B1488" t="str">
            <v>ja</v>
          </cell>
          <cell r="C1488" t="str">
            <v>バハムートダック黄</v>
          </cell>
          <cell r="D1488" t="str">
            <v>ポムポムプリン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yellow</v>
          </cell>
          <cell r="I1488">
            <v>6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8099</v>
          </cell>
          <cell r="B1489" t="str">
            <v>ja</v>
          </cell>
          <cell r="C1489" t="str">
            <v>リトルハンプティ</v>
          </cell>
          <cell r="D1489" t="str">
            <v>各属性相性良3・黄・R455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green</v>
          </cell>
          <cell r="I1489">
            <v>6</v>
          </cell>
          <cell r="J1489" t="str">
            <v>Material</v>
          </cell>
          <cell r="K1489" t="str">
            <v>evolution</v>
          </cell>
          <cell r="L1489" t="str">
            <v>覚醒素材タイプ</v>
          </cell>
          <cell r="M148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E30" sqref="E30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509100</v>
      </c>
      <c r="D2" s="19" t="s">
        <v>45</v>
      </c>
      <c r="E2" s="17" t="str">
        <f t="shared" ref="E2" si="1">B2&amp;C2&amp;D2</f>
        <v>gacha_select_tables_509100.tmp</v>
      </c>
      <c r="F2" s="102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509010</v>
      </c>
      <c r="D3" s="19" t="s">
        <v>45</v>
      </c>
      <c r="E3" s="17" t="str">
        <f t="shared" ref="E3:E10" si="3">B3&amp;C3&amp;D3</f>
        <v>gacha_select_tables_509010.tmp</v>
      </c>
      <c r="F3" s="102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248</v>
      </c>
      <c r="B4" s="96" t="s">
        <v>249</v>
      </c>
      <c r="C4" s="97" t="str">
        <f t="shared" si="2"/>
        <v>509100</v>
      </c>
      <c r="D4" s="19" t="s">
        <v>250</v>
      </c>
      <c r="E4" s="17" t="str">
        <f t="shared" si="3"/>
        <v>gacha_settle_tables_509100.tmp</v>
      </c>
      <c r="F4" s="102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17" sqref="B17:B3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509010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1260</v>
      </c>
      <c r="M3" s="37" t="str">
        <f>VLOOKUP(L3,[1]characters!$A:$C,3,FALSE)</f>
        <v>トール</v>
      </c>
      <c r="N3" s="63">
        <v>1.2E-2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VLOOKUP(L3,tables_509010!B:C,2,FALSE)</f>
        <v>PremiumSS5R5only</v>
      </c>
      <c r="R3" s="62">
        <f t="shared" ref="R3:R20" si="1">N3*A$36</f>
        <v>744480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1262</v>
      </c>
      <c r="M4" s="37" t="str">
        <f>VLOOKUP(L4,[1]characters!$A:$C,3,FALSE)</f>
        <v>イズン</v>
      </c>
      <c r="N4" s="63">
        <v>8.9999999999999993E-3</v>
      </c>
      <c r="O4" s="37">
        <f>VLOOKUP(L4,[1]characters!$A:$I,9,FALSE)</f>
        <v>5</v>
      </c>
      <c r="P4" s="37" t="str">
        <f>VLOOKUP(L4,[1]characters!$A:$J,10,FALSE)</f>
        <v>PremiumSSw</v>
      </c>
      <c r="Q4" s="37" t="str">
        <f>VLOOKUP(L4,tables_509010!B:C,2,FALSE)</f>
        <v>PremiumSS5R5only</v>
      </c>
      <c r="R4" s="62">
        <f t="shared" si="1"/>
        <v>558360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1-SUM(B6:B7)</f>
        <v>0.42500000000000004</v>
      </c>
      <c r="D5" t="s">
        <v>201</v>
      </c>
      <c r="E5" s="43">
        <f>(B11-H5)/(F5-I5)</f>
        <v>2.5757575757575762E-4</v>
      </c>
      <c r="F5">
        <f>(COUNTIF(tables_509010!C:C,input_509010!A28)+COUNTIF(tables_509010!C:C,input_509010!A29))</f>
        <v>69</v>
      </c>
      <c r="H5" s="84">
        <v>3.3000000000000002E-2</v>
      </c>
      <c r="I5" s="31">
        <v>3</v>
      </c>
      <c r="L5" s="1">
        <v>1264</v>
      </c>
      <c r="M5" s="37" t="str">
        <f>VLOOKUP(L5,[1]characters!$A:$C,3,FALSE)</f>
        <v>ウルズ</v>
      </c>
      <c r="N5" s="63">
        <v>1.2E-2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VLOOKUP(L5,tables_509010!B:C,2,FALSE)</f>
        <v>PremiumSS5R5only</v>
      </c>
      <c r="R5" s="62">
        <f t="shared" si="1"/>
        <v>744480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9.2021276595744671E-3</v>
      </c>
      <c r="F6">
        <f>(COUNTIF(tables_509010!C:C,input_509010!A25)+COUNTIF(tables_509010!C:C,input_509010!A18)+COUNTIF(tables_509010!C:C,input_509010!A20)+COUNTIF(tables_509010!C:C,input_509010!A22))</f>
        <v>95</v>
      </c>
      <c r="H6" s="89">
        <v>8.5000000000000006E-2</v>
      </c>
      <c r="I6" s="31">
        <v>1</v>
      </c>
      <c r="L6" s="1">
        <v>1266</v>
      </c>
      <c r="M6" s="37" t="str">
        <f>VLOOKUP(L6,[1]characters!$A:$C,3,FALSE)</f>
        <v>ガルム</v>
      </c>
      <c r="N6" s="63">
        <f>0.085*0.925</f>
        <v>7.8625000000000014E-2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VLOOKUP(L6,tables_509010!B:C,2,FALSE)</f>
        <v>Premium4R3less</v>
      </c>
      <c r="R6" s="62">
        <f t="shared" si="1"/>
        <v>4877895.0000000009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1">
        <v>1267</v>
      </c>
      <c r="M7" s="37" t="str">
        <f>VLOOKUP(L7,[1]characters!$A:$C,3,FALSE)</f>
        <v>不遜の冥番犬 ガルム</v>
      </c>
      <c r="N7" s="63">
        <f>0.085-N6</f>
        <v>6.3749999999999918E-3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VLOOKUP(L7,tables_509010!B:C,2,FALSE)</f>
        <v>Premium5R3less</v>
      </c>
      <c r="R7" s="62">
        <f t="shared" si="1"/>
        <v>395504.99999999948</v>
      </c>
      <c r="S7">
        <v>597</v>
      </c>
      <c r="U7" s="33" t="s">
        <v>196</v>
      </c>
      <c r="V7" s="54">
        <f t="shared" si="0"/>
        <v>7.8625000000000014E-2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VLOOKUP(L8,tables_509010!B:C,2,FALSE)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6.3749999999999918E-3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VLOOKUP(L9,tables_509010!B:C,2,FALSE)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VLOOKUP(L10,tables_509010!B:C,2,FALSE)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VLOOKUP(L11,tables_509010!B:C,2,FALSE)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VLOOKUP(L12,tables_509010!B:C,2,FALSE)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VLOOKUP(L13,tables_509010!B:C,2,FALSE)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VLOOKUP(L14,tables_509010!B:C,2,FALSE)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3.3000000000000002E-2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VLOOKUP(L15,tables_509010!B:C,2,FALSE)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VLOOKUP(L16,tables_509010!B:C,2,FALSE)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0.20598936170212773</v>
      </c>
      <c r="C17" s="85">
        <f t="shared" ref="C17:C31" si="2">SUMIF(Q:Q,A17,N:N)</f>
        <v>0</v>
      </c>
      <c r="D17" s="74">
        <f t="shared" ref="D17:D32" si="3">B17-C17</f>
        <v>0.20598936170212773</v>
      </c>
      <c r="E17">
        <f>COUNTIF(tables_509010!C:C,input_509010!A17)-COUNTIF(Q:Q,A17)</f>
        <v>20</v>
      </c>
      <c r="F17" s="43">
        <f>IFERROR(B17/E17,0)</f>
        <v>1.0299468085106386E-2</v>
      </c>
      <c r="G17">
        <f t="shared" ref="G17:G31" si="4">A$36*B17</f>
        <v>12779580.000000004</v>
      </c>
      <c r="H17">
        <f t="shared" ref="H17:H31" si="5">IFERROR(ROUND(G17/E17,5),0)</f>
        <v>638979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VLOOKUP(L17,tables_509010!B:C,2,FALSE)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B6-SUM(B20,B22,B25,B27,B30,C22)</f>
        <v>7.9697453255964112E-3</v>
      </c>
      <c r="C18" s="85">
        <f t="shared" si="2"/>
        <v>0</v>
      </c>
      <c r="D18" s="74">
        <f t="shared" si="3"/>
        <v>7.9697453255964112E-3</v>
      </c>
      <c r="E18">
        <f>COUNTIF(tables_509010!C:C,input_509010!A18)-COUNTIF(Q:Q,A18)</f>
        <v>20</v>
      </c>
      <c r="F18" s="43">
        <f>IFERROR(B18/E18,0)</f>
        <v>3.9848726627982056E-4</v>
      </c>
      <c r="G18">
        <f t="shared" si="4"/>
        <v>494443.00000000134</v>
      </c>
      <c r="H18">
        <f t="shared" si="5"/>
        <v>24722.15</v>
      </c>
      <c r="I18">
        <f t="shared" si="6"/>
        <v>0.15000000000145519</v>
      </c>
      <c r="J18">
        <f t="shared" si="7"/>
        <v>6.6666666666019916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VLOOKUP(L18,tables_509010!B:C,2,FALSE)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0.20336702127659573</v>
      </c>
      <c r="C19" s="85">
        <f t="shared" si="2"/>
        <v>0</v>
      </c>
      <c r="D19" s="74">
        <f t="shared" si="3"/>
        <v>0.20336702127659573</v>
      </c>
      <c r="E19">
        <f>COUNTIF(tables_509010!C:C,input_509010!A19)-COUNTIF(Q:Q,A19)</f>
        <v>52</v>
      </c>
      <c r="F19" s="43">
        <f t="shared" ref="F19:F31" si="8">IFERROR(B19/E19,0)</f>
        <v>3.9109042553191484E-3</v>
      </c>
      <c r="G19">
        <f t="shared" si="4"/>
        <v>12616889.999999998</v>
      </c>
      <c r="H19">
        <f t="shared" si="5"/>
        <v>242632.5</v>
      </c>
      <c r="I19">
        <f t="shared" si="6"/>
        <v>0.5</v>
      </c>
      <c r="J19">
        <f t="shared" si="7"/>
        <v>2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VLOOKUP(L19,tables_509010!B:C,2,FALSE)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0.23925531914893614</v>
      </c>
      <c r="C20" s="85">
        <f t="shared" si="2"/>
        <v>0</v>
      </c>
      <c r="D20" s="74">
        <f t="shared" si="3"/>
        <v>0.23925531914893614</v>
      </c>
      <c r="E20">
        <f>COUNTIF(tables_509010!C:C,input_509010!A20)-COUNTIF(Q:Q,A20)</f>
        <v>52</v>
      </c>
      <c r="F20" s="43">
        <f t="shared" si="8"/>
        <v>4.6010638297872336E-3</v>
      </c>
      <c r="G20">
        <f t="shared" si="4"/>
        <v>14843399.999999998</v>
      </c>
      <c r="H20">
        <f t="shared" si="5"/>
        <v>285450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VLOOKUP(L20,tables_509010!B:C,2,FALSE)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</f>
        <v>5.9717440361057375E-3</v>
      </c>
      <c r="C21" s="85">
        <f t="shared" si="2"/>
        <v>0</v>
      </c>
      <c r="D21" s="74">
        <f t="shared" si="3"/>
        <v>5.9717440361057375E-3</v>
      </c>
      <c r="E21">
        <f>COUNTIF(tables_509010!C:C,input_509010!A21)-COUNTIF(Q:Q,A21)</f>
        <v>52</v>
      </c>
      <c r="F21" s="43">
        <f t="shared" si="8"/>
        <v>1.1484123146357188E-4</v>
      </c>
      <c r="G21">
        <f t="shared" si="4"/>
        <v>370486.99999999994</v>
      </c>
      <c r="H21">
        <f t="shared" si="5"/>
        <v>7124.75</v>
      </c>
      <c r="I21">
        <f t="shared" si="6"/>
        <v>0.75</v>
      </c>
      <c r="J21">
        <f t="shared" si="7"/>
        <v>1.3333333333333333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0.14907446808510638</v>
      </c>
      <c r="C22" s="85">
        <f t="shared" si="2"/>
        <v>7.8625000000000014E-2</v>
      </c>
      <c r="D22" s="74">
        <f t="shared" si="3"/>
        <v>7.0449468085106368E-2</v>
      </c>
      <c r="E22">
        <f>COUNTIF(tables_509010!C:C,input_509010!A22)-COUNTIF(Q:Q,A22)</f>
        <v>18</v>
      </c>
      <c r="F22" s="43">
        <f t="shared" si="8"/>
        <v>8.281914893617022E-3</v>
      </c>
      <c r="G22">
        <f t="shared" si="4"/>
        <v>9248580</v>
      </c>
      <c r="H22">
        <f t="shared" si="5"/>
        <v>513810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1.6563829787234041E-2</v>
      </c>
      <c r="C23" s="85">
        <f t="shared" si="2"/>
        <v>6.3749999999999918E-3</v>
      </c>
      <c r="D23" s="74">
        <f t="shared" si="3"/>
        <v>1.0188829787234049E-2</v>
      </c>
      <c r="E23">
        <f>COUNTIF(tables_509010!C:C,input_509010!A23)-COUNTIF(Q:Q,A23)</f>
        <v>24</v>
      </c>
      <c r="F23" s="43">
        <f t="shared" si="8"/>
        <v>6.9015957446808506E-4</v>
      </c>
      <c r="G23">
        <f t="shared" si="4"/>
        <v>1027619.9999999999</v>
      </c>
      <c r="H23">
        <f t="shared" si="5"/>
        <v>42817.5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1.5643617021276597E-2</v>
      </c>
      <c r="C24" s="85">
        <f t="shared" si="2"/>
        <v>0</v>
      </c>
      <c r="D24" s="74">
        <f t="shared" si="3"/>
        <v>1.5643617021276597E-2</v>
      </c>
      <c r="E24">
        <f>COUNTIF(tables_509010!C:C,input_509010!A24)-COUNTIF(Q:Q,A24)</f>
        <v>4</v>
      </c>
      <c r="F24" s="43">
        <f t="shared" si="8"/>
        <v>3.9109042553191493E-3</v>
      </c>
      <c r="G24">
        <f t="shared" si="4"/>
        <v>970530.00000000012</v>
      </c>
      <c r="H24">
        <f t="shared" si="5"/>
        <v>242632.5</v>
      </c>
      <c r="I24">
        <f t="shared" si="6"/>
        <v>0.5</v>
      </c>
      <c r="J24">
        <f t="shared" si="7"/>
        <v>2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1.8404255319148934E-2</v>
      </c>
      <c r="C25" s="85">
        <f t="shared" si="2"/>
        <v>0</v>
      </c>
      <c r="D25" s="74">
        <f t="shared" si="3"/>
        <v>1.8404255319148934E-2</v>
      </c>
      <c r="E25">
        <f>COUNTIF(tables_509010!C:C,input_509010!A25)-COUNTIF(Q:Q,A25)</f>
        <v>4</v>
      </c>
      <c r="F25" s="43">
        <f t="shared" si="8"/>
        <v>4.6010638297872336E-3</v>
      </c>
      <c r="G25">
        <f t="shared" si="4"/>
        <v>1141799.9999999998</v>
      </c>
      <c r="H25">
        <f t="shared" si="5"/>
        <v>285450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2.7606382978723402E-3</v>
      </c>
      <c r="C26" s="85">
        <f t="shared" si="2"/>
        <v>0</v>
      </c>
      <c r="D26" s="74">
        <f t="shared" si="3"/>
        <v>2.7606382978723402E-3</v>
      </c>
      <c r="E26">
        <f>COUNTIF(tables_509010!C:C,input_509010!A26)-COUNTIF(Q:Q,A26)</f>
        <v>4</v>
      </c>
      <c r="F26" s="43">
        <f t="shared" si="8"/>
        <v>6.9015957446808506E-4</v>
      </c>
      <c r="G26">
        <f t="shared" si="4"/>
        <v>171270</v>
      </c>
      <c r="H26">
        <f t="shared" si="5"/>
        <v>42817.5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6.6712121212121221E-3</v>
      </c>
      <c r="C27" s="85">
        <f t="shared" si="2"/>
        <v>0</v>
      </c>
      <c r="D27" s="74">
        <f t="shared" si="3"/>
        <v>6.6712121212121221E-3</v>
      </c>
      <c r="E27">
        <f>COUNTIF(tables_509010!C:C,input_509010!A27)-COUNTIF(Q:Q,A27)</f>
        <v>28</v>
      </c>
      <c r="F27" s="43">
        <f>IFERROR(B27/E27,0)</f>
        <v>2.3825757575757578E-4</v>
      </c>
      <c r="G27">
        <f t="shared" si="4"/>
        <v>413882.00000000006</v>
      </c>
      <c r="H27">
        <f t="shared" si="5"/>
        <v>14781.5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5.4090909090909092E-4</v>
      </c>
      <c r="C28" s="85">
        <f t="shared" si="2"/>
        <v>0</v>
      </c>
      <c r="D28" s="74">
        <f t="shared" si="3"/>
        <v>5.4090909090909092E-4</v>
      </c>
      <c r="E28">
        <f>COUNTIF(tables_509010!C:C,input_509010!A28)-COUNTIF(Q:Q,A28)</f>
        <v>28</v>
      </c>
      <c r="F28" s="43">
        <f t="shared" si="8"/>
        <v>1.9318181818181818E-5</v>
      </c>
      <c r="G28">
        <f t="shared" si="4"/>
        <v>33558</v>
      </c>
      <c r="H28">
        <f t="shared" si="5"/>
        <v>1198.5</v>
      </c>
      <c r="I28">
        <f t="shared" si="6"/>
        <v>0.5</v>
      </c>
      <c r="J28">
        <f t="shared" si="7"/>
        <v>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9.7878787878787898E-3</v>
      </c>
      <c r="C29" s="85">
        <f t="shared" si="2"/>
        <v>3.3000000000000002E-2</v>
      </c>
      <c r="D29" s="74">
        <f t="shared" si="3"/>
        <v>-2.3212121212121212E-2</v>
      </c>
      <c r="E29">
        <f>COUNTIF(tables_509010!C:C,input_509010!A29)-COUNTIF(Q:Q,A29)</f>
        <v>38</v>
      </c>
      <c r="F29" s="43">
        <f t="shared" si="8"/>
        <v>2.5757575757575762E-4</v>
      </c>
      <c r="G29">
        <f t="shared" si="4"/>
        <v>607240.00000000012</v>
      </c>
      <c r="H29">
        <f t="shared" si="5"/>
        <v>15980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COUNTIF(tables_509010!C:C,input_509010!A30)-COUNTIF(Q:Q,A30)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COUNTIF(tables_509010!C:C,input_509010!A31)-COUNTIF(Q:Q,A31)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0.88200000000000001</v>
      </c>
      <c r="C32" s="41">
        <f>SUM(C19:C31)</f>
        <v>0.11800000000000001</v>
      </c>
      <c r="D32" s="42">
        <f t="shared" si="3"/>
        <v>0.76400000000000001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SUMIF(tables_509010!C:C,input_509010!A40,tables_509010!O:O)</f>
        <v>12616890</v>
      </c>
      <c r="C40" s="54">
        <f t="shared" ref="C40:C46" ca="1" si="9">B40/B$47</f>
        <v>0.44616992648440318</v>
      </c>
      <c r="E40">
        <v>3</v>
      </c>
      <c r="F40">
        <f ca="1">SUMIF(tables_509010!J:J,input_509010!E40,tables_509010!O:O)</f>
        <v>26367000</v>
      </c>
      <c r="G40">
        <f ca="1">F40/A36</f>
        <v>0.42499999999999999</v>
      </c>
    </row>
    <row r="41" spans="1:7" x14ac:dyDescent="0.15">
      <c r="A41" s="33" t="s">
        <v>104</v>
      </c>
      <c r="B41">
        <f ca="1">SUMIF(tables_509010!C:C,input_509010!A41,tables_509010!O:O)</f>
        <v>14843400</v>
      </c>
      <c r="C41" s="54">
        <f t="shared" ca="1" si="9"/>
        <v>0.52490579586400377</v>
      </c>
      <c r="E41">
        <v>4</v>
      </c>
      <c r="F41">
        <f ca="1">SUMIF(tables_509010!J:J,input_509010!E41,tables_509010!O:O)</f>
        <v>31020000</v>
      </c>
      <c r="G41">
        <f ca="1">F41/A36</f>
        <v>0.5</v>
      </c>
    </row>
    <row r="42" spans="1:7" x14ac:dyDescent="0.15">
      <c r="A42" s="33" t="s">
        <v>106</v>
      </c>
      <c r="B42">
        <f ca="1">SUMIF(tables_509010!C:C,input_509010!A42,tables_509010!O:O)</f>
        <v>413882</v>
      </c>
      <c r="C42" s="54">
        <f t="shared" ca="1" si="9"/>
        <v>1.4636071291199159E-2</v>
      </c>
      <c r="E42">
        <v>5</v>
      </c>
      <c r="F42">
        <f ca="1">SUMIF(tables_509010!J:J,input_509010!E42,tables_509010!O:O)</f>
        <v>4652999.9999999991</v>
      </c>
      <c r="G42">
        <f ca="1">F42/A36</f>
        <v>7.4999999999999983E-2</v>
      </c>
    </row>
    <row r="43" spans="1:7" x14ac:dyDescent="0.15">
      <c r="A43" s="33" t="s">
        <v>109</v>
      </c>
      <c r="B43">
        <f>SUMIF(tables_509010!C:C,input_509010!A43,tables_509010!O:O)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SUMIF(tables_509010!C:C,input_509010!A44,tables_509010!O:O)</f>
        <v>370487</v>
      </c>
      <c r="C44" s="54">
        <f t="shared" ca="1" si="9"/>
        <v>1.3101497877323736E-2</v>
      </c>
      <c r="E44" t="s">
        <v>54</v>
      </c>
      <c r="F44" s="55"/>
    </row>
    <row r="45" spans="1:7" x14ac:dyDescent="0.15">
      <c r="A45" s="33" t="s">
        <v>107</v>
      </c>
      <c r="B45">
        <f ca="1">SUMIF(tables_509010!C:C,input_509010!A45,tables_509010!O:O)</f>
        <v>33558</v>
      </c>
      <c r="C45" s="54">
        <f t="shared" ca="1" si="9"/>
        <v>1.186708483070202E-3</v>
      </c>
      <c r="E45" t="s">
        <v>204</v>
      </c>
      <c r="F45" s="55">
        <f ca="1">SUMIF(tables_509010!I:I,input_509010!E45,tables_509010!P:P)</f>
        <v>0.21810006447453237</v>
      </c>
    </row>
    <row r="46" spans="1:7" x14ac:dyDescent="0.15">
      <c r="A46" s="33" t="s">
        <v>108</v>
      </c>
      <c r="B46">
        <f>SUMIF(tables_509010!C:C,input_509010!A46,tables_509010!O:O)</f>
        <v>0</v>
      </c>
      <c r="C46" s="54">
        <f t="shared" ca="1" si="9"/>
        <v>0</v>
      </c>
      <c r="E46" t="s">
        <v>205</v>
      </c>
      <c r="F46" s="55">
        <f ca="1">SUMIF(tables_509010!I:I,input_509010!E46,tables_509010!P:P)</f>
        <v>0.1742621413604126</v>
      </c>
    </row>
    <row r="47" spans="1:7" x14ac:dyDescent="0.15">
      <c r="A47" s="39" t="s">
        <v>59</v>
      </c>
      <c r="B47">
        <f ca="1">SUM(B40:B46)</f>
        <v>28278217</v>
      </c>
      <c r="C47" s="55">
        <f ca="1">SUM(C40:C46)</f>
        <v>1</v>
      </c>
      <c r="E47" t="s">
        <v>206</v>
      </c>
      <c r="F47" s="55">
        <f ca="1">SUMIF(tables_509010!I:I,input_509010!E47,tables_509010!P:P)</f>
        <v>0.55763779416505499</v>
      </c>
    </row>
    <row r="48" spans="1:7" x14ac:dyDescent="0.15">
      <c r="E48" t="s">
        <v>207</v>
      </c>
      <c r="F48" s="55">
        <f ca="1">SUMIF(tables_509010!I:I,input_509010!E48,tables_509010!P:P)</f>
        <v>3.9196969696969675E-2</v>
      </c>
      <c r="G48" s="55"/>
    </row>
    <row r="49" spans="5:6" x14ac:dyDescent="0.15">
      <c r="E49" t="s">
        <v>251</v>
      </c>
      <c r="F49" s="55">
        <f ca="1">SUMIF(tables_509010!I:I,input_509010!E49,tables_509010!P:P)</f>
        <v>1.0803030303030302E-2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322" activePane="bottomLeft" state="frozen"/>
      <selection activeCell="H276" sqref="H276"/>
      <selection pane="bottomLeft" activeCell="H350" sqref="H35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input_509010!A$2</f>
        <v>509010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IFERROR(VLOOKUP(B2,input_509010!L:R,7,FALSE),VLOOKUP(tables_509010!C2,input_509010!A:H,8,FALSE))</f>
        <v>638979</v>
      </c>
      <c r="P2" s="46">
        <f t="shared" ref="P2:P65" ca="1" si="1">O2/SUM(O:O)</f>
        <v>1.0299468085106383E-2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input_509010!A$2</f>
        <v>509010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IFERROR(VLOOKUP(B3,input_509010!L:R,7,FALSE),VLOOKUP(tables_509010!C3,input_509010!A:H,8,FALSE))</f>
        <v>24722.15</v>
      </c>
      <c r="P3" s="46">
        <f t="shared" ca="1" si="1"/>
        <v>3.9848726627981948E-4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input_509010!A$2</f>
        <v>509010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IFERROR(VLOOKUP(B4,input_509010!L:R,7,FALSE),VLOOKUP(tables_509010!C4,input_509010!A:H,8,FALSE))</f>
        <v>638979</v>
      </c>
      <c r="P4" s="46">
        <f t="shared" ca="1" si="1"/>
        <v>1.0299468085106383E-2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input_509010!A$2</f>
        <v>509010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IFERROR(VLOOKUP(B5,input_509010!L:R,7,FALSE),VLOOKUP(tables_509010!C5,input_509010!A:H,8,FALSE))</f>
        <v>24722.15</v>
      </c>
      <c r="P5" s="46">
        <f t="shared" ca="1" si="1"/>
        <v>3.9848726627981948E-4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input_509010!A$2</f>
        <v>509010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IFERROR(VLOOKUP(B6,input_509010!L:R,7,FALSE),VLOOKUP(tables_509010!C6,input_509010!A:H,8,FALSE))</f>
        <v>638979</v>
      </c>
      <c r="P6" s="46">
        <f t="shared" ca="1" si="1"/>
        <v>1.0299468085106383E-2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input_509010!A$2</f>
        <v>509010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IFERROR(VLOOKUP(B7,input_509010!L:R,7,FALSE),VLOOKUP(tables_509010!C7,input_509010!A:H,8,FALSE))</f>
        <v>24722.15</v>
      </c>
      <c r="P7" s="46">
        <f t="shared" ca="1" si="1"/>
        <v>3.9848726627981948E-4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input_509010!A$2</f>
        <v>509010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IFERROR(VLOOKUP(B8,input_509010!L:R,7,FALSE),VLOOKUP(tables_509010!C8,input_509010!A:H,8,FALSE))</f>
        <v>638979</v>
      </c>
      <c r="P8" s="46">
        <f t="shared" ca="1" si="1"/>
        <v>1.0299468085106383E-2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input_509010!A$2</f>
        <v>509010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IFERROR(VLOOKUP(B9,input_509010!L:R,7,FALSE),VLOOKUP(tables_509010!C9,input_509010!A:H,8,FALSE))</f>
        <v>24722.15</v>
      </c>
      <c r="P9" s="46">
        <f t="shared" ca="1" si="1"/>
        <v>3.9848726627981948E-4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input_509010!A$2</f>
        <v>509010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IFERROR(VLOOKUP(B10,input_509010!L:R,7,FALSE),VLOOKUP(tables_509010!C10,input_509010!A:H,8,FALSE))</f>
        <v>638979</v>
      </c>
      <c r="P10" s="46">
        <f t="shared" ca="1" si="1"/>
        <v>1.0299468085106383E-2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input_509010!A$2</f>
        <v>509010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IFERROR(VLOOKUP(B11,input_509010!L:R,7,FALSE),VLOOKUP(tables_509010!C11,input_509010!A:H,8,FALSE))</f>
        <v>24722.15</v>
      </c>
      <c r="P11" s="46">
        <f t="shared" ca="1" si="1"/>
        <v>3.9848726627981948E-4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input_509010!A$2</f>
        <v>509010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IFERROR(VLOOKUP(B12,input_509010!L:R,7,FALSE),VLOOKUP(tables_509010!C12,input_509010!A:H,8,FALSE))</f>
        <v>638979</v>
      </c>
      <c r="P12" s="46">
        <f t="shared" ca="1" si="1"/>
        <v>1.0299468085106383E-2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input_509010!A$2</f>
        <v>509010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IFERROR(VLOOKUP(B13,input_509010!L:R,7,FALSE),VLOOKUP(tables_509010!C13,input_509010!A:H,8,FALSE))</f>
        <v>24722.15</v>
      </c>
      <c r="P13" s="46">
        <f t="shared" ca="1" si="1"/>
        <v>3.9848726627981948E-4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input_509010!A$2</f>
        <v>509010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IFERROR(VLOOKUP(B14,input_509010!L:R,7,FALSE),VLOOKUP(tables_509010!C14,input_509010!A:H,8,FALSE))</f>
        <v>638979</v>
      </c>
      <c r="P14" s="46">
        <f t="shared" ca="1" si="1"/>
        <v>1.0299468085106383E-2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input_509010!A$2</f>
        <v>509010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IFERROR(VLOOKUP(B15,input_509010!L:R,7,FALSE),VLOOKUP(tables_509010!C15,input_509010!A:H,8,FALSE))</f>
        <v>24722.15</v>
      </c>
      <c r="P15" s="46">
        <f t="shared" ca="1" si="1"/>
        <v>3.9848726627981948E-4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input_509010!A$2</f>
        <v>509010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IFERROR(VLOOKUP(B16,input_509010!L:R,7,FALSE),VLOOKUP(tables_509010!C16,input_509010!A:H,8,FALSE))</f>
        <v>638979</v>
      </c>
      <c r="P16" s="46">
        <f t="shared" ca="1" si="1"/>
        <v>1.0299468085106383E-2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input_509010!A$2</f>
        <v>509010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IFERROR(VLOOKUP(B17,input_509010!L:R,7,FALSE),VLOOKUP(tables_509010!C17,input_509010!A:H,8,FALSE))</f>
        <v>24722.15</v>
      </c>
      <c r="P17" s="46">
        <f t="shared" ca="1" si="1"/>
        <v>3.9848726627981948E-4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input_509010!A$2</f>
        <v>509010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IFERROR(VLOOKUP(B18,input_509010!L:R,7,FALSE),VLOOKUP(tables_509010!C18,input_509010!A:H,8,FALSE))</f>
        <v>638979</v>
      </c>
      <c r="P18" s="46">
        <f t="shared" ca="1" si="1"/>
        <v>1.0299468085106383E-2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input_509010!A$2</f>
        <v>509010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IFERROR(VLOOKUP(B19,input_509010!L:R,7,FALSE),VLOOKUP(tables_509010!C19,input_509010!A:H,8,FALSE))</f>
        <v>24722.15</v>
      </c>
      <c r="P19" s="46">
        <f t="shared" ca="1" si="1"/>
        <v>3.9848726627981948E-4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input_509010!A$2</f>
        <v>509010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IFERROR(VLOOKUP(B20,input_509010!L:R,7,FALSE),VLOOKUP(tables_509010!C20,input_509010!A:H,8,FALSE))</f>
        <v>638979</v>
      </c>
      <c r="P20" s="46">
        <f t="shared" ca="1" si="1"/>
        <v>1.0299468085106383E-2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input_509010!A$2</f>
        <v>509010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IFERROR(VLOOKUP(B21,input_509010!L:R,7,FALSE),VLOOKUP(tables_509010!C21,input_509010!A:H,8,FALSE))</f>
        <v>24722.15</v>
      </c>
      <c r="P21" s="46">
        <f t="shared" ca="1" si="1"/>
        <v>3.9848726627981948E-4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input_509010!A$2</f>
        <v>509010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IFERROR(VLOOKUP(B22,input_509010!L:R,7,FALSE),VLOOKUP(tables_509010!C22,input_509010!A:H,8,FALSE))</f>
        <v>638979</v>
      </c>
      <c r="P22" s="46">
        <f t="shared" ca="1" si="1"/>
        <v>1.0299468085106383E-2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input_509010!A$2</f>
        <v>509010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IFERROR(VLOOKUP(B23,input_509010!L:R,7,FALSE),VLOOKUP(tables_509010!C23,input_509010!A:H,8,FALSE))</f>
        <v>24722.15</v>
      </c>
      <c r="P23" s="46">
        <f t="shared" ca="1" si="1"/>
        <v>3.9848726627981948E-4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input_509010!A$2</f>
        <v>509010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IFERROR(VLOOKUP(B24,input_509010!L:R,7,FALSE),VLOOKUP(tables_509010!C24,input_509010!A:H,8,FALSE))</f>
        <v>638979</v>
      </c>
      <c r="P24" s="46">
        <f t="shared" ca="1" si="1"/>
        <v>1.0299468085106383E-2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input_509010!A$2</f>
        <v>509010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IFERROR(VLOOKUP(B25,input_509010!L:R,7,FALSE),VLOOKUP(tables_509010!C25,input_509010!A:H,8,FALSE))</f>
        <v>24722.15</v>
      </c>
      <c r="P25" s="46">
        <f t="shared" ca="1" si="1"/>
        <v>3.9848726627981948E-4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input_509010!A$2</f>
        <v>509010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IFERROR(VLOOKUP(B26,input_509010!L:R,7,FALSE),VLOOKUP(tables_509010!C26,input_509010!A:H,8,FALSE))</f>
        <v>638979</v>
      </c>
      <c r="P26" s="46">
        <f t="shared" ca="1" si="1"/>
        <v>1.0299468085106383E-2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input_509010!A$2</f>
        <v>509010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IFERROR(VLOOKUP(B27,input_509010!L:R,7,FALSE),VLOOKUP(tables_509010!C27,input_509010!A:H,8,FALSE))</f>
        <v>24722.15</v>
      </c>
      <c r="P27" s="46">
        <f t="shared" ca="1" si="1"/>
        <v>3.9848726627981948E-4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input_509010!A$2</f>
        <v>509010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IFERROR(VLOOKUP(B28,input_509010!L:R,7,FALSE),VLOOKUP(tables_509010!C28,input_509010!A:H,8,FALSE))</f>
        <v>638979</v>
      </c>
      <c r="P28" s="46">
        <f t="shared" ca="1" si="1"/>
        <v>1.0299468085106383E-2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input_509010!A$2</f>
        <v>509010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IFERROR(VLOOKUP(B29,input_509010!L:R,7,FALSE),VLOOKUP(tables_509010!C29,input_509010!A:H,8,FALSE))</f>
        <v>24722.15</v>
      </c>
      <c r="P29" s="46">
        <f t="shared" ca="1" si="1"/>
        <v>3.9848726627981948E-4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input_509010!A$2</f>
        <v>509010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IFERROR(VLOOKUP(B30,input_509010!L:R,7,FALSE),VLOOKUP(tables_509010!C30,input_509010!A:H,8,FALSE))</f>
        <v>638979</v>
      </c>
      <c r="P30" s="46">
        <f t="shared" ca="1" si="1"/>
        <v>1.0299468085106383E-2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input_509010!A$2</f>
        <v>509010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IFERROR(VLOOKUP(B31,input_509010!L:R,7,FALSE),VLOOKUP(tables_509010!C31,input_509010!A:H,8,FALSE))</f>
        <v>24722.15</v>
      </c>
      <c r="P31" s="46">
        <f t="shared" ca="1" si="1"/>
        <v>3.9848726627981948E-4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input_509010!A$2</f>
        <v>509010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IFERROR(VLOOKUP(B32,input_509010!L:R,7,FALSE),VLOOKUP(tables_509010!C32,input_509010!A:H,8,FALSE))</f>
        <v>638979</v>
      </c>
      <c r="P32" s="46">
        <f t="shared" ca="1" si="1"/>
        <v>1.0299468085106383E-2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input_509010!A$2</f>
        <v>509010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IFERROR(VLOOKUP(B33,input_509010!L:R,7,FALSE),VLOOKUP(tables_509010!C33,input_509010!A:H,8,FALSE))</f>
        <v>24722.15</v>
      </c>
      <c r="P33" s="46">
        <f t="shared" ca="1" si="1"/>
        <v>3.9848726627981948E-4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input_509010!A$2</f>
        <v>509010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IFERROR(VLOOKUP(B34,input_509010!L:R,7,FALSE),VLOOKUP(tables_509010!C34,input_509010!A:H,8,FALSE))</f>
        <v>638979</v>
      </c>
      <c r="P34" s="46">
        <f t="shared" ca="1" si="1"/>
        <v>1.0299468085106383E-2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input_509010!A$2</f>
        <v>509010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IFERROR(VLOOKUP(B35,input_509010!L:R,7,FALSE),VLOOKUP(tables_509010!C35,input_509010!A:H,8,FALSE))</f>
        <v>24722.15</v>
      </c>
      <c r="P35" s="46">
        <f t="shared" ca="1" si="1"/>
        <v>3.9848726627981948E-4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input_509010!A$2</f>
        <v>509010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IFERROR(VLOOKUP(B36,input_509010!L:R,7,FALSE),VLOOKUP(tables_509010!C36,input_509010!A:H,8,FALSE))</f>
        <v>638979</v>
      </c>
      <c r="P36" s="46">
        <f t="shared" ca="1" si="1"/>
        <v>1.0299468085106383E-2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input_509010!A$2</f>
        <v>509010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IFERROR(VLOOKUP(B37,input_509010!L:R,7,FALSE),VLOOKUP(tables_509010!C37,input_509010!A:H,8,FALSE))</f>
        <v>24722.15</v>
      </c>
      <c r="P37" s="46">
        <f t="shared" ca="1" si="1"/>
        <v>3.9848726627981948E-4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input_509010!A$2</f>
        <v>509010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IFERROR(VLOOKUP(B38,input_509010!L:R,7,FALSE),VLOOKUP(tables_509010!C38,input_509010!A:H,8,FALSE))</f>
        <v>638979</v>
      </c>
      <c r="P38" s="46">
        <f t="shared" ca="1" si="1"/>
        <v>1.0299468085106383E-2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input_509010!A$2</f>
        <v>509010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IFERROR(VLOOKUP(B39,input_509010!L:R,7,FALSE),VLOOKUP(tables_509010!C39,input_509010!A:H,8,FALSE))</f>
        <v>24722.15</v>
      </c>
      <c r="P39" s="46">
        <f t="shared" ca="1" si="1"/>
        <v>3.9848726627981948E-4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input_509010!A$2</f>
        <v>509010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IFERROR(VLOOKUP(B40,input_509010!L:R,7,FALSE),VLOOKUP(tables_509010!C40,input_509010!A:H,8,FALSE))</f>
        <v>638979</v>
      </c>
      <c r="P40" s="46">
        <f t="shared" ca="1" si="1"/>
        <v>1.0299468085106383E-2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input_509010!A$2</f>
        <v>509010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IFERROR(VLOOKUP(B41,input_509010!L:R,7,FALSE),VLOOKUP(tables_509010!C41,input_509010!A:H,8,FALSE))</f>
        <v>24722.15</v>
      </c>
      <c r="P41" s="46">
        <f t="shared" ca="1" si="1"/>
        <v>3.9848726627981948E-4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input_509010!A$2</f>
        <v>509010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IFERROR(VLOOKUP(B42,input_509010!L:R,7,FALSE),VLOOKUP(tables_509010!C42,input_509010!A:H,8,FALSE))</f>
        <v>242632.5</v>
      </c>
      <c r="P42" s="46">
        <f t="shared" ca="1" si="1"/>
        <v>3.9109042553191493E-3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input_509010!A$2</f>
        <v>509010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IFERROR(VLOOKUP(B43,input_509010!L:R,7,FALSE),VLOOKUP(tables_509010!C43,input_509010!A:H,8,FALSE))</f>
        <v>285450</v>
      </c>
      <c r="P43" s="46">
        <f t="shared" ca="1" si="1"/>
        <v>4.6010638297872344E-3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input_509010!A$2</f>
        <v>509010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IFERROR(VLOOKUP(B44,input_509010!L:R,7,FALSE),VLOOKUP(tables_509010!C44,input_509010!A:H,8,FALSE))</f>
        <v>42817.5</v>
      </c>
      <c r="P44" s="46">
        <f t="shared" ca="1" si="1"/>
        <v>6.9015957446808506E-4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input_509010!A$2</f>
        <v>509010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IFERROR(VLOOKUP(B45,input_509010!L:R,7,FALSE),VLOOKUP(tables_509010!C45,input_509010!A:H,8,FALSE))</f>
        <v>242632.5</v>
      </c>
      <c r="P45" s="46">
        <f t="shared" ca="1" si="1"/>
        <v>3.9109042553191493E-3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input_509010!A$2</f>
        <v>509010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IFERROR(VLOOKUP(B46,input_509010!L:R,7,FALSE),VLOOKUP(tables_509010!C46,input_509010!A:H,8,FALSE))</f>
        <v>285450</v>
      </c>
      <c r="P46" s="46">
        <f t="shared" ca="1" si="1"/>
        <v>4.6010638297872344E-3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input_509010!A$2</f>
        <v>509010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IFERROR(VLOOKUP(B47,input_509010!L:R,7,FALSE),VLOOKUP(tables_509010!C47,input_509010!A:H,8,FALSE))</f>
        <v>42817.5</v>
      </c>
      <c r="P47" s="46">
        <f t="shared" ca="1" si="1"/>
        <v>6.9015957446808506E-4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input_509010!A$2</f>
        <v>509010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IFERROR(VLOOKUP(B48,input_509010!L:R,7,FALSE),VLOOKUP(tables_509010!C48,input_509010!A:H,8,FALSE))</f>
        <v>242632.5</v>
      </c>
      <c r="P48" s="46">
        <f t="shared" ca="1" si="1"/>
        <v>3.9109042553191493E-3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input_509010!A$2</f>
        <v>509010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IFERROR(VLOOKUP(B49,input_509010!L:R,7,FALSE),VLOOKUP(tables_509010!C49,input_509010!A:H,8,FALSE))</f>
        <v>285450</v>
      </c>
      <c r="P49" s="46">
        <f t="shared" ca="1" si="1"/>
        <v>4.6010638297872344E-3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input_509010!A$2</f>
        <v>509010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IFERROR(VLOOKUP(B50,input_509010!L:R,7,FALSE),VLOOKUP(tables_509010!C50,input_509010!A:H,8,FALSE))</f>
        <v>42817.5</v>
      </c>
      <c r="P50" s="46">
        <f t="shared" ca="1" si="1"/>
        <v>6.9015957446808506E-4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input_509010!A$2</f>
        <v>509010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IFERROR(VLOOKUP(B51,input_509010!L:R,7,FALSE),VLOOKUP(tables_509010!C51,input_509010!A:H,8,FALSE))</f>
        <v>242632.5</v>
      </c>
      <c r="P51" s="46">
        <f t="shared" ca="1" si="1"/>
        <v>3.9109042553191493E-3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input_509010!A$2</f>
        <v>509010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IFERROR(VLOOKUP(B52,input_509010!L:R,7,FALSE),VLOOKUP(tables_509010!C52,input_509010!A:H,8,FALSE))</f>
        <v>285450</v>
      </c>
      <c r="P52" s="46">
        <f t="shared" ca="1" si="1"/>
        <v>4.6010638297872344E-3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input_509010!A$2</f>
        <v>509010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IFERROR(VLOOKUP(B53,input_509010!L:R,7,FALSE),VLOOKUP(tables_509010!C53,input_509010!A:H,8,FALSE))</f>
        <v>7124.75</v>
      </c>
      <c r="P53" s="46">
        <f t="shared" ca="1" si="1"/>
        <v>1.1484123146357189E-4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input_509010!A$2</f>
        <v>509010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IFERROR(VLOOKUP(B54,input_509010!L:R,7,FALSE),VLOOKUP(tables_509010!C54,input_509010!A:H,8,FALSE))</f>
        <v>242632.5</v>
      </c>
      <c r="P54" s="46">
        <f t="shared" ca="1" si="1"/>
        <v>3.9109042553191493E-3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input_509010!A$2</f>
        <v>509010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IFERROR(VLOOKUP(B55,input_509010!L:R,7,FALSE),VLOOKUP(tables_509010!C55,input_509010!A:H,8,FALSE))</f>
        <v>285450</v>
      </c>
      <c r="P55" s="46">
        <f t="shared" ca="1" si="1"/>
        <v>4.6010638297872344E-3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input_509010!A$2</f>
        <v>509010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IFERROR(VLOOKUP(B56,input_509010!L:R,7,FALSE),VLOOKUP(tables_509010!C56,input_509010!A:H,8,FALSE))</f>
        <v>7124.75</v>
      </c>
      <c r="P56" s="46">
        <f t="shared" ca="1" si="1"/>
        <v>1.1484123146357189E-4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input_509010!A$2</f>
        <v>509010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IFERROR(VLOOKUP(B57,input_509010!L:R,7,FALSE),VLOOKUP(tables_509010!C57,input_509010!A:H,8,FALSE))</f>
        <v>242632.5</v>
      </c>
      <c r="P57" s="46">
        <f t="shared" ca="1" si="1"/>
        <v>3.9109042553191493E-3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input_509010!A$2</f>
        <v>509010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IFERROR(VLOOKUP(B58,input_509010!L:R,7,FALSE),VLOOKUP(tables_509010!C58,input_509010!A:H,8,FALSE))</f>
        <v>285450</v>
      </c>
      <c r="P58" s="46">
        <f t="shared" ca="1" si="1"/>
        <v>4.6010638297872344E-3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input_509010!A$2</f>
        <v>509010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IFERROR(VLOOKUP(B59,input_509010!L:R,7,FALSE),VLOOKUP(tables_509010!C59,input_509010!A:H,8,FALSE))</f>
        <v>7124.75</v>
      </c>
      <c r="P59" s="46">
        <f t="shared" ca="1" si="1"/>
        <v>1.1484123146357189E-4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input_509010!A$2</f>
        <v>509010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IFERROR(VLOOKUP(B60,input_509010!L:R,7,FALSE),VLOOKUP(tables_509010!C60,input_509010!A:H,8,FALSE))</f>
        <v>242632.5</v>
      </c>
      <c r="P60" s="46">
        <f t="shared" ca="1" si="1"/>
        <v>3.9109042553191493E-3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input_509010!A$2</f>
        <v>509010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IFERROR(VLOOKUP(B61,input_509010!L:R,7,FALSE),VLOOKUP(tables_509010!C61,input_509010!A:H,8,FALSE))</f>
        <v>285450</v>
      </c>
      <c r="P61" s="46">
        <f t="shared" ca="1" si="1"/>
        <v>4.6010638297872344E-3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input_509010!A$2</f>
        <v>509010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IFERROR(VLOOKUP(B62,input_509010!L:R,7,FALSE),VLOOKUP(tables_509010!C62,input_509010!A:H,8,FALSE))</f>
        <v>7124.75</v>
      </c>
      <c r="P62" s="46">
        <f t="shared" ca="1" si="1"/>
        <v>1.1484123146357189E-4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input_509010!A$2</f>
        <v>509010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IFERROR(VLOOKUP(B63,input_509010!L:R,7,FALSE),VLOOKUP(tables_509010!C63,input_509010!A:H,8,FALSE))</f>
        <v>242632.5</v>
      </c>
      <c r="P63" s="46">
        <f t="shared" ca="1" si="1"/>
        <v>3.9109042553191493E-3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input_509010!A$2</f>
        <v>509010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IFERROR(VLOOKUP(B64,input_509010!L:R,7,FALSE),VLOOKUP(tables_509010!C64,input_509010!A:H,8,FALSE))</f>
        <v>285450</v>
      </c>
      <c r="P64" s="46">
        <f t="shared" ca="1" si="1"/>
        <v>4.6010638297872344E-3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input_509010!A$2</f>
        <v>509010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IFERROR(VLOOKUP(B65,input_509010!L:R,7,FALSE),VLOOKUP(tables_509010!C65,input_509010!A:H,8,FALSE))</f>
        <v>7124.75</v>
      </c>
      <c r="P65" s="46">
        <f t="shared" ca="1" si="1"/>
        <v>1.1484123146357189E-4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input_509010!A$2</f>
        <v>509010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IFERROR(VLOOKUP(B66,input_509010!L:R,7,FALSE),VLOOKUP(tables_509010!C66,input_509010!A:H,8,FALSE))</f>
        <v>242632.5</v>
      </c>
      <c r="P66" s="46">
        <f t="shared" ref="P66:P129" ca="1" si="4">O66/SUM(O:O)</f>
        <v>3.9109042553191493E-3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input_509010!A$2</f>
        <v>509010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IFERROR(VLOOKUP(B67,input_509010!L:R,7,FALSE),VLOOKUP(tables_509010!C67,input_509010!A:H,8,FALSE))</f>
        <v>285450</v>
      </c>
      <c r="P67" s="46">
        <f t="shared" ca="1" si="4"/>
        <v>4.6010638297872344E-3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input_509010!A$2</f>
        <v>509010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IFERROR(VLOOKUP(B68,input_509010!L:R,7,FALSE),VLOOKUP(tables_509010!C68,input_509010!A:H,8,FALSE))</f>
        <v>7124.75</v>
      </c>
      <c r="P68" s="46">
        <f t="shared" ca="1" si="4"/>
        <v>1.1484123146357189E-4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input_509010!A$2</f>
        <v>509010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IFERROR(VLOOKUP(B69,input_509010!L:R,7,FALSE),VLOOKUP(tables_509010!C69,input_509010!A:H,8,FALSE))</f>
        <v>242632.5</v>
      </c>
      <c r="P69" s="46">
        <f t="shared" ca="1" si="4"/>
        <v>3.9109042553191493E-3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input_509010!A$2</f>
        <v>509010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IFERROR(VLOOKUP(B70,input_509010!L:R,7,FALSE),VLOOKUP(tables_509010!C70,input_509010!A:H,8,FALSE))</f>
        <v>285450</v>
      </c>
      <c r="P70" s="46">
        <f t="shared" ca="1" si="4"/>
        <v>4.6010638297872344E-3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input_509010!A$2</f>
        <v>509010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IFERROR(VLOOKUP(B71,input_509010!L:R,7,FALSE),VLOOKUP(tables_509010!C71,input_509010!A:H,8,FALSE))</f>
        <v>7124.75</v>
      </c>
      <c r="P71" s="46">
        <f t="shared" ca="1" si="4"/>
        <v>1.1484123146357189E-4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input_509010!A$2</f>
        <v>509010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IFERROR(VLOOKUP(B72,input_509010!L:R,7,FALSE),VLOOKUP(tables_509010!C72,input_509010!A:H,8,FALSE))</f>
        <v>242632.5</v>
      </c>
      <c r="P72" s="46">
        <f t="shared" ca="1" si="4"/>
        <v>3.9109042553191493E-3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input_509010!A$2</f>
        <v>509010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IFERROR(VLOOKUP(B73,input_509010!L:R,7,FALSE),VLOOKUP(tables_509010!C73,input_509010!A:H,8,FALSE))</f>
        <v>285450</v>
      </c>
      <c r="P73" s="46">
        <f t="shared" ca="1" si="4"/>
        <v>4.6010638297872344E-3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input_509010!A$2</f>
        <v>509010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IFERROR(VLOOKUP(B74,input_509010!L:R,7,FALSE),VLOOKUP(tables_509010!C74,input_509010!A:H,8,FALSE))</f>
        <v>7124.75</v>
      </c>
      <c r="P74" s="46">
        <f t="shared" ca="1" si="4"/>
        <v>1.1484123146357189E-4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input_509010!A$2</f>
        <v>509010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IFERROR(VLOOKUP(B75,input_509010!L:R,7,FALSE),VLOOKUP(tables_509010!C75,input_509010!A:H,8,FALSE))</f>
        <v>242632.5</v>
      </c>
      <c r="P75" s="46">
        <f t="shared" ca="1" si="4"/>
        <v>3.9109042553191493E-3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input_509010!A$2</f>
        <v>509010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IFERROR(VLOOKUP(B76,input_509010!L:R,7,FALSE),VLOOKUP(tables_509010!C76,input_509010!A:H,8,FALSE))</f>
        <v>285450</v>
      </c>
      <c r="P76" s="46">
        <f t="shared" ca="1" si="4"/>
        <v>4.6010638297872344E-3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input_509010!A$2</f>
        <v>509010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IFERROR(VLOOKUP(B77,input_509010!L:R,7,FALSE),VLOOKUP(tables_509010!C77,input_509010!A:H,8,FALSE))</f>
        <v>7124.75</v>
      </c>
      <c r="P77" s="46">
        <f t="shared" ca="1" si="4"/>
        <v>1.1484123146357189E-4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input_509010!A$2</f>
        <v>509010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IFERROR(VLOOKUP(B78,input_509010!L:R,7,FALSE),VLOOKUP(tables_509010!C78,input_509010!A:H,8,FALSE))</f>
        <v>242632.5</v>
      </c>
      <c r="P78" s="46">
        <f t="shared" ca="1" si="4"/>
        <v>3.9109042553191493E-3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input_509010!A$2</f>
        <v>509010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IFERROR(VLOOKUP(B79,input_509010!L:R,7,FALSE),VLOOKUP(tables_509010!C79,input_509010!A:H,8,FALSE))</f>
        <v>285450</v>
      </c>
      <c r="P79" s="46">
        <f t="shared" ca="1" si="4"/>
        <v>4.6010638297872344E-3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input_509010!A$2</f>
        <v>509010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IFERROR(VLOOKUP(B80,input_509010!L:R,7,FALSE),VLOOKUP(tables_509010!C80,input_509010!A:H,8,FALSE))</f>
        <v>7124.75</v>
      </c>
      <c r="P80" s="46">
        <f t="shared" ca="1" si="4"/>
        <v>1.1484123146357189E-4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input_509010!A$2</f>
        <v>509010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IFERROR(VLOOKUP(B81,input_509010!L:R,7,FALSE),VLOOKUP(tables_509010!C81,input_509010!A:H,8,FALSE))</f>
        <v>242632.5</v>
      </c>
      <c r="P81" s="46">
        <f t="shared" ca="1" si="4"/>
        <v>3.9109042553191493E-3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input_509010!A$2</f>
        <v>509010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IFERROR(VLOOKUP(B82,input_509010!L:R,7,FALSE),VLOOKUP(tables_509010!C82,input_509010!A:H,8,FALSE))</f>
        <v>285450</v>
      </c>
      <c r="P82" s="46">
        <f t="shared" ca="1" si="4"/>
        <v>4.6010638297872344E-3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input_509010!A$2</f>
        <v>509010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IFERROR(VLOOKUP(B83,input_509010!L:R,7,FALSE),VLOOKUP(tables_509010!C83,input_509010!A:H,8,FALSE))</f>
        <v>7124.75</v>
      </c>
      <c r="P83" s="46">
        <f t="shared" ca="1" si="4"/>
        <v>1.1484123146357189E-4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input_509010!A$2</f>
        <v>509010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IFERROR(VLOOKUP(B84,input_509010!L:R,7,FALSE),VLOOKUP(tables_509010!C84,input_509010!A:H,8,FALSE))</f>
        <v>242632.5</v>
      </c>
      <c r="P84" s="46">
        <f t="shared" ca="1" si="4"/>
        <v>3.9109042553191493E-3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input_509010!A$2</f>
        <v>509010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IFERROR(VLOOKUP(B85,input_509010!L:R,7,FALSE),VLOOKUP(tables_509010!C85,input_509010!A:H,8,FALSE))</f>
        <v>285450</v>
      </c>
      <c r="P85" s="46">
        <f t="shared" ca="1" si="4"/>
        <v>4.6010638297872344E-3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input_509010!A$2</f>
        <v>509010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IFERROR(VLOOKUP(B86,input_509010!L:R,7,FALSE),VLOOKUP(tables_509010!C86,input_509010!A:H,8,FALSE))</f>
        <v>7124.75</v>
      </c>
      <c r="P86" s="46">
        <f t="shared" ca="1" si="4"/>
        <v>1.1484123146357189E-4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input_509010!A$2</f>
        <v>509010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IFERROR(VLOOKUP(B87,input_509010!L:R,7,FALSE),VLOOKUP(tables_509010!C87,input_509010!A:H,8,FALSE))</f>
        <v>242632.5</v>
      </c>
      <c r="P87" s="46">
        <f t="shared" ca="1" si="4"/>
        <v>3.9109042553191493E-3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input_509010!A$2</f>
        <v>509010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IFERROR(VLOOKUP(B88,input_509010!L:R,7,FALSE),VLOOKUP(tables_509010!C88,input_509010!A:H,8,FALSE))</f>
        <v>285450</v>
      </c>
      <c r="P88" s="46">
        <f t="shared" ca="1" si="4"/>
        <v>4.6010638297872344E-3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input_509010!A$2</f>
        <v>509010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IFERROR(VLOOKUP(B89,input_509010!L:R,7,FALSE),VLOOKUP(tables_509010!C89,input_509010!A:H,8,FALSE))</f>
        <v>7124.75</v>
      </c>
      <c r="P89" s="46">
        <f t="shared" ca="1" si="4"/>
        <v>1.1484123146357189E-4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input_509010!A$2</f>
        <v>509010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IFERROR(VLOOKUP(B90,input_509010!L:R,7,FALSE),VLOOKUP(tables_509010!C90,input_509010!A:H,8,FALSE))</f>
        <v>242632.5</v>
      </c>
      <c r="P90" s="46">
        <f t="shared" ca="1" si="4"/>
        <v>3.9109042553191493E-3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input_509010!A$2</f>
        <v>509010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IFERROR(VLOOKUP(B91,input_509010!L:R,7,FALSE),VLOOKUP(tables_509010!C91,input_509010!A:H,8,FALSE))</f>
        <v>285450</v>
      </c>
      <c r="P91" s="46">
        <f t="shared" ca="1" si="4"/>
        <v>4.6010638297872344E-3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input_509010!A$2</f>
        <v>509010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IFERROR(VLOOKUP(B92,input_509010!L:R,7,FALSE),VLOOKUP(tables_509010!C92,input_509010!A:H,8,FALSE))</f>
        <v>7124.75</v>
      </c>
      <c r="P92" s="46">
        <f t="shared" ca="1" si="4"/>
        <v>1.1484123146357189E-4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input_509010!A$2</f>
        <v>509010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IFERROR(VLOOKUP(B93,input_509010!L:R,7,FALSE),VLOOKUP(tables_509010!C93,input_509010!A:H,8,FALSE))</f>
        <v>242632.5</v>
      </c>
      <c r="P93" s="46">
        <f t="shared" ca="1" si="4"/>
        <v>3.9109042553191493E-3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input_509010!A$2</f>
        <v>509010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IFERROR(VLOOKUP(B94,input_509010!L:R,7,FALSE),VLOOKUP(tables_509010!C94,input_509010!A:H,8,FALSE))</f>
        <v>285450</v>
      </c>
      <c r="P94" s="46">
        <f t="shared" ca="1" si="4"/>
        <v>4.6010638297872344E-3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input_509010!A$2</f>
        <v>509010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IFERROR(VLOOKUP(B95,input_509010!L:R,7,FALSE),VLOOKUP(tables_509010!C95,input_509010!A:H,8,FALSE))</f>
        <v>7124.75</v>
      </c>
      <c r="P95" s="46">
        <f t="shared" ca="1" si="4"/>
        <v>1.1484123146357189E-4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input_509010!A$2</f>
        <v>509010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IFERROR(VLOOKUP(B96,input_509010!L:R,7,FALSE),VLOOKUP(tables_509010!C96,input_509010!A:H,8,FALSE))</f>
        <v>242632.5</v>
      </c>
      <c r="P96" s="46">
        <f t="shared" ca="1" si="4"/>
        <v>3.9109042553191493E-3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input_509010!A$2</f>
        <v>509010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IFERROR(VLOOKUP(B97,input_509010!L:R,7,FALSE),VLOOKUP(tables_509010!C97,input_509010!A:H,8,FALSE))</f>
        <v>285450</v>
      </c>
      <c r="P97" s="46">
        <f t="shared" ca="1" si="4"/>
        <v>4.6010638297872344E-3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input_509010!A$2</f>
        <v>509010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IFERROR(VLOOKUP(B98,input_509010!L:R,7,FALSE),VLOOKUP(tables_509010!C98,input_509010!A:H,8,FALSE))</f>
        <v>7124.75</v>
      </c>
      <c r="P98" s="46">
        <f t="shared" ca="1" si="4"/>
        <v>1.1484123146357189E-4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input_509010!A$2</f>
        <v>509010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IFERROR(VLOOKUP(B99,input_509010!L:R,7,FALSE),VLOOKUP(tables_509010!C99,input_509010!A:H,8,FALSE))</f>
        <v>242632.5</v>
      </c>
      <c r="P99" s="46">
        <f t="shared" ca="1" si="4"/>
        <v>3.9109042553191493E-3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input_509010!A$2</f>
        <v>509010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IFERROR(VLOOKUP(B100,input_509010!L:R,7,FALSE),VLOOKUP(tables_509010!C100,input_509010!A:H,8,FALSE))</f>
        <v>285450</v>
      </c>
      <c r="P100" s="46">
        <f t="shared" ca="1" si="4"/>
        <v>4.6010638297872344E-3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input_509010!A$2</f>
        <v>509010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IFERROR(VLOOKUP(B101,input_509010!L:R,7,FALSE),VLOOKUP(tables_509010!C101,input_509010!A:H,8,FALSE))</f>
        <v>7124.75</v>
      </c>
      <c r="P101" s="46">
        <f t="shared" ca="1" si="4"/>
        <v>1.1484123146357189E-4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input_509010!A$2</f>
        <v>509010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IFERROR(VLOOKUP(B102,input_509010!L:R,7,FALSE),VLOOKUP(tables_509010!C102,input_509010!A:H,8,FALSE))</f>
        <v>242632.5</v>
      </c>
      <c r="P102" s="46">
        <f t="shared" ca="1" si="4"/>
        <v>3.9109042553191493E-3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input_509010!A$2</f>
        <v>509010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IFERROR(VLOOKUP(B103,input_509010!L:R,7,FALSE),VLOOKUP(tables_509010!C103,input_509010!A:H,8,FALSE))</f>
        <v>285450</v>
      </c>
      <c r="P103" s="46">
        <f t="shared" ca="1" si="4"/>
        <v>4.6010638297872344E-3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input_509010!A$2</f>
        <v>509010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IFERROR(VLOOKUP(B104,input_509010!L:R,7,FALSE),VLOOKUP(tables_509010!C104,input_509010!A:H,8,FALSE))</f>
        <v>7124.75</v>
      </c>
      <c r="P104" s="46">
        <f t="shared" ca="1" si="4"/>
        <v>1.1484123146357189E-4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input_509010!A$2</f>
        <v>509010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IFERROR(VLOOKUP(B105,input_509010!L:R,7,FALSE),VLOOKUP(tables_509010!C105,input_509010!A:H,8,FALSE))</f>
        <v>242632.5</v>
      </c>
      <c r="P105" s="46">
        <f t="shared" ca="1" si="4"/>
        <v>3.9109042553191493E-3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input_509010!A$2</f>
        <v>509010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IFERROR(VLOOKUP(B106,input_509010!L:R,7,FALSE),VLOOKUP(tables_509010!C106,input_509010!A:H,8,FALSE))</f>
        <v>285450</v>
      </c>
      <c r="P106" s="46">
        <f t="shared" ca="1" si="4"/>
        <v>4.6010638297872344E-3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input_509010!A$2</f>
        <v>509010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IFERROR(VLOOKUP(B107,input_509010!L:R,7,FALSE),VLOOKUP(tables_509010!C107,input_509010!A:H,8,FALSE))</f>
        <v>7124.75</v>
      </c>
      <c r="P107" s="46">
        <f t="shared" ca="1" si="4"/>
        <v>1.1484123146357189E-4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input_509010!A$2</f>
        <v>509010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IFERROR(VLOOKUP(B108,input_509010!L:R,7,FALSE),VLOOKUP(tables_509010!C108,input_509010!A:H,8,FALSE))</f>
        <v>242632.5</v>
      </c>
      <c r="P108" s="46">
        <f t="shared" ca="1" si="4"/>
        <v>3.9109042553191493E-3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input_509010!A$2</f>
        <v>509010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IFERROR(VLOOKUP(B109,input_509010!L:R,7,FALSE),VLOOKUP(tables_509010!C109,input_509010!A:H,8,FALSE))</f>
        <v>285450</v>
      </c>
      <c r="P109" s="46">
        <f t="shared" ca="1" si="4"/>
        <v>4.6010638297872344E-3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input_509010!A$2</f>
        <v>509010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IFERROR(VLOOKUP(B110,input_509010!L:R,7,FALSE),VLOOKUP(tables_509010!C110,input_509010!A:H,8,FALSE))</f>
        <v>7124.75</v>
      </c>
      <c r="P110" s="46">
        <f t="shared" ca="1" si="4"/>
        <v>1.1484123146357189E-4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input_509010!A$2</f>
        <v>509010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IFERROR(VLOOKUP(B111,input_509010!L:R,7,FALSE),VLOOKUP(tables_509010!C111,input_509010!A:H,8,FALSE))</f>
        <v>242632.5</v>
      </c>
      <c r="P111" s="46">
        <f t="shared" ca="1" si="4"/>
        <v>3.9109042553191493E-3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input_509010!A$2</f>
        <v>509010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IFERROR(VLOOKUP(B112,input_509010!L:R,7,FALSE),VLOOKUP(tables_509010!C112,input_509010!A:H,8,FALSE))</f>
        <v>285450</v>
      </c>
      <c r="P112" s="46">
        <f t="shared" ca="1" si="4"/>
        <v>4.6010638297872344E-3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input_509010!A$2</f>
        <v>509010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IFERROR(VLOOKUP(B113,input_509010!L:R,7,FALSE),VLOOKUP(tables_509010!C113,input_509010!A:H,8,FALSE))</f>
        <v>42817.5</v>
      </c>
      <c r="P113" s="46">
        <f t="shared" ca="1" si="4"/>
        <v>6.9015957446808506E-4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input_509010!A$2</f>
        <v>509010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IFERROR(VLOOKUP(B114,input_509010!L:R,7,FALSE),VLOOKUP(tables_509010!C114,input_509010!A:H,8,FALSE))</f>
        <v>242632.5</v>
      </c>
      <c r="P114" s="46">
        <f t="shared" ca="1" si="4"/>
        <v>3.9109042553191493E-3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input_509010!A$2</f>
        <v>509010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IFERROR(VLOOKUP(B115,input_509010!L:R,7,FALSE),VLOOKUP(tables_509010!C115,input_509010!A:H,8,FALSE))</f>
        <v>285450</v>
      </c>
      <c r="P115" s="46">
        <f t="shared" ca="1" si="4"/>
        <v>4.6010638297872344E-3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input_509010!A$2</f>
        <v>509010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IFERROR(VLOOKUP(B116,input_509010!L:R,7,FALSE),VLOOKUP(tables_509010!C116,input_509010!A:H,8,FALSE))</f>
        <v>7124.75</v>
      </c>
      <c r="P116" s="46">
        <f t="shared" ca="1" si="4"/>
        <v>1.1484123146357189E-4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input_509010!A$2</f>
        <v>509010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IFERROR(VLOOKUP(B117,input_509010!L:R,7,FALSE),VLOOKUP(tables_509010!C117,input_509010!A:H,8,FALSE))</f>
        <v>242632.5</v>
      </c>
      <c r="P117" s="46">
        <f t="shared" ca="1" si="4"/>
        <v>3.9109042553191493E-3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input_509010!A$2</f>
        <v>509010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IFERROR(VLOOKUP(B118,input_509010!L:R,7,FALSE),VLOOKUP(tables_509010!C118,input_509010!A:H,8,FALSE))</f>
        <v>285450</v>
      </c>
      <c r="P118" s="46">
        <f t="shared" ca="1" si="4"/>
        <v>4.6010638297872344E-3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input_509010!A$2</f>
        <v>509010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IFERROR(VLOOKUP(B119,input_509010!L:R,7,FALSE),VLOOKUP(tables_509010!C119,input_509010!A:H,8,FALSE))</f>
        <v>7124.75</v>
      </c>
      <c r="P119" s="46">
        <f t="shared" ca="1" si="4"/>
        <v>1.1484123146357189E-4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input_509010!A$2</f>
        <v>509010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IFERROR(VLOOKUP(B120,input_509010!L:R,7,FALSE),VLOOKUP(tables_509010!C120,input_509010!A:H,8,FALSE))</f>
        <v>242632.5</v>
      </c>
      <c r="P120" s="46">
        <f t="shared" ca="1" si="4"/>
        <v>3.9109042553191493E-3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input_509010!A$2</f>
        <v>509010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IFERROR(VLOOKUP(B121,input_509010!L:R,7,FALSE),VLOOKUP(tables_509010!C121,input_509010!A:H,8,FALSE))</f>
        <v>285450</v>
      </c>
      <c r="P121" s="46">
        <f t="shared" ca="1" si="4"/>
        <v>4.6010638297872344E-3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input_509010!A$2</f>
        <v>509010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IFERROR(VLOOKUP(B122,input_509010!L:R,7,FALSE),VLOOKUP(tables_509010!C122,input_509010!A:H,8,FALSE))</f>
        <v>7124.75</v>
      </c>
      <c r="P122" s="46">
        <f t="shared" ca="1" si="4"/>
        <v>1.1484123146357189E-4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input_509010!A$2</f>
        <v>509010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IFERROR(VLOOKUP(B123,input_509010!L:R,7,FALSE),VLOOKUP(tables_509010!C123,input_509010!A:H,8,FALSE))</f>
        <v>242632.5</v>
      </c>
      <c r="P123" s="46">
        <f t="shared" ca="1" si="4"/>
        <v>3.9109042553191493E-3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input_509010!A$2</f>
        <v>509010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IFERROR(VLOOKUP(B124,input_509010!L:R,7,FALSE),VLOOKUP(tables_509010!C124,input_509010!A:H,8,FALSE))</f>
        <v>285450</v>
      </c>
      <c r="P124" s="46">
        <f t="shared" ca="1" si="4"/>
        <v>4.6010638297872344E-3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input_509010!A$2</f>
        <v>509010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IFERROR(VLOOKUP(B125,input_509010!L:R,7,FALSE),VLOOKUP(tables_509010!C125,input_509010!A:H,8,FALSE))</f>
        <v>7124.75</v>
      </c>
      <c r="P125" s="46">
        <f t="shared" ca="1" si="4"/>
        <v>1.1484123146357189E-4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input_509010!A$2</f>
        <v>509010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IFERROR(VLOOKUP(B126,input_509010!L:R,7,FALSE),VLOOKUP(tables_509010!C126,input_509010!A:H,8,FALSE))</f>
        <v>242632.5</v>
      </c>
      <c r="P126" s="46">
        <f t="shared" ca="1" si="4"/>
        <v>3.9109042553191493E-3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input_509010!A$2</f>
        <v>509010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IFERROR(VLOOKUP(B127,input_509010!L:R,7,FALSE),VLOOKUP(tables_509010!C127,input_509010!A:H,8,FALSE))</f>
        <v>285450</v>
      </c>
      <c r="P127" s="46">
        <f t="shared" ca="1" si="4"/>
        <v>4.6010638297872344E-3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input_509010!A$2</f>
        <v>509010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IFERROR(VLOOKUP(B128,input_509010!L:R,7,FALSE),VLOOKUP(tables_509010!C128,input_509010!A:H,8,FALSE))</f>
        <v>7124.75</v>
      </c>
      <c r="P128" s="46">
        <f t="shared" ca="1" si="4"/>
        <v>1.1484123146357189E-4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input_509010!A$2</f>
        <v>509010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IFERROR(VLOOKUP(B129,input_509010!L:R,7,FALSE),VLOOKUP(tables_509010!C129,input_509010!A:H,8,FALSE))</f>
        <v>242632.5</v>
      </c>
      <c r="P129" s="46">
        <f t="shared" ca="1" si="4"/>
        <v>3.9109042553191493E-3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input_509010!A$2</f>
        <v>509010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IFERROR(VLOOKUP(B130,input_509010!L:R,7,FALSE),VLOOKUP(tables_509010!C130,input_509010!A:H,8,FALSE))</f>
        <v>285450</v>
      </c>
      <c r="P130" s="46">
        <f t="shared" ref="P130:P193" ca="1" si="7">O130/SUM(O:O)</f>
        <v>4.6010638297872344E-3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input_509010!A$2</f>
        <v>509010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IFERROR(VLOOKUP(B131,input_509010!L:R,7,FALSE),VLOOKUP(tables_509010!C131,input_509010!A:H,8,FALSE))</f>
        <v>7124.75</v>
      </c>
      <c r="P131" s="46">
        <f t="shared" ca="1" si="7"/>
        <v>1.1484123146357189E-4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input_509010!A$2</f>
        <v>509010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IFERROR(VLOOKUP(B132,input_509010!L:R,7,FALSE),VLOOKUP(tables_509010!C132,input_509010!A:H,8,FALSE))</f>
        <v>242632.5</v>
      </c>
      <c r="P132" s="46">
        <f t="shared" ca="1" si="7"/>
        <v>3.9109042553191493E-3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input_509010!A$2</f>
        <v>509010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IFERROR(VLOOKUP(B133,input_509010!L:R,7,FALSE),VLOOKUP(tables_509010!C133,input_509010!A:H,8,FALSE))</f>
        <v>285450</v>
      </c>
      <c r="P133" s="46">
        <f t="shared" ca="1" si="7"/>
        <v>4.6010638297872344E-3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input_509010!A$2</f>
        <v>509010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IFERROR(VLOOKUP(B134,input_509010!L:R,7,FALSE),VLOOKUP(tables_509010!C134,input_509010!A:H,8,FALSE))</f>
        <v>7124.75</v>
      </c>
      <c r="P134" s="46">
        <f t="shared" ca="1" si="7"/>
        <v>1.1484123146357189E-4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input_509010!A$2</f>
        <v>509010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IFERROR(VLOOKUP(B135,input_509010!L:R,7,FALSE),VLOOKUP(tables_509010!C135,input_509010!A:H,8,FALSE))</f>
        <v>242632.5</v>
      </c>
      <c r="P135" s="46">
        <f t="shared" ca="1" si="7"/>
        <v>3.9109042553191493E-3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input_509010!A$2</f>
        <v>509010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IFERROR(VLOOKUP(B136,input_509010!L:R,7,FALSE),VLOOKUP(tables_509010!C136,input_509010!A:H,8,FALSE))</f>
        <v>285450</v>
      </c>
      <c r="P136" s="46">
        <f t="shared" ca="1" si="7"/>
        <v>4.6010638297872344E-3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input_509010!A$2</f>
        <v>509010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IFERROR(VLOOKUP(B137,input_509010!L:R,7,FALSE),VLOOKUP(tables_509010!C137,input_509010!A:H,8,FALSE))</f>
        <v>7124.75</v>
      </c>
      <c r="P137" s="46">
        <f t="shared" ca="1" si="7"/>
        <v>1.1484123146357189E-4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input_509010!A$2</f>
        <v>509010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IFERROR(VLOOKUP(B138,input_509010!L:R,7,FALSE),VLOOKUP(tables_509010!C138,input_509010!A:H,8,FALSE))</f>
        <v>14781.5</v>
      </c>
      <c r="P138" s="46">
        <f t="shared" ca="1" si="7"/>
        <v>2.3825757575757575E-4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input_509010!A$2</f>
        <v>509010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IFERROR(VLOOKUP(B139,input_509010!L:R,7,FALSE),VLOOKUP(tables_509010!C139,input_509010!A:H,8,FALSE))</f>
        <v>1198.5</v>
      </c>
      <c r="P139" s="46">
        <f t="shared" ca="1" si="7"/>
        <v>1.9318181818181818E-5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input_509010!A$2</f>
        <v>509010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IFERROR(VLOOKUP(B140,input_509010!L:R,7,FALSE),VLOOKUP(tables_509010!C140,input_509010!A:H,8,FALSE))</f>
        <v>14781.5</v>
      </c>
      <c r="P140" s="46">
        <f t="shared" ca="1" si="7"/>
        <v>2.3825757575757575E-4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input_509010!A$2</f>
        <v>509010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IFERROR(VLOOKUP(B141,input_509010!L:R,7,FALSE),VLOOKUP(tables_509010!C141,input_509010!A:H,8,FALSE))</f>
        <v>1198.5</v>
      </c>
      <c r="P141" s="46">
        <f t="shared" ca="1" si="7"/>
        <v>1.9318181818181818E-5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input_509010!A$2</f>
        <v>509010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IFERROR(VLOOKUP(B142,input_509010!L:R,7,FALSE),VLOOKUP(tables_509010!C142,input_509010!A:H,8,FALSE))</f>
        <v>14781.5</v>
      </c>
      <c r="P142" s="46">
        <f t="shared" ca="1" si="7"/>
        <v>2.3825757575757575E-4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input_509010!A$2</f>
        <v>509010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IFERROR(VLOOKUP(B143,input_509010!L:R,7,FALSE),VLOOKUP(tables_509010!C143,input_509010!A:H,8,FALSE))</f>
        <v>1198.5</v>
      </c>
      <c r="P143" s="46">
        <f t="shared" ca="1" si="7"/>
        <v>1.9318181818181818E-5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input_509010!A$2</f>
        <v>509010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IFERROR(VLOOKUP(B144,input_509010!L:R,7,FALSE),VLOOKUP(tables_509010!C144,input_509010!A:H,8,FALSE))</f>
        <v>14781.5</v>
      </c>
      <c r="P144" s="46">
        <f t="shared" ca="1" si="7"/>
        <v>2.3825757575757575E-4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input_509010!A$2</f>
        <v>509010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IFERROR(VLOOKUP(B145,input_509010!L:R,7,FALSE),VLOOKUP(tables_509010!C145,input_509010!A:H,8,FALSE))</f>
        <v>1198.5</v>
      </c>
      <c r="P145" s="46">
        <f t="shared" ca="1" si="7"/>
        <v>1.9318181818181818E-5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input_509010!A$2</f>
        <v>509010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IFERROR(VLOOKUP(B146,input_509010!L:R,7,FALSE),VLOOKUP(tables_509010!C146,input_509010!A:H,8,FALSE))</f>
        <v>242632.5</v>
      </c>
      <c r="P146" s="46">
        <f t="shared" ca="1" si="7"/>
        <v>3.9109042553191493E-3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input_509010!A$2</f>
        <v>509010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IFERROR(VLOOKUP(B147,input_509010!L:R,7,FALSE),VLOOKUP(tables_509010!C147,input_509010!A:H,8,FALSE))</f>
        <v>285450</v>
      </c>
      <c r="P147" s="46">
        <f t="shared" ca="1" si="7"/>
        <v>4.6010638297872344E-3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input_509010!A$2</f>
        <v>509010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IFERROR(VLOOKUP(B148,input_509010!L:R,7,FALSE),VLOOKUP(tables_509010!C148,input_509010!A:H,8,FALSE))</f>
        <v>7124.75</v>
      </c>
      <c r="P148" s="46">
        <f t="shared" ca="1" si="7"/>
        <v>1.1484123146357189E-4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input_509010!A$2</f>
        <v>509010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IFERROR(VLOOKUP(B149,input_509010!L:R,7,FALSE),VLOOKUP(tables_509010!C149,input_509010!A:H,8,FALSE))</f>
        <v>14781.5</v>
      </c>
      <c r="P149" s="46">
        <f t="shared" ca="1" si="7"/>
        <v>2.3825757575757575E-4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input_509010!A$2</f>
        <v>509010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IFERROR(VLOOKUP(B150,input_509010!L:R,7,FALSE),VLOOKUP(tables_509010!C150,input_509010!A:H,8,FALSE))</f>
        <v>1198.5</v>
      </c>
      <c r="P150" s="46">
        <f t="shared" ca="1" si="7"/>
        <v>1.9318181818181818E-5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input_509010!A$2</f>
        <v>509010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IFERROR(VLOOKUP(B151,input_509010!L:R,7,FALSE),VLOOKUP(tables_509010!C151,input_509010!A:H,8,FALSE))</f>
        <v>14781.5</v>
      </c>
      <c r="P151" s="46">
        <f t="shared" ca="1" si="7"/>
        <v>2.3825757575757575E-4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input_509010!A$2</f>
        <v>509010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IFERROR(VLOOKUP(B152,input_509010!L:R,7,FALSE),VLOOKUP(tables_509010!C152,input_509010!A:H,8,FALSE))</f>
        <v>1198.5</v>
      </c>
      <c r="P152" s="46">
        <f t="shared" ca="1" si="7"/>
        <v>1.9318181818181818E-5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input_509010!A$2</f>
        <v>509010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IFERROR(VLOOKUP(B153,input_509010!L:R,7,FALSE),VLOOKUP(tables_509010!C153,input_509010!A:H,8,FALSE))</f>
        <v>242632.5</v>
      </c>
      <c r="P153" s="46">
        <f t="shared" ca="1" si="7"/>
        <v>3.9109042553191493E-3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input_509010!A$2</f>
        <v>509010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IFERROR(VLOOKUP(B154,input_509010!L:R,7,FALSE),VLOOKUP(tables_509010!C154,input_509010!A:H,8,FALSE))</f>
        <v>285450</v>
      </c>
      <c r="P154" s="46">
        <f t="shared" ca="1" si="7"/>
        <v>4.6010638297872344E-3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input_509010!A$2</f>
        <v>509010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IFERROR(VLOOKUP(B155,input_509010!L:R,7,FALSE),VLOOKUP(tables_509010!C155,input_509010!A:H,8,FALSE))</f>
        <v>7124.75</v>
      </c>
      <c r="P155" s="46">
        <f t="shared" ca="1" si="7"/>
        <v>1.1484123146357189E-4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input_509010!A$2</f>
        <v>509010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IFERROR(VLOOKUP(B156,input_509010!L:R,7,FALSE),VLOOKUP(tables_509010!C156,input_509010!A:H,8,FALSE))</f>
        <v>14781.5</v>
      </c>
      <c r="P156" s="46">
        <f t="shared" ca="1" si="7"/>
        <v>2.3825757575757575E-4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input_509010!A$2</f>
        <v>509010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IFERROR(VLOOKUP(B157,input_509010!L:R,7,FALSE),VLOOKUP(tables_509010!C157,input_509010!A:H,8,FALSE))</f>
        <v>1198.5</v>
      </c>
      <c r="P157" s="46">
        <f t="shared" ca="1" si="7"/>
        <v>1.9318181818181818E-5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input_509010!A$2</f>
        <v>509010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IFERROR(VLOOKUP(B158,input_509010!L:R,7,FALSE),VLOOKUP(tables_509010!C158,input_509010!A:H,8,FALSE))</f>
        <v>242632.5</v>
      </c>
      <c r="P158" s="46">
        <f t="shared" ca="1" si="7"/>
        <v>3.9109042553191493E-3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input_509010!A$2</f>
        <v>509010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IFERROR(VLOOKUP(B159,input_509010!L:R,7,FALSE),VLOOKUP(tables_509010!C159,input_509010!A:H,8,FALSE))</f>
        <v>285450</v>
      </c>
      <c r="P159" s="46">
        <f t="shared" ca="1" si="7"/>
        <v>4.6010638297872344E-3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input_509010!A$2</f>
        <v>509010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IFERROR(VLOOKUP(B160,input_509010!L:R,7,FALSE),VLOOKUP(tables_509010!C160,input_509010!A:H,8,FALSE))</f>
        <v>7124.75</v>
      </c>
      <c r="P160" s="46">
        <f t="shared" ca="1" si="7"/>
        <v>1.1484123146357189E-4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input_509010!A$2</f>
        <v>509010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IFERROR(VLOOKUP(B161,input_509010!L:R,7,FALSE),VLOOKUP(tables_509010!C161,input_509010!A:H,8,FALSE))</f>
        <v>242632.5</v>
      </c>
      <c r="P161" s="46">
        <f t="shared" ca="1" si="7"/>
        <v>3.9109042553191493E-3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input_509010!A$2</f>
        <v>509010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IFERROR(VLOOKUP(B162,input_509010!L:R,7,FALSE),VLOOKUP(tables_509010!C162,input_509010!A:H,8,FALSE))</f>
        <v>285450</v>
      </c>
      <c r="P162" s="46">
        <f t="shared" ca="1" si="7"/>
        <v>4.6010638297872344E-3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input_509010!A$2</f>
        <v>509010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IFERROR(VLOOKUP(B163,input_509010!L:R,7,FALSE),VLOOKUP(tables_509010!C163,input_509010!A:H,8,FALSE))</f>
        <v>7124.75</v>
      </c>
      <c r="P163" s="46">
        <f t="shared" ca="1" si="7"/>
        <v>1.1484123146357189E-4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input_509010!A$2</f>
        <v>509010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IFERROR(VLOOKUP(B164,input_509010!L:R,7,FALSE),VLOOKUP(tables_509010!C164,input_509010!A:H,8,FALSE))</f>
        <v>14781.5</v>
      </c>
      <c r="P164" s="46">
        <f t="shared" ca="1" si="7"/>
        <v>2.3825757575757575E-4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input_509010!A$2</f>
        <v>509010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IFERROR(VLOOKUP(B165,input_509010!L:R,7,FALSE),VLOOKUP(tables_509010!C165,input_509010!A:H,8,FALSE))</f>
        <v>1198.5</v>
      </c>
      <c r="P165" s="46">
        <f t="shared" ca="1" si="7"/>
        <v>1.9318181818181818E-5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input_509010!A$2</f>
        <v>509010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IFERROR(VLOOKUP(B166,input_509010!L:R,7,FALSE),VLOOKUP(tables_509010!C166,input_509010!A:H,8,FALSE))</f>
        <v>242632.5</v>
      </c>
      <c r="P166" s="46">
        <f t="shared" ca="1" si="7"/>
        <v>3.9109042553191493E-3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input_509010!A$2</f>
        <v>509010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IFERROR(VLOOKUP(B167,input_509010!L:R,7,FALSE),VLOOKUP(tables_509010!C167,input_509010!A:H,8,FALSE))</f>
        <v>285450</v>
      </c>
      <c r="P167" s="46">
        <f t="shared" ca="1" si="7"/>
        <v>4.6010638297872344E-3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input_509010!A$2</f>
        <v>509010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IFERROR(VLOOKUP(B168,input_509010!L:R,7,FALSE),VLOOKUP(tables_509010!C168,input_509010!A:H,8,FALSE))</f>
        <v>7124.75</v>
      </c>
      <c r="P168" s="46">
        <f t="shared" ca="1" si="7"/>
        <v>1.1484123146357189E-4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input_509010!A$2</f>
        <v>509010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IFERROR(VLOOKUP(B169,input_509010!L:R,7,FALSE),VLOOKUP(tables_509010!C169,input_509010!A:H,8,FALSE))</f>
        <v>14781.5</v>
      </c>
      <c r="P169" s="46">
        <f t="shared" ca="1" si="7"/>
        <v>2.3825757575757575E-4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input_509010!A$2</f>
        <v>509010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IFERROR(VLOOKUP(B170,input_509010!L:R,7,FALSE),VLOOKUP(tables_509010!C170,input_509010!A:H,8,FALSE))</f>
        <v>1198.5</v>
      </c>
      <c r="P170" s="46">
        <f t="shared" ca="1" si="7"/>
        <v>1.9318181818181818E-5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input_509010!A$2</f>
        <v>509010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IFERROR(VLOOKUP(B171,input_509010!L:R,7,FALSE),VLOOKUP(tables_509010!C171,input_509010!A:H,8,FALSE))</f>
        <v>242632.5</v>
      </c>
      <c r="P171" s="46">
        <f t="shared" ca="1" si="7"/>
        <v>3.9109042553191493E-3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input_509010!A$2</f>
        <v>509010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IFERROR(VLOOKUP(B172,input_509010!L:R,7,FALSE),VLOOKUP(tables_509010!C172,input_509010!A:H,8,FALSE))</f>
        <v>285450</v>
      </c>
      <c r="P172" s="46">
        <f t="shared" ca="1" si="7"/>
        <v>4.6010638297872344E-3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input_509010!A$2</f>
        <v>509010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IFERROR(VLOOKUP(B173,input_509010!L:R,7,FALSE),VLOOKUP(tables_509010!C173,input_509010!A:H,8,FALSE))</f>
        <v>7124.75</v>
      </c>
      <c r="P173" s="46">
        <f t="shared" ca="1" si="7"/>
        <v>1.1484123146357189E-4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input_509010!A$2</f>
        <v>509010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IFERROR(VLOOKUP(B174,input_509010!L:R,7,FALSE),VLOOKUP(tables_509010!C174,input_509010!A:H,8,FALSE))</f>
        <v>14781.5</v>
      </c>
      <c r="P174" s="46">
        <f t="shared" ca="1" si="7"/>
        <v>2.3825757575757575E-4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input_509010!A$2</f>
        <v>509010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IFERROR(VLOOKUP(B175,input_509010!L:R,7,FALSE),VLOOKUP(tables_509010!C175,input_509010!A:H,8,FALSE))</f>
        <v>1198.5</v>
      </c>
      <c r="P175" s="46">
        <f t="shared" ca="1" si="7"/>
        <v>1.9318181818181818E-5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input_509010!A$2</f>
        <v>509010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IFERROR(VLOOKUP(B176,input_509010!L:R,7,FALSE),VLOOKUP(tables_509010!C176,input_509010!A:H,8,FALSE))</f>
        <v>14781.5</v>
      </c>
      <c r="P176" s="46">
        <f t="shared" ca="1" si="7"/>
        <v>2.3825757575757575E-4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input_509010!A$2</f>
        <v>509010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IFERROR(VLOOKUP(B177,input_509010!L:R,7,FALSE),VLOOKUP(tables_509010!C177,input_509010!A:H,8,FALSE))</f>
        <v>1198.5</v>
      </c>
      <c r="P177" s="46">
        <f t="shared" ca="1" si="7"/>
        <v>1.9318181818181818E-5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input_509010!A$2</f>
        <v>509010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IFERROR(VLOOKUP(B178,input_509010!L:R,7,FALSE),VLOOKUP(tables_509010!C178,input_509010!A:H,8,FALSE))</f>
        <v>242632.5</v>
      </c>
      <c r="P178" s="46">
        <f t="shared" ca="1" si="7"/>
        <v>3.9109042553191493E-3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input_509010!A$2</f>
        <v>509010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IFERROR(VLOOKUP(B179,input_509010!L:R,7,FALSE),VLOOKUP(tables_509010!C179,input_509010!A:H,8,FALSE))</f>
        <v>285450</v>
      </c>
      <c r="P179" s="46">
        <f t="shared" ca="1" si="7"/>
        <v>4.6010638297872344E-3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input_509010!A$2</f>
        <v>509010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IFERROR(VLOOKUP(B180,input_509010!L:R,7,FALSE),VLOOKUP(tables_509010!C180,input_509010!A:H,8,FALSE))</f>
        <v>7124.75</v>
      </c>
      <c r="P180" s="46">
        <f t="shared" ca="1" si="7"/>
        <v>1.1484123146357189E-4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input_509010!A$2</f>
        <v>509010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IFERROR(VLOOKUP(B181,input_509010!L:R,7,FALSE),VLOOKUP(tables_509010!C181,input_509010!A:H,8,FALSE))</f>
        <v>242632.5</v>
      </c>
      <c r="P181" s="46">
        <f t="shared" ca="1" si="7"/>
        <v>3.9109042553191493E-3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input_509010!A$2</f>
        <v>509010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IFERROR(VLOOKUP(B182,input_509010!L:R,7,FALSE),VLOOKUP(tables_509010!C182,input_509010!A:H,8,FALSE))</f>
        <v>285450</v>
      </c>
      <c r="P182" s="46">
        <f t="shared" ca="1" si="7"/>
        <v>4.6010638297872344E-3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input_509010!A$2</f>
        <v>509010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IFERROR(VLOOKUP(B183,input_509010!L:R,7,FALSE),VLOOKUP(tables_509010!C183,input_509010!A:H,8,FALSE))</f>
        <v>7124.75</v>
      </c>
      <c r="P183" s="46">
        <f t="shared" ca="1" si="7"/>
        <v>1.1484123146357189E-4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input_509010!A$2</f>
        <v>509010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IFERROR(VLOOKUP(B184,input_509010!L:R,7,FALSE),VLOOKUP(tables_509010!C184,input_509010!A:H,8,FALSE))</f>
        <v>14781.5</v>
      </c>
      <c r="P184" s="46">
        <f t="shared" ca="1" si="7"/>
        <v>2.3825757575757575E-4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input_509010!A$2</f>
        <v>509010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IFERROR(VLOOKUP(B185,input_509010!L:R,7,FALSE),VLOOKUP(tables_509010!C185,input_509010!A:H,8,FALSE))</f>
        <v>1198.5</v>
      </c>
      <c r="P185" s="46">
        <f t="shared" ca="1" si="7"/>
        <v>1.9318181818181818E-5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input_509010!A$2</f>
        <v>509010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IFERROR(VLOOKUP(B186,input_509010!L:R,7,FALSE),VLOOKUP(tables_509010!C186,input_509010!A:H,8,FALSE))</f>
        <v>242632.5</v>
      </c>
      <c r="P186" s="46">
        <f t="shared" ca="1" si="7"/>
        <v>3.9109042553191493E-3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input_509010!A$2</f>
        <v>509010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IFERROR(VLOOKUP(B187,input_509010!L:R,7,FALSE),VLOOKUP(tables_509010!C187,input_509010!A:H,8,FALSE))</f>
        <v>285450</v>
      </c>
      <c r="P187" s="46">
        <f t="shared" ca="1" si="7"/>
        <v>4.6010638297872344E-3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input_509010!A$2</f>
        <v>509010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IFERROR(VLOOKUP(B188,input_509010!L:R,7,FALSE),VLOOKUP(tables_509010!C188,input_509010!A:H,8,FALSE))</f>
        <v>7124.75</v>
      </c>
      <c r="P188" s="46">
        <f t="shared" ca="1" si="7"/>
        <v>1.1484123146357189E-4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input_509010!A$2</f>
        <v>509010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IFERROR(VLOOKUP(B189,input_509010!L:R,7,FALSE),VLOOKUP(tables_509010!C189,input_509010!A:H,8,FALSE))</f>
        <v>14781.5</v>
      </c>
      <c r="P189" s="46">
        <f t="shared" ca="1" si="7"/>
        <v>2.3825757575757575E-4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input_509010!A$2</f>
        <v>509010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IFERROR(VLOOKUP(B190,input_509010!L:R,7,FALSE),VLOOKUP(tables_509010!C190,input_509010!A:H,8,FALSE))</f>
        <v>1198.5</v>
      </c>
      <c r="P190" s="46">
        <f t="shared" ca="1" si="7"/>
        <v>1.9318181818181818E-5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input_509010!A$2</f>
        <v>509010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IFERROR(VLOOKUP(B191,input_509010!L:R,7,FALSE),VLOOKUP(tables_509010!C191,input_509010!A:H,8,FALSE))</f>
        <v>14781.5</v>
      </c>
      <c r="P191" s="46">
        <f t="shared" ca="1" si="7"/>
        <v>2.3825757575757575E-4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input_509010!A$2</f>
        <v>509010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IFERROR(VLOOKUP(B192,input_509010!L:R,7,FALSE),VLOOKUP(tables_509010!C192,input_509010!A:H,8,FALSE))</f>
        <v>1198.5</v>
      </c>
      <c r="P192" s="46">
        <f t="shared" ca="1" si="7"/>
        <v>1.9318181818181818E-5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input_509010!A$2</f>
        <v>509010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IFERROR(VLOOKUP(B193,input_509010!L:R,7,FALSE),VLOOKUP(tables_509010!C193,input_509010!A:H,8,FALSE))</f>
        <v>242632.5</v>
      </c>
      <c r="P193" s="46">
        <f t="shared" ca="1" si="7"/>
        <v>3.9109042553191493E-3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input_509010!A$2</f>
        <v>509010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IFERROR(VLOOKUP(B194,input_509010!L:R,7,FALSE),VLOOKUP(tables_509010!C194,input_509010!A:H,8,FALSE))</f>
        <v>285450</v>
      </c>
      <c r="P194" s="46">
        <f t="shared" ref="P194:P257" ca="1" si="10">O194/SUM(O:O)</f>
        <v>4.6010638297872344E-3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input_509010!A$2</f>
        <v>509010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IFERROR(VLOOKUP(B195,input_509010!L:R,7,FALSE),VLOOKUP(tables_509010!C195,input_509010!A:H,8,FALSE))</f>
        <v>7124.75</v>
      </c>
      <c r="P195" s="46">
        <f t="shared" ca="1" si="10"/>
        <v>1.1484123146357189E-4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input_509010!A$2</f>
        <v>509010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IFERROR(VLOOKUP(B196,input_509010!L:R,7,FALSE),VLOOKUP(tables_509010!C196,input_509010!A:H,8,FALSE))</f>
        <v>14781.5</v>
      </c>
      <c r="P196" s="46">
        <f t="shared" ca="1" si="10"/>
        <v>2.3825757575757575E-4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input_509010!A$2</f>
        <v>509010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IFERROR(VLOOKUP(B197,input_509010!L:R,7,FALSE),VLOOKUP(tables_509010!C197,input_509010!A:H,8,FALSE))</f>
        <v>1198.5</v>
      </c>
      <c r="P197" s="46">
        <f t="shared" ca="1" si="10"/>
        <v>1.9318181818181818E-5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input_509010!A$2</f>
        <v>509010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IFERROR(VLOOKUP(B198,input_509010!L:R,7,FALSE),VLOOKUP(tables_509010!C198,input_509010!A:H,8,FALSE))</f>
        <v>242632.5</v>
      </c>
      <c r="P198" s="46">
        <f t="shared" ca="1" si="10"/>
        <v>3.9109042553191493E-3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input_509010!A$2</f>
        <v>509010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IFERROR(VLOOKUP(B199,input_509010!L:R,7,FALSE),VLOOKUP(tables_509010!C199,input_509010!A:H,8,FALSE))</f>
        <v>285450</v>
      </c>
      <c r="P199" s="46">
        <f t="shared" ca="1" si="10"/>
        <v>4.6010638297872344E-3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input_509010!A$2</f>
        <v>509010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IFERROR(VLOOKUP(B200,input_509010!L:R,7,FALSE),VLOOKUP(tables_509010!C200,input_509010!A:H,8,FALSE))</f>
        <v>7124.75</v>
      </c>
      <c r="P200" s="46">
        <f t="shared" ca="1" si="10"/>
        <v>1.1484123146357189E-4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input_509010!A$2</f>
        <v>509010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IFERROR(VLOOKUP(B201,input_509010!L:R,7,FALSE),VLOOKUP(tables_509010!C201,input_509010!A:H,8,FALSE))</f>
        <v>14781.5</v>
      </c>
      <c r="P201" s="46">
        <f t="shared" ca="1" si="10"/>
        <v>2.3825757575757575E-4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input_509010!A$2</f>
        <v>509010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IFERROR(VLOOKUP(B202,input_509010!L:R,7,FALSE),VLOOKUP(tables_509010!C202,input_509010!A:H,8,FALSE))</f>
        <v>1198.5</v>
      </c>
      <c r="P202" s="46">
        <f t="shared" ca="1" si="10"/>
        <v>1.9318181818181818E-5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input_509010!A$2</f>
        <v>509010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IFERROR(VLOOKUP(B203,input_509010!L:R,7,FALSE),VLOOKUP(tables_509010!C203,input_509010!A:H,8,FALSE))</f>
        <v>242632.5</v>
      </c>
      <c r="P203" s="46">
        <f t="shared" ca="1" si="10"/>
        <v>3.9109042553191493E-3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input_509010!A$2</f>
        <v>509010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IFERROR(VLOOKUP(B204,input_509010!L:R,7,FALSE),VLOOKUP(tables_509010!C204,input_509010!A:H,8,FALSE))</f>
        <v>285450</v>
      </c>
      <c r="P204" s="46">
        <f t="shared" ca="1" si="10"/>
        <v>4.6010638297872344E-3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input_509010!A$2</f>
        <v>509010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IFERROR(VLOOKUP(B205,input_509010!L:R,7,FALSE),VLOOKUP(tables_509010!C205,input_509010!A:H,8,FALSE))</f>
        <v>7124.75</v>
      </c>
      <c r="P205" s="46">
        <f t="shared" ca="1" si="10"/>
        <v>1.1484123146357189E-4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input_509010!A$2</f>
        <v>509010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IFERROR(VLOOKUP(B206,input_509010!L:R,7,FALSE),VLOOKUP(tables_509010!C206,input_509010!A:H,8,FALSE))</f>
        <v>14781.5</v>
      </c>
      <c r="P206" s="46">
        <f t="shared" ca="1" si="10"/>
        <v>2.3825757575757575E-4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input_509010!A$2</f>
        <v>509010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IFERROR(VLOOKUP(B207,input_509010!L:R,7,FALSE),VLOOKUP(tables_509010!C207,input_509010!A:H,8,FALSE))</f>
        <v>1198.5</v>
      </c>
      <c r="P207" s="46">
        <f t="shared" ca="1" si="10"/>
        <v>1.9318181818181818E-5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input_509010!A$2</f>
        <v>509010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IFERROR(VLOOKUP(B208,input_509010!L:R,7,FALSE),VLOOKUP(tables_509010!C208,input_509010!A:H,8,FALSE))</f>
        <v>14781.5</v>
      </c>
      <c r="P208" s="46">
        <f t="shared" ca="1" si="10"/>
        <v>2.3825757575757575E-4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input_509010!A$2</f>
        <v>509010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IFERROR(VLOOKUP(B209,input_509010!L:R,7,FALSE),VLOOKUP(tables_509010!C209,input_509010!A:H,8,FALSE))</f>
        <v>1198.5</v>
      </c>
      <c r="P209" s="46">
        <f t="shared" ca="1" si="10"/>
        <v>1.9318181818181818E-5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input_509010!A$2</f>
        <v>509010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IFERROR(VLOOKUP(B210,input_509010!L:R,7,FALSE),VLOOKUP(tables_509010!C210,input_509010!A:H,8,FALSE))</f>
        <v>242632.5</v>
      </c>
      <c r="P210" s="46">
        <f t="shared" ca="1" si="10"/>
        <v>3.9109042553191493E-3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input_509010!A$2</f>
        <v>509010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IFERROR(VLOOKUP(B211,input_509010!L:R,7,FALSE),VLOOKUP(tables_509010!C211,input_509010!A:H,8,FALSE))</f>
        <v>285450</v>
      </c>
      <c r="P211" s="46">
        <f t="shared" ca="1" si="10"/>
        <v>4.6010638297872344E-3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input_509010!A$2</f>
        <v>509010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IFERROR(VLOOKUP(B212,input_509010!L:R,7,FALSE),VLOOKUP(tables_509010!C212,input_509010!A:H,8,FALSE))</f>
        <v>7124.75</v>
      </c>
      <c r="P212" s="46">
        <f t="shared" ca="1" si="10"/>
        <v>1.1484123146357189E-4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input_509010!A$2</f>
        <v>509010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IFERROR(VLOOKUP(B213,input_509010!L:R,7,FALSE),VLOOKUP(tables_509010!C213,input_509010!A:H,8,FALSE))</f>
        <v>14781.5</v>
      </c>
      <c r="P213" s="46">
        <f t="shared" ca="1" si="10"/>
        <v>2.3825757575757575E-4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input_509010!A$2</f>
        <v>509010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IFERROR(VLOOKUP(B214,input_509010!L:R,7,FALSE),VLOOKUP(tables_509010!C214,input_509010!A:H,8,FALSE))</f>
        <v>1198.5</v>
      </c>
      <c r="P214" s="46">
        <f t="shared" ca="1" si="10"/>
        <v>1.9318181818181818E-5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input_509010!A$2</f>
        <v>509010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IFERROR(VLOOKUP(B215,input_509010!L:R,7,FALSE),VLOOKUP(tables_509010!C215,input_509010!A:H,8,FALSE))</f>
        <v>42817.5</v>
      </c>
      <c r="P215" s="46">
        <f t="shared" ca="1" si="10"/>
        <v>6.9015957446808506E-4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input_509010!A$2</f>
        <v>509010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IFERROR(VLOOKUP(B216,input_509010!L:R,7,FALSE),VLOOKUP(tables_509010!C216,input_509010!A:H,8,FALSE))</f>
        <v>42817.5</v>
      </c>
      <c r="P216" s="46">
        <f t="shared" ca="1" si="10"/>
        <v>6.9015957446808506E-4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input_509010!A$2</f>
        <v>509010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IFERROR(VLOOKUP(B217,input_509010!L:R,7,FALSE),VLOOKUP(tables_509010!C217,input_509010!A:H,8,FALSE))</f>
        <v>42817.5</v>
      </c>
      <c r="P217" s="46">
        <f t="shared" ca="1" si="10"/>
        <v>6.9015957446808506E-4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input_509010!A$2</f>
        <v>509010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IFERROR(VLOOKUP(B218,input_509010!L:R,7,FALSE),VLOOKUP(tables_509010!C218,input_509010!A:H,8,FALSE))</f>
        <v>42817.5</v>
      </c>
      <c r="P218" s="46">
        <f t="shared" ca="1" si="10"/>
        <v>6.9015957446808506E-4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input_509010!A$2</f>
        <v>509010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IFERROR(VLOOKUP(B219,input_509010!L:R,7,FALSE),VLOOKUP(tables_509010!C219,input_509010!A:H,8,FALSE))</f>
        <v>42817.5</v>
      </c>
      <c r="P219" s="46">
        <f t="shared" ca="1" si="10"/>
        <v>6.9015957446808506E-4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input_509010!A$2</f>
        <v>509010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IFERROR(VLOOKUP(B220,input_509010!L:R,7,FALSE),VLOOKUP(tables_509010!C220,input_509010!A:H,8,FALSE))</f>
        <v>42817.5</v>
      </c>
      <c r="P220" s="46">
        <f t="shared" ca="1" si="10"/>
        <v>6.9015957446808506E-4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input_509010!A$2</f>
        <v>509010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IFERROR(VLOOKUP(B221,input_509010!L:R,7,FALSE),VLOOKUP(tables_509010!C221,input_509010!A:H,8,FALSE))</f>
        <v>14781.5</v>
      </c>
      <c r="P221" s="46">
        <f t="shared" ca="1" si="10"/>
        <v>2.3825757575757575E-4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input_509010!A$2</f>
        <v>509010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IFERROR(VLOOKUP(B222,input_509010!L:R,7,FALSE),VLOOKUP(tables_509010!C222,input_509010!A:H,8,FALSE))</f>
        <v>1198.5</v>
      </c>
      <c r="P222" s="46">
        <f t="shared" ca="1" si="10"/>
        <v>1.9318181818181818E-5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input_509010!A$2</f>
        <v>509010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IFERROR(VLOOKUP(B223,input_509010!L:R,7,FALSE),VLOOKUP(tables_509010!C223,input_509010!A:H,8,FALSE))</f>
        <v>242632.5</v>
      </c>
      <c r="P223" s="46">
        <f t="shared" ca="1" si="10"/>
        <v>3.9109042553191493E-3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input_509010!A$2</f>
        <v>509010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IFERROR(VLOOKUP(B224,input_509010!L:R,7,FALSE),VLOOKUP(tables_509010!C224,input_509010!A:H,8,FALSE))</f>
        <v>285450</v>
      </c>
      <c r="P224" s="46">
        <f t="shared" ca="1" si="10"/>
        <v>4.6010638297872344E-3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input_509010!A$2</f>
        <v>509010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IFERROR(VLOOKUP(B225,input_509010!L:R,7,FALSE),VLOOKUP(tables_509010!C225,input_509010!A:H,8,FALSE))</f>
        <v>7124.75</v>
      </c>
      <c r="P225" s="46">
        <f t="shared" ca="1" si="10"/>
        <v>1.1484123146357189E-4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input_509010!A$2</f>
        <v>509010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IFERROR(VLOOKUP(B226,input_509010!L:R,7,FALSE),VLOOKUP(tables_509010!C226,input_509010!A:H,8,FALSE))</f>
        <v>242632.5</v>
      </c>
      <c r="P226" s="46">
        <f t="shared" ca="1" si="10"/>
        <v>3.9109042553191493E-3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input_509010!A$2</f>
        <v>509010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IFERROR(VLOOKUP(B227,input_509010!L:R,7,FALSE),VLOOKUP(tables_509010!C227,input_509010!A:H,8,FALSE))</f>
        <v>285450</v>
      </c>
      <c r="P227" s="46">
        <f t="shared" ca="1" si="10"/>
        <v>4.6010638297872344E-3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input_509010!A$2</f>
        <v>509010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IFERROR(VLOOKUP(B228,input_509010!L:R,7,FALSE),VLOOKUP(tables_509010!C228,input_509010!A:H,8,FALSE))</f>
        <v>7124.75</v>
      </c>
      <c r="P228" s="46">
        <f t="shared" ca="1" si="10"/>
        <v>1.1484123146357189E-4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input_509010!A$2</f>
        <v>509010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IFERROR(VLOOKUP(B229,input_509010!L:R,7,FALSE),VLOOKUP(tables_509010!C229,input_509010!A:H,8,FALSE))</f>
        <v>14781.5</v>
      </c>
      <c r="P229" s="46">
        <f t="shared" ca="1" si="10"/>
        <v>2.3825757575757575E-4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input_509010!A$2</f>
        <v>509010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IFERROR(VLOOKUP(B230,input_509010!L:R,7,FALSE),VLOOKUP(tables_509010!C230,input_509010!A:H,8,FALSE))</f>
        <v>1198.5</v>
      </c>
      <c r="P230" s="46">
        <f t="shared" ca="1" si="10"/>
        <v>1.9318181818181818E-5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input_509010!A$2</f>
        <v>509010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IFERROR(VLOOKUP(B231,input_509010!L:R,7,FALSE),VLOOKUP(tables_509010!C231,input_509010!A:H,8,FALSE))</f>
        <v>242632.5</v>
      </c>
      <c r="P231" s="46">
        <f t="shared" ca="1" si="10"/>
        <v>3.9109042553191493E-3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input_509010!A$2</f>
        <v>509010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IFERROR(VLOOKUP(B232,input_509010!L:R,7,FALSE),VLOOKUP(tables_509010!C232,input_509010!A:H,8,FALSE))</f>
        <v>285450</v>
      </c>
      <c r="P232" s="46">
        <f t="shared" ca="1" si="10"/>
        <v>4.6010638297872344E-3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input_509010!A$2</f>
        <v>509010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IFERROR(VLOOKUP(B233,input_509010!L:R,7,FALSE),VLOOKUP(tables_509010!C233,input_509010!A:H,8,FALSE))</f>
        <v>7124.75</v>
      </c>
      <c r="P233" s="46">
        <f t="shared" ca="1" si="10"/>
        <v>1.1484123146357189E-4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input_509010!A$2</f>
        <v>509010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IFERROR(VLOOKUP(B234,input_509010!L:R,7,FALSE),VLOOKUP(tables_509010!C234,input_509010!A:H,8,FALSE))</f>
        <v>242632.5</v>
      </c>
      <c r="P234" s="46">
        <f t="shared" ca="1" si="10"/>
        <v>3.9109042553191493E-3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input_509010!A$2</f>
        <v>509010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IFERROR(VLOOKUP(B235,input_509010!L:R,7,FALSE),VLOOKUP(tables_509010!C235,input_509010!A:H,8,FALSE))</f>
        <v>285450</v>
      </c>
      <c r="P235" s="46">
        <f t="shared" ca="1" si="10"/>
        <v>4.6010638297872344E-3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input_509010!A$2</f>
        <v>509010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IFERROR(VLOOKUP(B236,input_509010!L:R,7,FALSE),VLOOKUP(tables_509010!C236,input_509010!A:H,8,FALSE))</f>
        <v>7124.75</v>
      </c>
      <c r="P236" s="46">
        <f t="shared" ca="1" si="10"/>
        <v>1.1484123146357189E-4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input_509010!A$2</f>
        <v>509010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IFERROR(VLOOKUP(B237,input_509010!L:R,7,FALSE),VLOOKUP(tables_509010!C237,input_509010!A:H,8,FALSE))</f>
        <v>14781.5</v>
      </c>
      <c r="P237" s="46">
        <f t="shared" ca="1" si="10"/>
        <v>2.3825757575757575E-4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input_509010!A$2</f>
        <v>509010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IFERROR(VLOOKUP(B238,input_509010!L:R,7,FALSE),VLOOKUP(tables_509010!C238,input_509010!A:H,8,FALSE))</f>
        <v>1198.5</v>
      </c>
      <c r="P238" s="46">
        <f t="shared" ca="1" si="10"/>
        <v>1.9318181818181818E-5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input_509010!A$2</f>
        <v>509010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IFERROR(VLOOKUP(B239,input_509010!L:R,7,FALSE),VLOOKUP(tables_509010!C239,input_509010!A:H,8,FALSE))</f>
        <v>242632.5</v>
      </c>
      <c r="P239" s="46">
        <f t="shared" ca="1" si="10"/>
        <v>3.9109042553191493E-3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input_509010!A$2</f>
        <v>509010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IFERROR(VLOOKUP(B240,input_509010!L:R,7,FALSE),VLOOKUP(tables_509010!C240,input_509010!A:H,8,FALSE))</f>
        <v>285450</v>
      </c>
      <c r="P240" s="46">
        <f t="shared" ca="1" si="10"/>
        <v>4.6010638297872344E-3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input_509010!A$2</f>
        <v>509010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IFERROR(VLOOKUP(B241,input_509010!L:R,7,FALSE),VLOOKUP(tables_509010!C241,input_509010!A:H,8,FALSE))</f>
        <v>7124.75</v>
      </c>
      <c r="P241" s="46">
        <f t="shared" ca="1" si="10"/>
        <v>1.1484123146357189E-4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input_509010!A$2</f>
        <v>509010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IFERROR(VLOOKUP(B242,input_509010!L:R,7,FALSE),VLOOKUP(tables_509010!C242,input_509010!A:H,8,FALSE))</f>
        <v>14781.5</v>
      </c>
      <c r="P242" s="46">
        <f t="shared" ca="1" si="10"/>
        <v>2.3825757575757575E-4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input_509010!A$2</f>
        <v>509010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IFERROR(VLOOKUP(B243,input_509010!L:R,7,FALSE),VLOOKUP(tables_509010!C243,input_509010!A:H,8,FALSE))</f>
        <v>1198.5</v>
      </c>
      <c r="P243" s="46">
        <f t="shared" ca="1" si="10"/>
        <v>1.9318181818181818E-5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input_509010!A$2</f>
        <v>509010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IFERROR(VLOOKUP(B244,input_509010!L:R,7,FALSE),VLOOKUP(tables_509010!C244,input_509010!A:H,8,FALSE))</f>
        <v>14781.5</v>
      </c>
      <c r="P244" s="46">
        <f t="shared" ca="1" si="10"/>
        <v>2.3825757575757575E-4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input_509010!A$2</f>
        <v>509010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IFERROR(VLOOKUP(B245,input_509010!L:R,7,FALSE),VLOOKUP(tables_509010!C245,input_509010!A:H,8,FALSE))</f>
        <v>1198.5</v>
      </c>
      <c r="P245" s="46">
        <f t="shared" ca="1" si="10"/>
        <v>1.9318181818181818E-5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input_509010!A$2</f>
        <v>509010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IFERROR(VLOOKUP(B246,input_509010!L:R,7,FALSE),VLOOKUP(tables_509010!C246,input_509010!A:H,8,FALSE))</f>
        <v>242632.5</v>
      </c>
      <c r="P246" s="46">
        <f t="shared" ca="1" si="10"/>
        <v>3.9109042553191493E-3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input_509010!A$2</f>
        <v>509010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IFERROR(VLOOKUP(B247,input_509010!L:R,7,FALSE),VLOOKUP(tables_509010!C247,input_509010!A:H,8,FALSE))</f>
        <v>285450</v>
      </c>
      <c r="P247" s="46">
        <f t="shared" ca="1" si="10"/>
        <v>4.6010638297872344E-3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input_509010!A$2</f>
        <v>509010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IFERROR(VLOOKUP(B248,input_509010!L:R,7,FALSE),VLOOKUP(tables_509010!C248,input_509010!A:H,8,FALSE))</f>
        <v>7124.75</v>
      </c>
      <c r="P248" s="46">
        <f t="shared" ca="1" si="10"/>
        <v>1.1484123146357189E-4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input_509010!A$2</f>
        <v>509010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IFERROR(VLOOKUP(B249,input_509010!L:R,7,FALSE),VLOOKUP(tables_509010!C249,input_509010!A:H,8,FALSE))</f>
        <v>242632.5</v>
      </c>
      <c r="P249" s="46">
        <f t="shared" ca="1" si="10"/>
        <v>3.9109042553191493E-3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input_509010!A$2</f>
        <v>509010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IFERROR(VLOOKUP(B250,input_509010!L:R,7,FALSE),VLOOKUP(tables_509010!C250,input_509010!A:H,8,FALSE))</f>
        <v>285450</v>
      </c>
      <c r="P250" s="46">
        <f t="shared" ca="1" si="10"/>
        <v>4.6010638297872344E-3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input_509010!A$2</f>
        <v>509010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IFERROR(VLOOKUP(B251,input_509010!L:R,7,FALSE),VLOOKUP(tables_509010!C251,input_509010!A:H,8,FALSE))</f>
        <v>7124.75</v>
      </c>
      <c r="P251" s="46">
        <f t="shared" ca="1" si="10"/>
        <v>1.1484123146357189E-4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input_509010!A$2</f>
        <v>509010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IFERROR(VLOOKUP(B252,input_509010!L:R,7,FALSE),VLOOKUP(tables_509010!C252,input_509010!A:H,8,FALSE))</f>
        <v>242632.5</v>
      </c>
      <c r="P252" s="46">
        <f t="shared" ca="1" si="10"/>
        <v>3.9109042553191493E-3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input_509010!A$2</f>
        <v>509010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IFERROR(VLOOKUP(B253,input_509010!L:R,7,FALSE),VLOOKUP(tables_509010!C253,input_509010!A:H,8,FALSE))</f>
        <v>285450</v>
      </c>
      <c r="P253" s="46">
        <f t="shared" ca="1" si="10"/>
        <v>4.6010638297872344E-3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input_509010!A$2</f>
        <v>509010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IFERROR(VLOOKUP(B254,input_509010!L:R,7,FALSE),VLOOKUP(tables_509010!C254,input_509010!A:H,8,FALSE))</f>
        <v>7124.75</v>
      </c>
      <c r="P254" s="46">
        <f t="shared" ca="1" si="10"/>
        <v>1.1484123146357189E-4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input_509010!A$2</f>
        <v>509010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IFERROR(VLOOKUP(B255,input_509010!L:R,7,FALSE),VLOOKUP(tables_509010!C255,input_509010!A:H,8,FALSE))</f>
        <v>242632.5</v>
      </c>
      <c r="P255" s="46">
        <f t="shared" ca="1" si="10"/>
        <v>3.9109042553191493E-3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input_509010!A$2</f>
        <v>509010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IFERROR(VLOOKUP(B256,input_509010!L:R,7,FALSE),VLOOKUP(tables_509010!C256,input_509010!A:H,8,FALSE))</f>
        <v>285450</v>
      </c>
      <c r="P256" s="46">
        <f t="shared" ca="1" si="10"/>
        <v>4.6010638297872344E-3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input_509010!A$2</f>
        <v>509010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IFERROR(VLOOKUP(B257,input_509010!L:R,7,FALSE),VLOOKUP(tables_509010!C257,input_509010!A:H,8,FALSE))</f>
        <v>7124.75</v>
      </c>
      <c r="P257" s="46">
        <f t="shared" ca="1" si="10"/>
        <v>1.1484123146357189E-4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input_509010!A$2</f>
        <v>509010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IFERROR(VLOOKUP(B258,input_509010!L:R,7,FALSE),VLOOKUP(tables_509010!C258,input_509010!A:H,8,FALSE))</f>
        <v>14781.5</v>
      </c>
      <c r="P258" s="46">
        <f t="shared" ref="P258:P321" ca="1" si="13">O258/SUM(O:O)</f>
        <v>2.3825757575757575E-4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input_509010!A$2</f>
        <v>509010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IFERROR(VLOOKUP(B259,input_509010!L:R,7,FALSE),VLOOKUP(tables_509010!C259,input_509010!A:H,8,FALSE))</f>
        <v>1198.5</v>
      </c>
      <c r="P259" s="46">
        <f t="shared" ca="1" si="13"/>
        <v>1.9318181818181818E-5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input_509010!A$2</f>
        <v>509010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IFERROR(VLOOKUP(B260,input_509010!L:R,7,FALSE),VLOOKUP(tables_509010!C260,input_509010!A:H,8,FALSE))</f>
        <v>14781.5</v>
      </c>
      <c r="P260" s="46">
        <f t="shared" ca="1" si="13"/>
        <v>2.3825757575757575E-4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input_509010!A$2</f>
        <v>509010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IFERROR(VLOOKUP(B261,input_509010!L:R,7,FALSE),VLOOKUP(tables_509010!C261,input_509010!A:H,8,FALSE))</f>
        <v>1198.5</v>
      </c>
      <c r="P261" s="46">
        <f t="shared" ca="1" si="13"/>
        <v>1.9318181818181818E-5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input_509010!A$2</f>
        <v>509010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IFERROR(VLOOKUP(B262,input_509010!L:R,7,FALSE),VLOOKUP(tables_509010!C262,input_509010!A:H,8,FALSE))</f>
        <v>513810</v>
      </c>
      <c r="P262" s="46">
        <f t="shared" ca="1" si="13"/>
        <v>8.281914893617022E-3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input_509010!A$2</f>
        <v>509010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IFERROR(VLOOKUP(B263,input_509010!L:R,7,FALSE),VLOOKUP(tables_509010!C263,input_509010!A:H,8,FALSE))</f>
        <v>42817.5</v>
      </c>
      <c r="P263" s="46">
        <f t="shared" ca="1" si="13"/>
        <v>6.9015957446808506E-4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input_509010!A$2</f>
        <v>509010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IFERROR(VLOOKUP(B264,input_509010!L:R,7,FALSE),VLOOKUP(tables_509010!C264,input_509010!A:H,8,FALSE))</f>
        <v>513810</v>
      </c>
      <c r="P264" s="46">
        <f t="shared" ca="1" si="13"/>
        <v>8.281914893617022E-3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input_509010!A$2</f>
        <v>509010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IFERROR(VLOOKUP(B265,input_509010!L:R,7,FALSE),VLOOKUP(tables_509010!C265,input_509010!A:H,8,FALSE))</f>
        <v>42817.5</v>
      </c>
      <c r="P265" s="46">
        <f t="shared" ca="1" si="13"/>
        <v>6.9015957446808506E-4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input_509010!A$2</f>
        <v>509010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IFERROR(VLOOKUP(B266,input_509010!L:R,7,FALSE),VLOOKUP(tables_509010!C266,input_509010!A:H,8,FALSE))</f>
        <v>15980</v>
      </c>
      <c r="P266" s="46">
        <f t="shared" ca="1" si="13"/>
        <v>2.5757575757575756E-4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input_509010!A$2</f>
        <v>509010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IFERROR(VLOOKUP(B267,input_509010!L:R,7,FALSE),VLOOKUP(tables_509010!C267,input_509010!A:H,8,FALSE))</f>
        <v>15980</v>
      </c>
      <c r="P267" s="46">
        <f t="shared" ca="1" si="13"/>
        <v>2.5757575757575756E-4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input_509010!A$2</f>
        <v>509010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IFERROR(VLOOKUP(B268,input_509010!L:R,7,FALSE),VLOOKUP(tables_509010!C268,input_509010!A:H,8,FALSE))</f>
        <v>15980</v>
      </c>
      <c r="P268" s="46">
        <f t="shared" ca="1" si="13"/>
        <v>2.5757575757575756E-4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input_509010!A$2</f>
        <v>509010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IFERROR(VLOOKUP(B269,input_509010!L:R,7,FALSE),VLOOKUP(tables_509010!C269,input_509010!A:H,8,FALSE))</f>
        <v>15980</v>
      </c>
      <c r="P269" s="46">
        <f t="shared" ca="1" si="13"/>
        <v>2.5757575757575756E-4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input_509010!A$2</f>
        <v>509010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IFERROR(VLOOKUP(B270,input_509010!L:R,7,FALSE),VLOOKUP(tables_509010!C270,input_509010!A:H,8,FALSE))</f>
        <v>513810</v>
      </c>
      <c r="P270" s="46">
        <f t="shared" ca="1" si="13"/>
        <v>8.281914893617022E-3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input_509010!A$2</f>
        <v>509010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IFERROR(VLOOKUP(B271,input_509010!L:R,7,FALSE),VLOOKUP(tables_509010!C271,input_509010!A:H,8,FALSE))</f>
        <v>42817.5</v>
      </c>
      <c r="P271" s="46">
        <f t="shared" ca="1" si="13"/>
        <v>6.9015957446808506E-4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input_509010!A$2</f>
        <v>509010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IFERROR(VLOOKUP(B272,input_509010!L:R,7,FALSE),VLOOKUP(tables_509010!C272,input_509010!A:H,8,FALSE))</f>
        <v>513810</v>
      </c>
      <c r="P272" s="46">
        <f t="shared" ca="1" si="13"/>
        <v>8.281914893617022E-3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input_509010!A$2</f>
        <v>509010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IFERROR(VLOOKUP(B273,input_509010!L:R,7,FALSE),VLOOKUP(tables_509010!C273,input_509010!A:H,8,FALSE))</f>
        <v>42817.5</v>
      </c>
      <c r="P273" s="46">
        <f t="shared" ca="1" si="13"/>
        <v>6.9015957446808506E-4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input_509010!A$2</f>
        <v>509010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IFERROR(VLOOKUP(B274,input_509010!L:R,7,FALSE),VLOOKUP(tables_509010!C274,input_509010!A:H,8,FALSE))</f>
        <v>14781.5</v>
      </c>
      <c r="P274" s="46">
        <f t="shared" ca="1" si="13"/>
        <v>2.3825757575757575E-4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input_509010!A$2</f>
        <v>509010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IFERROR(VLOOKUP(B275,input_509010!L:R,7,FALSE),VLOOKUP(tables_509010!C275,input_509010!A:H,8,FALSE))</f>
        <v>1198.5</v>
      </c>
      <c r="P275" s="46">
        <f t="shared" ca="1" si="13"/>
        <v>1.9318181818181818E-5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input_509010!A$2</f>
        <v>509010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IFERROR(VLOOKUP(B276,input_509010!L:R,7,FALSE),VLOOKUP(tables_509010!C276,input_509010!A:H,8,FALSE))</f>
        <v>14781.5</v>
      </c>
      <c r="P276" s="46">
        <f t="shared" ca="1" si="13"/>
        <v>2.3825757575757575E-4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input_509010!A$2</f>
        <v>509010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IFERROR(VLOOKUP(B277,input_509010!L:R,7,FALSE),VLOOKUP(tables_509010!C277,input_509010!A:H,8,FALSE))</f>
        <v>1198.5</v>
      </c>
      <c r="P277" s="46">
        <f t="shared" ca="1" si="13"/>
        <v>1.9318181818181818E-5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input_509010!A$2</f>
        <v>509010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IFERROR(VLOOKUP(B278,input_509010!L:R,7,FALSE),VLOOKUP(tables_509010!C278,input_509010!A:H,8,FALSE))</f>
        <v>242632.5</v>
      </c>
      <c r="P278" s="46">
        <f t="shared" ca="1" si="13"/>
        <v>3.9109042553191493E-3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input_509010!A$2</f>
        <v>509010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IFERROR(VLOOKUP(B279,input_509010!L:R,7,FALSE),VLOOKUP(tables_509010!C279,input_509010!A:H,8,FALSE))</f>
        <v>285450</v>
      </c>
      <c r="P279" s="46">
        <f t="shared" ca="1" si="13"/>
        <v>4.6010638297872344E-3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input_509010!A$2</f>
        <v>509010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IFERROR(VLOOKUP(B280,input_509010!L:R,7,FALSE),VLOOKUP(tables_509010!C280,input_509010!A:H,8,FALSE))</f>
        <v>7124.75</v>
      </c>
      <c r="P280" s="46">
        <f t="shared" ca="1" si="13"/>
        <v>1.1484123146357189E-4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input_509010!A$2</f>
        <v>509010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IFERROR(VLOOKUP(B281,input_509010!L:R,7,FALSE),VLOOKUP(tables_509010!C281,input_509010!A:H,8,FALSE))</f>
        <v>242632.5</v>
      </c>
      <c r="P281" s="46">
        <f t="shared" ca="1" si="13"/>
        <v>3.9109042553191493E-3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input_509010!A$2</f>
        <v>509010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IFERROR(VLOOKUP(B282,input_509010!L:R,7,FALSE),VLOOKUP(tables_509010!C282,input_509010!A:H,8,FALSE))</f>
        <v>285450</v>
      </c>
      <c r="P282" s="46">
        <f t="shared" ca="1" si="13"/>
        <v>4.6010638297872344E-3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input_509010!A$2</f>
        <v>509010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IFERROR(VLOOKUP(B283,input_509010!L:R,7,FALSE),VLOOKUP(tables_509010!C283,input_509010!A:H,8,FALSE))</f>
        <v>7124.75</v>
      </c>
      <c r="P283" s="46">
        <f t="shared" ca="1" si="13"/>
        <v>1.1484123146357189E-4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input_509010!A$2</f>
        <v>509010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IFERROR(VLOOKUP(B284,input_509010!L:R,7,FALSE),VLOOKUP(tables_509010!C284,input_509010!A:H,8,FALSE))</f>
        <v>15980</v>
      </c>
      <c r="P284" s="46">
        <f t="shared" ca="1" si="13"/>
        <v>2.5757575757575756E-4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input_509010!A$2</f>
        <v>509010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IFERROR(VLOOKUP(B285,input_509010!L:R,7,FALSE),VLOOKUP(tables_509010!C285,input_509010!A:H,8,FALSE))</f>
        <v>15980</v>
      </c>
      <c r="P285" s="46">
        <f t="shared" ca="1" si="13"/>
        <v>2.5757575757575756E-4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input_509010!A$2</f>
        <v>509010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IFERROR(VLOOKUP(B286,input_509010!L:R,7,FALSE),VLOOKUP(tables_509010!C286,input_509010!A:H,8,FALSE))</f>
        <v>513810</v>
      </c>
      <c r="P286" s="46">
        <f t="shared" ca="1" si="13"/>
        <v>8.281914893617022E-3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input_509010!A$2</f>
        <v>509010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IFERROR(VLOOKUP(B287,input_509010!L:R,7,FALSE),VLOOKUP(tables_509010!C287,input_509010!A:H,8,FALSE))</f>
        <v>42817.5</v>
      </c>
      <c r="P287" s="46">
        <f t="shared" ca="1" si="13"/>
        <v>6.9015957446808506E-4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input_509010!A$2</f>
        <v>509010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IFERROR(VLOOKUP(B288,input_509010!L:R,7,FALSE),VLOOKUP(tables_509010!C288,input_509010!A:H,8,FALSE))</f>
        <v>513810</v>
      </c>
      <c r="P288" s="46">
        <f t="shared" ca="1" si="13"/>
        <v>8.281914893617022E-3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input_509010!A$2</f>
        <v>509010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IFERROR(VLOOKUP(B289,input_509010!L:R,7,FALSE),VLOOKUP(tables_509010!C289,input_509010!A:H,8,FALSE))</f>
        <v>42817.5</v>
      </c>
      <c r="P289" s="46">
        <f t="shared" ca="1" si="13"/>
        <v>6.9015957446808506E-4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input_509010!A$2</f>
        <v>509010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IFERROR(VLOOKUP(B290,input_509010!L:R,7,FALSE),VLOOKUP(tables_509010!C290,input_509010!A:H,8,FALSE))</f>
        <v>513810</v>
      </c>
      <c r="P290" s="46">
        <f t="shared" ca="1" si="13"/>
        <v>8.281914893617022E-3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input_509010!A$2</f>
        <v>509010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IFERROR(VLOOKUP(B291,input_509010!L:R,7,FALSE),VLOOKUP(tables_509010!C291,input_509010!A:H,8,FALSE))</f>
        <v>42817.5</v>
      </c>
      <c r="P291" s="46">
        <f t="shared" ca="1" si="13"/>
        <v>6.9015957446808506E-4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input_509010!A$2</f>
        <v>509010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IFERROR(VLOOKUP(B292,input_509010!L:R,7,FALSE),VLOOKUP(tables_509010!C292,input_509010!A:H,8,FALSE))</f>
        <v>513810</v>
      </c>
      <c r="P292" s="46">
        <f t="shared" ca="1" si="13"/>
        <v>8.281914893617022E-3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input_509010!A$2</f>
        <v>509010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IFERROR(VLOOKUP(B293,input_509010!L:R,7,FALSE),VLOOKUP(tables_509010!C293,input_509010!A:H,8,FALSE))</f>
        <v>42817.5</v>
      </c>
      <c r="P293" s="46">
        <f t="shared" ca="1" si="13"/>
        <v>6.9015957446808506E-4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input_509010!A$2</f>
        <v>509010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IFERROR(VLOOKUP(B294,input_509010!L:R,7,FALSE),VLOOKUP(tables_509010!C294,input_509010!A:H,8,FALSE))</f>
        <v>15980</v>
      </c>
      <c r="P294" s="46">
        <f t="shared" ca="1" si="13"/>
        <v>2.5757575757575756E-4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input_509010!A$2</f>
        <v>509010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IFERROR(VLOOKUP(B295,input_509010!L:R,7,FALSE),VLOOKUP(tables_509010!C295,input_509010!A:H,8,FALSE))</f>
        <v>15980</v>
      </c>
      <c r="P295" s="46">
        <f t="shared" ca="1" si="13"/>
        <v>2.5757575757575756E-4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input_509010!A$2</f>
        <v>509010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IFERROR(VLOOKUP(B296,input_509010!L:R,7,FALSE),VLOOKUP(tables_509010!C296,input_509010!A:H,8,FALSE))</f>
        <v>15980</v>
      </c>
      <c r="P296" s="46">
        <f t="shared" ca="1" si="13"/>
        <v>2.5757575757575756E-4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input_509010!A$2</f>
        <v>509010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IFERROR(VLOOKUP(B297,input_509010!L:R,7,FALSE),VLOOKUP(tables_509010!C297,input_509010!A:H,8,FALSE))</f>
        <v>513810</v>
      </c>
      <c r="P297" s="46">
        <f t="shared" ca="1" si="13"/>
        <v>8.281914893617022E-3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input_509010!A$2</f>
        <v>509010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IFERROR(VLOOKUP(B298,input_509010!L:R,7,FALSE),VLOOKUP(tables_509010!C298,input_509010!A:H,8,FALSE))</f>
        <v>42817.5</v>
      </c>
      <c r="P298" s="46">
        <f t="shared" ca="1" si="13"/>
        <v>6.9015957446808506E-4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input_509010!A$2</f>
        <v>509010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IFERROR(VLOOKUP(B299,input_509010!L:R,7,FALSE),VLOOKUP(tables_509010!C299,input_509010!A:H,8,FALSE))</f>
        <v>15980</v>
      </c>
      <c r="P299" s="46">
        <f t="shared" ca="1" si="13"/>
        <v>2.5757575757575756E-4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input_509010!A$2</f>
        <v>509010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IFERROR(VLOOKUP(B300,input_509010!L:R,7,FALSE),VLOOKUP(tables_509010!C300,input_509010!A:H,8,FALSE))</f>
        <v>15980</v>
      </c>
      <c r="P300" s="46">
        <f t="shared" ca="1" si="13"/>
        <v>2.5757575757575756E-4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input_509010!A$2</f>
        <v>509010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IFERROR(VLOOKUP(B301,input_509010!L:R,7,FALSE),VLOOKUP(tables_509010!C301,input_509010!A:H,8,FALSE))</f>
        <v>15980</v>
      </c>
      <c r="P301" s="46">
        <f t="shared" ca="1" si="13"/>
        <v>2.5757575757575756E-4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input_509010!A$2</f>
        <v>509010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IFERROR(VLOOKUP(B302,input_509010!L:R,7,FALSE),VLOOKUP(tables_509010!C302,input_509010!A:H,8,FALSE))</f>
        <v>15980</v>
      </c>
      <c r="P302" s="46">
        <f t="shared" ca="1" si="13"/>
        <v>2.5757575757575756E-4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input_509010!A$2</f>
        <v>509010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IFERROR(VLOOKUP(B303,input_509010!L:R,7,FALSE),VLOOKUP(tables_509010!C303,input_509010!A:H,8,FALSE))</f>
        <v>513810</v>
      </c>
      <c r="P303" s="46">
        <f t="shared" ca="1" si="13"/>
        <v>8.281914893617022E-3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input_509010!A$2</f>
        <v>509010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IFERROR(VLOOKUP(B304,input_509010!L:R,7,FALSE),VLOOKUP(tables_509010!C304,input_509010!A:H,8,FALSE))</f>
        <v>42817.5</v>
      </c>
      <c r="P304" s="46">
        <f t="shared" ca="1" si="13"/>
        <v>6.9015957446808506E-4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input_509010!A$2</f>
        <v>509010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IFERROR(VLOOKUP(B305,input_509010!L:R,7,FALSE),VLOOKUP(tables_509010!C305,input_509010!A:H,8,FALSE))</f>
        <v>15980</v>
      </c>
      <c r="P305" s="46">
        <f t="shared" ca="1" si="13"/>
        <v>2.5757575757575756E-4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input_509010!A$2</f>
        <v>509010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IFERROR(VLOOKUP(B306,input_509010!L:R,7,FALSE),VLOOKUP(tables_509010!C306,input_509010!A:H,8,FALSE))</f>
        <v>513810</v>
      </c>
      <c r="P306" s="46">
        <f t="shared" ca="1" si="13"/>
        <v>8.281914893617022E-3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input_509010!A$2</f>
        <v>509010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IFERROR(VLOOKUP(B307,input_509010!L:R,7,FALSE),VLOOKUP(tables_509010!C307,input_509010!A:H,8,FALSE))</f>
        <v>42817.5</v>
      </c>
      <c r="P307" s="46">
        <f t="shared" ca="1" si="13"/>
        <v>6.9015957446808506E-4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input_509010!A$2</f>
        <v>509010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IFERROR(VLOOKUP(B308,input_509010!L:R,7,FALSE),VLOOKUP(tables_509010!C308,input_509010!A:H,8,FALSE))</f>
        <v>15980</v>
      </c>
      <c r="P308" s="46">
        <f t="shared" ca="1" si="13"/>
        <v>2.5757575757575756E-4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input_509010!A$2</f>
        <v>509010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IFERROR(VLOOKUP(B309,input_509010!L:R,7,FALSE),VLOOKUP(tables_509010!C309,input_509010!A:H,8,FALSE))</f>
        <v>15980</v>
      </c>
      <c r="P309" s="46">
        <f t="shared" ca="1" si="13"/>
        <v>2.5757575757575756E-4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input_509010!A$2</f>
        <v>509010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IFERROR(VLOOKUP(B310,input_509010!L:R,7,FALSE),VLOOKUP(tables_509010!C310,input_509010!A:H,8,FALSE))</f>
        <v>15980</v>
      </c>
      <c r="P310" s="46">
        <f t="shared" ca="1" si="13"/>
        <v>2.5757575757575756E-4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input_509010!A$2</f>
        <v>509010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IFERROR(VLOOKUP(B311,input_509010!L:R,7,FALSE),VLOOKUP(tables_509010!C311,input_509010!A:H,8,FALSE))</f>
        <v>513810</v>
      </c>
      <c r="P311" s="46">
        <f t="shared" ca="1" si="13"/>
        <v>8.281914893617022E-3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input_509010!A$2</f>
        <v>509010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IFERROR(VLOOKUP(B312,input_509010!L:R,7,FALSE),VLOOKUP(tables_509010!C312,input_509010!A:H,8,FALSE))</f>
        <v>42817.5</v>
      </c>
      <c r="P312" s="46">
        <f t="shared" ca="1" si="13"/>
        <v>6.9015957446808506E-4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input_509010!A$2</f>
        <v>509010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IFERROR(VLOOKUP(B313,input_509010!L:R,7,FALSE),VLOOKUP(tables_509010!C313,input_509010!A:H,8,FALSE))</f>
        <v>15980</v>
      </c>
      <c r="P313" s="46">
        <f t="shared" ca="1" si="13"/>
        <v>2.5757575757575756E-4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input_509010!A$2</f>
        <v>509010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IFERROR(VLOOKUP(B314,input_509010!L:R,7,FALSE),VLOOKUP(tables_509010!C314,input_509010!A:H,8,FALSE))</f>
        <v>15980</v>
      </c>
      <c r="P314" s="46">
        <f t="shared" ca="1" si="13"/>
        <v>2.5757575757575756E-4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input_509010!A$2</f>
        <v>509010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IFERROR(VLOOKUP(B315,input_509010!L:R,7,FALSE),VLOOKUP(tables_509010!C315,input_509010!A:H,8,FALSE))</f>
        <v>15980</v>
      </c>
      <c r="P315" s="46">
        <f t="shared" ca="1" si="13"/>
        <v>2.5757575757575756E-4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input_509010!A$2</f>
        <v>509010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IFERROR(VLOOKUP(B316,input_509010!L:R,7,FALSE),VLOOKUP(tables_509010!C316,input_509010!A:H,8,FALSE))</f>
        <v>15980</v>
      </c>
      <c r="P316" s="46">
        <f t="shared" ca="1" si="13"/>
        <v>2.5757575757575756E-4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input_509010!A$2</f>
        <v>509010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IFERROR(VLOOKUP(B317,input_509010!L:R,7,FALSE),VLOOKUP(tables_509010!C317,input_509010!A:H,8,FALSE))</f>
        <v>15980</v>
      </c>
      <c r="P317" s="46">
        <f t="shared" ca="1" si="13"/>
        <v>2.5757575757575756E-4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input_509010!A$2</f>
        <v>509010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IFERROR(VLOOKUP(B318,input_509010!L:R,7,FALSE),VLOOKUP(tables_509010!C318,input_509010!A:H,8,FALSE))</f>
        <v>513810</v>
      </c>
      <c r="P318" s="46">
        <f t="shared" ca="1" si="13"/>
        <v>8.281914893617022E-3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input_509010!A$2</f>
        <v>509010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IFERROR(VLOOKUP(B319,input_509010!L:R,7,FALSE),VLOOKUP(tables_509010!C319,input_509010!A:H,8,FALSE))</f>
        <v>42817.5</v>
      </c>
      <c r="P319" s="46">
        <f t="shared" ca="1" si="13"/>
        <v>6.9015957446808506E-4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input_509010!A$2</f>
        <v>509010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IFERROR(VLOOKUP(B320,input_509010!L:R,7,FALSE),VLOOKUP(tables_509010!C320,input_509010!A:H,8,FALSE))</f>
        <v>15980</v>
      </c>
      <c r="P320" s="46">
        <f t="shared" ca="1" si="13"/>
        <v>2.5757575757575756E-4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input_509010!A$2</f>
        <v>509010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IFERROR(VLOOKUP(B321,input_509010!L:R,7,FALSE),VLOOKUP(tables_509010!C321,input_509010!A:H,8,FALSE))</f>
        <v>15980</v>
      </c>
      <c r="P321" s="46">
        <f t="shared" ca="1" si="13"/>
        <v>2.5757575757575756E-4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input_509010!A$2</f>
        <v>509010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IFERROR(VLOOKUP(B322,input_509010!L:R,7,FALSE),VLOOKUP(tables_509010!C322,input_509010!A:H,8,FALSE))</f>
        <v>15980</v>
      </c>
      <c r="P322" s="46">
        <f t="shared" ref="P322:P330" ca="1" si="23">O322/SUM(O:O)</f>
        <v>2.5757575757575756E-4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input_509010!A$2</f>
        <v>509010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IFERROR(VLOOKUP(B323,input_509010!L:R,7,FALSE),VLOOKUP(tables_509010!C323,input_509010!A:H,8,FALSE))</f>
        <v>15980</v>
      </c>
      <c r="P323" s="46">
        <f t="shared" ca="1" si="23"/>
        <v>2.5757575757575756E-4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input_509010!A$2</f>
        <v>509010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IFERROR(VLOOKUP(B324,input_509010!L:R,7,FALSE),VLOOKUP(tables_509010!C324,input_509010!A:H,8,FALSE))</f>
        <v>513810</v>
      </c>
      <c r="P324" s="46">
        <f t="shared" ca="1" si="23"/>
        <v>8.281914893617022E-3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input_509010!A$2</f>
        <v>509010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IFERROR(VLOOKUP(B325,input_509010!L:R,7,FALSE),VLOOKUP(tables_509010!C325,input_509010!A:H,8,FALSE))</f>
        <v>42817.5</v>
      </c>
      <c r="P325" s="46">
        <f t="shared" ca="1" si="23"/>
        <v>6.9015957446808506E-4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input_509010!A$2</f>
        <v>509010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IFERROR(VLOOKUP(B326,input_509010!L:R,7,FALSE),VLOOKUP(tables_509010!C326,input_509010!A:H,8,FALSE))</f>
        <v>513810</v>
      </c>
      <c r="P326" s="46">
        <f t="shared" ca="1" si="23"/>
        <v>8.281914893617022E-3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input_509010!A$2</f>
        <v>509010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IFERROR(VLOOKUP(B327,input_509010!L:R,7,FALSE),VLOOKUP(tables_509010!C327,input_509010!A:H,8,FALSE))</f>
        <v>42817.5</v>
      </c>
      <c r="P327" s="46">
        <f t="shared" ca="1" si="23"/>
        <v>6.9015957446808506E-4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input_509010!A$2</f>
        <v>509010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IFERROR(VLOOKUP(B328,input_509010!L:R,7,FALSE),VLOOKUP(tables_509010!C328,input_509010!A:H,8,FALSE))</f>
        <v>15980</v>
      </c>
      <c r="P328" s="46">
        <f t="shared" ca="1" si="23"/>
        <v>2.5757575757575756E-4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input_509010!A$2</f>
        <v>509010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IFERROR(VLOOKUP(B329,input_509010!L:R,7,FALSE),VLOOKUP(tables_509010!C329,input_509010!A:H,8,FALSE))</f>
        <v>15980</v>
      </c>
      <c r="P329" s="46">
        <f t="shared" ca="1" si="23"/>
        <v>2.5757575757575756E-4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input_509010!A$2</f>
        <v>509010</v>
      </c>
      <c r="B330" s="2">
        <v>1157</v>
      </c>
      <c r="C330" s="7" t="str">
        <f t="shared" si="25"/>
        <v>PremiumSS5R5only</v>
      </c>
      <c r="D330" s="98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IFERROR(VLOOKUP(B330,input_509010!L:R,7,FALSE),VLOOKUP(tables_509010!C330,input_509010!A:H,8,FALSE))</f>
        <v>15980</v>
      </c>
      <c r="P330" s="46">
        <f t="shared" ca="1" si="23"/>
        <v>2.5757575757575756E-4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input_509010!A$2</f>
        <v>509010</v>
      </c>
      <c r="B331" s="60">
        <v>1214</v>
      </c>
      <c r="C331" s="7" t="str">
        <f t="shared" ref="C331:C335" si="26">D331&amp;J331&amp;E331&amp;F331&amp;G331</f>
        <v>PremiumSS5R5only</v>
      </c>
      <c r="D331" s="98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IFERROR(VLOOKUP(B331,input_509010!L:R,7,FALSE),VLOOKUP(tables_509010!C331,input_509010!A:H,8,FALSE))</f>
        <v>15980</v>
      </c>
      <c r="P331" s="46">
        <f t="shared" ref="P331:P335" ca="1" si="28">O331/SUM(O:O)</f>
        <v>2.5757575757575756E-4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input_509010!A$2</f>
        <v>509010</v>
      </c>
      <c r="B332" s="60">
        <v>1212</v>
      </c>
      <c r="C332" s="7" t="str">
        <f t="shared" si="26"/>
        <v>PremiumSS5R5only</v>
      </c>
      <c r="D332" s="98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IFERROR(VLOOKUP(B332,input_509010!L:R,7,FALSE),VLOOKUP(tables_509010!C332,input_509010!A:H,8,FALSE))</f>
        <v>15980</v>
      </c>
      <c r="P332" s="46">
        <f t="shared" ca="1" si="28"/>
        <v>2.5757575757575756E-4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input_509010!A$2</f>
        <v>509010</v>
      </c>
      <c r="B333" s="60">
        <v>1208</v>
      </c>
      <c r="C333" s="7" t="str">
        <f t="shared" si="26"/>
        <v>PremiumSS5R5only</v>
      </c>
      <c r="D333" s="98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IFERROR(VLOOKUP(B333,input_509010!L:R,7,FALSE),VLOOKUP(tables_509010!C333,input_509010!A:H,8,FALSE))</f>
        <v>15980</v>
      </c>
      <c r="P333" s="46">
        <f t="shared" ca="1" si="28"/>
        <v>2.5757575757575756E-4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input_509010!A$2</f>
        <v>509010</v>
      </c>
      <c r="B334" s="93">
        <v>1210</v>
      </c>
      <c r="C334" s="7" t="str">
        <f t="shared" si="26"/>
        <v>Premium4R3less</v>
      </c>
      <c r="D334" s="98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IFERROR(VLOOKUP(B334,input_509010!L:R,7,FALSE),VLOOKUP(tables_509010!C334,input_509010!A:H,8,FALSE))</f>
        <v>513810</v>
      </c>
      <c r="P334" s="46">
        <f t="shared" ca="1" si="28"/>
        <v>8.281914893617022E-3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input_509010!A$2</f>
        <v>509010</v>
      </c>
      <c r="B335" s="60">
        <v>1211</v>
      </c>
      <c r="C335" s="7" t="str">
        <f t="shared" si="26"/>
        <v>Premium5R3less</v>
      </c>
      <c r="D335" s="98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IFERROR(VLOOKUP(B335,input_509010!L:R,7,FALSE),VLOOKUP(tables_509010!C335,input_509010!A:H,8,FALSE))</f>
        <v>42817.5</v>
      </c>
      <c r="P335" s="46">
        <f t="shared" ca="1" si="28"/>
        <v>6.9015957446808506E-4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input_509010!A$2</f>
        <v>509010</v>
      </c>
      <c r="B336" s="60">
        <v>1228</v>
      </c>
      <c r="C336" s="7" t="str">
        <f t="shared" ref="C336:C340" si="29">D336&amp;J336&amp;E336&amp;F336&amp;G336</f>
        <v>PremiumSS5R5only</v>
      </c>
      <c r="D336" s="98" t="str">
        <f t="shared" ref="D336:D340" si="3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IFERROR(VLOOKUP(B336,input_509010!L:R,7,FALSE),VLOOKUP(tables_509010!C336,input_509010!A:H,8,FALSE))</f>
        <v>15980</v>
      </c>
      <c r="P336" s="46">
        <f t="shared" ref="P336:P340" ca="1" si="31">O336/SUM(O:O)</f>
        <v>2.5757575757575756E-4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input_509010!A$2</f>
        <v>509010</v>
      </c>
      <c r="B337" s="60">
        <v>1226</v>
      </c>
      <c r="C337" s="7" t="str">
        <f t="shared" si="29"/>
        <v>PremiumSS5R5only</v>
      </c>
      <c r="D337" s="98" t="str">
        <f t="shared" si="3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IFERROR(VLOOKUP(B337,input_509010!L:R,7,FALSE),VLOOKUP(tables_509010!C337,input_509010!A:H,8,FALSE))</f>
        <v>15980</v>
      </c>
      <c r="P337" s="46">
        <f t="shared" ca="1" si="31"/>
        <v>2.5757575757575756E-4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input_509010!A$2</f>
        <v>509010</v>
      </c>
      <c r="B338" s="60">
        <v>1230</v>
      </c>
      <c r="C338" s="7" t="str">
        <f t="shared" si="29"/>
        <v>PremiumSS5R5only</v>
      </c>
      <c r="D338" s="98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IFERROR(VLOOKUP(B338,input_509010!L:R,7,FALSE),VLOOKUP(tables_509010!C338,input_509010!A:H,8,FALSE))</f>
        <v>15980</v>
      </c>
      <c r="P338" s="46">
        <f t="shared" ca="1" si="31"/>
        <v>2.5757575757575756E-4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input_509010!A$2</f>
        <v>509010</v>
      </c>
      <c r="B339" s="93">
        <v>1224</v>
      </c>
      <c r="C339" s="7" t="str">
        <f t="shared" si="29"/>
        <v>Premium4R3less</v>
      </c>
      <c r="D339" s="98" t="str">
        <f t="shared" si="3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IFERROR(VLOOKUP(B339,input_509010!L:R,7,FALSE),VLOOKUP(tables_509010!C339,input_509010!A:H,8,FALSE))</f>
        <v>513810</v>
      </c>
      <c r="P339" s="46">
        <f t="shared" ca="1" si="31"/>
        <v>8.281914893617022E-3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input_509010!A$2</f>
        <v>509010</v>
      </c>
      <c r="B340" s="60">
        <v>1225</v>
      </c>
      <c r="C340" s="7" t="str">
        <f t="shared" si="29"/>
        <v>Premium5R3less</v>
      </c>
      <c r="D340" s="98" t="str">
        <f t="shared" si="3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IFERROR(VLOOKUP(B340,input_509010!L:R,7,FALSE),VLOOKUP(tables_509010!C340,input_509010!A:H,8,FALSE))</f>
        <v>42817.5</v>
      </c>
      <c r="P340" s="46">
        <f t="shared" ca="1" si="31"/>
        <v>6.9015957446808506E-4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input_509010!A$2</f>
        <v>509010</v>
      </c>
      <c r="B341" s="1">
        <v>1250</v>
      </c>
      <c r="C341" s="7" t="str">
        <f t="shared" ref="C341:C345" si="32">D341&amp;J341&amp;E341&amp;F341&amp;G341</f>
        <v>PremiumSS5R5only</v>
      </c>
      <c r="D341" s="98" t="str">
        <f t="shared" ref="D341:D345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IFERROR(VLOOKUP(B341,input_509010!L:R,7,FALSE),VLOOKUP(tables_509010!C341,input_509010!A:H,8,FALSE))</f>
        <v>15980</v>
      </c>
      <c r="P341" s="46">
        <f t="shared" ref="P341:P345" ca="1" si="34">O341/SUM(O:O)</f>
        <v>2.5757575757575756E-4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input_509010!A$2</f>
        <v>509010</v>
      </c>
      <c r="B342" s="1">
        <v>1244</v>
      </c>
      <c r="C342" s="7" t="str">
        <f t="shared" si="32"/>
        <v>PremiumSS5R5only</v>
      </c>
      <c r="D342" s="98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IFERROR(VLOOKUP(B342,input_509010!L:R,7,FALSE),VLOOKUP(tables_509010!C342,input_509010!A:H,8,FALSE))</f>
        <v>15980</v>
      </c>
      <c r="P342" s="46">
        <f t="shared" ca="1" si="34"/>
        <v>2.5757575757575756E-4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input_509010!A$2</f>
        <v>509010</v>
      </c>
      <c r="B343" s="1">
        <v>1246</v>
      </c>
      <c r="C343" s="7" t="str">
        <f t="shared" si="32"/>
        <v>PremiumSS5R5only</v>
      </c>
      <c r="D343" s="98" t="str">
        <f t="shared" si="3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IFERROR(VLOOKUP(B343,input_509010!L:R,7,FALSE),VLOOKUP(tables_509010!C343,input_509010!A:H,8,FALSE))</f>
        <v>15980</v>
      </c>
      <c r="P343" s="46">
        <f t="shared" ca="1" si="34"/>
        <v>2.5757575757575756E-4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input_509010!A$2</f>
        <v>509010</v>
      </c>
      <c r="B344" s="1">
        <v>1248</v>
      </c>
      <c r="C344" s="7" t="str">
        <f t="shared" si="32"/>
        <v>Premium4R3less</v>
      </c>
      <c r="D344" s="98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IFERROR(VLOOKUP(B344,input_509010!L:R,7,FALSE),VLOOKUP(tables_509010!C344,input_509010!A:H,8,FALSE))</f>
        <v>513810</v>
      </c>
      <c r="P344" s="46">
        <f t="shared" ca="1" si="34"/>
        <v>8.281914893617022E-3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input_509010!A$2</f>
        <v>509010</v>
      </c>
      <c r="B345" s="1">
        <v>1249</v>
      </c>
      <c r="C345" s="7" t="str">
        <f t="shared" si="32"/>
        <v>Premium5R3less</v>
      </c>
      <c r="D345" s="98" t="str">
        <f t="shared" si="3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IFERROR(VLOOKUP(B345,input_509010!L:R,7,FALSE),VLOOKUP(tables_509010!C345,input_509010!A:H,8,FALSE))</f>
        <v>42817.5</v>
      </c>
      <c r="P345" s="46">
        <f t="shared" ca="1" si="34"/>
        <v>6.9015957446808506E-4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input_509010!A$2</f>
        <v>509010</v>
      </c>
      <c r="B346" s="1">
        <v>1260</v>
      </c>
      <c r="C346" s="7" t="str">
        <f t="shared" ref="C346:C348" si="35">D346&amp;J346&amp;E346&amp;F346&amp;G346</f>
        <v>PremiumSS5R5only</v>
      </c>
      <c r="D346" s="98" t="str">
        <f t="shared" ref="D346:D348" si="3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>IFERROR(VLOOKUP(B346,input_509010!L:R,7,FALSE),VLOOKUP(tables_509010!C346,input_509010!A:H,8,FALSE))</f>
        <v>744480</v>
      </c>
      <c r="P346" s="46">
        <f t="shared" ref="P346:P348" ca="1" si="37">O346/SUM(O:O)</f>
        <v>1.2E-2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input_509010!A$2</f>
        <v>509010</v>
      </c>
      <c r="B347" s="1">
        <v>1262</v>
      </c>
      <c r="C347" s="7" t="str">
        <f t="shared" si="35"/>
        <v>PremiumSS5R5only</v>
      </c>
      <c r="D347" s="98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>IFERROR(VLOOKUP(B347,input_509010!L:R,7,FALSE),VLOOKUP(tables_509010!C347,input_509010!A:H,8,FALSE))</f>
        <v>558360</v>
      </c>
      <c r="P347" s="46">
        <f t="shared" ca="1" si="37"/>
        <v>8.9999999999999993E-3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input_509010!A$2</f>
        <v>509010</v>
      </c>
      <c r="B348" s="1">
        <v>1264</v>
      </c>
      <c r="C348" s="7" t="str">
        <f t="shared" si="35"/>
        <v>PremiumSS5R5only</v>
      </c>
      <c r="D348" s="98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>IFERROR(VLOOKUP(B348,input_509010!L:R,7,FALSE),VLOOKUP(tables_509010!C348,input_509010!A:H,8,FALSE))</f>
        <v>744480</v>
      </c>
      <c r="P348" s="46">
        <f t="shared" ca="1" si="37"/>
        <v>1.2E-2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input_509010!A$2</f>
        <v>509010</v>
      </c>
      <c r="B349" s="1">
        <v>1266</v>
      </c>
      <c r="C349" s="7" t="str">
        <f t="shared" ref="C349" si="38">D349&amp;J349&amp;E349&amp;F349&amp;G349</f>
        <v>Premium4R3less</v>
      </c>
      <c r="D349" s="98" t="str">
        <f t="shared" ref="D349" si="39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>IFERROR(VLOOKUP(B349,input_509010!L:R,7,FALSE),VLOOKUP(tables_509010!C349,input_509010!A:H,8,FALSE))</f>
        <v>4877895.0000000009</v>
      </c>
      <c r="P349" s="46">
        <f t="shared" ref="P349" ca="1" si="40">O349/SUM(O:O)</f>
        <v>7.8625000000000014E-2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input_509010!A$2</f>
        <v>509010</v>
      </c>
      <c r="B350" s="1">
        <v>1267</v>
      </c>
      <c r="C350" s="7" t="str">
        <f t="shared" ref="C350" si="41">D350&amp;J350&amp;E350&amp;F350&amp;G350</f>
        <v>Premium5R3less</v>
      </c>
      <c r="D350" s="98" t="str">
        <f t="shared" ref="D350" si="42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>IFERROR(VLOOKUP(B350,input_509010!L:R,7,FALSE),VLOOKUP(tables_509010!C350,input_509010!A:H,8,FALSE))</f>
        <v>395504.99999999948</v>
      </c>
      <c r="P350" s="46">
        <f t="shared" ref="P350" ca="1" si="43">O350/SUM(O:O)</f>
        <v>6.3749999999999918E-3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E37" sqref="E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1260</v>
      </c>
      <c r="M3" s="37" t="str">
        <f>VLOOKUP(L3,[1]characters!$A:$C,3,FALSE)</f>
        <v>トール</v>
      </c>
      <c r="N3" s="63">
        <v>1.2E-2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VLOOKUP(L3,tables_509100!B:C,2,FALSE)</f>
        <v>PremiumSS5R5only</v>
      </c>
      <c r="R3" s="62">
        <f t="shared" ref="R3:R20" si="1">N3*A$36</f>
        <v>744480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1262</v>
      </c>
      <c r="M4" s="37" t="str">
        <f>VLOOKUP(L4,[1]characters!$A:$C,3,FALSE)</f>
        <v>イズン</v>
      </c>
      <c r="N4" s="63">
        <v>8.9999999999999993E-3</v>
      </c>
      <c r="O4" s="37">
        <f>VLOOKUP(L4,[1]characters!$A:$I,9,FALSE)</f>
        <v>5</v>
      </c>
      <c r="P4" s="37" t="str">
        <f>VLOOKUP(L4,[1]characters!$A:$J,10,FALSE)</f>
        <v>PremiumSSw</v>
      </c>
      <c r="Q4" s="37" t="str">
        <f>VLOOKUP(L4,tables_509100!B:C,2,FALSE)</f>
        <v>PremiumSS5R5only</v>
      </c>
      <c r="R4" s="62">
        <f t="shared" si="1"/>
        <v>558360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2.5757575757575762E-4</v>
      </c>
      <c r="F5">
        <f>(COUNTIF(tables_509100!C:C,input_509100!A28)+COUNTIF(tables_509100!C:C,input_509100!A29))</f>
        <v>69</v>
      </c>
      <c r="H5" s="84">
        <v>3.3000000000000002E-2</v>
      </c>
      <c r="I5" s="31">
        <v>3</v>
      </c>
      <c r="L5" s="1">
        <v>1264</v>
      </c>
      <c r="M5" s="37" t="str">
        <f>VLOOKUP(L5,[1]characters!$A:$C,3,FALSE)</f>
        <v>ウルズ</v>
      </c>
      <c r="N5" s="63">
        <v>1.2E-2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VLOOKUP(L5,tables_509100!B:C,2,FALSE)</f>
        <v>PremiumSS5R5only</v>
      </c>
      <c r="R5" s="62">
        <f t="shared" si="1"/>
        <v>744480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0.92500000000000004</v>
      </c>
      <c r="D6" t="s">
        <v>202</v>
      </c>
      <c r="E6" s="76">
        <f>(B10-H6)/(F6-I6)</f>
        <v>9.2021276595744671E-3</v>
      </c>
      <c r="F6">
        <f>(COUNTIF(tables_509100!C:C,input_509100!A25)+COUNTIF(tables_509100!C:C,input_509100!A18)+COUNTIF(tables_509100!C:C,input_509100!A20)+COUNTIF(tables_509100!C:C,input_509100!A22))</f>
        <v>95</v>
      </c>
      <c r="H6" s="89">
        <v>8.5000000000000006E-2</v>
      </c>
      <c r="I6" s="31">
        <v>1</v>
      </c>
      <c r="L6" s="1">
        <v>1266</v>
      </c>
      <c r="M6" s="37" t="str">
        <f>VLOOKUP(L6,[1]characters!$A:$C,3,FALSE)</f>
        <v>ガルム</v>
      </c>
      <c r="N6" s="63">
        <f>0.085*0.925</f>
        <v>7.8625000000000014E-2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VLOOKUP(L6,tables_509100!B:C,2,FALSE)</f>
        <v>Premium4R3less</v>
      </c>
      <c r="R6" s="62">
        <f t="shared" si="1"/>
        <v>4877895.0000000009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1">
        <v>1267</v>
      </c>
      <c r="M7" s="37" t="str">
        <f>VLOOKUP(L7,[1]characters!$A:$C,3,FALSE)</f>
        <v>不遜の冥番犬 ガルム</v>
      </c>
      <c r="N7" s="63">
        <f>0.085-N6</f>
        <v>6.3749999999999918E-3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VLOOKUP(L7,tables_509100!B:C,2,FALSE)</f>
        <v>Premium5R3less</v>
      </c>
      <c r="R7" s="62">
        <f t="shared" si="1"/>
        <v>395504.99999999948</v>
      </c>
      <c r="S7">
        <v>597</v>
      </c>
      <c r="U7" s="33" t="s">
        <v>196</v>
      </c>
      <c r="V7" s="54">
        <f t="shared" si="0"/>
        <v>7.8625000000000014E-2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6.3749999999999918E-3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3.3000000000000002E-2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COUNTIF(tables_509100!C:C,input_509100!A17)-COUNTIF(Q:Q,A17)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B6-SUM(B20,B22,B25,B27,B30,C22)</f>
        <v>0.21395910702772414</v>
      </c>
      <c r="C18" s="85">
        <f t="shared" si="2"/>
        <v>0</v>
      </c>
      <c r="D18" s="74">
        <f t="shared" si="3"/>
        <v>0.21395910702772414</v>
      </c>
      <c r="E18">
        <f>COUNTIF(tables_509100!C:C,input_509100!A18)-COUNTIF(Q:Q,A18)</f>
        <v>20</v>
      </c>
      <c r="F18" s="43">
        <f>IFERROR(B18/E18,0)</f>
        <v>1.0697955351386207E-2</v>
      </c>
      <c r="G18">
        <f t="shared" si="4"/>
        <v>13274023.000000006</v>
      </c>
      <c r="H18">
        <f t="shared" si="5"/>
        <v>663701.15</v>
      </c>
      <c r="I18">
        <f t="shared" si="6"/>
        <v>0.15000000002328306</v>
      </c>
      <c r="J18">
        <f t="shared" si="7"/>
        <v>6.6666666656318636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COUNTIF(tables_509100!C:C,input_509100!A19)-COUNTIF(Q:Q,A19)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0.44262234042553189</v>
      </c>
      <c r="C20" s="85">
        <f t="shared" si="2"/>
        <v>0</v>
      </c>
      <c r="D20" s="74">
        <f t="shared" si="3"/>
        <v>0.44262234042553189</v>
      </c>
      <c r="E20">
        <f>COUNTIF(tables_509100!C:C,input_509100!A20)-COUNTIF(Q:Q,A20)</f>
        <v>52</v>
      </c>
      <c r="F20" s="43">
        <f t="shared" si="8"/>
        <v>8.511968085106382E-3</v>
      </c>
      <c r="G20">
        <f t="shared" si="4"/>
        <v>27460290</v>
      </c>
      <c r="H20">
        <f t="shared" si="5"/>
        <v>528082.5</v>
      </c>
      <c r="I20">
        <f t="shared" si="6"/>
        <v>0.5</v>
      </c>
      <c r="J20">
        <f t="shared" si="7"/>
        <v>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</f>
        <v>5.9717440361057375E-3</v>
      </c>
      <c r="C21" s="85">
        <f t="shared" si="2"/>
        <v>0</v>
      </c>
      <c r="D21" s="74">
        <f t="shared" si="3"/>
        <v>5.9717440361057375E-3</v>
      </c>
      <c r="E21">
        <f>COUNTIF(tables_509100!C:C,input_509100!A21)-COUNTIF(Q:Q,A21)</f>
        <v>52</v>
      </c>
      <c r="F21" s="43">
        <f t="shared" si="8"/>
        <v>1.1484123146357188E-4</v>
      </c>
      <c r="G21">
        <f t="shared" si="4"/>
        <v>370486.99999999994</v>
      </c>
      <c r="H21">
        <f t="shared" si="5"/>
        <v>7124.75</v>
      </c>
      <c r="I21">
        <f t="shared" si="6"/>
        <v>0.75</v>
      </c>
      <c r="J21">
        <f t="shared" si="7"/>
        <v>1.3333333333333333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0.14907446808510638</v>
      </c>
      <c r="C22" s="85">
        <f t="shared" si="2"/>
        <v>7.8625000000000014E-2</v>
      </c>
      <c r="D22" s="74">
        <f t="shared" si="3"/>
        <v>7.0449468085106368E-2</v>
      </c>
      <c r="E22">
        <f>COUNTIF(tables_509100!C:C,input_509100!A22)-COUNTIF(Q:Q,A22)</f>
        <v>18</v>
      </c>
      <c r="F22" s="43">
        <f t="shared" si="8"/>
        <v>8.281914893617022E-3</v>
      </c>
      <c r="G22">
        <f t="shared" si="4"/>
        <v>9248580</v>
      </c>
      <c r="H22">
        <f t="shared" si="5"/>
        <v>513810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1.6563829787234041E-2</v>
      </c>
      <c r="C23" s="85">
        <f t="shared" si="2"/>
        <v>6.3749999999999918E-3</v>
      </c>
      <c r="D23" s="74">
        <f t="shared" si="3"/>
        <v>1.0188829787234049E-2</v>
      </c>
      <c r="E23">
        <f>COUNTIF(tables_509100!C:C,input_509100!A23)-COUNTIF(Q:Q,A23)</f>
        <v>24</v>
      </c>
      <c r="F23" s="43">
        <f t="shared" si="8"/>
        <v>6.9015957446808506E-4</v>
      </c>
      <c r="G23">
        <f t="shared" si="4"/>
        <v>1027619.9999999999</v>
      </c>
      <c r="H23">
        <f t="shared" si="5"/>
        <v>42817.5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COUNTIF(tables_509100!C:C,input_509100!A24)-COUNTIF(Q:Q,A24)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3.4047872340425528E-2</v>
      </c>
      <c r="C25" s="85">
        <f t="shared" si="2"/>
        <v>0</v>
      </c>
      <c r="D25" s="74">
        <f t="shared" si="3"/>
        <v>3.4047872340425528E-2</v>
      </c>
      <c r="E25">
        <f>COUNTIF(tables_509100!C:C,input_509100!A25)-COUNTIF(Q:Q,A25)</f>
        <v>4</v>
      </c>
      <c r="F25" s="43">
        <f t="shared" si="8"/>
        <v>8.511968085106382E-3</v>
      </c>
      <c r="G25">
        <f t="shared" si="4"/>
        <v>2112329.9999999995</v>
      </c>
      <c r="H25">
        <f t="shared" si="5"/>
        <v>528082.5</v>
      </c>
      <c r="I25">
        <f t="shared" si="6"/>
        <v>0.5</v>
      </c>
      <c r="J25">
        <f t="shared" si="7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2.7606382978723402E-3</v>
      </c>
      <c r="C26" s="85">
        <f t="shared" si="2"/>
        <v>0</v>
      </c>
      <c r="D26" s="74">
        <f t="shared" si="3"/>
        <v>2.7606382978723402E-3</v>
      </c>
      <c r="E26">
        <f>COUNTIF(tables_509100!C:C,input_509100!A26)-COUNTIF(Q:Q,A26)</f>
        <v>4</v>
      </c>
      <c r="F26" s="43">
        <f t="shared" si="8"/>
        <v>6.9015957446808506E-4</v>
      </c>
      <c r="G26">
        <f t="shared" si="4"/>
        <v>171270</v>
      </c>
      <c r="H26">
        <f t="shared" si="5"/>
        <v>42817.5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6.6712121212121221E-3</v>
      </c>
      <c r="C27" s="85">
        <f t="shared" si="2"/>
        <v>0</v>
      </c>
      <c r="D27" s="74">
        <f t="shared" si="3"/>
        <v>6.6712121212121221E-3</v>
      </c>
      <c r="E27">
        <f>COUNTIF(tables_509100!C:C,input_509100!A27)-COUNTIF(Q:Q,A27)</f>
        <v>28</v>
      </c>
      <c r="F27" s="43">
        <f>IFERROR(B27/E27,0)</f>
        <v>2.3825757575757578E-4</v>
      </c>
      <c r="G27">
        <f t="shared" si="4"/>
        <v>413882.00000000006</v>
      </c>
      <c r="H27">
        <f t="shared" si="5"/>
        <v>14781.5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5.4090909090909092E-4</v>
      </c>
      <c r="C28" s="85">
        <f t="shared" si="2"/>
        <v>0</v>
      </c>
      <c r="D28" s="74">
        <f t="shared" si="3"/>
        <v>5.4090909090909092E-4</v>
      </c>
      <c r="E28">
        <f>COUNTIF(tables_509100!C:C,input_509100!A28)-COUNTIF(Q:Q,A28)</f>
        <v>28</v>
      </c>
      <c r="F28" s="43">
        <f t="shared" si="8"/>
        <v>1.9318181818181818E-5</v>
      </c>
      <c r="G28">
        <f t="shared" si="4"/>
        <v>33558</v>
      </c>
      <c r="H28">
        <f t="shared" si="5"/>
        <v>1198.5</v>
      </c>
      <c r="I28">
        <f t="shared" si="6"/>
        <v>0.5</v>
      </c>
      <c r="J28">
        <f t="shared" si="7"/>
        <v>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9.7878787878787898E-3</v>
      </c>
      <c r="C29" s="85">
        <f t="shared" si="2"/>
        <v>3.3000000000000002E-2</v>
      </c>
      <c r="D29" s="74">
        <f t="shared" si="3"/>
        <v>-2.3212121212121212E-2</v>
      </c>
      <c r="E29">
        <f>COUNTIF(tables_509100!C:C,input_509100!A29)-COUNTIF(Q:Q,A29)</f>
        <v>38</v>
      </c>
      <c r="F29" s="43">
        <f t="shared" si="8"/>
        <v>2.5757575757575762E-4</v>
      </c>
      <c r="G29">
        <f t="shared" si="4"/>
        <v>607240.00000000012</v>
      </c>
      <c r="H29">
        <f t="shared" si="5"/>
        <v>15980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COUNTIF(tables_509100!C:C,input_509100!A30)-COUNTIF(Q:Q,A30)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COUNTIF(tables_509100!C:C,input_509100!A31)-COUNTIF(Q:Q,A31)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0.88200000000000012</v>
      </c>
      <c r="C32" s="41">
        <f>SUM(C19:C31)</f>
        <v>0.11800000000000001</v>
      </c>
      <c r="D32" s="42">
        <f t="shared" si="3"/>
        <v>0.76400000000000012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SUMIF(tables_509100!C:C,input_509100!A40,tables_509100!O:O)</f>
        <v>0</v>
      </c>
      <c r="C40" s="54">
        <f t="shared" ref="C40:C46" ca="1" si="9">B40/B$47</f>
        <v>0</v>
      </c>
      <c r="E40">
        <v>3</v>
      </c>
      <c r="F40">
        <f ca="1">SUMIF(tables_509100!J:J,input_509100!E40,tables_509100!O:O)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SUMIF(tables_509100!C:C,input_509100!A41,tables_509100!O:O)</f>
        <v>27460290</v>
      </c>
      <c r="C41" s="54">
        <f t="shared" ca="1" si="9"/>
        <v>0.97107572234840689</v>
      </c>
      <c r="E41">
        <v>4</v>
      </c>
      <c r="F41">
        <f ca="1">SUMIF(tables_509100!J:J,input_509100!E41,tables_509100!O:O)</f>
        <v>57387000</v>
      </c>
      <c r="G41">
        <f ca="1">F41/A36</f>
        <v>0.92500000000000004</v>
      </c>
    </row>
    <row r="42" spans="1:7" x14ac:dyDescent="0.15">
      <c r="A42" s="33" t="s">
        <v>106</v>
      </c>
      <c r="B42">
        <f ca="1">SUMIF(tables_509100!C:C,input_509100!A42,tables_509100!O:O)</f>
        <v>413882</v>
      </c>
      <c r="C42" s="54">
        <f t="shared" ca="1" si="9"/>
        <v>1.4636071291199159E-2</v>
      </c>
      <c r="E42">
        <v>5</v>
      </c>
      <c r="F42">
        <f ca="1">SUMIF(tables_509100!J:J,input_509100!E42,tables_509100!O:O)</f>
        <v>4652999.9999999991</v>
      </c>
      <c r="G42">
        <f ca="1">F42/A36</f>
        <v>7.4999999999999983E-2</v>
      </c>
    </row>
    <row r="43" spans="1:7" x14ac:dyDescent="0.15">
      <c r="A43" s="33" t="s">
        <v>109</v>
      </c>
      <c r="B43">
        <f>SUMIF(tables_509100!C:C,input_509100!A43,tables_509100!O:O)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SUMIF(tables_509100!C:C,input_509100!A44,tables_509100!O:O)</f>
        <v>370487</v>
      </c>
      <c r="C44" s="54">
        <f t="shared" ca="1" si="9"/>
        <v>1.3101497877323736E-2</v>
      </c>
      <c r="E44" t="s">
        <v>54</v>
      </c>
      <c r="F44" s="55"/>
    </row>
    <row r="45" spans="1:7" x14ac:dyDescent="0.15">
      <c r="A45" s="33" t="s">
        <v>107</v>
      </c>
      <c r="B45">
        <f ca="1">SUMIF(tables_509100!C:C,input_509100!A45,tables_509100!O:O)</f>
        <v>33558</v>
      </c>
      <c r="C45" s="54">
        <f t="shared" ca="1" si="9"/>
        <v>1.186708483070202E-3</v>
      </c>
      <c r="E45" t="s">
        <v>204</v>
      </c>
      <c r="F45" s="55">
        <f ca="1">SUMIF(tables_509100!I:I,input_509100!E45,tables_509100!P:P)</f>
        <v>0.21810006447453259</v>
      </c>
    </row>
    <row r="46" spans="1:7" x14ac:dyDescent="0.15">
      <c r="A46" s="33" t="s">
        <v>108</v>
      </c>
      <c r="B46">
        <f>SUMIF(tables_509100!C:C,input_509100!A46,tables_509100!O:O)</f>
        <v>0</v>
      </c>
      <c r="C46" s="54">
        <f t="shared" ca="1" si="9"/>
        <v>0</v>
      </c>
      <c r="E46" t="s">
        <v>205</v>
      </c>
      <c r="F46" s="55">
        <f ca="1">SUMIF(tables_509100!I:I,input_509100!E46,tables_509100!P:P)</f>
        <v>0.17426214136041268</v>
      </c>
    </row>
    <row r="47" spans="1:7" x14ac:dyDescent="0.15">
      <c r="A47" s="39" t="s">
        <v>59</v>
      </c>
      <c r="B47">
        <f ca="1">SUM(B40:B46)</f>
        <v>28278217</v>
      </c>
      <c r="C47" s="55">
        <f ca="1">SUM(C40:C46)</f>
        <v>1</v>
      </c>
      <c r="E47" t="s">
        <v>206</v>
      </c>
      <c r="F47" s="55">
        <f ca="1">SUMIF(tables_509100!I:I,input_509100!E47,tables_509100!P:P)</f>
        <v>0.5576377941650551</v>
      </c>
    </row>
    <row r="48" spans="1:7" x14ac:dyDescent="0.15">
      <c r="E48" t="s">
        <v>207</v>
      </c>
      <c r="F48" s="55">
        <f ca="1">SUMIF(tables_509100!I:I,input_509100!E48,tables_509100!P:P)</f>
        <v>3.9196969696969675E-2</v>
      </c>
    </row>
    <row r="49" spans="5:6" x14ac:dyDescent="0.15">
      <c r="E49" t="s">
        <v>252</v>
      </c>
      <c r="F49" s="55">
        <f ca="1">SUMIF(tables_509100!I:I,input_509100!E49,tables_509100!P:P)</f>
        <v>1.0803030303030302E-2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327" activePane="bottomLeft" state="frozen"/>
      <selection activeCell="D34" sqref="D34"/>
      <selection pane="bottomLeft" activeCell="B346" sqref="B346:B35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input_509100!A$2</f>
        <v>509100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IFERROR(VLOOKUP(B2,input_509100!L:R,7,FALSE),VLOOKUP(tables_509100!C2,input_509100!A:H,8,FALSE))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input_509100!A$2</f>
        <v>509100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IFERROR(VLOOKUP(B3,input_509100!L:R,7,FALSE),VLOOKUP(tables_509100!C3,input_509100!A:H,8,FALSE))</f>
        <v>663701.15</v>
      </c>
      <c r="P3" s="46">
        <f t="shared" ca="1" si="1"/>
        <v>1.0697955351386203E-2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input_509100!A$2</f>
        <v>509100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IFERROR(VLOOKUP(B4,input_509100!L:R,7,FALSE),VLOOKUP(tables_509100!C4,input_509100!A:H,8,FALSE))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input_509100!A$2</f>
        <v>509100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IFERROR(VLOOKUP(B5,input_509100!L:R,7,FALSE),VLOOKUP(tables_509100!C5,input_509100!A:H,8,FALSE))</f>
        <v>663701.15</v>
      </c>
      <c r="P5" s="46">
        <f t="shared" ca="1" si="1"/>
        <v>1.0697955351386203E-2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input_509100!A$2</f>
        <v>509100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IFERROR(VLOOKUP(B6,input_509100!L:R,7,FALSE),VLOOKUP(tables_509100!C6,input_509100!A:H,8,FALSE))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input_509100!A$2</f>
        <v>509100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IFERROR(VLOOKUP(B7,input_509100!L:R,7,FALSE),VLOOKUP(tables_509100!C7,input_509100!A:H,8,FALSE))</f>
        <v>663701.15</v>
      </c>
      <c r="P7" s="46">
        <f t="shared" ca="1" si="1"/>
        <v>1.0697955351386203E-2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input_509100!A$2</f>
        <v>509100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IFERROR(VLOOKUP(B8,input_509100!L:R,7,FALSE),VLOOKUP(tables_509100!C8,input_509100!A:H,8,FALSE))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input_509100!A$2</f>
        <v>509100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IFERROR(VLOOKUP(B9,input_509100!L:R,7,FALSE),VLOOKUP(tables_509100!C9,input_509100!A:H,8,FALSE))</f>
        <v>663701.15</v>
      </c>
      <c r="P9" s="46">
        <f t="shared" ca="1" si="1"/>
        <v>1.0697955351386203E-2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input_509100!A$2</f>
        <v>509100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IFERROR(VLOOKUP(B10,input_509100!L:R,7,FALSE),VLOOKUP(tables_509100!C10,input_509100!A:H,8,FALSE))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input_509100!A$2</f>
        <v>509100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IFERROR(VLOOKUP(B11,input_509100!L:R,7,FALSE),VLOOKUP(tables_509100!C11,input_509100!A:H,8,FALSE))</f>
        <v>663701.15</v>
      </c>
      <c r="P11" s="46">
        <f t="shared" ca="1" si="1"/>
        <v>1.0697955351386203E-2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input_509100!A$2</f>
        <v>509100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IFERROR(VLOOKUP(B12,input_509100!L:R,7,FALSE),VLOOKUP(tables_509100!C12,input_509100!A:H,8,FALSE))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input_509100!A$2</f>
        <v>509100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IFERROR(VLOOKUP(B13,input_509100!L:R,7,FALSE),VLOOKUP(tables_509100!C13,input_509100!A:H,8,FALSE))</f>
        <v>663701.15</v>
      </c>
      <c r="P13" s="46">
        <f t="shared" ca="1" si="1"/>
        <v>1.0697955351386203E-2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input_509100!A$2</f>
        <v>509100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IFERROR(VLOOKUP(B14,input_509100!L:R,7,FALSE),VLOOKUP(tables_509100!C14,input_509100!A:H,8,FALSE))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input_509100!A$2</f>
        <v>509100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IFERROR(VLOOKUP(B15,input_509100!L:R,7,FALSE),VLOOKUP(tables_509100!C15,input_509100!A:H,8,FALSE))</f>
        <v>663701.15</v>
      </c>
      <c r="P15" s="46">
        <f t="shared" ca="1" si="1"/>
        <v>1.0697955351386203E-2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input_509100!A$2</f>
        <v>509100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IFERROR(VLOOKUP(B16,input_509100!L:R,7,FALSE),VLOOKUP(tables_509100!C16,input_509100!A:H,8,FALSE))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input_509100!A$2</f>
        <v>509100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IFERROR(VLOOKUP(B17,input_509100!L:R,7,FALSE),VLOOKUP(tables_509100!C17,input_509100!A:H,8,FALSE))</f>
        <v>663701.15</v>
      </c>
      <c r="P17" s="46">
        <f t="shared" ca="1" si="1"/>
        <v>1.0697955351386203E-2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input_509100!A$2</f>
        <v>509100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IFERROR(VLOOKUP(B18,input_509100!L:R,7,FALSE),VLOOKUP(tables_509100!C18,input_509100!A:H,8,FALSE))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input_509100!A$2</f>
        <v>509100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IFERROR(VLOOKUP(B19,input_509100!L:R,7,FALSE),VLOOKUP(tables_509100!C19,input_509100!A:H,8,FALSE))</f>
        <v>663701.15</v>
      </c>
      <c r="P19" s="46">
        <f t="shared" ca="1" si="1"/>
        <v>1.0697955351386203E-2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input_509100!A$2</f>
        <v>509100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IFERROR(VLOOKUP(B20,input_509100!L:R,7,FALSE),VLOOKUP(tables_509100!C20,input_509100!A:H,8,FALSE))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input_509100!A$2</f>
        <v>509100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IFERROR(VLOOKUP(B21,input_509100!L:R,7,FALSE),VLOOKUP(tables_509100!C21,input_509100!A:H,8,FALSE))</f>
        <v>663701.15</v>
      </c>
      <c r="P21" s="46">
        <f t="shared" ca="1" si="1"/>
        <v>1.0697955351386203E-2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input_509100!A$2</f>
        <v>509100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IFERROR(VLOOKUP(B22,input_509100!L:R,7,FALSE),VLOOKUP(tables_509100!C22,input_509100!A:H,8,FALSE))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input_509100!A$2</f>
        <v>509100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IFERROR(VLOOKUP(B23,input_509100!L:R,7,FALSE),VLOOKUP(tables_509100!C23,input_509100!A:H,8,FALSE))</f>
        <v>663701.15</v>
      </c>
      <c r="P23" s="46">
        <f t="shared" ca="1" si="1"/>
        <v>1.0697955351386203E-2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input_509100!A$2</f>
        <v>509100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IFERROR(VLOOKUP(B24,input_509100!L:R,7,FALSE),VLOOKUP(tables_509100!C24,input_509100!A:H,8,FALSE))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input_509100!A$2</f>
        <v>509100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IFERROR(VLOOKUP(B25,input_509100!L:R,7,FALSE),VLOOKUP(tables_509100!C25,input_509100!A:H,8,FALSE))</f>
        <v>663701.15</v>
      </c>
      <c r="P25" s="46">
        <f t="shared" ca="1" si="1"/>
        <v>1.0697955351386203E-2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input_509100!A$2</f>
        <v>509100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IFERROR(VLOOKUP(B26,input_509100!L:R,7,FALSE),VLOOKUP(tables_509100!C26,input_509100!A:H,8,FALSE))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input_509100!A$2</f>
        <v>509100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IFERROR(VLOOKUP(B27,input_509100!L:R,7,FALSE),VLOOKUP(tables_509100!C27,input_509100!A:H,8,FALSE))</f>
        <v>663701.15</v>
      </c>
      <c r="P27" s="46">
        <f t="shared" ca="1" si="1"/>
        <v>1.0697955351386203E-2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input_509100!A$2</f>
        <v>509100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IFERROR(VLOOKUP(B28,input_509100!L:R,7,FALSE),VLOOKUP(tables_509100!C28,input_509100!A:H,8,FALSE))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input_509100!A$2</f>
        <v>509100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IFERROR(VLOOKUP(B29,input_509100!L:R,7,FALSE),VLOOKUP(tables_509100!C29,input_509100!A:H,8,FALSE))</f>
        <v>663701.15</v>
      </c>
      <c r="P29" s="46">
        <f t="shared" ca="1" si="1"/>
        <v>1.0697955351386203E-2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input_509100!A$2</f>
        <v>509100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IFERROR(VLOOKUP(B30,input_509100!L:R,7,FALSE),VLOOKUP(tables_509100!C30,input_509100!A:H,8,FALSE))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input_509100!A$2</f>
        <v>509100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IFERROR(VLOOKUP(B31,input_509100!L:R,7,FALSE),VLOOKUP(tables_509100!C31,input_509100!A:H,8,FALSE))</f>
        <v>663701.15</v>
      </c>
      <c r="P31" s="46">
        <f t="shared" ca="1" si="1"/>
        <v>1.0697955351386203E-2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input_509100!A$2</f>
        <v>509100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IFERROR(VLOOKUP(B32,input_509100!L:R,7,FALSE),VLOOKUP(tables_509100!C32,input_509100!A:H,8,FALSE))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input_509100!A$2</f>
        <v>509100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IFERROR(VLOOKUP(B33,input_509100!L:R,7,FALSE),VLOOKUP(tables_509100!C33,input_509100!A:H,8,FALSE))</f>
        <v>663701.15</v>
      </c>
      <c r="P33" s="46">
        <f t="shared" ca="1" si="1"/>
        <v>1.0697955351386203E-2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input_509100!A$2</f>
        <v>509100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IFERROR(VLOOKUP(B34,input_509100!L:R,7,FALSE),VLOOKUP(tables_509100!C34,input_509100!A:H,8,FALSE))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input_509100!A$2</f>
        <v>509100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IFERROR(VLOOKUP(B35,input_509100!L:R,7,FALSE),VLOOKUP(tables_509100!C35,input_509100!A:H,8,FALSE))</f>
        <v>663701.15</v>
      </c>
      <c r="P35" s="46">
        <f t="shared" ca="1" si="1"/>
        <v>1.0697955351386203E-2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input_509100!A$2</f>
        <v>509100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IFERROR(VLOOKUP(B36,input_509100!L:R,7,FALSE),VLOOKUP(tables_509100!C36,input_509100!A:H,8,FALSE))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input_509100!A$2</f>
        <v>509100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IFERROR(VLOOKUP(B37,input_509100!L:R,7,FALSE),VLOOKUP(tables_509100!C37,input_509100!A:H,8,FALSE))</f>
        <v>663701.15</v>
      </c>
      <c r="P37" s="46">
        <f t="shared" ca="1" si="1"/>
        <v>1.0697955351386203E-2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input_509100!A$2</f>
        <v>509100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IFERROR(VLOOKUP(B38,input_509100!L:R,7,FALSE),VLOOKUP(tables_509100!C38,input_509100!A:H,8,FALSE))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input_509100!A$2</f>
        <v>509100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IFERROR(VLOOKUP(B39,input_509100!L:R,7,FALSE),VLOOKUP(tables_509100!C39,input_509100!A:H,8,FALSE))</f>
        <v>663701.15</v>
      </c>
      <c r="P39" s="46">
        <f t="shared" ca="1" si="1"/>
        <v>1.0697955351386203E-2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input_509100!A$2</f>
        <v>509100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IFERROR(VLOOKUP(B40,input_509100!L:R,7,FALSE),VLOOKUP(tables_509100!C40,input_509100!A:H,8,FALSE))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input_509100!A$2</f>
        <v>509100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IFERROR(VLOOKUP(B41,input_509100!L:R,7,FALSE),VLOOKUP(tables_509100!C41,input_509100!A:H,8,FALSE))</f>
        <v>663701.15</v>
      </c>
      <c r="P41" s="46">
        <f t="shared" ca="1" si="1"/>
        <v>1.0697955351386203E-2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input_509100!A$2</f>
        <v>509100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IFERROR(VLOOKUP(B42,input_509100!L:R,7,FALSE),VLOOKUP(tables_509100!C42,input_509100!A:H,8,FALSE))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input_509100!A$2</f>
        <v>509100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IFERROR(VLOOKUP(B43,input_509100!L:R,7,FALSE),VLOOKUP(tables_509100!C43,input_509100!A:H,8,FALSE))</f>
        <v>528082.5</v>
      </c>
      <c r="P43" s="46">
        <f t="shared" ca="1" si="1"/>
        <v>8.5119680851063837E-3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input_509100!A$2</f>
        <v>509100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IFERROR(VLOOKUP(B44,input_509100!L:R,7,FALSE),VLOOKUP(tables_509100!C44,input_509100!A:H,8,FALSE))</f>
        <v>42817.5</v>
      </c>
      <c r="P44" s="46">
        <f t="shared" ca="1" si="1"/>
        <v>6.9015957446808506E-4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input_509100!A$2</f>
        <v>509100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IFERROR(VLOOKUP(B45,input_509100!L:R,7,FALSE),VLOOKUP(tables_509100!C45,input_509100!A:H,8,FALSE))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input_509100!A$2</f>
        <v>509100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IFERROR(VLOOKUP(B46,input_509100!L:R,7,FALSE),VLOOKUP(tables_509100!C46,input_509100!A:H,8,FALSE))</f>
        <v>528082.5</v>
      </c>
      <c r="P46" s="46">
        <f t="shared" ca="1" si="1"/>
        <v>8.5119680851063837E-3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input_509100!A$2</f>
        <v>509100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IFERROR(VLOOKUP(B47,input_509100!L:R,7,FALSE),VLOOKUP(tables_509100!C47,input_509100!A:H,8,FALSE))</f>
        <v>42817.5</v>
      </c>
      <c r="P47" s="46">
        <f t="shared" ca="1" si="1"/>
        <v>6.9015957446808506E-4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input_509100!A$2</f>
        <v>509100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IFERROR(VLOOKUP(B48,input_509100!L:R,7,FALSE),VLOOKUP(tables_509100!C48,input_509100!A:H,8,FALSE))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input_509100!A$2</f>
        <v>509100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IFERROR(VLOOKUP(B49,input_509100!L:R,7,FALSE),VLOOKUP(tables_509100!C49,input_509100!A:H,8,FALSE))</f>
        <v>528082.5</v>
      </c>
      <c r="P49" s="46">
        <f t="shared" ca="1" si="1"/>
        <v>8.5119680851063837E-3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input_509100!A$2</f>
        <v>509100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IFERROR(VLOOKUP(B50,input_509100!L:R,7,FALSE),VLOOKUP(tables_509100!C50,input_509100!A:H,8,FALSE))</f>
        <v>42817.5</v>
      </c>
      <c r="P50" s="46">
        <f t="shared" ca="1" si="1"/>
        <v>6.9015957446808506E-4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input_509100!A$2</f>
        <v>509100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IFERROR(VLOOKUP(B51,input_509100!L:R,7,FALSE),VLOOKUP(tables_509100!C51,input_509100!A:H,8,FALSE))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input_509100!A$2</f>
        <v>509100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IFERROR(VLOOKUP(B52,input_509100!L:R,7,FALSE),VLOOKUP(tables_509100!C52,input_509100!A:H,8,FALSE))</f>
        <v>528082.5</v>
      </c>
      <c r="P52" s="46">
        <f t="shared" ca="1" si="1"/>
        <v>8.5119680851063837E-3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input_509100!A$2</f>
        <v>509100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IFERROR(VLOOKUP(B53,input_509100!L:R,7,FALSE),VLOOKUP(tables_509100!C53,input_509100!A:H,8,FALSE))</f>
        <v>7124.75</v>
      </c>
      <c r="P53" s="46">
        <f t="shared" ca="1" si="1"/>
        <v>1.1484123146357189E-4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input_509100!A$2</f>
        <v>509100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IFERROR(VLOOKUP(B54,input_509100!L:R,7,FALSE),VLOOKUP(tables_509100!C54,input_509100!A:H,8,FALSE))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input_509100!A$2</f>
        <v>509100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IFERROR(VLOOKUP(B55,input_509100!L:R,7,FALSE),VLOOKUP(tables_509100!C55,input_509100!A:H,8,FALSE))</f>
        <v>528082.5</v>
      </c>
      <c r="P55" s="46">
        <f t="shared" ca="1" si="1"/>
        <v>8.5119680851063837E-3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input_509100!A$2</f>
        <v>509100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IFERROR(VLOOKUP(B56,input_509100!L:R,7,FALSE),VLOOKUP(tables_509100!C56,input_509100!A:H,8,FALSE))</f>
        <v>7124.75</v>
      </c>
      <c r="P56" s="46">
        <f t="shared" ca="1" si="1"/>
        <v>1.1484123146357189E-4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input_509100!A$2</f>
        <v>509100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IFERROR(VLOOKUP(B57,input_509100!L:R,7,FALSE),VLOOKUP(tables_509100!C57,input_509100!A:H,8,FALSE))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input_509100!A$2</f>
        <v>509100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IFERROR(VLOOKUP(B58,input_509100!L:R,7,FALSE),VLOOKUP(tables_509100!C58,input_509100!A:H,8,FALSE))</f>
        <v>528082.5</v>
      </c>
      <c r="P58" s="46">
        <f t="shared" ca="1" si="1"/>
        <v>8.5119680851063837E-3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input_509100!A$2</f>
        <v>509100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IFERROR(VLOOKUP(B59,input_509100!L:R,7,FALSE),VLOOKUP(tables_509100!C59,input_509100!A:H,8,FALSE))</f>
        <v>7124.75</v>
      </c>
      <c r="P59" s="46">
        <f t="shared" ca="1" si="1"/>
        <v>1.1484123146357189E-4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input_509100!A$2</f>
        <v>509100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IFERROR(VLOOKUP(B60,input_509100!L:R,7,FALSE),VLOOKUP(tables_509100!C60,input_509100!A:H,8,FALSE))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input_509100!A$2</f>
        <v>509100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IFERROR(VLOOKUP(B61,input_509100!L:R,7,FALSE),VLOOKUP(tables_509100!C61,input_509100!A:H,8,FALSE))</f>
        <v>528082.5</v>
      </c>
      <c r="P61" s="46">
        <f t="shared" ca="1" si="1"/>
        <v>8.5119680851063837E-3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input_509100!A$2</f>
        <v>509100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IFERROR(VLOOKUP(B62,input_509100!L:R,7,FALSE),VLOOKUP(tables_509100!C62,input_509100!A:H,8,FALSE))</f>
        <v>7124.75</v>
      </c>
      <c r="P62" s="46">
        <f t="shared" ca="1" si="1"/>
        <v>1.1484123146357189E-4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input_509100!A$2</f>
        <v>509100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IFERROR(VLOOKUP(B63,input_509100!L:R,7,FALSE),VLOOKUP(tables_509100!C63,input_509100!A:H,8,FALSE))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input_509100!A$2</f>
        <v>509100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IFERROR(VLOOKUP(B64,input_509100!L:R,7,FALSE),VLOOKUP(tables_509100!C64,input_509100!A:H,8,FALSE))</f>
        <v>528082.5</v>
      </c>
      <c r="P64" s="46">
        <f t="shared" ca="1" si="1"/>
        <v>8.5119680851063837E-3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input_509100!A$2</f>
        <v>509100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IFERROR(VLOOKUP(B65,input_509100!L:R,7,FALSE),VLOOKUP(tables_509100!C65,input_509100!A:H,8,FALSE))</f>
        <v>7124.75</v>
      </c>
      <c r="P65" s="46">
        <f t="shared" ca="1" si="1"/>
        <v>1.1484123146357189E-4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input_509100!A$2</f>
        <v>509100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IFERROR(VLOOKUP(B66,input_509100!L:R,7,FALSE),VLOOKUP(tables_509100!C66,input_509100!A:H,8,FALSE))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input_509100!A$2</f>
        <v>509100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IFERROR(VLOOKUP(B67,input_509100!L:R,7,FALSE),VLOOKUP(tables_509100!C67,input_509100!A:H,8,FALSE))</f>
        <v>528082.5</v>
      </c>
      <c r="P67" s="46">
        <f t="shared" ca="1" si="4"/>
        <v>8.5119680851063837E-3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input_509100!A$2</f>
        <v>509100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IFERROR(VLOOKUP(B68,input_509100!L:R,7,FALSE),VLOOKUP(tables_509100!C68,input_509100!A:H,8,FALSE))</f>
        <v>7124.75</v>
      </c>
      <c r="P68" s="46">
        <f t="shared" ca="1" si="4"/>
        <v>1.1484123146357189E-4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input_509100!A$2</f>
        <v>509100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IFERROR(VLOOKUP(B69,input_509100!L:R,7,FALSE),VLOOKUP(tables_509100!C69,input_509100!A:H,8,FALSE))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input_509100!A$2</f>
        <v>509100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IFERROR(VLOOKUP(B70,input_509100!L:R,7,FALSE),VLOOKUP(tables_509100!C70,input_509100!A:H,8,FALSE))</f>
        <v>528082.5</v>
      </c>
      <c r="P70" s="46">
        <f t="shared" ca="1" si="4"/>
        <v>8.5119680851063837E-3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input_509100!A$2</f>
        <v>509100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IFERROR(VLOOKUP(B71,input_509100!L:R,7,FALSE),VLOOKUP(tables_509100!C71,input_509100!A:H,8,FALSE))</f>
        <v>7124.75</v>
      </c>
      <c r="P71" s="46">
        <f t="shared" ca="1" si="4"/>
        <v>1.1484123146357189E-4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input_509100!A$2</f>
        <v>509100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IFERROR(VLOOKUP(B72,input_509100!L:R,7,FALSE),VLOOKUP(tables_509100!C72,input_509100!A:H,8,FALSE))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input_509100!A$2</f>
        <v>509100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IFERROR(VLOOKUP(B73,input_509100!L:R,7,FALSE),VLOOKUP(tables_509100!C73,input_509100!A:H,8,FALSE))</f>
        <v>528082.5</v>
      </c>
      <c r="P73" s="46">
        <f t="shared" ca="1" si="4"/>
        <v>8.5119680851063837E-3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input_509100!A$2</f>
        <v>509100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IFERROR(VLOOKUP(B74,input_509100!L:R,7,FALSE),VLOOKUP(tables_509100!C74,input_509100!A:H,8,FALSE))</f>
        <v>7124.75</v>
      </c>
      <c r="P74" s="46">
        <f t="shared" ca="1" si="4"/>
        <v>1.1484123146357189E-4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input_509100!A$2</f>
        <v>509100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IFERROR(VLOOKUP(B75,input_509100!L:R,7,FALSE),VLOOKUP(tables_509100!C75,input_509100!A:H,8,FALSE))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input_509100!A$2</f>
        <v>509100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IFERROR(VLOOKUP(B76,input_509100!L:R,7,FALSE),VLOOKUP(tables_509100!C76,input_509100!A:H,8,FALSE))</f>
        <v>528082.5</v>
      </c>
      <c r="P76" s="46">
        <f t="shared" ca="1" si="4"/>
        <v>8.5119680851063837E-3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input_509100!A$2</f>
        <v>509100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IFERROR(VLOOKUP(B77,input_509100!L:R,7,FALSE),VLOOKUP(tables_509100!C77,input_509100!A:H,8,FALSE))</f>
        <v>7124.75</v>
      </c>
      <c r="P77" s="46">
        <f t="shared" ca="1" si="4"/>
        <v>1.1484123146357189E-4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input_509100!A$2</f>
        <v>509100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IFERROR(VLOOKUP(B78,input_509100!L:R,7,FALSE),VLOOKUP(tables_509100!C78,input_509100!A:H,8,FALSE))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input_509100!A$2</f>
        <v>509100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IFERROR(VLOOKUP(B79,input_509100!L:R,7,FALSE),VLOOKUP(tables_509100!C79,input_509100!A:H,8,FALSE))</f>
        <v>528082.5</v>
      </c>
      <c r="P79" s="46">
        <f t="shared" ca="1" si="4"/>
        <v>8.5119680851063837E-3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input_509100!A$2</f>
        <v>509100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IFERROR(VLOOKUP(B80,input_509100!L:R,7,FALSE),VLOOKUP(tables_509100!C80,input_509100!A:H,8,FALSE))</f>
        <v>7124.75</v>
      </c>
      <c r="P80" s="46">
        <f t="shared" ca="1" si="4"/>
        <v>1.1484123146357189E-4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input_509100!A$2</f>
        <v>509100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IFERROR(VLOOKUP(B81,input_509100!L:R,7,FALSE),VLOOKUP(tables_509100!C81,input_509100!A:H,8,FALSE))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input_509100!A$2</f>
        <v>509100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IFERROR(VLOOKUP(B82,input_509100!L:R,7,FALSE),VLOOKUP(tables_509100!C82,input_509100!A:H,8,FALSE))</f>
        <v>528082.5</v>
      </c>
      <c r="P82" s="46">
        <f t="shared" ca="1" si="4"/>
        <v>8.5119680851063837E-3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input_509100!A$2</f>
        <v>509100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IFERROR(VLOOKUP(B83,input_509100!L:R,7,FALSE),VLOOKUP(tables_509100!C83,input_509100!A:H,8,FALSE))</f>
        <v>7124.75</v>
      </c>
      <c r="P83" s="46">
        <f t="shared" ca="1" si="4"/>
        <v>1.1484123146357189E-4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input_509100!A$2</f>
        <v>509100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IFERROR(VLOOKUP(B84,input_509100!L:R,7,FALSE),VLOOKUP(tables_509100!C84,input_509100!A:H,8,FALSE))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input_509100!A$2</f>
        <v>509100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IFERROR(VLOOKUP(B85,input_509100!L:R,7,FALSE),VLOOKUP(tables_509100!C85,input_509100!A:H,8,FALSE))</f>
        <v>528082.5</v>
      </c>
      <c r="P85" s="46">
        <f t="shared" ca="1" si="4"/>
        <v>8.5119680851063837E-3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input_509100!A$2</f>
        <v>509100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IFERROR(VLOOKUP(B86,input_509100!L:R,7,FALSE),VLOOKUP(tables_509100!C86,input_509100!A:H,8,FALSE))</f>
        <v>7124.75</v>
      </c>
      <c r="P86" s="46">
        <f t="shared" ca="1" si="4"/>
        <v>1.1484123146357189E-4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input_509100!A$2</f>
        <v>509100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IFERROR(VLOOKUP(B87,input_509100!L:R,7,FALSE),VLOOKUP(tables_509100!C87,input_509100!A:H,8,FALSE))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input_509100!A$2</f>
        <v>509100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IFERROR(VLOOKUP(B88,input_509100!L:R,7,FALSE),VLOOKUP(tables_509100!C88,input_509100!A:H,8,FALSE))</f>
        <v>528082.5</v>
      </c>
      <c r="P88" s="46">
        <f t="shared" ca="1" si="4"/>
        <v>8.5119680851063837E-3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input_509100!A$2</f>
        <v>509100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IFERROR(VLOOKUP(B89,input_509100!L:R,7,FALSE),VLOOKUP(tables_509100!C89,input_509100!A:H,8,FALSE))</f>
        <v>7124.75</v>
      </c>
      <c r="P89" s="46">
        <f t="shared" ca="1" si="4"/>
        <v>1.1484123146357189E-4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input_509100!A$2</f>
        <v>509100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IFERROR(VLOOKUP(B90,input_509100!L:R,7,FALSE),VLOOKUP(tables_509100!C90,input_509100!A:H,8,FALSE))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input_509100!A$2</f>
        <v>509100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IFERROR(VLOOKUP(B91,input_509100!L:R,7,FALSE),VLOOKUP(tables_509100!C91,input_509100!A:H,8,FALSE))</f>
        <v>528082.5</v>
      </c>
      <c r="P91" s="46">
        <f t="shared" ca="1" si="4"/>
        <v>8.5119680851063837E-3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input_509100!A$2</f>
        <v>509100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IFERROR(VLOOKUP(B92,input_509100!L:R,7,FALSE),VLOOKUP(tables_509100!C92,input_509100!A:H,8,FALSE))</f>
        <v>7124.75</v>
      </c>
      <c r="P92" s="46">
        <f t="shared" ca="1" si="4"/>
        <v>1.1484123146357189E-4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input_509100!A$2</f>
        <v>509100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IFERROR(VLOOKUP(B93,input_509100!L:R,7,FALSE),VLOOKUP(tables_509100!C93,input_509100!A:H,8,FALSE))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input_509100!A$2</f>
        <v>509100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IFERROR(VLOOKUP(B94,input_509100!L:R,7,FALSE),VLOOKUP(tables_509100!C94,input_509100!A:H,8,FALSE))</f>
        <v>528082.5</v>
      </c>
      <c r="P94" s="46">
        <f t="shared" ca="1" si="4"/>
        <v>8.5119680851063837E-3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input_509100!A$2</f>
        <v>509100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IFERROR(VLOOKUP(B95,input_509100!L:R,7,FALSE),VLOOKUP(tables_509100!C95,input_509100!A:H,8,FALSE))</f>
        <v>7124.75</v>
      </c>
      <c r="P95" s="46">
        <f t="shared" ca="1" si="4"/>
        <v>1.1484123146357189E-4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input_509100!A$2</f>
        <v>509100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IFERROR(VLOOKUP(B96,input_509100!L:R,7,FALSE),VLOOKUP(tables_509100!C96,input_509100!A:H,8,FALSE))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input_509100!A$2</f>
        <v>509100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IFERROR(VLOOKUP(B97,input_509100!L:R,7,FALSE),VLOOKUP(tables_509100!C97,input_509100!A:H,8,FALSE))</f>
        <v>528082.5</v>
      </c>
      <c r="P97" s="46">
        <f t="shared" ca="1" si="4"/>
        <v>8.5119680851063837E-3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input_509100!A$2</f>
        <v>509100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IFERROR(VLOOKUP(B98,input_509100!L:R,7,FALSE),VLOOKUP(tables_509100!C98,input_509100!A:H,8,FALSE))</f>
        <v>7124.75</v>
      </c>
      <c r="P98" s="46">
        <f t="shared" ca="1" si="4"/>
        <v>1.1484123146357189E-4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input_509100!A$2</f>
        <v>509100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IFERROR(VLOOKUP(B99,input_509100!L:R,7,FALSE),VLOOKUP(tables_509100!C99,input_509100!A:H,8,FALSE))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input_509100!A$2</f>
        <v>509100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IFERROR(VLOOKUP(B100,input_509100!L:R,7,FALSE),VLOOKUP(tables_509100!C100,input_509100!A:H,8,FALSE))</f>
        <v>528082.5</v>
      </c>
      <c r="P100" s="46">
        <f t="shared" ca="1" si="4"/>
        <v>8.5119680851063837E-3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input_509100!A$2</f>
        <v>509100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IFERROR(VLOOKUP(B101,input_509100!L:R,7,FALSE),VLOOKUP(tables_509100!C101,input_509100!A:H,8,FALSE))</f>
        <v>7124.75</v>
      </c>
      <c r="P101" s="46">
        <f t="shared" ca="1" si="4"/>
        <v>1.1484123146357189E-4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input_509100!A$2</f>
        <v>509100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IFERROR(VLOOKUP(B102,input_509100!L:R,7,FALSE),VLOOKUP(tables_509100!C102,input_509100!A:H,8,FALSE))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input_509100!A$2</f>
        <v>509100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IFERROR(VLOOKUP(B103,input_509100!L:R,7,FALSE),VLOOKUP(tables_509100!C103,input_509100!A:H,8,FALSE))</f>
        <v>528082.5</v>
      </c>
      <c r="P103" s="46">
        <f t="shared" ca="1" si="4"/>
        <v>8.5119680851063837E-3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input_509100!A$2</f>
        <v>509100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IFERROR(VLOOKUP(B104,input_509100!L:R,7,FALSE),VLOOKUP(tables_509100!C104,input_509100!A:H,8,FALSE))</f>
        <v>7124.75</v>
      </c>
      <c r="P104" s="46">
        <f t="shared" ca="1" si="4"/>
        <v>1.1484123146357189E-4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input_509100!A$2</f>
        <v>509100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IFERROR(VLOOKUP(B105,input_509100!L:R,7,FALSE),VLOOKUP(tables_509100!C105,input_509100!A:H,8,FALSE))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input_509100!A$2</f>
        <v>509100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IFERROR(VLOOKUP(B106,input_509100!L:R,7,FALSE),VLOOKUP(tables_509100!C106,input_509100!A:H,8,FALSE))</f>
        <v>528082.5</v>
      </c>
      <c r="P106" s="46">
        <f t="shared" ca="1" si="4"/>
        <v>8.5119680851063837E-3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input_509100!A$2</f>
        <v>509100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IFERROR(VLOOKUP(B107,input_509100!L:R,7,FALSE),VLOOKUP(tables_509100!C107,input_509100!A:H,8,FALSE))</f>
        <v>7124.75</v>
      </c>
      <c r="P107" s="46">
        <f t="shared" ca="1" si="4"/>
        <v>1.1484123146357189E-4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input_509100!A$2</f>
        <v>509100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IFERROR(VLOOKUP(B108,input_509100!L:R,7,FALSE),VLOOKUP(tables_509100!C108,input_509100!A:H,8,FALSE))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input_509100!A$2</f>
        <v>509100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IFERROR(VLOOKUP(B109,input_509100!L:R,7,FALSE),VLOOKUP(tables_509100!C109,input_509100!A:H,8,FALSE))</f>
        <v>528082.5</v>
      </c>
      <c r="P109" s="46">
        <f t="shared" ca="1" si="4"/>
        <v>8.5119680851063837E-3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input_509100!A$2</f>
        <v>509100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IFERROR(VLOOKUP(B110,input_509100!L:R,7,FALSE),VLOOKUP(tables_509100!C110,input_509100!A:H,8,FALSE))</f>
        <v>7124.75</v>
      </c>
      <c r="P110" s="46">
        <f t="shared" ca="1" si="4"/>
        <v>1.1484123146357189E-4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input_509100!A$2</f>
        <v>509100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IFERROR(VLOOKUP(B111,input_509100!L:R,7,FALSE),VLOOKUP(tables_509100!C111,input_509100!A:H,8,FALSE))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input_509100!A$2</f>
        <v>509100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IFERROR(VLOOKUP(B112,input_509100!L:R,7,FALSE),VLOOKUP(tables_509100!C112,input_509100!A:H,8,FALSE))</f>
        <v>528082.5</v>
      </c>
      <c r="P112" s="46">
        <f t="shared" ca="1" si="4"/>
        <v>8.5119680851063837E-3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input_509100!A$2</f>
        <v>509100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IFERROR(VLOOKUP(B113,input_509100!L:R,7,FALSE),VLOOKUP(tables_509100!C113,input_509100!A:H,8,FALSE))</f>
        <v>42817.5</v>
      </c>
      <c r="P113" s="46">
        <f t="shared" ca="1" si="4"/>
        <v>6.9015957446808506E-4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input_509100!A$2</f>
        <v>509100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IFERROR(VLOOKUP(B114,input_509100!L:R,7,FALSE),VLOOKUP(tables_509100!C114,input_509100!A:H,8,FALSE))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input_509100!A$2</f>
        <v>509100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IFERROR(VLOOKUP(B115,input_509100!L:R,7,FALSE),VLOOKUP(tables_509100!C115,input_509100!A:H,8,FALSE))</f>
        <v>528082.5</v>
      </c>
      <c r="P115" s="46">
        <f t="shared" ca="1" si="4"/>
        <v>8.5119680851063837E-3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input_509100!A$2</f>
        <v>509100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IFERROR(VLOOKUP(B116,input_509100!L:R,7,FALSE),VLOOKUP(tables_509100!C116,input_509100!A:H,8,FALSE))</f>
        <v>7124.75</v>
      </c>
      <c r="P116" s="46">
        <f t="shared" ca="1" si="4"/>
        <v>1.1484123146357189E-4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input_509100!A$2</f>
        <v>509100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IFERROR(VLOOKUP(B117,input_509100!L:R,7,FALSE),VLOOKUP(tables_509100!C117,input_509100!A:H,8,FALSE))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input_509100!A$2</f>
        <v>509100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IFERROR(VLOOKUP(B118,input_509100!L:R,7,FALSE),VLOOKUP(tables_509100!C118,input_509100!A:H,8,FALSE))</f>
        <v>528082.5</v>
      </c>
      <c r="P118" s="46">
        <f t="shared" ca="1" si="4"/>
        <v>8.5119680851063837E-3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input_509100!A$2</f>
        <v>509100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IFERROR(VLOOKUP(B119,input_509100!L:R,7,FALSE),VLOOKUP(tables_509100!C119,input_509100!A:H,8,FALSE))</f>
        <v>7124.75</v>
      </c>
      <c r="P119" s="46">
        <f t="shared" ca="1" si="4"/>
        <v>1.1484123146357189E-4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input_509100!A$2</f>
        <v>509100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IFERROR(VLOOKUP(B120,input_509100!L:R,7,FALSE),VLOOKUP(tables_509100!C120,input_509100!A:H,8,FALSE))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input_509100!A$2</f>
        <v>509100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IFERROR(VLOOKUP(B121,input_509100!L:R,7,FALSE),VLOOKUP(tables_509100!C121,input_509100!A:H,8,FALSE))</f>
        <v>528082.5</v>
      </c>
      <c r="P121" s="46">
        <f t="shared" ca="1" si="4"/>
        <v>8.5119680851063837E-3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input_509100!A$2</f>
        <v>509100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IFERROR(VLOOKUP(B122,input_509100!L:R,7,FALSE),VLOOKUP(tables_509100!C122,input_509100!A:H,8,FALSE))</f>
        <v>7124.75</v>
      </c>
      <c r="P122" s="46">
        <f t="shared" ca="1" si="4"/>
        <v>1.1484123146357189E-4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input_509100!A$2</f>
        <v>509100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IFERROR(VLOOKUP(B123,input_509100!L:R,7,FALSE),VLOOKUP(tables_509100!C123,input_509100!A:H,8,FALSE))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input_509100!A$2</f>
        <v>509100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IFERROR(VLOOKUP(B124,input_509100!L:R,7,FALSE),VLOOKUP(tables_509100!C124,input_509100!A:H,8,FALSE))</f>
        <v>528082.5</v>
      </c>
      <c r="P124" s="46">
        <f t="shared" ca="1" si="4"/>
        <v>8.5119680851063837E-3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input_509100!A$2</f>
        <v>509100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IFERROR(VLOOKUP(B125,input_509100!L:R,7,FALSE),VLOOKUP(tables_509100!C125,input_509100!A:H,8,FALSE))</f>
        <v>7124.75</v>
      </c>
      <c r="P125" s="46">
        <f t="shared" ca="1" si="4"/>
        <v>1.1484123146357189E-4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input_509100!A$2</f>
        <v>509100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IFERROR(VLOOKUP(B126,input_509100!L:R,7,FALSE),VLOOKUP(tables_509100!C126,input_509100!A:H,8,FALSE))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input_509100!A$2</f>
        <v>509100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IFERROR(VLOOKUP(B127,input_509100!L:R,7,FALSE),VLOOKUP(tables_509100!C127,input_509100!A:H,8,FALSE))</f>
        <v>528082.5</v>
      </c>
      <c r="P127" s="46">
        <f t="shared" ca="1" si="4"/>
        <v>8.5119680851063837E-3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input_509100!A$2</f>
        <v>509100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IFERROR(VLOOKUP(B128,input_509100!L:R,7,FALSE),VLOOKUP(tables_509100!C128,input_509100!A:H,8,FALSE))</f>
        <v>7124.75</v>
      </c>
      <c r="P128" s="46">
        <f t="shared" ca="1" si="4"/>
        <v>1.1484123146357189E-4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input_509100!A$2</f>
        <v>509100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IFERROR(VLOOKUP(B129,input_509100!L:R,7,FALSE),VLOOKUP(tables_509100!C129,input_509100!A:H,8,FALSE))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input_509100!A$2</f>
        <v>509100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IFERROR(VLOOKUP(B130,input_509100!L:R,7,FALSE),VLOOKUP(tables_509100!C130,input_509100!A:H,8,FALSE))</f>
        <v>528082.5</v>
      </c>
      <c r="P130" s="46">
        <f t="shared" ref="P130:P193" ca="1" si="7">O130/SUM(O:O)</f>
        <v>8.5119680851063837E-3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input_509100!A$2</f>
        <v>509100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IFERROR(VLOOKUP(B131,input_509100!L:R,7,FALSE),VLOOKUP(tables_509100!C131,input_509100!A:H,8,FALSE))</f>
        <v>7124.75</v>
      </c>
      <c r="P131" s="46">
        <f t="shared" ca="1" si="7"/>
        <v>1.1484123146357189E-4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input_509100!A$2</f>
        <v>509100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IFERROR(VLOOKUP(B132,input_509100!L:R,7,FALSE),VLOOKUP(tables_509100!C132,input_509100!A:H,8,FALSE))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input_509100!A$2</f>
        <v>509100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IFERROR(VLOOKUP(B133,input_509100!L:R,7,FALSE),VLOOKUP(tables_509100!C133,input_509100!A:H,8,FALSE))</f>
        <v>528082.5</v>
      </c>
      <c r="P133" s="46">
        <f t="shared" ca="1" si="7"/>
        <v>8.5119680851063837E-3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input_509100!A$2</f>
        <v>509100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IFERROR(VLOOKUP(B134,input_509100!L:R,7,FALSE),VLOOKUP(tables_509100!C134,input_509100!A:H,8,FALSE))</f>
        <v>7124.75</v>
      </c>
      <c r="P134" s="46">
        <f t="shared" ca="1" si="7"/>
        <v>1.1484123146357189E-4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input_509100!A$2</f>
        <v>509100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IFERROR(VLOOKUP(B135,input_509100!L:R,7,FALSE),VLOOKUP(tables_509100!C135,input_509100!A:H,8,FALSE))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input_509100!A$2</f>
        <v>509100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IFERROR(VLOOKUP(B136,input_509100!L:R,7,FALSE),VLOOKUP(tables_509100!C136,input_509100!A:H,8,FALSE))</f>
        <v>528082.5</v>
      </c>
      <c r="P136" s="46">
        <f t="shared" ca="1" si="7"/>
        <v>8.5119680851063837E-3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input_509100!A$2</f>
        <v>509100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IFERROR(VLOOKUP(B137,input_509100!L:R,7,FALSE),VLOOKUP(tables_509100!C137,input_509100!A:H,8,FALSE))</f>
        <v>7124.75</v>
      </c>
      <c r="P137" s="46">
        <f t="shared" ca="1" si="7"/>
        <v>1.1484123146357189E-4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input_509100!A$2</f>
        <v>509100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IFERROR(VLOOKUP(B138,input_509100!L:R,7,FALSE),VLOOKUP(tables_509100!C138,input_509100!A:H,8,FALSE))</f>
        <v>14781.5</v>
      </c>
      <c r="P138" s="46">
        <f t="shared" ca="1" si="7"/>
        <v>2.3825757575757575E-4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input_509100!A$2</f>
        <v>509100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IFERROR(VLOOKUP(B139,input_509100!L:R,7,FALSE),VLOOKUP(tables_509100!C139,input_509100!A:H,8,FALSE))</f>
        <v>1198.5</v>
      </c>
      <c r="P139" s="46">
        <f t="shared" ca="1" si="7"/>
        <v>1.9318181818181818E-5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input_509100!A$2</f>
        <v>509100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IFERROR(VLOOKUP(B140,input_509100!L:R,7,FALSE),VLOOKUP(tables_509100!C140,input_509100!A:H,8,FALSE))</f>
        <v>14781.5</v>
      </c>
      <c r="P140" s="46">
        <f t="shared" ca="1" si="7"/>
        <v>2.3825757575757575E-4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input_509100!A$2</f>
        <v>509100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IFERROR(VLOOKUP(B141,input_509100!L:R,7,FALSE),VLOOKUP(tables_509100!C141,input_509100!A:H,8,FALSE))</f>
        <v>1198.5</v>
      </c>
      <c r="P141" s="46">
        <f t="shared" ca="1" si="7"/>
        <v>1.9318181818181818E-5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input_509100!A$2</f>
        <v>509100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IFERROR(VLOOKUP(B142,input_509100!L:R,7,FALSE),VLOOKUP(tables_509100!C142,input_509100!A:H,8,FALSE))</f>
        <v>14781.5</v>
      </c>
      <c r="P142" s="46">
        <f t="shared" ca="1" si="7"/>
        <v>2.3825757575757575E-4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input_509100!A$2</f>
        <v>509100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IFERROR(VLOOKUP(B143,input_509100!L:R,7,FALSE),VLOOKUP(tables_509100!C143,input_509100!A:H,8,FALSE))</f>
        <v>1198.5</v>
      </c>
      <c r="P143" s="46">
        <f t="shared" ca="1" si="7"/>
        <v>1.9318181818181818E-5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input_509100!A$2</f>
        <v>509100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IFERROR(VLOOKUP(B144,input_509100!L:R,7,FALSE),VLOOKUP(tables_509100!C144,input_509100!A:H,8,FALSE))</f>
        <v>14781.5</v>
      </c>
      <c r="P144" s="46">
        <f t="shared" ca="1" si="7"/>
        <v>2.3825757575757575E-4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input_509100!A$2</f>
        <v>509100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IFERROR(VLOOKUP(B145,input_509100!L:R,7,FALSE),VLOOKUP(tables_509100!C145,input_509100!A:H,8,FALSE))</f>
        <v>1198.5</v>
      </c>
      <c r="P145" s="46">
        <f t="shared" ca="1" si="7"/>
        <v>1.9318181818181818E-5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input_509100!A$2</f>
        <v>509100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IFERROR(VLOOKUP(B146,input_509100!L:R,7,FALSE),VLOOKUP(tables_509100!C146,input_509100!A:H,8,FALSE))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input_509100!A$2</f>
        <v>509100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IFERROR(VLOOKUP(B147,input_509100!L:R,7,FALSE),VLOOKUP(tables_509100!C147,input_509100!A:H,8,FALSE))</f>
        <v>528082.5</v>
      </c>
      <c r="P147" s="46">
        <f t="shared" ca="1" si="7"/>
        <v>8.5119680851063837E-3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input_509100!A$2</f>
        <v>509100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IFERROR(VLOOKUP(B148,input_509100!L:R,7,FALSE),VLOOKUP(tables_509100!C148,input_509100!A:H,8,FALSE))</f>
        <v>7124.75</v>
      </c>
      <c r="P148" s="46">
        <f t="shared" ca="1" si="7"/>
        <v>1.1484123146357189E-4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input_509100!A$2</f>
        <v>509100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IFERROR(VLOOKUP(B149,input_509100!L:R,7,FALSE),VLOOKUP(tables_509100!C149,input_509100!A:H,8,FALSE))</f>
        <v>14781.5</v>
      </c>
      <c r="P149" s="46">
        <f t="shared" ca="1" si="7"/>
        <v>2.3825757575757575E-4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input_509100!A$2</f>
        <v>509100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IFERROR(VLOOKUP(B150,input_509100!L:R,7,FALSE),VLOOKUP(tables_509100!C150,input_509100!A:H,8,FALSE))</f>
        <v>1198.5</v>
      </c>
      <c r="P150" s="46">
        <f t="shared" ca="1" si="7"/>
        <v>1.9318181818181818E-5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input_509100!A$2</f>
        <v>509100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IFERROR(VLOOKUP(B151,input_509100!L:R,7,FALSE),VLOOKUP(tables_509100!C151,input_509100!A:H,8,FALSE))</f>
        <v>14781.5</v>
      </c>
      <c r="P151" s="46">
        <f t="shared" ca="1" si="7"/>
        <v>2.3825757575757575E-4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input_509100!A$2</f>
        <v>509100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IFERROR(VLOOKUP(B152,input_509100!L:R,7,FALSE),VLOOKUP(tables_509100!C152,input_509100!A:H,8,FALSE))</f>
        <v>1198.5</v>
      </c>
      <c r="P152" s="46">
        <f t="shared" ca="1" si="7"/>
        <v>1.9318181818181818E-5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input_509100!A$2</f>
        <v>509100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IFERROR(VLOOKUP(B153,input_509100!L:R,7,FALSE),VLOOKUP(tables_509100!C153,input_509100!A:H,8,FALSE))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input_509100!A$2</f>
        <v>509100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IFERROR(VLOOKUP(B154,input_509100!L:R,7,FALSE),VLOOKUP(tables_509100!C154,input_509100!A:H,8,FALSE))</f>
        <v>528082.5</v>
      </c>
      <c r="P154" s="46">
        <f t="shared" ca="1" si="7"/>
        <v>8.5119680851063837E-3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input_509100!A$2</f>
        <v>509100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IFERROR(VLOOKUP(B155,input_509100!L:R,7,FALSE),VLOOKUP(tables_509100!C155,input_509100!A:H,8,FALSE))</f>
        <v>7124.75</v>
      </c>
      <c r="P155" s="46">
        <f t="shared" ca="1" si="7"/>
        <v>1.1484123146357189E-4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input_509100!A$2</f>
        <v>509100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IFERROR(VLOOKUP(B156,input_509100!L:R,7,FALSE),VLOOKUP(tables_509100!C156,input_509100!A:H,8,FALSE))</f>
        <v>14781.5</v>
      </c>
      <c r="P156" s="46">
        <f t="shared" ca="1" si="7"/>
        <v>2.3825757575757575E-4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input_509100!A$2</f>
        <v>509100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IFERROR(VLOOKUP(B157,input_509100!L:R,7,FALSE),VLOOKUP(tables_509100!C157,input_509100!A:H,8,FALSE))</f>
        <v>1198.5</v>
      </c>
      <c r="P157" s="46">
        <f t="shared" ca="1" si="7"/>
        <v>1.9318181818181818E-5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input_509100!A$2</f>
        <v>509100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IFERROR(VLOOKUP(B158,input_509100!L:R,7,FALSE),VLOOKUP(tables_509100!C158,input_509100!A:H,8,FALSE))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input_509100!A$2</f>
        <v>509100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IFERROR(VLOOKUP(B159,input_509100!L:R,7,FALSE),VLOOKUP(tables_509100!C159,input_509100!A:H,8,FALSE))</f>
        <v>528082.5</v>
      </c>
      <c r="P159" s="46">
        <f t="shared" ca="1" si="7"/>
        <v>8.5119680851063837E-3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input_509100!A$2</f>
        <v>509100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IFERROR(VLOOKUP(B160,input_509100!L:R,7,FALSE),VLOOKUP(tables_509100!C160,input_509100!A:H,8,FALSE))</f>
        <v>7124.75</v>
      </c>
      <c r="P160" s="46">
        <f t="shared" ca="1" si="7"/>
        <v>1.1484123146357189E-4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input_509100!A$2</f>
        <v>509100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IFERROR(VLOOKUP(B161,input_509100!L:R,7,FALSE),VLOOKUP(tables_509100!C161,input_509100!A:H,8,FALSE))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input_509100!A$2</f>
        <v>509100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IFERROR(VLOOKUP(B162,input_509100!L:R,7,FALSE),VLOOKUP(tables_509100!C162,input_509100!A:H,8,FALSE))</f>
        <v>528082.5</v>
      </c>
      <c r="P162" s="46">
        <f t="shared" ca="1" si="7"/>
        <v>8.5119680851063837E-3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input_509100!A$2</f>
        <v>509100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IFERROR(VLOOKUP(B163,input_509100!L:R,7,FALSE),VLOOKUP(tables_509100!C163,input_509100!A:H,8,FALSE))</f>
        <v>7124.75</v>
      </c>
      <c r="P163" s="46">
        <f t="shared" ca="1" si="7"/>
        <v>1.1484123146357189E-4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input_509100!A$2</f>
        <v>509100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IFERROR(VLOOKUP(B164,input_509100!L:R,7,FALSE),VLOOKUP(tables_509100!C164,input_509100!A:H,8,FALSE))</f>
        <v>14781.5</v>
      </c>
      <c r="P164" s="46">
        <f t="shared" ca="1" si="7"/>
        <v>2.3825757575757575E-4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input_509100!A$2</f>
        <v>509100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IFERROR(VLOOKUP(B165,input_509100!L:R,7,FALSE),VLOOKUP(tables_509100!C165,input_509100!A:H,8,FALSE))</f>
        <v>1198.5</v>
      </c>
      <c r="P165" s="46">
        <f t="shared" ca="1" si="7"/>
        <v>1.9318181818181818E-5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input_509100!A$2</f>
        <v>509100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IFERROR(VLOOKUP(B166,input_509100!L:R,7,FALSE),VLOOKUP(tables_509100!C166,input_509100!A:H,8,FALSE))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input_509100!A$2</f>
        <v>509100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IFERROR(VLOOKUP(B167,input_509100!L:R,7,FALSE),VLOOKUP(tables_509100!C167,input_509100!A:H,8,FALSE))</f>
        <v>528082.5</v>
      </c>
      <c r="P167" s="46">
        <f t="shared" ca="1" si="7"/>
        <v>8.5119680851063837E-3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input_509100!A$2</f>
        <v>509100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IFERROR(VLOOKUP(B168,input_509100!L:R,7,FALSE),VLOOKUP(tables_509100!C168,input_509100!A:H,8,FALSE))</f>
        <v>7124.75</v>
      </c>
      <c r="P168" s="46">
        <f t="shared" ca="1" si="7"/>
        <v>1.1484123146357189E-4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input_509100!A$2</f>
        <v>509100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IFERROR(VLOOKUP(B169,input_509100!L:R,7,FALSE),VLOOKUP(tables_509100!C169,input_509100!A:H,8,FALSE))</f>
        <v>14781.5</v>
      </c>
      <c r="P169" s="46">
        <f t="shared" ca="1" si="7"/>
        <v>2.3825757575757575E-4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input_509100!A$2</f>
        <v>509100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IFERROR(VLOOKUP(B170,input_509100!L:R,7,FALSE),VLOOKUP(tables_509100!C170,input_509100!A:H,8,FALSE))</f>
        <v>1198.5</v>
      </c>
      <c r="P170" s="46">
        <f t="shared" ca="1" si="7"/>
        <v>1.9318181818181818E-5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input_509100!A$2</f>
        <v>509100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IFERROR(VLOOKUP(B171,input_509100!L:R,7,FALSE),VLOOKUP(tables_509100!C171,input_509100!A:H,8,FALSE))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input_509100!A$2</f>
        <v>509100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IFERROR(VLOOKUP(B172,input_509100!L:R,7,FALSE),VLOOKUP(tables_509100!C172,input_509100!A:H,8,FALSE))</f>
        <v>528082.5</v>
      </c>
      <c r="P172" s="46">
        <f t="shared" ca="1" si="7"/>
        <v>8.5119680851063837E-3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input_509100!A$2</f>
        <v>509100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IFERROR(VLOOKUP(B173,input_509100!L:R,7,FALSE),VLOOKUP(tables_509100!C173,input_509100!A:H,8,FALSE))</f>
        <v>7124.75</v>
      </c>
      <c r="P173" s="46">
        <f t="shared" ca="1" si="7"/>
        <v>1.1484123146357189E-4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input_509100!A$2</f>
        <v>509100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IFERROR(VLOOKUP(B174,input_509100!L:R,7,FALSE),VLOOKUP(tables_509100!C174,input_509100!A:H,8,FALSE))</f>
        <v>14781.5</v>
      </c>
      <c r="P174" s="46">
        <f t="shared" ca="1" si="7"/>
        <v>2.3825757575757575E-4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input_509100!A$2</f>
        <v>509100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IFERROR(VLOOKUP(B175,input_509100!L:R,7,FALSE),VLOOKUP(tables_509100!C175,input_509100!A:H,8,FALSE))</f>
        <v>1198.5</v>
      </c>
      <c r="P175" s="46">
        <f t="shared" ca="1" si="7"/>
        <v>1.9318181818181818E-5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input_509100!A$2</f>
        <v>509100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IFERROR(VLOOKUP(B176,input_509100!L:R,7,FALSE),VLOOKUP(tables_509100!C176,input_509100!A:H,8,FALSE))</f>
        <v>14781.5</v>
      </c>
      <c r="P176" s="46">
        <f t="shared" ca="1" si="7"/>
        <v>2.3825757575757575E-4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input_509100!A$2</f>
        <v>509100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IFERROR(VLOOKUP(B177,input_509100!L:R,7,FALSE),VLOOKUP(tables_509100!C177,input_509100!A:H,8,FALSE))</f>
        <v>1198.5</v>
      </c>
      <c r="P177" s="46">
        <f t="shared" ca="1" si="7"/>
        <v>1.9318181818181818E-5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input_509100!A$2</f>
        <v>509100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IFERROR(VLOOKUP(B178,input_509100!L:R,7,FALSE),VLOOKUP(tables_509100!C178,input_509100!A:H,8,FALSE))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input_509100!A$2</f>
        <v>509100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IFERROR(VLOOKUP(B179,input_509100!L:R,7,FALSE),VLOOKUP(tables_509100!C179,input_509100!A:H,8,FALSE))</f>
        <v>528082.5</v>
      </c>
      <c r="P179" s="46">
        <f t="shared" ca="1" si="7"/>
        <v>8.5119680851063837E-3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input_509100!A$2</f>
        <v>509100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IFERROR(VLOOKUP(B180,input_509100!L:R,7,FALSE),VLOOKUP(tables_509100!C180,input_509100!A:H,8,FALSE))</f>
        <v>7124.75</v>
      </c>
      <c r="P180" s="46">
        <f t="shared" ca="1" si="7"/>
        <v>1.1484123146357189E-4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input_509100!A$2</f>
        <v>509100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IFERROR(VLOOKUP(B181,input_509100!L:R,7,FALSE),VLOOKUP(tables_509100!C181,input_509100!A:H,8,FALSE))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input_509100!A$2</f>
        <v>509100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IFERROR(VLOOKUP(B182,input_509100!L:R,7,FALSE),VLOOKUP(tables_509100!C182,input_509100!A:H,8,FALSE))</f>
        <v>528082.5</v>
      </c>
      <c r="P182" s="46">
        <f t="shared" ca="1" si="7"/>
        <v>8.5119680851063837E-3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input_509100!A$2</f>
        <v>509100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IFERROR(VLOOKUP(B183,input_509100!L:R,7,FALSE),VLOOKUP(tables_509100!C183,input_509100!A:H,8,FALSE))</f>
        <v>7124.75</v>
      </c>
      <c r="P183" s="46">
        <f t="shared" ca="1" si="7"/>
        <v>1.1484123146357189E-4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input_509100!A$2</f>
        <v>509100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IFERROR(VLOOKUP(B184,input_509100!L:R,7,FALSE),VLOOKUP(tables_509100!C184,input_509100!A:H,8,FALSE))</f>
        <v>14781.5</v>
      </c>
      <c r="P184" s="46">
        <f t="shared" ca="1" si="7"/>
        <v>2.3825757575757575E-4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input_509100!A$2</f>
        <v>509100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IFERROR(VLOOKUP(B185,input_509100!L:R,7,FALSE),VLOOKUP(tables_509100!C185,input_509100!A:H,8,FALSE))</f>
        <v>1198.5</v>
      </c>
      <c r="P185" s="46">
        <f t="shared" ca="1" si="7"/>
        <v>1.9318181818181818E-5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input_509100!A$2</f>
        <v>509100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IFERROR(VLOOKUP(B186,input_509100!L:R,7,FALSE),VLOOKUP(tables_509100!C186,input_509100!A:H,8,FALSE))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input_509100!A$2</f>
        <v>509100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IFERROR(VLOOKUP(B187,input_509100!L:R,7,FALSE),VLOOKUP(tables_509100!C187,input_509100!A:H,8,FALSE))</f>
        <v>528082.5</v>
      </c>
      <c r="P187" s="46">
        <f t="shared" ca="1" si="7"/>
        <v>8.5119680851063837E-3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input_509100!A$2</f>
        <v>509100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IFERROR(VLOOKUP(B188,input_509100!L:R,7,FALSE),VLOOKUP(tables_509100!C188,input_509100!A:H,8,FALSE))</f>
        <v>7124.75</v>
      </c>
      <c r="P188" s="46">
        <f t="shared" ca="1" si="7"/>
        <v>1.1484123146357189E-4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input_509100!A$2</f>
        <v>509100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IFERROR(VLOOKUP(B189,input_509100!L:R,7,FALSE),VLOOKUP(tables_509100!C189,input_509100!A:H,8,FALSE))</f>
        <v>14781.5</v>
      </c>
      <c r="P189" s="46">
        <f t="shared" ca="1" si="7"/>
        <v>2.3825757575757575E-4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input_509100!A$2</f>
        <v>509100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IFERROR(VLOOKUP(B190,input_509100!L:R,7,FALSE),VLOOKUP(tables_509100!C190,input_509100!A:H,8,FALSE))</f>
        <v>1198.5</v>
      </c>
      <c r="P190" s="46">
        <f t="shared" ca="1" si="7"/>
        <v>1.9318181818181818E-5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input_509100!A$2</f>
        <v>509100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IFERROR(VLOOKUP(B191,input_509100!L:R,7,FALSE),VLOOKUP(tables_509100!C191,input_509100!A:H,8,FALSE))</f>
        <v>14781.5</v>
      </c>
      <c r="P191" s="46">
        <f t="shared" ca="1" si="7"/>
        <v>2.3825757575757575E-4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input_509100!A$2</f>
        <v>509100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IFERROR(VLOOKUP(B192,input_509100!L:R,7,FALSE),VLOOKUP(tables_509100!C192,input_509100!A:H,8,FALSE))</f>
        <v>1198.5</v>
      </c>
      <c r="P192" s="46">
        <f t="shared" ca="1" si="7"/>
        <v>1.9318181818181818E-5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input_509100!A$2</f>
        <v>509100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IFERROR(VLOOKUP(B193,input_509100!L:R,7,FALSE),VLOOKUP(tables_509100!C193,input_509100!A:H,8,FALSE))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input_509100!A$2</f>
        <v>509100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IFERROR(VLOOKUP(B194,input_509100!L:R,7,FALSE),VLOOKUP(tables_509100!C194,input_509100!A:H,8,FALSE))</f>
        <v>528082.5</v>
      </c>
      <c r="P194" s="46">
        <f t="shared" ref="P194:P257" ca="1" si="10">O194/SUM(O:O)</f>
        <v>8.5119680851063837E-3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input_509100!A$2</f>
        <v>509100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IFERROR(VLOOKUP(B195,input_509100!L:R,7,FALSE),VLOOKUP(tables_509100!C195,input_509100!A:H,8,FALSE))</f>
        <v>7124.75</v>
      </c>
      <c r="P195" s="46">
        <f t="shared" ca="1" si="10"/>
        <v>1.1484123146357189E-4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input_509100!A$2</f>
        <v>509100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IFERROR(VLOOKUP(B196,input_509100!L:R,7,FALSE),VLOOKUP(tables_509100!C196,input_509100!A:H,8,FALSE))</f>
        <v>14781.5</v>
      </c>
      <c r="P196" s="46">
        <f t="shared" ca="1" si="10"/>
        <v>2.3825757575757575E-4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input_509100!A$2</f>
        <v>509100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IFERROR(VLOOKUP(B197,input_509100!L:R,7,FALSE),VLOOKUP(tables_509100!C197,input_509100!A:H,8,FALSE))</f>
        <v>1198.5</v>
      </c>
      <c r="P197" s="46">
        <f t="shared" ca="1" si="10"/>
        <v>1.9318181818181818E-5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input_509100!A$2</f>
        <v>509100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IFERROR(VLOOKUP(B198,input_509100!L:R,7,FALSE),VLOOKUP(tables_509100!C198,input_509100!A:H,8,FALSE))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input_509100!A$2</f>
        <v>509100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IFERROR(VLOOKUP(B199,input_509100!L:R,7,FALSE),VLOOKUP(tables_509100!C199,input_509100!A:H,8,FALSE))</f>
        <v>528082.5</v>
      </c>
      <c r="P199" s="46">
        <f t="shared" ca="1" si="10"/>
        <v>8.5119680851063837E-3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input_509100!A$2</f>
        <v>509100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IFERROR(VLOOKUP(B200,input_509100!L:R,7,FALSE),VLOOKUP(tables_509100!C200,input_509100!A:H,8,FALSE))</f>
        <v>7124.75</v>
      </c>
      <c r="P200" s="46">
        <f t="shared" ca="1" si="10"/>
        <v>1.1484123146357189E-4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input_509100!A$2</f>
        <v>509100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IFERROR(VLOOKUP(B201,input_509100!L:R,7,FALSE),VLOOKUP(tables_509100!C201,input_509100!A:H,8,FALSE))</f>
        <v>14781.5</v>
      </c>
      <c r="P201" s="46">
        <f t="shared" ca="1" si="10"/>
        <v>2.3825757575757575E-4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input_509100!A$2</f>
        <v>509100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IFERROR(VLOOKUP(B202,input_509100!L:R,7,FALSE),VLOOKUP(tables_509100!C202,input_509100!A:H,8,FALSE))</f>
        <v>1198.5</v>
      </c>
      <c r="P202" s="46">
        <f t="shared" ca="1" si="10"/>
        <v>1.9318181818181818E-5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input_509100!A$2</f>
        <v>509100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IFERROR(VLOOKUP(B203,input_509100!L:R,7,FALSE),VLOOKUP(tables_509100!C203,input_509100!A:H,8,FALSE))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input_509100!A$2</f>
        <v>509100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IFERROR(VLOOKUP(B204,input_509100!L:R,7,FALSE),VLOOKUP(tables_509100!C204,input_509100!A:H,8,FALSE))</f>
        <v>528082.5</v>
      </c>
      <c r="P204" s="46">
        <f t="shared" ca="1" si="10"/>
        <v>8.5119680851063837E-3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input_509100!A$2</f>
        <v>509100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IFERROR(VLOOKUP(B205,input_509100!L:R,7,FALSE),VLOOKUP(tables_509100!C205,input_509100!A:H,8,FALSE))</f>
        <v>7124.75</v>
      </c>
      <c r="P205" s="46">
        <f t="shared" ca="1" si="10"/>
        <v>1.1484123146357189E-4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input_509100!A$2</f>
        <v>509100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IFERROR(VLOOKUP(B206,input_509100!L:R,7,FALSE),VLOOKUP(tables_509100!C206,input_509100!A:H,8,FALSE))</f>
        <v>14781.5</v>
      </c>
      <c r="P206" s="46">
        <f t="shared" ca="1" si="10"/>
        <v>2.3825757575757575E-4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input_509100!A$2</f>
        <v>509100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IFERROR(VLOOKUP(B207,input_509100!L:R,7,FALSE),VLOOKUP(tables_509100!C207,input_509100!A:H,8,FALSE))</f>
        <v>1198.5</v>
      </c>
      <c r="P207" s="46">
        <f t="shared" ca="1" si="10"/>
        <v>1.9318181818181818E-5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input_509100!A$2</f>
        <v>509100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IFERROR(VLOOKUP(B208,input_509100!L:R,7,FALSE),VLOOKUP(tables_509100!C208,input_509100!A:H,8,FALSE))</f>
        <v>14781.5</v>
      </c>
      <c r="P208" s="46">
        <f t="shared" ca="1" si="10"/>
        <v>2.3825757575757575E-4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input_509100!A$2</f>
        <v>509100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IFERROR(VLOOKUP(B209,input_509100!L:R,7,FALSE),VLOOKUP(tables_509100!C209,input_509100!A:H,8,FALSE))</f>
        <v>1198.5</v>
      </c>
      <c r="P209" s="46">
        <f t="shared" ca="1" si="10"/>
        <v>1.9318181818181818E-5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input_509100!A$2</f>
        <v>509100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IFERROR(VLOOKUP(B210,input_509100!L:R,7,FALSE),VLOOKUP(tables_509100!C210,input_509100!A:H,8,FALSE))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input_509100!A$2</f>
        <v>509100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IFERROR(VLOOKUP(B211,input_509100!L:R,7,FALSE),VLOOKUP(tables_509100!C211,input_509100!A:H,8,FALSE))</f>
        <v>528082.5</v>
      </c>
      <c r="P211" s="46">
        <f t="shared" ca="1" si="10"/>
        <v>8.5119680851063837E-3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input_509100!A$2</f>
        <v>509100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IFERROR(VLOOKUP(B212,input_509100!L:R,7,FALSE),VLOOKUP(tables_509100!C212,input_509100!A:H,8,FALSE))</f>
        <v>7124.75</v>
      </c>
      <c r="P212" s="46">
        <f t="shared" ca="1" si="10"/>
        <v>1.1484123146357189E-4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input_509100!A$2</f>
        <v>509100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IFERROR(VLOOKUP(B213,input_509100!L:R,7,FALSE),VLOOKUP(tables_509100!C213,input_509100!A:H,8,FALSE))</f>
        <v>14781.5</v>
      </c>
      <c r="P213" s="46">
        <f t="shared" ca="1" si="10"/>
        <v>2.3825757575757575E-4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input_509100!A$2</f>
        <v>509100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IFERROR(VLOOKUP(B214,input_509100!L:R,7,FALSE),VLOOKUP(tables_509100!C214,input_509100!A:H,8,FALSE))</f>
        <v>1198.5</v>
      </c>
      <c r="P214" s="46">
        <f t="shared" ca="1" si="10"/>
        <v>1.9318181818181818E-5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input_509100!A$2</f>
        <v>509100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IFERROR(VLOOKUP(B215,input_509100!L:R,7,FALSE),VLOOKUP(tables_509100!C215,input_509100!A:H,8,FALSE))</f>
        <v>42817.5</v>
      </c>
      <c r="P215" s="46">
        <f t="shared" ca="1" si="10"/>
        <v>6.9015957446808506E-4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input_509100!A$2</f>
        <v>509100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IFERROR(VLOOKUP(B216,input_509100!L:R,7,FALSE),VLOOKUP(tables_509100!C216,input_509100!A:H,8,FALSE))</f>
        <v>42817.5</v>
      </c>
      <c r="P216" s="46">
        <f t="shared" ca="1" si="10"/>
        <v>6.9015957446808506E-4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input_509100!A$2</f>
        <v>509100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IFERROR(VLOOKUP(B217,input_509100!L:R,7,FALSE),VLOOKUP(tables_509100!C217,input_509100!A:H,8,FALSE))</f>
        <v>42817.5</v>
      </c>
      <c r="P217" s="46">
        <f t="shared" ca="1" si="10"/>
        <v>6.9015957446808506E-4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input_509100!A$2</f>
        <v>509100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IFERROR(VLOOKUP(B218,input_509100!L:R,7,FALSE),VLOOKUP(tables_509100!C218,input_509100!A:H,8,FALSE))</f>
        <v>42817.5</v>
      </c>
      <c r="P218" s="46">
        <f t="shared" ca="1" si="10"/>
        <v>6.9015957446808506E-4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input_509100!A$2</f>
        <v>509100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IFERROR(VLOOKUP(B219,input_509100!L:R,7,FALSE),VLOOKUP(tables_509100!C219,input_509100!A:H,8,FALSE))</f>
        <v>42817.5</v>
      </c>
      <c r="P219" s="46">
        <f t="shared" ca="1" si="10"/>
        <v>6.9015957446808506E-4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input_509100!A$2</f>
        <v>509100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IFERROR(VLOOKUP(B220,input_509100!L:R,7,FALSE),VLOOKUP(tables_509100!C220,input_509100!A:H,8,FALSE))</f>
        <v>42817.5</v>
      </c>
      <c r="P220" s="46">
        <f t="shared" ca="1" si="10"/>
        <v>6.9015957446808506E-4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input_509100!A$2</f>
        <v>509100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IFERROR(VLOOKUP(B221,input_509100!L:R,7,FALSE),VLOOKUP(tables_509100!C221,input_509100!A:H,8,FALSE))</f>
        <v>14781.5</v>
      </c>
      <c r="P221" s="46">
        <f t="shared" ca="1" si="10"/>
        <v>2.3825757575757575E-4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input_509100!A$2</f>
        <v>509100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IFERROR(VLOOKUP(B222,input_509100!L:R,7,FALSE),VLOOKUP(tables_509100!C222,input_509100!A:H,8,FALSE))</f>
        <v>1198.5</v>
      </c>
      <c r="P222" s="46">
        <f t="shared" ca="1" si="10"/>
        <v>1.9318181818181818E-5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input_509100!A$2</f>
        <v>509100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IFERROR(VLOOKUP(B223,input_509100!L:R,7,FALSE),VLOOKUP(tables_509100!C223,input_509100!A:H,8,FALSE))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input_509100!A$2</f>
        <v>509100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IFERROR(VLOOKUP(B224,input_509100!L:R,7,FALSE),VLOOKUP(tables_509100!C224,input_509100!A:H,8,FALSE))</f>
        <v>528082.5</v>
      </c>
      <c r="P224" s="46">
        <f t="shared" ca="1" si="10"/>
        <v>8.5119680851063837E-3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input_509100!A$2</f>
        <v>509100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IFERROR(VLOOKUP(B225,input_509100!L:R,7,FALSE),VLOOKUP(tables_509100!C225,input_509100!A:H,8,FALSE))</f>
        <v>7124.75</v>
      </c>
      <c r="P225" s="46">
        <f t="shared" ca="1" si="10"/>
        <v>1.1484123146357189E-4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input_509100!A$2</f>
        <v>509100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IFERROR(VLOOKUP(B226,input_509100!L:R,7,FALSE),VLOOKUP(tables_509100!C226,input_509100!A:H,8,FALSE))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input_509100!A$2</f>
        <v>509100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IFERROR(VLOOKUP(B227,input_509100!L:R,7,FALSE),VLOOKUP(tables_509100!C227,input_509100!A:H,8,FALSE))</f>
        <v>528082.5</v>
      </c>
      <c r="P227" s="46">
        <f t="shared" ca="1" si="10"/>
        <v>8.5119680851063837E-3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input_509100!A$2</f>
        <v>509100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IFERROR(VLOOKUP(B228,input_509100!L:R,7,FALSE),VLOOKUP(tables_509100!C228,input_509100!A:H,8,FALSE))</f>
        <v>7124.75</v>
      </c>
      <c r="P228" s="46">
        <f t="shared" ca="1" si="10"/>
        <v>1.1484123146357189E-4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input_509100!A$2</f>
        <v>509100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IFERROR(VLOOKUP(B229,input_509100!L:R,7,FALSE),VLOOKUP(tables_509100!C229,input_509100!A:H,8,FALSE))</f>
        <v>14781.5</v>
      </c>
      <c r="P229" s="46">
        <f t="shared" ca="1" si="10"/>
        <v>2.3825757575757575E-4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input_509100!A$2</f>
        <v>509100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IFERROR(VLOOKUP(B230,input_509100!L:R,7,FALSE),VLOOKUP(tables_509100!C230,input_509100!A:H,8,FALSE))</f>
        <v>1198.5</v>
      </c>
      <c r="P230" s="46">
        <f t="shared" ca="1" si="10"/>
        <v>1.9318181818181818E-5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input_509100!A$2</f>
        <v>509100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IFERROR(VLOOKUP(B231,input_509100!L:R,7,FALSE),VLOOKUP(tables_509100!C231,input_509100!A:H,8,FALSE))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input_509100!A$2</f>
        <v>509100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IFERROR(VLOOKUP(B232,input_509100!L:R,7,FALSE),VLOOKUP(tables_509100!C232,input_509100!A:H,8,FALSE))</f>
        <v>528082.5</v>
      </c>
      <c r="P232" s="46">
        <f t="shared" ca="1" si="10"/>
        <v>8.5119680851063837E-3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input_509100!A$2</f>
        <v>509100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IFERROR(VLOOKUP(B233,input_509100!L:R,7,FALSE),VLOOKUP(tables_509100!C233,input_509100!A:H,8,FALSE))</f>
        <v>7124.75</v>
      </c>
      <c r="P233" s="46">
        <f t="shared" ca="1" si="10"/>
        <v>1.1484123146357189E-4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input_509100!A$2</f>
        <v>509100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IFERROR(VLOOKUP(B234,input_509100!L:R,7,FALSE),VLOOKUP(tables_509100!C234,input_509100!A:H,8,FALSE))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input_509100!A$2</f>
        <v>509100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IFERROR(VLOOKUP(B235,input_509100!L:R,7,FALSE),VLOOKUP(tables_509100!C235,input_509100!A:H,8,FALSE))</f>
        <v>528082.5</v>
      </c>
      <c r="P235" s="46">
        <f t="shared" ca="1" si="10"/>
        <v>8.5119680851063837E-3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input_509100!A$2</f>
        <v>509100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IFERROR(VLOOKUP(B236,input_509100!L:R,7,FALSE),VLOOKUP(tables_509100!C236,input_509100!A:H,8,FALSE))</f>
        <v>7124.75</v>
      </c>
      <c r="P236" s="46">
        <f t="shared" ca="1" si="10"/>
        <v>1.1484123146357189E-4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input_509100!A$2</f>
        <v>509100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IFERROR(VLOOKUP(B237,input_509100!L:R,7,FALSE),VLOOKUP(tables_509100!C237,input_509100!A:H,8,FALSE))</f>
        <v>14781.5</v>
      </c>
      <c r="P237" s="46">
        <f t="shared" ca="1" si="10"/>
        <v>2.3825757575757575E-4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input_509100!A$2</f>
        <v>509100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IFERROR(VLOOKUP(B238,input_509100!L:R,7,FALSE),VLOOKUP(tables_509100!C238,input_509100!A:H,8,FALSE))</f>
        <v>1198.5</v>
      </c>
      <c r="P238" s="46">
        <f t="shared" ca="1" si="10"/>
        <v>1.9318181818181818E-5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input_509100!A$2</f>
        <v>509100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IFERROR(VLOOKUP(B239,input_509100!L:R,7,FALSE),VLOOKUP(tables_509100!C239,input_509100!A:H,8,FALSE))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input_509100!A$2</f>
        <v>509100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IFERROR(VLOOKUP(B240,input_509100!L:R,7,FALSE),VLOOKUP(tables_509100!C240,input_509100!A:H,8,FALSE))</f>
        <v>528082.5</v>
      </c>
      <c r="P240" s="46">
        <f t="shared" ca="1" si="10"/>
        <v>8.5119680851063837E-3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input_509100!A$2</f>
        <v>509100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IFERROR(VLOOKUP(B241,input_509100!L:R,7,FALSE),VLOOKUP(tables_509100!C241,input_509100!A:H,8,FALSE))</f>
        <v>7124.75</v>
      </c>
      <c r="P241" s="46">
        <f t="shared" ca="1" si="10"/>
        <v>1.1484123146357189E-4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input_509100!A$2</f>
        <v>509100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IFERROR(VLOOKUP(B242,input_509100!L:R,7,FALSE),VLOOKUP(tables_509100!C242,input_509100!A:H,8,FALSE))</f>
        <v>14781.5</v>
      </c>
      <c r="P242" s="46">
        <f t="shared" ca="1" si="10"/>
        <v>2.3825757575757575E-4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input_509100!A$2</f>
        <v>509100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IFERROR(VLOOKUP(B243,input_509100!L:R,7,FALSE),VLOOKUP(tables_509100!C243,input_509100!A:H,8,FALSE))</f>
        <v>1198.5</v>
      </c>
      <c r="P243" s="46">
        <f t="shared" ca="1" si="10"/>
        <v>1.9318181818181818E-5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input_509100!A$2</f>
        <v>509100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IFERROR(VLOOKUP(B244,input_509100!L:R,7,FALSE),VLOOKUP(tables_509100!C244,input_509100!A:H,8,FALSE))</f>
        <v>14781.5</v>
      </c>
      <c r="P244" s="46">
        <f t="shared" ca="1" si="10"/>
        <v>2.3825757575757575E-4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input_509100!A$2</f>
        <v>509100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IFERROR(VLOOKUP(B245,input_509100!L:R,7,FALSE),VLOOKUP(tables_509100!C245,input_509100!A:H,8,FALSE))</f>
        <v>1198.5</v>
      </c>
      <c r="P245" s="46">
        <f t="shared" ca="1" si="10"/>
        <v>1.9318181818181818E-5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input_509100!A$2</f>
        <v>509100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IFERROR(VLOOKUP(B246,input_509100!L:R,7,FALSE),VLOOKUP(tables_509100!C246,input_509100!A:H,8,FALSE))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input_509100!A$2</f>
        <v>509100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IFERROR(VLOOKUP(B247,input_509100!L:R,7,FALSE),VLOOKUP(tables_509100!C247,input_509100!A:H,8,FALSE))</f>
        <v>528082.5</v>
      </c>
      <c r="P247" s="46">
        <f t="shared" ca="1" si="10"/>
        <v>8.5119680851063837E-3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input_509100!A$2</f>
        <v>509100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IFERROR(VLOOKUP(B248,input_509100!L:R,7,FALSE),VLOOKUP(tables_509100!C248,input_509100!A:H,8,FALSE))</f>
        <v>7124.75</v>
      </c>
      <c r="P248" s="46">
        <f t="shared" ca="1" si="10"/>
        <v>1.1484123146357189E-4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input_509100!A$2</f>
        <v>509100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IFERROR(VLOOKUP(B249,input_509100!L:R,7,FALSE),VLOOKUP(tables_509100!C249,input_509100!A:H,8,FALSE))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input_509100!A$2</f>
        <v>509100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IFERROR(VLOOKUP(B250,input_509100!L:R,7,FALSE),VLOOKUP(tables_509100!C250,input_509100!A:H,8,FALSE))</f>
        <v>528082.5</v>
      </c>
      <c r="P250" s="46">
        <f t="shared" ca="1" si="10"/>
        <v>8.5119680851063837E-3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input_509100!A$2</f>
        <v>509100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IFERROR(VLOOKUP(B251,input_509100!L:R,7,FALSE),VLOOKUP(tables_509100!C251,input_509100!A:H,8,FALSE))</f>
        <v>7124.75</v>
      </c>
      <c r="P251" s="46">
        <f t="shared" ca="1" si="10"/>
        <v>1.1484123146357189E-4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input_509100!A$2</f>
        <v>509100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IFERROR(VLOOKUP(B252,input_509100!L:R,7,FALSE),VLOOKUP(tables_509100!C252,input_509100!A:H,8,FALSE))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input_509100!A$2</f>
        <v>509100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IFERROR(VLOOKUP(B253,input_509100!L:R,7,FALSE),VLOOKUP(tables_509100!C253,input_509100!A:H,8,FALSE))</f>
        <v>528082.5</v>
      </c>
      <c r="P253" s="46">
        <f t="shared" ca="1" si="10"/>
        <v>8.5119680851063837E-3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input_509100!A$2</f>
        <v>509100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IFERROR(VLOOKUP(B254,input_509100!L:R,7,FALSE),VLOOKUP(tables_509100!C254,input_509100!A:H,8,FALSE))</f>
        <v>7124.75</v>
      </c>
      <c r="P254" s="46">
        <f t="shared" ca="1" si="10"/>
        <v>1.1484123146357189E-4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input_509100!A$2</f>
        <v>509100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IFERROR(VLOOKUP(B255,input_509100!L:R,7,FALSE),VLOOKUP(tables_509100!C255,input_509100!A:H,8,FALSE))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input_509100!A$2</f>
        <v>509100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IFERROR(VLOOKUP(B256,input_509100!L:R,7,FALSE),VLOOKUP(tables_509100!C256,input_509100!A:H,8,FALSE))</f>
        <v>528082.5</v>
      </c>
      <c r="P256" s="46">
        <f t="shared" ca="1" si="10"/>
        <v>8.5119680851063837E-3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input_509100!A$2</f>
        <v>509100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IFERROR(VLOOKUP(B257,input_509100!L:R,7,FALSE),VLOOKUP(tables_509100!C257,input_509100!A:H,8,FALSE))</f>
        <v>7124.75</v>
      </c>
      <c r="P257" s="46">
        <f t="shared" ca="1" si="10"/>
        <v>1.1484123146357189E-4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input_509100!A$2</f>
        <v>509100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IFERROR(VLOOKUP(B258,input_509100!L:R,7,FALSE),VLOOKUP(tables_509100!C258,input_509100!A:H,8,FALSE))</f>
        <v>14781.5</v>
      </c>
      <c r="P258" s="46">
        <f t="shared" ref="P258:P294" ca="1" si="13">O258/SUM(O:O)</f>
        <v>2.3825757575757575E-4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input_509100!A$2</f>
        <v>509100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IFERROR(VLOOKUP(B259,input_509100!L:R,7,FALSE),VLOOKUP(tables_509100!C259,input_509100!A:H,8,FALSE))</f>
        <v>1198.5</v>
      </c>
      <c r="P259" s="46">
        <f t="shared" ca="1" si="13"/>
        <v>1.9318181818181818E-5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input_509100!A$2</f>
        <v>509100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IFERROR(VLOOKUP(B260,input_509100!L:R,7,FALSE),VLOOKUP(tables_509100!C260,input_509100!A:H,8,FALSE))</f>
        <v>14781.5</v>
      </c>
      <c r="P260" s="46">
        <f t="shared" ca="1" si="13"/>
        <v>2.3825757575757575E-4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input_509100!A$2</f>
        <v>509100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IFERROR(VLOOKUP(B261,input_509100!L:R,7,FALSE),VLOOKUP(tables_509100!C261,input_509100!A:H,8,FALSE))</f>
        <v>1198.5</v>
      </c>
      <c r="P261" s="46">
        <f t="shared" ca="1" si="13"/>
        <v>1.9318181818181818E-5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input_509100!A$2</f>
        <v>509100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IFERROR(VLOOKUP(B262,input_509100!L:R,7,FALSE),VLOOKUP(tables_509100!C262,input_509100!A:H,8,FALSE))</f>
        <v>513810</v>
      </c>
      <c r="P262" s="46">
        <f t="shared" ca="1" si="13"/>
        <v>8.281914893617022E-3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input_509100!A$2</f>
        <v>509100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IFERROR(VLOOKUP(B263,input_509100!L:R,7,FALSE),VLOOKUP(tables_509100!C263,input_509100!A:H,8,FALSE))</f>
        <v>42817.5</v>
      </c>
      <c r="P263" s="46">
        <f t="shared" ca="1" si="13"/>
        <v>6.9015957446808506E-4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input_509100!A$2</f>
        <v>509100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IFERROR(VLOOKUP(B264,input_509100!L:R,7,FALSE),VLOOKUP(tables_509100!C264,input_509100!A:H,8,FALSE))</f>
        <v>513810</v>
      </c>
      <c r="P264" s="46">
        <f t="shared" ca="1" si="13"/>
        <v>8.281914893617022E-3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input_509100!A$2</f>
        <v>509100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IFERROR(VLOOKUP(B265,input_509100!L:R,7,FALSE),VLOOKUP(tables_509100!C265,input_509100!A:H,8,FALSE))</f>
        <v>42817.5</v>
      </c>
      <c r="P265" s="46">
        <f t="shared" ca="1" si="13"/>
        <v>6.9015957446808506E-4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input_509100!A$2</f>
        <v>509100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IFERROR(VLOOKUP(B266,input_509100!L:R,7,FALSE),VLOOKUP(tables_509100!C266,input_509100!A:H,8,FALSE))</f>
        <v>15980</v>
      </c>
      <c r="P266" s="46">
        <f t="shared" ca="1" si="13"/>
        <v>2.5757575757575756E-4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input_509100!A$2</f>
        <v>509100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IFERROR(VLOOKUP(B267,input_509100!L:R,7,FALSE),VLOOKUP(tables_509100!C267,input_509100!A:H,8,FALSE))</f>
        <v>15980</v>
      </c>
      <c r="P267" s="46">
        <f t="shared" ca="1" si="13"/>
        <v>2.5757575757575756E-4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input_509100!A$2</f>
        <v>509100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IFERROR(VLOOKUP(B268,input_509100!L:R,7,FALSE),VLOOKUP(tables_509100!C268,input_509100!A:H,8,FALSE))</f>
        <v>15980</v>
      </c>
      <c r="P268" s="46">
        <f t="shared" ca="1" si="13"/>
        <v>2.5757575757575756E-4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input_509100!A$2</f>
        <v>509100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IFERROR(VLOOKUP(B269,input_509100!L:R,7,FALSE),VLOOKUP(tables_509100!C269,input_509100!A:H,8,FALSE))</f>
        <v>15980</v>
      </c>
      <c r="P269" s="46">
        <f t="shared" ca="1" si="13"/>
        <v>2.5757575757575756E-4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input_509100!A$2</f>
        <v>509100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IFERROR(VLOOKUP(B270,input_509100!L:R,7,FALSE),VLOOKUP(tables_509100!C270,input_509100!A:H,8,FALSE))</f>
        <v>513810</v>
      </c>
      <c r="P270" s="46">
        <f t="shared" ca="1" si="13"/>
        <v>8.281914893617022E-3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input_509100!A$2</f>
        <v>509100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IFERROR(VLOOKUP(B271,input_509100!L:R,7,FALSE),VLOOKUP(tables_509100!C271,input_509100!A:H,8,FALSE))</f>
        <v>42817.5</v>
      </c>
      <c r="P271" s="46">
        <f t="shared" ca="1" si="13"/>
        <v>6.9015957446808506E-4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input_509100!A$2</f>
        <v>509100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IFERROR(VLOOKUP(B272,input_509100!L:R,7,FALSE),VLOOKUP(tables_509100!C272,input_509100!A:H,8,FALSE))</f>
        <v>513810</v>
      </c>
      <c r="P272" s="46">
        <f t="shared" ca="1" si="13"/>
        <v>8.281914893617022E-3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input_509100!A$2</f>
        <v>509100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IFERROR(VLOOKUP(B273,input_509100!L:R,7,FALSE),VLOOKUP(tables_509100!C273,input_509100!A:H,8,FALSE))</f>
        <v>42817.5</v>
      </c>
      <c r="P273" s="46">
        <f t="shared" ca="1" si="13"/>
        <v>6.9015957446808506E-4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input_509100!A$2</f>
        <v>509100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IFERROR(VLOOKUP(B274,input_509100!L:R,7,FALSE),VLOOKUP(tables_509100!C274,input_509100!A:H,8,FALSE))</f>
        <v>14781.5</v>
      </c>
      <c r="P274" s="46">
        <f t="shared" ca="1" si="13"/>
        <v>2.3825757575757575E-4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input_509100!A$2</f>
        <v>509100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IFERROR(VLOOKUP(B275,input_509100!L:R,7,FALSE),VLOOKUP(tables_509100!C275,input_509100!A:H,8,FALSE))</f>
        <v>1198.5</v>
      </c>
      <c r="P275" s="46">
        <f t="shared" ca="1" si="13"/>
        <v>1.9318181818181818E-5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input_509100!A$2</f>
        <v>509100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IFERROR(VLOOKUP(B276,input_509100!L:R,7,FALSE),VLOOKUP(tables_509100!C276,input_509100!A:H,8,FALSE))</f>
        <v>14781.5</v>
      </c>
      <c r="P276" s="46">
        <f t="shared" ca="1" si="13"/>
        <v>2.3825757575757575E-4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input_509100!A$2</f>
        <v>509100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IFERROR(VLOOKUP(B277,input_509100!L:R,7,FALSE),VLOOKUP(tables_509100!C277,input_509100!A:H,8,FALSE))</f>
        <v>1198.5</v>
      </c>
      <c r="P277" s="46">
        <f t="shared" ca="1" si="13"/>
        <v>1.9318181818181818E-5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input_509100!A$2</f>
        <v>509100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IFERROR(VLOOKUP(B278,input_509100!L:R,7,FALSE),VLOOKUP(tables_509100!C278,input_509100!A:H,8,FALSE))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input_509100!A$2</f>
        <v>509100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IFERROR(VLOOKUP(B279,input_509100!L:R,7,FALSE),VLOOKUP(tables_509100!C279,input_509100!A:H,8,FALSE))</f>
        <v>528082.5</v>
      </c>
      <c r="P279" s="46">
        <f t="shared" ca="1" si="13"/>
        <v>8.5119680851063837E-3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input_509100!A$2</f>
        <v>509100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IFERROR(VLOOKUP(B280,input_509100!L:R,7,FALSE),VLOOKUP(tables_509100!C280,input_509100!A:H,8,FALSE))</f>
        <v>7124.75</v>
      </c>
      <c r="P280" s="46">
        <f t="shared" ca="1" si="13"/>
        <v>1.1484123146357189E-4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input_509100!A$2</f>
        <v>509100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IFERROR(VLOOKUP(B281,input_509100!L:R,7,FALSE),VLOOKUP(tables_509100!C281,input_509100!A:H,8,FALSE))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input_509100!A$2</f>
        <v>509100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IFERROR(VLOOKUP(B282,input_509100!L:R,7,FALSE),VLOOKUP(tables_509100!C282,input_509100!A:H,8,FALSE))</f>
        <v>528082.5</v>
      </c>
      <c r="P282" s="46">
        <f t="shared" ca="1" si="13"/>
        <v>8.5119680851063837E-3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input_509100!A$2</f>
        <v>509100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IFERROR(VLOOKUP(B283,input_509100!L:R,7,FALSE),VLOOKUP(tables_509100!C283,input_509100!A:H,8,FALSE))</f>
        <v>7124.75</v>
      </c>
      <c r="P283" s="46">
        <f t="shared" ca="1" si="13"/>
        <v>1.1484123146357189E-4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input_509100!A$2</f>
        <v>509100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IFERROR(VLOOKUP(B284,input_509100!L:R,7,FALSE),VLOOKUP(tables_509100!C284,input_509100!A:H,8,FALSE))</f>
        <v>15980</v>
      </c>
      <c r="P284" s="46">
        <f t="shared" ca="1" si="13"/>
        <v>2.5757575757575756E-4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input_509100!A$2</f>
        <v>509100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IFERROR(VLOOKUP(B285,input_509100!L:R,7,FALSE),VLOOKUP(tables_509100!C285,input_509100!A:H,8,FALSE))</f>
        <v>15980</v>
      </c>
      <c r="P285" s="46">
        <f t="shared" ca="1" si="13"/>
        <v>2.5757575757575756E-4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input_509100!A$2</f>
        <v>509100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IFERROR(VLOOKUP(B286,input_509100!L:R,7,FALSE),VLOOKUP(tables_509100!C286,input_509100!A:H,8,FALSE))</f>
        <v>513810</v>
      </c>
      <c r="P286" s="46">
        <f t="shared" ca="1" si="13"/>
        <v>8.281914893617022E-3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input_509100!A$2</f>
        <v>509100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IFERROR(VLOOKUP(B287,input_509100!L:R,7,FALSE),VLOOKUP(tables_509100!C287,input_509100!A:H,8,FALSE))</f>
        <v>42817.5</v>
      </c>
      <c r="P287" s="46">
        <f t="shared" ca="1" si="13"/>
        <v>6.9015957446808506E-4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input_509100!A$2</f>
        <v>509100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IFERROR(VLOOKUP(B288,input_509100!L:R,7,FALSE),VLOOKUP(tables_509100!C288,input_509100!A:H,8,FALSE))</f>
        <v>513810</v>
      </c>
      <c r="P288" s="46">
        <f t="shared" ca="1" si="13"/>
        <v>8.281914893617022E-3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input_509100!A$2</f>
        <v>509100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IFERROR(VLOOKUP(B289,input_509100!L:R,7,FALSE),VLOOKUP(tables_509100!C289,input_509100!A:H,8,FALSE))</f>
        <v>42817.5</v>
      </c>
      <c r="P289" s="46">
        <f t="shared" ca="1" si="13"/>
        <v>6.9015957446808506E-4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input_509100!A$2</f>
        <v>509100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IFERROR(VLOOKUP(B290,input_509100!L:R,7,FALSE),VLOOKUP(tables_509100!C290,input_509100!A:H,8,FALSE))</f>
        <v>513810</v>
      </c>
      <c r="P290" s="46">
        <f t="shared" ca="1" si="13"/>
        <v>8.281914893617022E-3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input_509100!A$2</f>
        <v>509100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IFERROR(VLOOKUP(B291,input_509100!L:R,7,FALSE),VLOOKUP(tables_509100!C291,input_509100!A:H,8,FALSE))</f>
        <v>42817.5</v>
      </c>
      <c r="P291" s="46">
        <f t="shared" ca="1" si="13"/>
        <v>6.9015957446808506E-4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input_509100!A$2</f>
        <v>509100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IFERROR(VLOOKUP(B292,input_509100!L:R,7,FALSE),VLOOKUP(tables_509100!C292,input_509100!A:H,8,FALSE))</f>
        <v>513810</v>
      </c>
      <c r="P292" s="46">
        <f t="shared" ca="1" si="13"/>
        <v>8.281914893617022E-3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input_509100!A$2</f>
        <v>509100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IFERROR(VLOOKUP(B293,input_509100!L:R,7,FALSE),VLOOKUP(tables_509100!C293,input_509100!A:H,8,FALSE))</f>
        <v>42817.5</v>
      </c>
      <c r="P293" s="46">
        <f t="shared" ca="1" si="13"/>
        <v>6.9015957446808506E-4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input_509100!A$2</f>
        <v>509100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IFERROR(VLOOKUP(B294,input_509100!L:R,7,FALSE),VLOOKUP(tables_509100!C294,input_509100!A:H,8,FALSE))</f>
        <v>15980</v>
      </c>
      <c r="P294" s="46">
        <f t="shared" ca="1" si="13"/>
        <v>2.5757575757575756E-4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input_509100!A$2</f>
        <v>509100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IFERROR(VLOOKUP(B295,input_509100!L:R,7,FALSE),VLOOKUP(tables_509100!C295,input_509100!A:H,8,FALSE))</f>
        <v>15980</v>
      </c>
      <c r="P295" s="46">
        <f t="shared" ref="P295:P299" ca="1" si="20">O295/SUM(O:O)</f>
        <v>2.5757575757575756E-4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input_509100!A$2</f>
        <v>509100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IFERROR(VLOOKUP(B296,input_509100!L:R,7,FALSE),VLOOKUP(tables_509100!C296,input_509100!A:H,8,FALSE))</f>
        <v>15980</v>
      </c>
      <c r="P296" s="46">
        <f t="shared" ca="1" si="20"/>
        <v>2.5757575757575756E-4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input_509100!A$2</f>
        <v>509100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IFERROR(VLOOKUP(B297,input_509100!L:R,7,FALSE),VLOOKUP(tables_509100!C297,input_509100!A:H,8,FALSE))</f>
        <v>513810</v>
      </c>
      <c r="P297" s="46">
        <f t="shared" ca="1" si="20"/>
        <v>8.281914893617022E-3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input_509100!A$2</f>
        <v>509100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IFERROR(VLOOKUP(B298,input_509100!L:R,7,FALSE),VLOOKUP(tables_509100!C298,input_509100!A:H,8,FALSE))</f>
        <v>42817.5</v>
      </c>
      <c r="P298" s="46">
        <f t="shared" ca="1" si="20"/>
        <v>6.9015957446808506E-4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input_509100!A$2</f>
        <v>509100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IFERROR(VLOOKUP(B299,input_509100!L:R,7,FALSE),VLOOKUP(tables_509100!C299,input_509100!A:H,8,FALSE))</f>
        <v>15980</v>
      </c>
      <c r="P299" s="46">
        <f t="shared" ca="1" si="20"/>
        <v>2.5757575757575756E-4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input_509100!A$2</f>
        <v>509100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IFERROR(VLOOKUP(B300,input_509100!L:R,7,FALSE),VLOOKUP(tables_509100!C300,input_509100!A:H,8,FALSE))</f>
        <v>15980</v>
      </c>
      <c r="P300" s="46">
        <f t="shared" ref="P300:P304" ca="1" si="22">O300/SUM(O:O)</f>
        <v>2.5757575757575756E-4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input_509100!A$2</f>
        <v>509100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IFERROR(VLOOKUP(B301,input_509100!L:R,7,FALSE),VLOOKUP(tables_509100!C301,input_509100!A:H,8,FALSE))</f>
        <v>15980</v>
      </c>
      <c r="P301" s="46">
        <f t="shared" ca="1" si="22"/>
        <v>2.5757575757575756E-4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input_509100!A$2</f>
        <v>509100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IFERROR(VLOOKUP(B302,input_509100!L:R,7,FALSE),VLOOKUP(tables_509100!C302,input_509100!A:H,8,FALSE))</f>
        <v>15980</v>
      </c>
      <c r="P302" s="46">
        <f t="shared" ca="1" si="22"/>
        <v>2.5757575757575756E-4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input_509100!A$2</f>
        <v>509100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IFERROR(VLOOKUP(B303,input_509100!L:R,7,FALSE),VLOOKUP(tables_509100!C303,input_509100!A:H,8,FALSE))</f>
        <v>513810</v>
      </c>
      <c r="P303" s="46">
        <f t="shared" ca="1" si="22"/>
        <v>8.281914893617022E-3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input_509100!A$2</f>
        <v>509100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IFERROR(VLOOKUP(B304,input_509100!L:R,7,FALSE),VLOOKUP(tables_509100!C304,input_509100!A:H,8,FALSE))</f>
        <v>42817.5</v>
      </c>
      <c r="P304" s="46">
        <f t="shared" ca="1" si="22"/>
        <v>6.9015957446808506E-4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input_509100!A$2</f>
        <v>509100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IFERROR(VLOOKUP(B305,input_509100!L:R,7,FALSE),VLOOKUP(tables_509100!C305,input_509100!A:H,8,FALSE))</f>
        <v>15980</v>
      </c>
      <c r="P305" s="46">
        <f t="shared" ref="P305:P308" ca="1" si="24">O305/SUM(O:O)</f>
        <v>2.5757575757575756E-4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input_509100!A$2</f>
        <v>509100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IFERROR(VLOOKUP(B306,input_509100!L:R,7,FALSE),VLOOKUP(tables_509100!C306,input_509100!A:H,8,FALSE))</f>
        <v>513810</v>
      </c>
      <c r="P306" s="46">
        <f t="shared" ca="1" si="24"/>
        <v>8.281914893617022E-3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input_509100!A$2</f>
        <v>509100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IFERROR(VLOOKUP(B307,input_509100!L:R,7,FALSE),VLOOKUP(tables_509100!C307,input_509100!A:H,8,FALSE))</f>
        <v>42817.5</v>
      </c>
      <c r="P307" s="46">
        <f t="shared" ca="1" si="24"/>
        <v>6.9015957446808506E-4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input_509100!A$2</f>
        <v>509100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IFERROR(VLOOKUP(B308,input_509100!L:R,7,FALSE),VLOOKUP(tables_509100!C308,input_509100!A:H,8,FALSE))</f>
        <v>15980</v>
      </c>
      <c r="P308" s="46">
        <f t="shared" ca="1" si="24"/>
        <v>2.5757575757575756E-4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input_509100!A$2</f>
        <v>509100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IFERROR(VLOOKUP(B309,input_509100!L:R,7,FALSE),VLOOKUP(tables_509100!C309,input_509100!A:H,8,FALSE))</f>
        <v>15980</v>
      </c>
      <c r="P309" s="46">
        <f t="shared" ref="P309" ca="1" si="26">O309/SUM(O:O)</f>
        <v>2.5757575757575756E-4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input_509100!A$2</f>
        <v>509100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IFERROR(VLOOKUP(B310,input_509100!L:R,7,FALSE),VLOOKUP(tables_509100!C310,input_509100!A:H,8,FALSE))</f>
        <v>15980</v>
      </c>
      <c r="P310" s="46">
        <f t="shared" ref="P310:P314" ca="1" si="28">O310/SUM(O:O)</f>
        <v>2.5757575757575756E-4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input_509100!A$2</f>
        <v>509100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IFERROR(VLOOKUP(B311,input_509100!L:R,7,FALSE),VLOOKUP(tables_509100!C311,input_509100!A:H,8,FALSE))</f>
        <v>513810</v>
      </c>
      <c r="P311" s="46">
        <f t="shared" ca="1" si="28"/>
        <v>8.281914893617022E-3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input_509100!A$2</f>
        <v>509100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IFERROR(VLOOKUP(B312,input_509100!L:R,7,FALSE),VLOOKUP(tables_509100!C312,input_509100!A:H,8,FALSE))</f>
        <v>42817.5</v>
      </c>
      <c r="P312" s="46">
        <f t="shared" ca="1" si="28"/>
        <v>6.9015957446808506E-4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input_509100!A$2</f>
        <v>509100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IFERROR(VLOOKUP(B313,input_509100!L:R,7,FALSE),VLOOKUP(tables_509100!C313,input_509100!A:H,8,FALSE))</f>
        <v>15980</v>
      </c>
      <c r="P313" s="46">
        <f t="shared" ca="1" si="28"/>
        <v>2.5757575757575756E-4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input_509100!A$2</f>
        <v>509100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IFERROR(VLOOKUP(B314,input_509100!L:R,7,FALSE),VLOOKUP(tables_509100!C314,input_509100!A:H,8,FALSE))</f>
        <v>15980</v>
      </c>
      <c r="P314" s="46">
        <f t="shared" ca="1" si="28"/>
        <v>2.5757575757575756E-4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input_509100!A$2</f>
        <v>509100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IFERROR(VLOOKUP(B315,input_509100!L:R,7,FALSE),VLOOKUP(tables_509100!C315,input_509100!A:H,8,FALSE))</f>
        <v>15980</v>
      </c>
      <c r="P315" s="46">
        <f t="shared" ref="P315:P319" ca="1" si="30">O315/SUM(O:O)</f>
        <v>2.5757575757575756E-4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input_509100!A$2</f>
        <v>509100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IFERROR(VLOOKUP(B316,input_509100!L:R,7,FALSE),VLOOKUP(tables_509100!C316,input_509100!A:H,8,FALSE))</f>
        <v>15980</v>
      </c>
      <c r="P316" s="46">
        <f t="shared" ca="1" si="30"/>
        <v>2.5757575757575756E-4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input_509100!A$2</f>
        <v>509100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IFERROR(VLOOKUP(B317,input_509100!L:R,7,FALSE),VLOOKUP(tables_509100!C317,input_509100!A:H,8,FALSE))</f>
        <v>15980</v>
      </c>
      <c r="P317" s="46">
        <f t="shared" ca="1" si="30"/>
        <v>2.5757575757575756E-4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input_509100!A$2</f>
        <v>509100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IFERROR(VLOOKUP(B318,input_509100!L:R,7,FALSE),VLOOKUP(tables_509100!C318,input_509100!A:H,8,FALSE))</f>
        <v>513810</v>
      </c>
      <c r="P318" s="46">
        <f t="shared" ca="1" si="30"/>
        <v>8.281914893617022E-3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input_509100!A$2</f>
        <v>509100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IFERROR(VLOOKUP(B319,input_509100!L:R,7,FALSE),VLOOKUP(tables_509100!C319,input_509100!A:H,8,FALSE))</f>
        <v>42817.5</v>
      </c>
      <c r="P319" s="46">
        <f t="shared" ca="1" si="30"/>
        <v>6.9015957446808506E-4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input_509100!A$2</f>
        <v>509100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IFERROR(VLOOKUP(B320,input_509100!L:R,7,FALSE),VLOOKUP(tables_509100!C320,input_509100!A:H,8,FALSE))</f>
        <v>15980</v>
      </c>
      <c r="P320" s="46">
        <f t="shared" ref="P320:P324" ca="1" si="32">O320/SUM(O:O)</f>
        <v>2.5757575757575756E-4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input_509100!A$2</f>
        <v>509100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IFERROR(VLOOKUP(B321,input_509100!L:R,7,FALSE),VLOOKUP(tables_509100!C321,input_509100!A:H,8,FALSE))</f>
        <v>15980</v>
      </c>
      <c r="P321" s="46">
        <f t="shared" ca="1" si="32"/>
        <v>2.5757575757575756E-4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input_509100!A$2</f>
        <v>509100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IFERROR(VLOOKUP(B322,input_509100!L:R,7,FALSE),VLOOKUP(tables_509100!C322,input_509100!A:H,8,FALSE))</f>
        <v>15980</v>
      </c>
      <c r="P322" s="46">
        <f t="shared" ca="1" si="32"/>
        <v>2.5757575757575756E-4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input_509100!A$2</f>
        <v>509100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IFERROR(VLOOKUP(B323,input_509100!L:R,7,FALSE),VLOOKUP(tables_509100!C323,input_509100!A:H,8,FALSE))</f>
        <v>15980</v>
      </c>
      <c r="P323" s="46">
        <f t="shared" ca="1" si="32"/>
        <v>2.5757575757575756E-4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input_509100!A$2</f>
        <v>509100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IFERROR(VLOOKUP(B324,input_509100!L:R,7,FALSE),VLOOKUP(tables_509100!C324,input_509100!A:H,8,FALSE))</f>
        <v>513810</v>
      </c>
      <c r="P324" s="46">
        <f t="shared" ca="1" si="32"/>
        <v>8.281914893617022E-3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input_509100!A$2</f>
        <v>509100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IFERROR(VLOOKUP(B325,input_509100!L:R,7,FALSE),VLOOKUP(tables_509100!C325,input_509100!A:H,8,FALSE))</f>
        <v>42817.5</v>
      </c>
      <c r="P325" s="46">
        <f t="shared" ref="P325:P330" ca="1" si="35">O325/SUM(O:O)</f>
        <v>6.9015957446808506E-4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input_509100!A$2</f>
        <v>509100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IFERROR(VLOOKUP(B326,input_509100!L:R,7,FALSE),VLOOKUP(tables_509100!C326,input_509100!A:H,8,FALSE))</f>
        <v>513810</v>
      </c>
      <c r="P326" s="46">
        <f t="shared" ca="1" si="35"/>
        <v>8.281914893617022E-3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input_509100!A$2</f>
        <v>509100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IFERROR(VLOOKUP(B327,input_509100!L:R,7,FALSE),VLOOKUP(tables_509100!C327,input_509100!A:H,8,FALSE))</f>
        <v>42817.5</v>
      </c>
      <c r="P327" s="46">
        <f t="shared" ca="1" si="35"/>
        <v>6.9015957446808506E-4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input_509100!A$2</f>
        <v>509100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IFERROR(VLOOKUP(B328,input_509100!L:R,7,FALSE),VLOOKUP(tables_509100!C328,input_509100!A:H,8,FALSE))</f>
        <v>15980</v>
      </c>
      <c r="P328" s="46">
        <f t="shared" ca="1" si="35"/>
        <v>2.5757575757575756E-4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input_509100!A$2</f>
        <v>509100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IFERROR(VLOOKUP(B329,input_509100!L:R,7,FALSE),VLOOKUP(tables_509100!C329,input_509100!A:H,8,FALSE))</f>
        <v>15980</v>
      </c>
      <c r="P329" s="46">
        <f t="shared" ca="1" si="35"/>
        <v>2.5757575757575756E-4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input_509100!A$2</f>
        <v>509100</v>
      </c>
      <c r="B330" s="2">
        <v>1157</v>
      </c>
      <c r="C330" s="7" t="str">
        <f t="shared" si="34"/>
        <v>PremiumSS5R5only</v>
      </c>
      <c r="D330" s="98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IFERROR(VLOOKUP(B330,input_509100!L:R,7,FALSE),VLOOKUP(tables_509100!C330,input_509100!A:H,8,FALSE))</f>
        <v>15980</v>
      </c>
      <c r="P330" s="46">
        <f t="shared" ca="1" si="35"/>
        <v>2.5757575757575756E-4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input_509100!A$2</f>
        <v>509100</v>
      </c>
      <c r="B331" s="60">
        <v>1214</v>
      </c>
      <c r="C331" s="7" t="str">
        <f t="shared" ref="C331:C335" si="36">D331&amp;J331&amp;E331&amp;F331&amp;G331</f>
        <v>PremiumSS5R5only</v>
      </c>
      <c r="D331" s="98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IFERROR(VLOOKUP(B331,input_509100!L:R,7,FALSE),VLOOKUP(tables_509100!C331,input_509100!A:H,8,FALSE))</f>
        <v>15980</v>
      </c>
      <c r="P331" s="46">
        <f t="shared" ref="P331:P335" ca="1" si="38">O331/SUM(O:O)</f>
        <v>2.5757575757575756E-4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input_509100!A$2</f>
        <v>509100</v>
      </c>
      <c r="B332" s="60">
        <v>1212</v>
      </c>
      <c r="C332" s="7" t="str">
        <f t="shared" si="36"/>
        <v>PremiumSS5R5only</v>
      </c>
      <c r="D332" s="98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IFERROR(VLOOKUP(B332,input_509100!L:R,7,FALSE),VLOOKUP(tables_509100!C332,input_509100!A:H,8,FALSE))</f>
        <v>15980</v>
      </c>
      <c r="P332" s="46">
        <f t="shared" ca="1" si="38"/>
        <v>2.5757575757575756E-4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input_509100!A$2</f>
        <v>509100</v>
      </c>
      <c r="B333" s="60">
        <v>1208</v>
      </c>
      <c r="C333" s="7" t="str">
        <f t="shared" si="36"/>
        <v>PremiumSS5R5only</v>
      </c>
      <c r="D333" s="98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IFERROR(VLOOKUP(B333,input_509100!L:R,7,FALSE),VLOOKUP(tables_509100!C333,input_509100!A:H,8,FALSE))</f>
        <v>15980</v>
      </c>
      <c r="P333" s="46">
        <f t="shared" ca="1" si="38"/>
        <v>2.5757575757575756E-4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input_509100!A$2</f>
        <v>509100</v>
      </c>
      <c r="B334" s="93">
        <v>1210</v>
      </c>
      <c r="C334" s="7" t="str">
        <f t="shared" si="36"/>
        <v>Premium4R3less</v>
      </c>
      <c r="D334" s="98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IFERROR(VLOOKUP(B334,input_509100!L:R,7,FALSE),VLOOKUP(tables_509100!C334,input_509100!A:H,8,FALSE))</f>
        <v>513810</v>
      </c>
      <c r="P334" s="46">
        <f t="shared" ca="1" si="38"/>
        <v>8.281914893617022E-3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input_509100!A$2</f>
        <v>509100</v>
      </c>
      <c r="B335" s="60">
        <v>1211</v>
      </c>
      <c r="C335" s="7" t="str">
        <f t="shared" si="36"/>
        <v>Premium5R3less</v>
      </c>
      <c r="D335" s="98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IFERROR(VLOOKUP(B335,input_509100!L:R,7,FALSE),VLOOKUP(tables_509100!C335,input_509100!A:H,8,FALSE))</f>
        <v>42817.5</v>
      </c>
      <c r="P335" s="46">
        <f t="shared" ca="1" si="38"/>
        <v>6.9015957446808506E-4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input_509100!A$2</f>
        <v>509100</v>
      </c>
      <c r="B336" s="60">
        <v>1228</v>
      </c>
      <c r="C336" s="7" t="str">
        <f t="shared" ref="C336:C340" si="39">D336&amp;J336&amp;E336&amp;F336&amp;G336</f>
        <v>PremiumSS5R5only</v>
      </c>
      <c r="D336" s="98" t="str">
        <f t="shared" ref="D336:D340" si="4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IFERROR(VLOOKUP(B336,input_509100!L:R,7,FALSE),VLOOKUP(tables_509100!C336,input_509100!A:H,8,FALSE))</f>
        <v>15980</v>
      </c>
      <c r="P336" s="46">
        <f t="shared" ref="P336:P340" ca="1" si="41">O336/SUM(O:O)</f>
        <v>2.5757575757575756E-4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input_509100!A$2</f>
        <v>509100</v>
      </c>
      <c r="B337" s="60">
        <v>1226</v>
      </c>
      <c r="C337" s="7" t="str">
        <f t="shared" si="39"/>
        <v>PremiumSS5R5only</v>
      </c>
      <c r="D337" s="98" t="str">
        <f t="shared" si="4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IFERROR(VLOOKUP(B337,input_509100!L:R,7,FALSE),VLOOKUP(tables_509100!C337,input_509100!A:H,8,FALSE))</f>
        <v>15980</v>
      </c>
      <c r="P337" s="46">
        <f t="shared" ca="1" si="41"/>
        <v>2.5757575757575756E-4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input_509100!A$2</f>
        <v>509100</v>
      </c>
      <c r="B338" s="60">
        <v>1230</v>
      </c>
      <c r="C338" s="7" t="str">
        <f t="shared" si="39"/>
        <v>PremiumSS5R5only</v>
      </c>
      <c r="D338" s="98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IFERROR(VLOOKUP(B338,input_509100!L:R,7,FALSE),VLOOKUP(tables_509100!C338,input_509100!A:H,8,FALSE))</f>
        <v>15980</v>
      </c>
      <c r="P338" s="46">
        <f t="shared" ca="1" si="41"/>
        <v>2.5757575757575756E-4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input_509100!A$2</f>
        <v>509100</v>
      </c>
      <c r="B339" s="93">
        <v>1224</v>
      </c>
      <c r="C339" s="7" t="str">
        <f t="shared" si="39"/>
        <v>Premium4R3less</v>
      </c>
      <c r="D339" s="98" t="str">
        <f t="shared" si="4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IFERROR(VLOOKUP(B339,input_509100!L:R,7,FALSE),VLOOKUP(tables_509100!C339,input_509100!A:H,8,FALSE))</f>
        <v>513810</v>
      </c>
      <c r="P339" s="46">
        <f t="shared" ca="1" si="41"/>
        <v>8.281914893617022E-3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input_509100!A$2</f>
        <v>509100</v>
      </c>
      <c r="B340" s="60">
        <v>1225</v>
      </c>
      <c r="C340" s="7" t="str">
        <f t="shared" si="39"/>
        <v>Premium5R3less</v>
      </c>
      <c r="D340" s="98" t="str">
        <f t="shared" si="4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IFERROR(VLOOKUP(B340,input_509100!L:R,7,FALSE),VLOOKUP(tables_509100!C340,input_509100!A:H,8,FALSE))</f>
        <v>42817.5</v>
      </c>
      <c r="P340" s="46">
        <f t="shared" ca="1" si="41"/>
        <v>6.9015957446808506E-4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input_509100!A$2</f>
        <v>509100</v>
      </c>
      <c r="B341" s="1">
        <v>1250</v>
      </c>
      <c r="C341" s="7" t="str">
        <f t="shared" ref="C341:C345" si="42">D341&amp;J341&amp;E341&amp;F341&amp;G341</f>
        <v>PremiumSS5R5only</v>
      </c>
      <c r="D341" s="98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IFERROR(VLOOKUP(B341,input_509100!L:R,7,FALSE),VLOOKUP(tables_509100!C341,input_509100!A:H,8,FALSE))</f>
        <v>15980</v>
      </c>
      <c r="P341" s="46">
        <f t="shared" ref="P341:P345" ca="1" si="44">O341/SUM(O:O)</f>
        <v>2.5757575757575756E-4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input_509100!A$2</f>
        <v>509100</v>
      </c>
      <c r="B342" s="1">
        <v>1244</v>
      </c>
      <c r="C342" s="7" t="str">
        <f t="shared" si="42"/>
        <v>PremiumSS5R5only</v>
      </c>
      <c r="D342" s="98" t="str">
        <f t="shared" si="4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IFERROR(VLOOKUP(B342,input_509100!L:R,7,FALSE),VLOOKUP(tables_509100!C342,input_509100!A:H,8,FALSE))</f>
        <v>15980</v>
      </c>
      <c r="P342" s="46">
        <f t="shared" ca="1" si="44"/>
        <v>2.5757575757575756E-4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input_509100!A$2</f>
        <v>509100</v>
      </c>
      <c r="B343" s="1">
        <v>1246</v>
      </c>
      <c r="C343" s="7" t="str">
        <f t="shared" si="42"/>
        <v>PremiumSS5R5only</v>
      </c>
      <c r="D343" s="98" t="str">
        <f t="shared" si="4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IFERROR(VLOOKUP(B343,input_509100!L:R,7,FALSE),VLOOKUP(tables_509100!C343,input_509100!A:H,8,FALSE))</f>
        <v>15980</v>
      </c>
      <c r="P343" s="46">
        <f t="shared" ca="1" si="44"/>
        <v>2.5757575757575756E-4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input_509100!A$2</f>
        <v>509100</v>
      </c>
      <c r="B344" s="1">
        <v>1248</v>
      </c>
      <c r="C344" s="7" t="str">
        <f t="shared" si="42"/>
        <v>Premium4R3less</v>
      </c>
      <c r="D344" s="98" t="str">
        <f t="shared" si="4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IFERROR(VLOOKUP(B344,input_509100!L:R,7,FALSE),VLOOKUP(tables_509100!C344,input_509100!A:H,8,FALSE))</f>
        <v>513810</v>
      </c>
      <c r="P344" s="46">
        <f t="shared" ca="1" si="44"/>
        <v>8.281914893617022E-3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input_509100!A$2</f>
        <v>509100</v>
      </c>
      <c r="B345" s="1">
        <v>1249</v>
      </c>
      <c r="C345" s="7" t="str">
        <f t="shared" si="42"/>
        <v>Premium5R3less</v>
      </c>
      <c r="D345" s="98" t="str">
        <f t="shared" si="4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IFERROR(VLOOKUP(B345,input_509100!L:R,7,FALSE),VLOOKUP(tables_509100!C345,input_509100!A:H,8,FALSE))</f>
        <v>42817.5</v>
      </c>
      <c r="P345" s="46">
        <f t="shared" ca="1" si="44"/>
        <v>6.9015957446808506E-4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input_509100!A$2</f>
        <v>509100</v>
      </c>
      <c r="B346" s="1">
        <v>1260</v>
      </c>
      <c r="C346" s="7" t="str">
        <f t="shared" ref="C346:C350" si="45">D346&amp;J346&amp;E346&amp;F346&amp;G346</f>
        <v>PremiumSS5R5only</v>
      </c>
      <c r="D346" s="98" t="str">
        <f t="shared" ref="D346:D350" si="4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>IFERROR(VLOOKUP(B346,input_509100!L:R,7,FALSE),VLOOKUP(tables_509100!C346,input_509100!A:H,8,FALSE))</f>
        <v>744480</v>
      </c>
      <c r="P346" s="46">
        <f t="shared" ref="P346:P350" ca="1" si="47">O346/SUM(O:O)</f>
        <v>1.2E-2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input_509100!A$2</f>
        <v>509100</v>
      </c>
      <c r="B347" s="1">
        <v>1262</v>
      </c>
      <c r="C347" s="7" t="str">
        <f t="shared" si="45"/>
        <v>PremiumSS5R5only</v>
      </c>
      <c r="D347" s="98" t="str">
        <f t="shared" si="4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>IFERROR(VLOOKUP(B347,input_509100!L:R,7,FALSE),VLOOKUP(tables_509100!C347,input_509100!A:H,8,FALSE))</f>
        <v>558360</v>
      </c>
      <c r="P347" s="46">
        <f t="shared" ca="1" si="47"/>
        <v>8.9999999999999993E-3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input_509100!A$2</f>
        <v>509100</v>
      </c>
      <c r="B348" s="1">
        <v>1264</v>
      </c>
      <c r="C348" s="7" t="str">
        <f t="shared" si="45"/>
        <v>PremiumSS5R5only</v>
      </c>
      <c r="D348" s="98" t="str">
        <f t="shared" si="4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>IFERROR(VLOOKUP(B348,input_509100!L:R,7,FALSE),VLOOKUP(tables_509100!C348,input_509100!A:H,8,FALSE))</f>
        <v>744480</v>
      </c>
      <c r="P348" s="46">
        <f t="shared" ca="1" si="47"/>
        <v>1.2E-2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input_509100!A$2</f>
        <v>509100</v>
      </c>
      <c r="B349" s="1">
        <v>1266</v>
      </c>
      <c r="C349" s="7" t="str">
        <f t="shared" si="45"/>
        <v>Premium4R3less</v>
      </c>
      <c r="D349" s="98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>IFERROR(VLOOKUP(B349,input_509100!L:R,7,FALSE),VLOOKUP(tables_509100!C349,input_509100!A:H,8,FALSE))</f>
        <v>4877895.0000000009</v>
      </c>
      <c r="P349" s="46">
        <f t="shared" ca="1" si="47"/>
        <v>7.8625000000000014E-2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input_509100!A$2</f>
        <v>509100</v>
      </c>
      <c r="B350" s="1">
        <v>1267</v>
      </c>
      <c r="C350" s="7" t="str">
        <f t="shared" si="45"/>
        <v>Premium5R3less</v>
      </c>
      <c r="D350" s="98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>IFERROR(VLOOKUP(B350,input_509100!L:R,7,FALSE),VLOOKUP(tables_509100!C350,input_509100!A:H,8,FALSE))</f>
        <v>395504.99999999948</v>
      </c>
      <c r="P350" s="46">
        <f t="shared" ca="1" si="47"/>
        <v>6.3749999999999918E-3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P6" sqref="P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input_509100!A$2</f>
        <v>509100</v>
      </c>
      <c r="B2" s="1">
        <v>1260</v>
      </c>
      <c r="C2" s="7" t="str">
        <f t="shared" ref="C2:C6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トール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god</v>
      </c>
      <c r="N2" s="7">
        <f>VLOOKUP(B2,[1]characters!$A:$G,7,FALSE)</f>
        <v>0</v>
      </c>
      <c r="O2" s="45">
        <v>20</v>
      </c>
      <c r="P2" s="46">
        <f t="shared" ref="P2:P6" si="1">O2/SUM(O:O)</f>
        <v>0.2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input_509100!A$2</f>
        <v>509100</v>
      </c>
      <c r="B3" s="1">
        <v>1262</v>
      </c>
      <c r="C3" s="7" t="str">
        <f t="shared" si="0"/>
        <v>PremiumSS5R5only</v>
      </c>
      <c r="D3" s="7" t="str">
        <f t="shared" ref="D3:D6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イズン</v>
      </c>
      <c r="I3" s="7" t="str">
        <f>VLOOKUP(B3,[1]characters!$A:$J,10,FALSE)</f>
        <v>PremiumSSw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heal</v>
      </c>
      <c r="M3" s="7" t="str">
        <f>VLOOKUP(B3,[1]characters!$A:$M,13,FALSE)</f>
        <v>god</v>
      </c>
      <c r="N3" s="7">
        <f>VLOOKUP(B3,[1]characters!$A:$G,7,FALSE)</f>
        <v>0</v>
      </c>
      <c r="O3" s="45">
        <v>10</v>
      </c>
      <c r="P3" s="46">
        <f t="shared" si="1"/>
        <v>0.1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input_509100!A$2</f>
        <v>509100</v>
      </c>
      <c r="B4" s="1">
        <v>1264</v>
      </c>
      <c r="C4" s="7" t="str">
        <f t="shared" si="0"/>
        <v>PremiumSS5R5only</v>
      </c>
      <c r="D4" s="7" t="str">
        <f t="shared" si="2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ウルズ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heal</v>
      </c>
      <c r="M4" s="7" t="str">
        <f>VLOOKUP(B4,[1]characters!$A:$M,13,FALSE)</f>
        <v>god</v>
      </c>
      <c r="N4" s="7">
        <f>VLOOKUP(B4,[1]characters!$A:$G,7,FALSE)</f>
        <v>0</v>
      </c>
      <c r="O4" s="45">
        <v>20</v>
      </c>
      <c r="P4" s="46">
        <f t="shared" si="1"/>
        <v>0.2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input_509100!A$2</f>
        <v>509100</v>
      </c>
      <c r="B5" s="1">
        <v>1266</v>
      </c>
      <c r="C5" s="7" t="str">
        <f t="shared" si="0"/>
        <v>Premium4R3less</v>
      </c>
      <c r="D5" s="7" t="str">
        <f t="shared" si="2"/>
        <v>Premium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ガルム</v>
      </c>
      <c r="I5" s="7" t="str">
        <f>VLOOKUP(B5,[1]characters!$A:$J,10,FALSE)</f>
        <v>PremiumS</v>
      </c>
      <c r="J5" s="7">
        <f>VLOOKUP(B5,[1]characters!$A:$I,9,FALSE)</f>
        <v>4</v>
      </c>
      <c r="K5" s="7" t="str">
        <f>VLOOKUP(B5,[1]characters!$A:$H,8,FALSE)</f>
        <v>yellow</v>
      </c>
      <c r="L5" s="7" t="str">
        <f>VLOOKUP(B5,[1]characters!$A:$K,11,FALSE)</f>
        <v>hp</v>
      </c>
      <c r="M5" s="7" t="str">
        <f>VLOOKUP(B5,[1]characters!$A:$M,13,FALSE)</f>
        <v>god</v>
      </c>
      <c r="N5" s="7">
        <f>VLOOKUP(B5,[1]characters!$A:$G,7,FALSE)</f>
        <v>0</v>
      </c>
      <c r="O5" s="45">
        <v>45</v>
      </c>
      <c r="P5" s="46">
        <f t="shared" si="1"/>
        <v>0.45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input_509100!A$2</f>
        <v>509100</v>
      </c>
      <c r="B6" s="1">
        <v>1267</v>
      </c>
      <c r="C6" s="7" t="str">
        <f t="shared" si="0"/>
        <v>Premium5R3less</v>
      </c>
      <c r="D6" s="7" t="str">
        <f t="shared" si="2"/>
        <v>Premium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不遜の冥番犬 ガルム</v>
      </c>
      <c r="I6" s="7" t="str">
        <f>VLOOKUP(B6,[1]characters!$A:$J,10,FALSE)</f>
        <v>PremiumS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hp</v>
      </c>
      <c r="M6" s="7" t="str">
        <f>VLOOKUP(B6,[1]characters!$A:$M,13,FALSE)</f>
        <v>god</v>
      </c>
      <c r="N6" s="7">
        <f>VLOOKUP(B6,[1]characters!$A:$G,7,FALSE)</f>
        <v>0</v>
      </c>
      <c r="O6" s="45">
        <v>5</v>
      </c>
      <c r="P6" s="46">
        <f t="shared" si="1"/>
        <v>0.05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99"/>
      <c r="P7" s="100"/>
      <c r="Q7" s="101"/>
      <c r="R7" s="101"/>
      <c r="S7" s="101"/>
      <c r="T7" s="101"/>
      <c r="U7" s="101"/>
      <c r="V7" s="101"/>
    </row>
    <row r="8" spans="1:22" ht="21" customHeight="1" x14ac:dyDescent="0.15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99"/>
      <c r="P8" s="100"/>
      <c r="Q8" s="101"/>
      <c r="R8" s="101"/>
      <c r="S8" s="101"/>
      <c r="T8" s="101"/>
      <c r="U8" s="101"/>
      <c r="V8" s="101"/>
    </row>
    <row r="9" spans="1:22" ht="21" customHeight="1" x14ac:dyDescent="0.15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99"/>
      <c r="P9" s="100"/>
      <c r="Q9" s="101"/>
      <c r="R9" s="101"/>
      <c r="S9" s="101"/>
      <c r="T9" s="101"/>
      <c r="U9" s="101"/>
      <c r="V9" s="101"/>
    </row>
    <row r="10" spans="1:22" ht="21" customHeight="1" x14ac:dyDescent="0.15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99"/>
      <c r="P10" s="100"/>
      <c r="Q10" s="101"/>
      <c r="R10" s="101"/>
      <c r="S10" s="101"/>
      <c r="T10" s="101"/>
      <c r="U10" s="101"/>
      <c r="V10" s="101"/>
    </row>
    <row r="11" spans="1:22" ht="21" customHeight="1" x14ac:dyDescent="0.15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99"/>
      <c r="P11" s="100"/>
      <c r="Q11" s="101"/>
      <c r="R11" s="101"/>
      <c r="S11" s="101"/>
      <c r="T11" s="101"/>
      <c r="U11" s="101"/>
      <c r="V11" s="101"/>
    </row>
    <row r="12" spans="1:22" ht="21" customHeight="1" x14ac:dyDescent="0.15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99"/>
      <c r="P12" s="100"/>
      <c r="Q12" s="101"/>
      <c r="R12" s="101"/>
      <c r="S12" s="101"/>
      <c r="T12" s="101"/>
      <c r="U12" s="101"/>
      <c r="V12" s="101"/>
    </row>
    <row r="13" spans="1:22" ht="21" customHeight="1" x14ac:dyDescent="0.15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99"/>
      <c r="P13" s="100"/>
      <c r="Q13" s="101"/>
      <c r="R13" s="101"/>
      <c r="S13" s="101"/>
      <c r="T13" s="101"/>
      <c r="U13" s="101"/>
      <c r="V13" s="101"/>
    </row>
    <row r="14" spans="1:22" ht="21" customHeight="1" x14ac:dyDescent="0.1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99"/>
      <c r="P14" s="100"/>
      <c r="Q14" s="101"/>
      <c r="R14" s="101"/>
      <c r="S14" s="101"/>
      <c r="T14" s="101"/>
      <c r="U14" s="101"/>
      <c r="V14" s="101"/>
    </row>
    <row r="15" spans="1:22" ht="21" customHeight="1" x14ac:dyDescent="0.1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99"/>
      <c r="P15" s="100"/>
      <c r="Q15" s="101"/>
      <c r="R15" s="101"/>
      <c r="S15" s="101"/>
      <c r="T15" s="101"/>
      <c r="U15" s="101"/>
      <c r="V15" s="101"/>
    </row>
    <row r="16" spans="1:22" ht="21" customHeight="1" x14ac:dyDescent="0.1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99"/>
      <c r="P16" s="100"/>
      <c r="Q16" s="101"/>
      <c r="R16" s="101"/>
      <c r="S16" s="101"/>
      <c r="T16" s="101"/>
      <c r="U16" s="101"/>
      <c r="V16" s="101"/>
    </row>
    <row r="17" spans="1:22" ht="21" customHeight="1" x14ac:dyDescent="0.1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99"/>
      <c r="P17" s="100"/>
      <c r="Q17" s="101"/>
      <c r="R17" s="101"/>
      <c r="S17" s="101"/>
      <c r="T17" s="101"/>
      <c r="U17" s="101"/>
      <c r="V17" s="101"/>
    </row>
    <row r="18" spans="1:22" ht="21" customHeight="1" x14ac:dyDescent="0.1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99"/>
      <c r="P18" s="100"/>
      <c r="Q18" s="101"/>
      <c r="R18" s="101"/>
      <c r="S18" s="101"/>
      <c r="T18" s="101"/>
      <c r="U18" s="101"/>
      <c r="V18" s="101"/>
    </row>
    <row r="19" spans="1:22" ht="21" customHeight="1" x14ac:dyDescent="0.1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99"/>
      <c r="P19" s="100"/>
      <c r="Q19" s="101"/>
      <c r="R19" s="101"/>
      <c r="S19" s="101"/>
      <c r="T19" s="101"/>
      <c r="U19" s="101"/>
      <c r="V19" s="101"/>
    </row>
    <row r="20" spans="1:22" ht="21" customHeight="1" x14ac:dyDescent="0.1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99"/>
      <c r="P20" s="100"/>
      <c r="Q20" s="101"/>
      <c r="R20" s="101"/>
      <c r="S20" s="101"/>
      <c r="T20" s="101"/>
      <c r="U20" s="101"/>
      <c r="V20" s="101"/>
    </row>
    <row r="21" spans="1:22" ht="21" customHeight="1" x14ac:dyDescent="0.15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99"/>
      <c r="P21" s="100"/>
      <c r="Q21" s="101"/>
      <c r="R21" s="101"/>
      <c r="S21" s="101"/>
      <c r="T21" s="101"/>
      <c r="U21" s="101"/>
      <c r="V21" s="101"/>
    </row>
    <row r="22" spans="1:22" ht="21" customHeight="1" x14ac:dyDescent="0.1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99"/>
      <c r="P22" s="100"/>
      <c r="Q22" s="101"/>
      <c r="R22" s="101"/>
      <c r="S22" s="101"/>
      <c r="T22" s="101"/>
      <c r="U22" s="101"/>
      <c r="V22" s="101"/>
    </row>
    <row r="23" spans="1:22" ht="21" customHeight="1" x14ac:dyDescent="0.15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99"/>
      <c r="P23" s="100"/>
      <c r="Q23" s="101"/>
      <c r="R23" s="101"/>
      <c r="S23" s="101"/>
      <c r="T23" s="101"/>
      <c r="U23" s="101"/>
      <c r="V23" s="101"/>
    </row>
    <row r="24" spans="1:22" ht="21" customHeight="1" x14ac:dyDescent="0.15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99"/>
      <c r="P24" s="100"/>
      <c r="Q24" s="101"/>
      <c r="R24" s="101"/>
      <c r="S24" s="101"/>
      <c r="T24" s="101"/>
      <c r="U24" s="101"/>
      <c r="V24" s="101"/>
    </row>
    <row r="25" spans="1:22" ht="21" customHeight="1" x14ac:dyDescent="0.15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99"/>
      <c r="P25" s="100"/>
      <c r="Q25" s="101"/>
      <c r="R25" s="101"/>
      <c r="S25" s="101"/>
      <c r="T25" s="101"/>
      <c r="U25" s="101"/>
      <c r="V25" s="101"/>
    </row>
    <row r="26" spans="1:22" ht="21" customHeight="1" x14ac:dyDescent="0.15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99"/>
      <c r="P26" s="100"/>
      <c r="Q26" s="101"/>
      <c r="R26" s="101"/>
      <c r="S26" s="101"/>
      <c r="T26" s="101"/>
      <c r="U26" s="101"/>
      <c r="V26" s="101"/>
    </row>
    <row r="27" spans="1:22" ht="21" customHeight="1" x14ac:dyDescent="0.15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99"/>
      <c r="P27" s="100"/>
      <c r="Q27" s="101"/>
      <c r="R27" s="101"/>
      <c r="S27" s="101"/>
      <c r="T27" s="101"/>
      <c r="U27" s="101"/>
      <c r="V27" s="101"/>
    </row>
    <row r="28" spans="1:22" ht="21" customHeight="1" x14ac:dyDescent="0.15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99"/>
      <c r="P28" s="100"/>
      <c r="Q28" s="101"/>
      <c r="R28" s="101"/>
      <c r="S28" s="101"/>
      <c r="T28" s="101"/>
      <c r="U28" s="101"/>
      <c r="V28" s="101"/>
    </row>
    <row r="29" spans="1:22" ht="21" customHeight="1" x14ac:dyDescent="0.15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99"/>
      <c r="P29" s="100"/>
      <c r="Q29" s="101"/>
      <c r="R29" s="101"/>
      <c r="S29" s="101"/>
      <c r="T29" s="101"/>
      <c r="U29" s="101"/>
      <c r="V29" s="101"/>
    </row>
    <row r="30" spans="1:22" ht="21" customHeight="1" x14ac:dyDescent="0.15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99"/>
      <c r="P30" s="100"/>
      <c r="Q30" s="101"/>
      <c r="R30" s="101"/>
      <c r="S30" s="101"/>
      <c r="T30" s="101"/>
      <c r="U30" s="101"/>
      <c r="V30" s="101"/>
    </row>
    <row r="31" spans="1:22" ht="21" customHeight="1" x14ac:dyDescent="0.15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99"/>
      <c r="P31" s="100"/>
      <c r="Q31" s="101"/>
      <c r="R31" s="101"/>
      <c r="S31" s="101"/>
      <c r="T31" s="101"/>
      <c r="U31" s="101"/>
      <c r="V31" s="101"/>
    </row>
    <row r="32" spans="1:22" ht="21" customHeight="1" x14ac:dyDescent="0.15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99"/>
      <c r="P32" s="100"/>
      <c r="Q32" s="101"/>
      <c r="R32" s="101"/>
      <c r="S32" s="101"/>
      <c r="T32" s="101"/>
      <c r="U32" s="101"/>
      <c r="V32" s="101"/>
    </row>
    <row r="33" spans="1:22" ht="21" customHeight="1" x14ac:dyDescent="0.15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99"/>
      <c r="P33" s="100"/>
      <c r="Q33" s="101"/>
      <c r="R33" s="101"/>
      <c r="S33" s="101"/>
      <c r="T33" s="101"/>
      <c r="U33" s="101"/>
      <c r="V33" s="101"/>
    </row>
    <row r="34" spans="1:22" ht="21" customHeight="1" x14ac:dyDescent="0.15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99"/>
      <c r="P34" s="100"/>
      <c r="Q34" s="101"/>
      <c r="R34" s="101"/>
      <c r="S34" s="101"/>
      <c r="T34" s="101"/>
      <c r="U34" s="101"/>
      <c r="V34" s="101"/>
    </row>
    <row r="35" spans="1:22" ht="21" customHeight="1" x14ac:dyDescent="0.15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99"/>
      <c r="P35" s="100"/>
      <c r="Q35" s="101"/>
      <c r="R35" s="101"/>
      <c r="S35" s="101"/>
      <c r="T35" s="101"/>
      <c r="U35" s="101"/>
      <c r="V35" s="101"/>
    </row>
    <row r="36" spans="1:22" ht="21" customHeight="1" x14ac:dyDescent="0.15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99"/>
      <c r="P36" s="100"/>
      <c r="Q36" s="101"/>
      <c r="R36" s="101"/>
      <c r="S36" s="101"/>
      <c r="T36" s="101"/>
      <c r="U36" s="101"/>
      <c r="V36" s="101"/>
    </row>
    <row r="37" spans="1:22" ht="21" customHeight="1" x14ac:dyDescent="0.15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99"/>
      <c r="P37" s="100"/>
      <c r="Q37" s="101"/>
      <c r="R37" s="101"/>
      <c r="S37" s="101"/>
      <c r="T37" s="101"/>
      <c r="U37" s="101"/>
      <c r="V37" s="101"/>
    </row>
    <row r="38" spans="1:22" ht="21" customHeight="1" x14ac:dyDescent="0.15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99"/>
      <c r="P38" s="100"/>
      <c r="Q38" s="101"/>
      <c r="R38" s="101"/>
      <c r="S38" s="101"/>
      <c r="T38" s="101"/>
      <c r="U38" s="101"/>
      <c r="V38" s="101"/>
    </row>
    <row r="39" spans="1:22" ht="21" customHeight="1" x14ac:dyDescent="0.15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99"/>
      <c r="P39" s="100"/>
      <c r="Q39" s="101"/>
      <c r="R39" s="101"/>
      <c r="S39" s="101"/>
      <c r="T39" s="101"/>
      <c r="U39" s="101"/>
      <c r="V39" s="101"/>
    </row>
    <row r="40" spans="1:22" ht="21" customHeight="1" x14ac:dyDescent="0.15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99"/>
      <c r="P40" s="100"/>
      <c r="Q40" s="101"/>
      <c r="R40" s="101"/>
      <c r="S40" s="101"/>
      <c r="T40" s="101"/>
      <c r="U40" s="101"/>
      <c r="V40" s="101"/>
    </row>
    <row r="41" spans="1:22" ht="21" customHeight="1" x14ac:dyDescent="0.15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99"/>
      <c r="P41" s="100"/>
      <c r="Q41" s="101"/>
      <c r="R41" s="101"/>
      <c r="S41" s="101"/>
      <c r="T41" s="101"/>
      <c r="U41" s="101"/>
      <c r="V41" s="101"/>
    </row>
    <row r="42" spans="1:22" ht="21" customHeight="1" x14ac:dyDescent="0.15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99"/>
      <c r="P42" s="100"/>
      <c r="Q42" s="101"/>
      <c r="R42" s="101"/>
      <c r="S42" s="101"/>
      <c r="T42" s="101"/>
      <c r="U42" s="101"/>
      <c r="V42" s="101"/>
    </row>
    <row r="43" spans="1:22" ht="21" customHeight="1" x14ac:dyDescent="0.15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99"/>
      <c r="P43" s="100"/>
      <c r="Q43" s="101"/>
      <c r="R43" s="101"/>
      <c r="S43" s="101"/>
      <c r="T43" s="101"/>
      <c r="U43" s="101"/>
      <c r="V43" s="101"/>
    </row>
    <row r="44" spans="1:22" ht="21" customHeight="1" x14ac:dyDescent="0.15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99"/>
      <c r="P44" s="100"/>
      <c r="Q44" s="101"/>
      <c r="R44" s="101"/>
      <c r="S44" s="101"/>
      <c r="T44" s="101"/>
      <c r="U44" s="101"/>
      <c r="V44" s="101"/>
    </row>
    <row r="45" spans="1:22" ht="21" customHeight="1" x14ac:dyDescent="0.15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99"/>
      <c r="P45" s="100"/>
      <c r="Q45" s="101"/>
      <c r="R45" s="101"/>
      <c r="S45" s="101"/>
      <c r="T45" s="101"/>
      <c r="U45" s="101"/>
      <c r="V45" s="101"/>
    </row>
    <row r="46" spans="1:22" ht="21" customHeight="1" x14ac:dyDescent="0.15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99"/>
      <c r="P46" s="100"/>
      <c r="Q46" s="101"/>
      <c r="R46" s="101"/>
      <c r="S46" s="101"/>
      <c r="T46" s="101"/>
      <c r="U46" s="101"/>
      <c r="V46" s="101"/>
    </row>
    <row r="47" spans="1:22" ht="21" customHeight="1" x14ac:dyDescent="0.15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99"/>
      <c r="P47" s="100"/>
      <c r="Q47" s="101"/>
      <c r="R47" s="101"/>
      <c r="S47" s="101"/>
      <c r="T47" s="101"/>
      <c r="U47" s="101"/>
      <c r="V47" s="101"/>
    </row>
    <row r="48" spans="1:22" ht="21" customHeight="1" x14ac:dyDescent="0.15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99"/>
      <c r="P48" s="100"/>
      <c r="Q48" s="101"/>
      <c r="R48" s="101"/>
      <c r="S48" s="101"/>
      <c r="T48" s="101"/>
      <c r="U48" s="101"/>
      <c r="V48" s="101"/>
    </row>
    <row r="49" spans="1:22" ht="21" customHeight="1" x14ac:dyDescent="0.15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99"/>
      <c r="P49" s="100"/>
      <c r="Q49" s="101"/>
      <c r="R49" s="101"/>
      <c r="S49" s="101"/>
      <c r="T49" s="101"/>
      <c r="U49" s="101"/>
      <c r="V49" s="101"/>
    </row>
    <row r="50" spans="1:22" ht="21" customHeight="1" x14ac:dyDescent="0.15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99"/>
      <c r="P50" s="100"/>
      <c r="Q50" s="101"/>
      <c r="R50" s="101"/>
      <c r="S50" s="101"/>
      <c r="T50" s="101"/>
      <c r="U50" s="101"/>
      <c r="V50" s="101"/>
    </row>
    <row r="51" spans="1:22" ht="21" customHeight="1" x14ac:dyDescent="0.15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99"/>
      <c r="P51" s="100"/>
      <c r="Q51" s="101"/>
      <c r="R51" s="101"/>
      <c r="S51" s="101"/>
      <c r="T51" s="101"/>
      <c r="U51" s="101"/>
      <c r="V51" s="101"/>
    </row>
    <row r="52" spans="1:22" ht="21" customHeight="1" x14ac:dyDescent="0.15">
      <c r="A52" s="86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99"/>
      <c r="P52" s="100"/>
      <c r="Q52" s="101"/>
      <c r="R52" s="101"/>
      <c r="S52" s="101"/>
      <c r="T52" s="101"/>
      <c r="U52" s="101"/>
      <c r="V52" s="101"/>
    </row>
    <row r="53" spans="1:22" ht="21" customHeight="1" x14ac:dyDescent="0.15">
      <c r="A53" s="86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99"/>
      <c r="P53" s="100"/>
      <c r="Q53" s="101"/>
      <c r="R53" s="101"/>
      <c r="S53" s="101"/>
      <c r="T53" s="101"/>
      <c r="U53" s="101"/>
      <c r="V53" s="101"/>
    </row>
    <row r="54" spans="1:22" ht="21" customHeight="1" x14ac:dyDescent="0.15">
      <c r="A54" s="86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99"/>
      <c r="P54" s="100"/>
      <c r="Q54" s="101"/>
      <c r="R54" s="101"/>
      <c r="S54" s="101"/>
      <c r="T54" s="101"/>
      <c r="U54" s="101"/>
      <c r="V54" s="101"/>
    </row>
    <row r="55" spans="1:22" ht="21" customHeight="1" x14ac:dyDescent="0.15">
      <c r="A55" s="86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99"/>
      <c r="P55" s="100"/>
      <c r="Q55" s="101"/>
      <c r="R55" s="101"/>
      <c r="S55" s="101"/>
      <c r="T55" s="101"/>
      <c r="U55" s="101"/>
      <c r="V55" s="101"/>
    </row>
    <row r="56" spans="1:22" ht="21" customHeight="1" x14ac:dyDescent="0.15">
      <c r="A56" s="86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99"/>
      <c r="P56" s="100"/>
      <c r="Q56" s="101"/>
      <c r="R56" s="101"/>
      <c r="S56" s="101"/>
      <c r="T56" s="101"/>
      <c r="U56" s="101"/>
      <c r="V56" s="101"/>
    </row>
    <row r="57" spans="1:22" ht="21" customHeight="1" x14ac:dyDescent="0.15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99"/>
      <c r="P57" s="100"/>
      <c r="Q57" s="101"/>
      <c r="R57" s="101"/>
      <c r="S57" s="101"/>
      <c r="T57" s="101"/>
      <c r="U57" s="101"/>
      <c r="V57" s="101"/>
    </row>
    <row r="58" spans="1:22" ht="21" customHeight="1" x14ac:dyDescent="0.15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99"/>
      <c r="P58" s="100"/>
      <c r="Q58" s="101"/>
      <c r="R58" s="101"/>
      <c r="S58" s="101"/>
      <c r="T58" s="101"/>
      <c r="U58" s="101"/>
      <c r="V58" s="101"/>
    </row>
    <row r="59" spans="1:22" ht="21" customHeight="1" x14ac:dyDescent="0.15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99"/>
      <c r="P59" s="100"/>
      <c r="Q59" s="101"/>
      <c r="R59" s="101"/>
      <c r="S59" s="101"/>
      <c r="T59" s="101"/>
      <c r="U59" s="101"/>
      <c r="V59" s="101"/>
    </row>
    <row r="60" spans="1:22" ht="21" customHeight="1" x14ac:dyDescent="0.15">
      <c r="A60" s="86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99"/>
      <c r="P60" s="100"/>
      <c r="Q60" s="101"/>
      <c r="R60" s="101"/>
      <c r="S60" s="101"/>
      <c r="T60" s="101"/>
      <c r="U60" s="101"/>
      <c r="V60" s="101"/>
    </row>
    <row r="61" spans="1:22" ht="21" customHeight="1" x14ac:dyDescent="0.15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99"/>
      <c r="P61" s="100"/>
      <c r="Q61" s="101"/>
      <c r="R61" s="101"/>
      <c r="S61" s="101"/>
      <c r="T61" s="101"/>
      <c r="U61" s="101"/>
      <c r="V61" s="101"/>
    </row>
    <row r="62" spans="1:22" ht="21" customHeight="1" x14ac:dyDescent="0.15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99"/>
      <c r="P62" s="100"/>
      <c r="Q62" s="101"/>
      <c r="R62" s="101"/>
      <c r="S62" s="101"/>
      <c r="T62" s="101"/>
      <c r="U62" s="101"/>
      <c r="V62" s="101"/>
    </row>
    <row r="63" spans="1:22" ht="21" customHeight="1" x14ac:dyDescent="0.15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99"/>
      <c r="P63" s="100"/>
      <c r="Q63" s="101"/>
      <c r="R63" s="101"/>
      <c r="S63" s="101"/>
      <c r="T63" s="101"/>
      <c r="U63" s="101"/>
      <c r="V63" s="101"/>
    </row>
    <row r="64" spans="1:22" ht="21" customHeight="1" x14ac:dyDescent="0.15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99"/>
      <c r="P64" s="100"/>
      <c r="Q64" s="101"/>
      <c r="R64" s="101"/>
      <c r="S64" s="101"/>
      <c r="T64" s="101"/>
      <c r="U64" s="101"/>
      <c r="V64" s="101"/>
    </row>
    <row r="65" spans="1:22" ht="21" customHeight="1" x14ac:dyDescent="0.15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99"/>
      <c r="P65" s="100"/>
      <c r="Q65" s="101"/>
      <c r="R65" s="101"/>
      <c r="S65" s="101"/>
      <c r="T65" s="101"/>
      <c r="U65" s="101"/>
      <c r="V65" s="101"/>
    </row>
    <row r="66" spans="1:22" ht="21" customHeight="1" x14ac:dyDescent="0.15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99"/>
      <c r="P66" s="100"/>
      <c r="Q66" s="101"/>
      <c r="R66" s="101"/>
      <c r="S66" s="101"/>
      <c r="T66" s="101"/>
      <c r="U66" s="101"/>
      <c r="V66" s="101"/>
    </row>
    <row r="67" spans="1:22" ht="21" customHeight="1" x14ac:dyDescent="0.15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99"/>
      <c r="P67" s="100"/>
      <c r="Q67" s="101"/>
      <c r="R67" s="101"/>
      <c r="S67" s="101"/>
      <c r="T67" s="101"/>
      <c r="U67" s="101"/>
      <c r="V67" s="101"/>
    </row>
    <row r="68" spans="1:22" ht="21" customHeight="1" x14ac:dyDescent="0.15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99"/>
      <c r="P68" s="100"/>
      <c r="Q68" s="101"/>
      <c r="R68" s="101"/>
      <c r="S68" s="101"/>
      <c r="T68" s="101"/>
      <c r="U68" s="101"/>
      <c r="V68" s="101"/>
    </row>
    <row r="69" spans="1:22" ht="21" customHeight="1" x14ac:dyDescent="0.1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99"/>
      <c r="P69" s="100"/>
      <c r="Q69" s="101"/>
      <c r="R69" s="101"/>
      <c r="S69" s="101"/>
      <c r="T69" s="101"/>
      <c r="U69" s="101"/>
      <c r="V69" s="101"/>
    </row>
    <row r="70" spans="1:22" ht="21" customHeight="1" x14ac:dyDescent="0.15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99"/>
      <c r="P70" s="100"/>
      <c r="Q70" s="101"/>
      <c r="R70" s="101"/>
      <c r="S70" s="101"/>
      <c r="T70" s="101"/>
      <c r="U70" s="101"/>
      <c r="V70" s="101"/>
    </row>
    <row r="71" spans="1:22" ht="21" customHeight="1" x14ac:dyDescent="0.15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99"/>
      <c r="P71" s="100"/>
      <c r="Q71" s="101"/>
      <c r="R71" s="101"/>
      <c r="S71" s="101"/>
      <c r="T71" s="101"/>
      <c r="U71" s="101"/>
      <c r="V71" s="101"/>
    </row>
    <row r="72" spans="1:22" ht="21" customHeight="1" x14ac:dyDescent="0.15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99"/>
      <c r="P72" s="100"/>
      <c r="Q72" s="101"/>
      <c r="R72" s="101"/>
      <c r="S72" s="101"/>
      <c r="T72" s="101"/>
      <c r="U72" s="101"/>
      <c r="V72" s="101"/>
    </row>
    <row r="73" spans="1:22" ht="21" customHeight="1" x14ac:dyDescent="0.15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99"/>
      <c r="P73" s="100"/>
      <c r="Q73" s="101"/>
      <c r="R73" s="101"/>
      <c r="S73" s="101"/>
      <c r="T73" s="101"/>
      <c r="U73" s="101"/>
      <c r="V73" s="101"/>
    </row>
    <row r="74" spans="1:22" ht="21" customHeight="1" x14ac:dyDescent="0.15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99"/>
      <c r="P74" s="100"/>
      <c r="Q74" s="101"/>
      <c r="R74" s="101"/>
      <c r="S74" s="101"/>
      <c r="T74" s="101"/>
      <c r="U74" s="101"/>
      <c r="V74" s="101"/>
    </row>
    <row r="75" spans="1:22" ht="21" customHeight="1" x14ac:dyDescent="0.15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99"/>
      <c r="P75" s="100"/>
      <c r="Q75" s="101"/>
      <c r="R75" s="101"/>
      <c r="S75" s="101"/>
      <c r="T75" s="101"/>
      <c r="U75" s="101"/>
      <c r="V75" s="101"/>
    </row>
    <row r="76" spans="1:22" ht="21" customHeight="1" x14ac:dyDescent="0.15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99"/>
      <c r="P76" s="100"/>
      <c r="Q76" s="101"/>
      <c r="R76" s="101"/>
      <c r="S76" s="101"/>
      <c r="T76" s="101"/>
      <c r="U76" s="101"/>
      <c r="V76" s="101"/>
    </row>
    <row r="77" spans="1:22" ht="21" customHeight="1" x14ac:dyDescent="0.15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99"/>
      <c r="P77" s="100"/>
      <c r="Q77" s="101"/>
      <c r="R77" s="101"/>
      <c r="S77" s="101"/>
      <c r="T77" s="101"/>
      <c r="U77" s="101"/>
      <c r="V77" s="101"/>
    </row>
    <row r="78" spans="1:22" ht="21" customHeight="1" x14ac:dyDescent="0.15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99"/>
      <c r="P78" s="100"/>
      <c r="Q78" s="101"/>
      <c r="R78" s="101"/>
      <c r="S78" s="101"/>
      <c r="T78" s="101"/>
      <c r="U78" s="101"/>
      <c r="V78" s="101"/>
    </row>
    <row r="79" spans="1:22" ht="21" customHeight="1" x14ac:dyDescent="0.15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99"/>
      <c r="P79" s="100"/>
      <c r="Q79" s="101"/>
      <c r="R79" s="101"/>
      <c r="S79" s="101"/>
      <c r="T79" s="101"/>
      <c r="U79" s="101"/>
      <c r="V79" s="101"/>
    </row>
    <row r="80" spans="1:22" ht="21" customHeight="1" x14ac:dyDescent="0.15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99"/>
      <c r="P80" s="100"/>
      <c r="Q80" s="101"/>
      <c r="R80" s="101"/>
      <c r="S80" s="101"/>
      <c r="T80" s="101"/>
      <c r="U80" s="101"/>
      <c r="V80" s="101"/>
    </row>
    <row r="81" spans="1:22" ht="21" customHeight="1" x14ac:dyDescent="0.15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99"/>
      <c r="P81" s="100"/>
      <c r="Q81" s="101"/>
      <c r="R81" s="101"/>
      <c r="S81" s="101"/>
      <c r="T81" s="101"/>
      <c r="U81" s="101"/>
      <c r="V81" s="101"/>
    </row>
    <row r="82" spans="1:22" ht="21" customHeight="1" x14ac:dyDescent="0.15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99"/>
      <c r="P82" s="100"/>
      <c r="Q82" s="101"/>
      <c r="R82" s="101"/>
      <c r="S82" s="101"/>
      <c r="T82" s="101"/>
      <c r="U82" s="101"/>
      <c r="V82" s="101"/>
    </row>
    <row r="83" spans="1:22" ht="21" customHeight="1" x14ac:dyDescent="0.15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99"/>
      <c r="P83" s="100"/>
      <c r="Q83" s="101"/>
      <c r="R83" s="101"/>
      <c r="S83" s="101"/>
      <c r="T83" s="101"/>
      <c r="U83" s="101"/>
      <c r="V83" s="101"/>
    </row>
    <row r="84" spans="1:22" ht="21" customHeight="1" x14ac:dyDescent="0.15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99"/>
      <c r="P84" s="100"/>
      <c r="Q84" s="101"/>
      <c r="R84" s="101"/>
      <c r="S84" s="101"/>
      <c r="T84" s="101"/>
      <c r="U84" s="101"/>
      <c r="V84" s="101"/>
    </row>
    <row r="85" spans="1:22" ht="21" customHeight="1" x14ac:dyDescent="0.15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99"/>
      <c r="P85" s="100"/>
      <c r="Q85" s="101"/>
      <c r="R85" s="101"/>
      <c r="S85" s="101"/>
      <c r="T85" s="101"/>
      <c r="U85" s="101"/>
      <c r="V85" s="101"/>
    </row>
    <row r="86" spans="1:22" ht="21" customHeight="1" x14ac:dyDescent="0.15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99"/>
      <c r="P86" s="100"/>
      <c r="Q86" s="101"/>
      <c r="R86" s="101"/>
      <c r="S86" s="101"/>
      <c r="T86" s="101"/>
      <c r="U86" s="101"/>
      <c r="V86" s="101"/>
    </row>
    <row r="87" spans="1:22" ht="21" customHeight="1" x14ac:dyDescent="0.15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99"/>
      <c r="P87" s="100"/>
      <c r="Q87" s="101"/>
      <c r="R87" s="101"/>
      <c r="S87" s="101"/>
      <c r="T87" s="101"/>
      <c r="U87" s="101"/>
      <c r="V87" s="101"/>
    </row>
    <row r="88" spans="1:22" ht="21" customHeight="1" x14ac:dyDescent="0.15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99"/>
      <c r="P88" s="100"/>
      <c r="Q88" s="101"/>
      <c r="R88" s="101"/>
      <c r="S88" s="101"/>
      <c r="T88" s="101"/>
      <c r="U88" s="101"/>
      <c r="V88" s="101"/>
    </row>
    <row r="89" spans="1:22" ht="21" customHeight="1" x14ac:dyDescent="0.15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99"/>
      <c r="P89" s="100"/>
      <c r="Q89" s="101"/>
      <c r="R89" s="101"/>
      <c r="S89" s="101"/>
      <c r="T89" s="101"/>
      <c r="U89" s="101"/>
      <c r="V89" s="101"/>
    </row>
    <row r="90" spans="1:22" ht="21" customHeight="1" x14ac:dyDescent="0.15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99"/>
      <c r="P90" s="100"/>
      <c r="Q90" s="101"/>
      <c r="R90" s="101"/>
      <c r="S90" s="101"/>
      <c r="T90" s="101"/>
      <c r="U90" s="101"/>
      <c r="V90" s="101"/>
    </row>
    <row r="91" spans="1:22" ht="21" customHeight="1" x14ac:dyDescent="0.15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99"/>
      <c r="P91" s="100"/>
      <c r="Q91" s="101"/>
      <c r="R91" s="101"/>
      <c r="S91" s="101"/>
      <c r="T91" s="101"/>
      <c r="U91" s="101"/>
      <c r="V91" s="101"/>
    </row>
    <row r="92" spans="1:22" ht="21" customHeight="1" x14ac:dyDescent="0.15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99"/>
      <c r="P92" s="100"/>
      <c r="Q92" s="101"/>
      <c r="R92" s="101"/>
      <c r="S92" s="101"/>
      <c r="T92" s="101"/>
      <c r="U92" s="101"/>
      <c r="V92" s="101"/>
    </row>
    <row r="93" spans="1:22" ht="21" customHeight="1" x14ac:dyDescent="0.15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99"/>
      <c r="P93" s="100"/>
      <c r="Q93" s="101"/>
      <c r="R93" s="101"/>
      <c r="S93" s="101"/>
      <c r="T93" s="101"/>
      <c r="U93" s="101"/>
      <c r="V93" s="101"/>
    </row>
    <row r="94" spans="1:22" ht="21" customHeight="1" x14ac:dyDescent="0.15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99"/>
      <c r="P94" s="100"/>
      <c r="Q94" s="101"/>
      <c r="R94" s="101"/>
      <c r="S94" s="101"/>
      <c r="T94" s="101"/>
      <c r="U94" s="101"/>
      <c r="V94" s="101"/>
    </row>
    <row r="95" spans="1:22" ht="21" customHeight="1" x14ac:dyDescent="0.15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99"/>
      <c r="P95" s="100"/>
      <c r="Q95" s="101"/>
      <c r="R95" s="101"/>
      <c r="S95" s="101"/>
      <c r="T95" s="101"/>
      <c r="U95" s="101"/>
      <c r="V95" s="101"/>
    </row>
    <row r="96" spans="1:22" ht="21" customHeight="1" x14ac:dyDescent="0.15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99"/>
      <c r="P96" s="100"/>
      <c r="Q96" s="101"/>
      <c r="R96" s="101"/>
      <c r="S96" s="101"/>
      <c r="T96" s="101"/>
      <c r="U96" s="101"/>
      <c r="V96" s="101"/>
    </row>
    <row r="97" spans="1:22" ht="21" customHeight="1" x14ac:dyDescent="0.15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99"/>
      <c r="P97" s="100"/>
      <c r="Q97" s="101"/>
      <c r="R97" s="101"/>
      <c r="S97" s="101"/>
      <c r="T97" s="101"/>
      <c r="U97" s="101"/>
      <c r="V97" s="101"/>
    </row>
    <row r="98" spans="1:22" ht="21" customHeight="1" x14ac:dyDescent="0.15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99"/>
      <c r="P98" s="100"/>
      <c r="Q98" s="101"/>
      <c r="R98" s="101"/>
      <c r="S98" s="101"/>
      <c r="T98" s="101"/>
      <c r="U98" s="101"/>
      <c r="V98" s="101"/>
    </row>
    <row r="99" spans="1:22" ht="21" customHeight="1" x14ac:dyDescent="0.15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99"/>
      <c r="P99" s="100"/>
      <c r="Q99" s="101"/>
      <c r="R99" s="101"/>
      <c r="S99" s="101"/>
      <c r="T99" s="101"/>
      <c r="U99" s="101"/>
      <c r="V99" s="101"/>
    </row>
    <row r="100" spans="1:22" ht="21" customHeight="1" x14ac:dyDescent="0.15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99"/>
      <c r="P100" s="100"/>
      <c r="Q100" s="101"/>
      <c r="R100" s="101"/>
      <c r="S100" s="101"/>
      <c r="T100" s="101"/>
      <c r="U100" s="101"/>
      <c r="V100" s="101"/>
    </row>
    <row r="101" spans="1:22" ht="21" customHeight="1" x14ac:dyDescent="0.15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99"/>
      <c r="P101" s="100"/>
      <c r="Q101" s="101"/>
      <c r="R101" s="101"/>
      <c r="S101" s="101"/>
      <c r="T101" s="101"/>
      <c r="U101" s="101"/>
      <c r="V101" s="101"/>
    </row>
    <row r="102" spans="1:22" ht="21" customHeight="1" x14ac:dyDescent="0.15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99"/>
      <c r="P102" s="100"/>
      <c r="Q102" s="101"/>
      <c r="R102" s="101"/>
      <c r="S102" s="101"/>
      <c r="T102" s="101"/>
      <c r="U102" s="101"/>
      <c r="V102" s="101"/>
    </row>
    <row r="103" spans="1:22" ht="21" customHeight="1" x14ac:dyDescent="0.15">
      <c r="A103" s="86"/>
      <c r="B103" s="86"/>
      <c r="C103" s="86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99"/>
      <c r="P103" s="100"/>
      <c r="Q103" s="101"/>
      <c r="R103" s="101"/>
      <c r="S103" s="101"/>
      <c r="T103" s="101"/>
      <c r="U103" s="101"/>
      <c r="V103" s="101"/>
    </row>
    <row r="104" spans="1:22" ht="21" customHeight="1" x14ac:dyDescent="0.15">
      <c r="A104" s="86"/>
      <c r="B104" s="86"/>
      <c r="C104" s="86"/>
      <c r="D104" s="86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99"/>
      <c r="P104" s="100"/>
      <c r="Q104" s="101"/>
      <c r="R104" s="101"/>
      <c r="S104" s="101"/>
      <c r="T104" s="101"/>
      <c r="U104" s="101"/>
      <c r="V104" s="101"/>
    </row>
    <row r="105" spans="1:22" ht="21" customHeight="1" x14ac:dyDescent="0.15">
      <c r="A105" s="86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99"/>
      <c r="P105" s="100"/>
      <c r="Q105" s="101"/>
      <c r="R105" s="101"/>
      <c r="S105" s="101"/>
      <c r="T105" s="101"/>
      <c r="U105" s="101"/>
      <c r="V105" s="101"/>
    </row>
    <row r="106" spans="1:22" ht="21" customHeight="1" x14ac:dyDescent="0.15">
      <c r="A106" s="86"/>
      <c r="B106" s="86"/>
      <c r="C106" s="86"/>
      <c r="D106" s="86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99"/>
      <c r="P106" s="100"/>
      <c r="Q106" s="101"/>
      <c r="R106" s="101"/>
      <c r="S106" s="101"/>
      <c r="T106" s="101"/>
      <c r="U106" s="101"/>
      <c r="V106" s="101"/>
    </row>
    <row r="107" spans="1:22" ht="21" customHeight="1" x14ac:dyDescent="0.15">
      <c r="A107" s="86"/>
      <c r="B107" s="86"/>
      <c r="C107" s="86"/>
      <c r="D107" s="86"/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99"/>
      <c r="P107" s="100"/>
      <c r="Q107" s="101"/>
      <c r="R107" s="101"/>
      <c r="S107" s="101"/>
      <c r="T107" s="101"/>
      <c r="U107" s="101"/>
      <c r="V107" s="101"/>
    </row>
    <row r="108" spans="1:22" ht="21" customHeight="1" x14ac:dyDescent="0.15">
      <c r="A108" s="86"/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99"/>
      <c r="P108" s="100"/>
      <c r="Q108" s="101"/>
      <c r="R108" s="101"/>
      <c r="S108" s="101"/>
      <c r="T108" s="101"/>
      <c r="U108" s="101"/>
      <c r="V108" s="101"/>
    </row>
    <row r="109" spans="1:22" ht="21" customHeight="1" x14ac:dyDescent="0.15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99"/>
      <c r="P109" s="100"/>
      <c r="Q109" s="101"/>
      <c r="R109" s="101"/>
      <c r="S109" s="101"/>
      <c r="T109" s="101"/>
      <c r="U109" s="101"/>
      <c r="V109" s="101"/>
    </row>
    <row r="110" spans="1:22" ht="21" customHeight="1" x14ac:dyDescent="0.15">
      <c r="A110" s="86"/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99"/>
      <c r="P110" s="100"/>
      <c r="Q110" s="101"/>
      <c r="R110" s="101"/>
      <c r="S110" s="101"/>
      <c r="T110" s="101"/>
      <c r="U110" s="101"/>
      <c r="V110" s="101"/>
    </row>
    <row r="111" spans="1:22" ht="21" customHeight="1" x14ac:dyDescent="0.15">
      <c r="A111" s="86"/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99"/>
      <c r="P111" s="100"/>
      <c r="Q111" s="101"/>
      <c r="R111" s="101"/>
      <c r="S111" s="101"/>
      <c r="T111" s="101"/>
      <c r="U111" s="101"/>
      <c r="V111" s="101"/>
    </row>
    <row r="112" spans="1:22" ht="21" customHeight="1" x14ac:dyDescent="0.15">
      <c r="A112" s="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99"/>
      <c r="P112" s="100"/>
      <c r="Q112" s="101"/>
      <c r="R112" s="101"/>
      <c r="S112" s="101"/>
      <c r="T112" s="101"/>
      <c r="U112" s="101"/>
      <c r="V112" s="101"/>
    </row>
    <row r="113" spans="1:22" ht="21" customHeight="1" x14ac:dyDescent="0.15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99"/>
      <c r="P113" s="100"/>
      <c r="Q113" s="101"/>
      <c r="R113" s="101"/>
      <c r="S113" s="101"/>
      <c r="T113" s="101"/>
      <c r="U113" s="101"/>
      <c r="V113" s="101"/>
    </row>
    <row r="114" spans="1:22" ht="21" customHeight="1" x14ac:dyDescent="0.15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99"/>
      <c r="P114" s="100"/>
      <c r="Q114" s="101"/>
      <c r="R114" s="101"/>
      <c r="S114" s="101"/>
      <c r="T114" s="101"/>
      <c r="U114" s="101"/>
      <c r="V114" s="101"/>
    </row>
    <row r="115" spans="1:22" ht="21" customHeight="1" x14ac:dyDescent="0.15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99"/>
      <c r="P115" s="100"/>
      <c r="Q115" s="101"/>
      <c r="R115" s="101"/>
      <c r="S115" s="101"/>
      <c r="T115" s="101"/>
      <c r="U115" s="101"/>
      <c r="V115" s="101"/>
    </row>
    <row r="116" spans="1:22" ht="21" customHeight="1" x14ac:dyDescent="0.15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99"/>
      <c r="P116" s="100"/>
      <c r="Q116" s="101"/>
      <c r="R116" s="101"/>
      <c r="S116" s="101"/>
      <c r="T116" s="101"/>
      <c r="U116" s="101"/>
      <c r="V116" s="101"/>
    </row>
    <row r="117" spans="1:22" ht="21" customHeight="1" x14ac:dyDescent="0.15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99"/>
      <c r="P117" s="100"/>
      <c r="Q117" s="101"/>
      <c r="R117" s="101"/>
      <c r="S117" s="101"/>
      <c r="T117" s="101"/>
      <c r="U117" s="101"/>
      <c r="V117" s="101"/>
    </row>
    <row r="118" spans="1:22" ht="21" customHeight="1" x14ac:dyDescent="0.15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99"/>
      <c r="P118" s="100"/>
      <c r="Q118" s="101"/>
      <c r="R118" s="101"/>
      <c r="S118" s="101"/>
      <c r="T118" s="101"/>
      <c r="U118" s="101"/>
      <c r="V118" s="101"/>
    </row>
    <row r="119" spans="1:22" ht="21" customHeight="1" x14ac:dyDescent="0.15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99"/>
      <c r="P119" s="100"/>
      <c r="Q119" s="101"/>
      <c r="R119" s="101"/>
      <c r="S119" s="101"/>
      <c r="T119" s="101"/>
      <c r="U119" s="101"/>
      <c r="V119" s="101"/>
    </row>
    <row r="120" spans="1:22" ht="21" customHeight="1" x14ac:dyDescent="0.15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99"/>
      <c r="P120" s="100"/>
      <c r="Q120" s="101"/>
      <c r="R120" s="101"/>
      <c r="S120" s="101"/>
      <c r="T120" s="101"/>
      <c r="U120" s="101"/>
      <c r="V120" s="101"/>
    </row>
    <row r="121" spans="1:22" ht="21" customHeight="1" x14ac:dyDescent="0.15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99"/>
      <c r="P121" s="100"/>
      <c r="Q121" s="101"/>
      <c r="R121" s="101"/>
      <c r="S121" s="101"/>
      <c r="T121" s="101"/>
      <c r="U121" s="101"/>
      <c r="V121" s="101"/>
    </row>
    <row r="122" spans="1:22" ht="21" customHeight="1" x14ac:dyDescent="0.15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99"/>
      <c r="P122" s="100"/>
      <c r="Q122" s="101"/>
      <c r="R122" s="101"/>
      <c r="S122" s="101"/>
      <c r="T122" s="101"/>
      <c r="U122" s="101"/>
      <c r="V122" s="101"/>
    </row>
    <row r="123" spans="1:22" ht="21" customHeight="1" x14ac:dyDescent="0.15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99"/>
      <c r="P123" s="100"/>
      <c r="Q123" s="101"/>
      <c r="R123" s="101"/>
      <c r="S123" s="101"/>
      <c r="T123" s="101"/>
      <c r="U123" s="101"/>
      <c r="V123" s="101"/>
    </row>
    <row r="124" spans="1:22" ht="21" customHeight="1" x14ac:dyDescent="0.15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99"/>
      <c r="P124" s="100"/>
      <c r="Q124" s="101"/>
      <c r="R124" s="101"/>
      <c r="S124" s="101"/>
      <c r="T124" s="101"/>
      <c r="U124" s="101"/>
      <c r="V124" s="101"/>
    </row>
    <row r="125" spans="1:22" ht="21" customHeight="1" x14ac:dyDescent="0.15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99"/>
      <c r="P125" s="100"/>
      <c r="Q125" s="101"/>
      <c r="R125" s="101"/>
      <c r="S125" s="101"/>
      <c r="T125" s="101"/>
      <c r="U125" s="101"/>
      <c r="V125" s="101"/>
    </row>
    <row r="126" spans="1:22" ht="21" customHeight="1" x14ac:dyDescent="0.15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99"/>
      <c r="P126" s="100"/>
      <c r="Q126" s="101"/>
      <c r="R126" s="101"/>
      <c r="S126" s="101"/>
      <c r="T126" s="101"/>
      <c r="U126" s="101"/>
      <c r="V126" s="101"/>
    </row>
    <row r="127" spans="1:22" ht="21" customHeight="1" x14ac:dyDescent="0.15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99"/>
      <c r="P127" s="100"/>
      <c r="Q127" s="101"/>
      <c r="R127" s="101"/>
      <c r="S127" s="101"/>
      <c r="T127" s="101"/>
      <c r="U127" s="101"/>
      <c r="V127" s="101"/>
    </row>
    <row r="128" spans="1:22" ht="21" customHeight="1" x14ac:dyDescent="0.15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99"/>
      <c r="P128" s="100"/>
      <c r="Q128" s="101"/>
      <c r="R128" s="101"/>
      <c r="S128" s="101"/>
      <c r="T128" s="101"/>
      <c r="U128" s="101"/>
      <c r="V128" s="101"/>
    </row>
    <row r="129" spans="1:22" ht="21" customHeight="1" x14ac:dyDescent="0.15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99"/>
      <c r="P129" s="100"/>
      <c r="Q129" s="101"/>
      <c r="R129" s="101"/>
      <c r="S129" s="101"/>
      <c r="T129" s="101"/>
      <c r="U129" s="101"/>
      <c r="V129" s="101"/>
    </row>
    <row r="130" spans="1:22" ht="21" customHeight="1" x14ac:dyDescent="0.15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99"/>
      <c r="P130" s="100"/>
      <c r="Q130" s="101"/>
      <c r="R130" s="101"/>
      <c r="S130" s="101"/>
      <c r="T130" s="101"/>
      <c r="U130" s="101"/>
      <c r="V130" s="101"/>
    </row>
    <row r="131" spans="1:22" ht="21" customHeight="1" x14ac:dyDescent="0.15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99"/>
      <c r="P131" s="100"/>
      <c r="Q131" s="101"/>
      <c r="R131" s="101"/>
      <c r="S131" s="101"/>
      <c r="T131" s="101"/>
      <c r="U131" s="101"/>
      <c r="V131" s="101"/>
    </row>
    <row r="132" spans="1:22" ht="21" customHeight="1" x14ac:dyDescent="0.15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99"/>
      <c r="P132" s="100"/>
      <c r="Q132" s="101"/>
      <c r="R132" s="101"/>
      <c r="S132" s="101"/>
      <c r="T132" s="101"/>
      <c r="U132" s="101"/>
      <c r="V132" s="101"/>
    </row>
    <row r="133" spans="1:22" ht="21" customHeight="1" x14ac:dyDescent="0.15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99"/>
      <c r="P133" s="100"/>
      <c r="Q133" s="101"/>
      <c r="R133" s="101"/>
      <c r="S133" s="101"/>
      <c r="T133" s="101"/>
      <c r="U133" s="101"/>
      <c r="V133" s="101"/>
    </row>
    <row r="134" spans="1:22" ht="21" customHeight="1" x14ac:dyDescent="0.15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99"/>
      <c r="P134" s="100"/>
      <c r="Q134" s="101"/>
      <c r="R134" s="101"/>
      <c r="S134" s="101"/>
      <c r="T134" s="101"/>
      <c r="U134" s="101"/>
      <c r="V134" s="101"/>
    </row>
    <row r="135" spans="1:22" ht="21" customHeight="1" x14ac:dyDescent="0.15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99"/>
      <c r="P135" s="100"/>
      <c r="Q135" s="101"/>
      <c r="R135" s="101"/>
      <c r="S135" s="101"/>
      <c r="T135" s="101"/>
      <c r="U135" s="101"/>
      <c r="V135" s="101"/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input_509010</vt:lpstr>
      <vt:lpstr>tables_509010</vt:lpstr>
      <vt:lpstr>input_509100</vt:lpstr>
      <vt:lpstr>tables_509100</vt:lpstr>
      <vt:lpstr>tables_settle_509100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2017-01-15T07:09:25Z</dcterms:modified>
</cp:coreProperties>
</file>