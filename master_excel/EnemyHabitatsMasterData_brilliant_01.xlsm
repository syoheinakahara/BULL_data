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agashirashuntakashi/BULL_data/master_excel/"/>
    </mc:Choice>
  </mc:AlternateContent>
  <bookViews>
    <workbookView xWindow="18180" yWindow="1240" windowWidth="16700" windowHeight="17680" tabRatio="740" firstSheet="4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9" l="1"/>
  <c r="D41" i="9"/>
  <c r="E41" i="9"/>
  <c r="G41" i="9"/>
  <c r="H41" i="9"/>
  <c r="I41" i="9"/>
  <c r="J41" i="9"/>
  <c r="K41" i="9"/>
  <c r="L41" i="9"/>
  <c r="M41" i="9"/>
  <c r="N41" i="9"/>
  <c r="J21" i="11"/>
  <c r="O41" i="9"/>
  <c r="O16" i="21"/>
  <c r="I16" i="21"/>
  <c r="J16" i="21"/>
  <c r="G16" i="21"/>
  <c r="F16" i="21"/>
  <c r="D16" i="21"/>
  <c r="C16" i="21"/>
  <c r="O11" i="21"/>
  <c r="I11" i="21"/>
  <c r="J11" i="21"/>
  <c r="G11" i="21"/>
  <c r="F11" i="21"/>
  <c r="D11" i="21"/>
  <c r="C11" i="21"/>
  <c r="O6" i="21"/>
  <c r="I6" i="21"/>
  <c r="J6" i="21"/>
  <c r="G6" i="21"/>
  <c r="F6" i="21"/>
  <c r="D6" i="21"/>
  <c r="C6" i="21"/>
  <c r="O3" i="21"/>
  <c r="O4" i="21"/>
  <c r="O5" i="21"/>
  <c r="O7" i="21"/>
  <c r="O8" i="21"/>
  <c r="O9" i="21"/>
  <c r="O10" i="21"/>
  <c r="O12" i="21"/>
  <c r="O13" i="21"/>
  <c r="O14" i="21"/>
  <c r="O15" i="21"/>
  <c r="O2" i="21"/>
  <c r="C33" i="18"/>
  <c r="D33" i="18"/>
  <c r="L82" i="19"/>
  <c r="K82" i="19"/>
  <c r="B82" i="19"/>
  <c r="G82" i="19"/>
  <c r="F82" i="19"/>
  <c r="D82" i="19"/>
  <c r="C82" i="19"/>
  <c r="L81" i="19"/>
  <c r="K81" i="19"/>
  <c r="B81" i="19"/>
  <c r="G81" i="19"/>
  <c r="F81" i="19"/>
  <c r="D81" i="19"/>
  <c r="C81" i="19"/>
  <c r="L80" i="19"/>
  <c r="K80" i="19"/>
  <c r="B80" i="19"/>
  <c r="G80" i="19"/>
  <c r="F80" i="19"/>
  <c r="D80" i="19"/>
  <c r="C80" i="19"/>
  <c r="L79" i="19"/>
  <c r="K79" i="19"/>
  <c r="B79" i="19"/>
  <c r="G79" i="19"/>
  <c r="F79" i="19"/>
  <c r="D79" i="19"/>
  <c r="C79" i="19"/>
  <c r="L78" i="19"/>
  <c r="K78" i="19"/>
  <c r="B78" i="19"/>
  <c r="G78" i="19"/>
  <c r="F78" i="19"/>
  <c r="D78" i="19"/>
  <c r="C78" i="19"/>
  <c r="L77" i="19"/>
  <c r="K77" i="19"/>
  <c r="B77" i="19"/>
  <c r="G77" i="19"/>
  <c r="F77" i="19"/>
  <c r="D77" i="19"/>
  <c r="C77" i="19"/>
  <c r="L76" i="19"/>
  <c r="K76" i="19"/>
  <c r="B76" i="19"/>
  <c r="G76" i="19"/>
  <c r="F76" i="19"/>
  <c r="D76" i="19"/>
  <c r="C76" i="19"/>
  <c r="L75" i="19"/>
  <c r="K75" i="19"/>
  <c r="B75" i="19"/>
  <c r="G75" i="19"/>
  <c r="F75" i="19"/>
  <c r="D75" i="19"/>
  <c r="C75" i="19"/>
  <c r="L74" i="19"/>
  <c r="K74" i="19"/>
  <c r="B74" i="19"/>
  <c r="G74" i="19"/>
  <c r="F74" i="19"/>
  <c r="D74" i="19"/>
  <c r="C74" i="19"/>
  <c r="L73" i="19"/>
  <c r="K73" i="19"/>
  <c r="B73" i="19"/>
  <c r="G73" i="19"/>
  <c r="F73" i="19"/>
  <c r="D73" i="19"/>
  <c r="C73" i="19"/>
  <c r="L72" i="19"/>
  <c r="K72" i="19"/>
  <c r="B72" i="19"/>
  <c r="G72" i="19"/>
  <c r="F72" i="19"/>
  <c r="D72" i="19"/>
  <c r="C72" i="19"/>
  <c r="L71" i="19"/>
  <c r="K71" i="19"/>
  <c r="B71" i="19"/>
  <c r="G71" i="19"/>
  <c r="F71" i="19"/>
  <c r="D71" i="19"/>
  <c r="C71" i="19"/>
  <c r="L70" i="19"/>
  <c r="K70" i="19"/>
  <c r="B70" i="19"/>
  <c r="G70" i="19"/>
  <c r="F70" i="19"/>
  <c r="D70" i="19"/>
  <c r="C70" i="19"/>
  <c r="L69" i="19"/>
  <c r="K69" i="19"/>
  <c r="B69" i="19"/>
  <c r="G69" i="19"/>
  <c r="F69" i="19"/>
  <c r="D69" i="19"/>
  <c r="C69" i="19"/>
  <c r="L68" i="19"/>
  <c r="K68" i="19"/>
  <c r="B68" i="19"/>
  <c r="G68" i="19"/>
  <c r="F68" i="19"/>
  <c r="D68" i="19"/>
  <c r="C68" i="19"/>
  <c r="L67" i="19"/>
  <c r="K67" i="19"/>
  <c r="B67" i="19"/>
  <c r="G67" i="19"/>
  <c r="F67" i="19"/>
  <c r="D67" i="19"/>
  <c r="C67" i="19"/>
  <c r="L66" i="19"/>
  <c r="K66" i="19"/>
  <c r="B66" i="19"/>
  <c r="G66" i="19"/>
  <c r="F66" i="19"/>
  <c r="D66" i="19"/>
  <c r="C66" i="19"/>
  <c r="L65" i="19"/>
  <c r="K65" i="19"/>
  <c r="B65" i="19"/>
  <c r="G65" i="19"/>
  <c r="F65" i="19"/>
  <c r="D65" i="19"/>
  <c r="C65" i="19"/>
  <c r="L64" i="19"/>
  <c r="K64" i="19"/>
  <c r="B64" i="19"/>
  <c r="G64" i="19"/>
  <c r="F64" i="19"/>
  <c r="D64" i="19"/>
  <c r="C64" i="19"/>
  <c r="L63" i="19"/>
  <c r="K63" i="19"/>
  <c r="B63" i="19"/>
  <c r="G63" i="19"/>
  <c r="F63" i="19"/>
  <c r="D63" i="19"/>
  <c r="C63" i="19"/>
  <c r="L62" i="19"/>
  <c r="K62" i="19"/>
  <c r="B62" i="19"/>
  <c r="G62" i="19"/>
  <c r="F62" i="19"/>
  <c r="D62" i="19"/>
  <c r="C62" i="19"/>
  <c r="L61" i="19"/>
  <c r="K61" i="19"/>
  <c r="B61" i="19"/>
  <c r="G61" i="19"/>
  <c r="F61" i="19"/>
  <c r="D61" i="19"/>
  <c r="C61" i="19"/>
  <c r="L60" i="19"/>
  <c r="K60" i="19"/>
  <c r="B60" i="19"/>
  <c r="G60" i="19"/>
  <c r="F60" i="19"/>
  <c r="D60" i="19"/>
  <c r="C60" i="19"/>
  <c r="L59" i="19"/>
  <c r="K59" i="19"/>
  <c r="B59" i="19"/>
  <c r="G59" i="19"/>
  <c r="F59" i="19"/>
  <c r="D59" i="19"/>
  <c r="C59" i="19"/>
  <c r="L58" i="19"/>
  <c r="K58" i="19"/>
  <c r="B58" i="19"/>
  <c r="G58" i="19"/>
  <c r="F58" i="19"/>
  <c r="D58" i="19"/>
  <c r="C58" i="19"/>
  <c r="L57" i="19"/>
  <c r="K57" i="19"/>
  <c r="B57" i="19"/>
  <c r="G57" i="19"/>
  <c r="F57" i="19"/>
  <c r="D57" i="19"/>
  <c r="C57" i="19"/>
  <c r="L56" i="19"/>
  <c r="K56" i="19"/>
  <c r="B56" i="19"/>
  <c r="G56" i="19"/>
  <c r="F56" i="19"/>
  <c r="D56" i="19"/>
  <c r="C56" i="19"/>
  <c r="L55" i="19"/>
  <c r="K55" i="19"/>
  <c r="B55" i="19"/>
  <c r="G55" i="19"/>
  <c r="F55" i="19"/>
  <c r="D55" i="19"/>
  <c r="C55" i="19"/>
  <c r="L54" i="19"/>
  <c r="K54" i="19"/>
  <c r="B54" i="19"/>
  <c r="G54" i="19"/>
  <c r="F54" i="19"/>
  <c r="D54" i="19"/>
  <c r="C54" i="19"/>
  <c r="L53" i="19"/>
  <c r="K53" i="19"/>
  <c r="B53" i="19"/>
  <c r="G53" i="19"/>
  <c r="F53" i="19"/>
  <c r="D53" i="19"/>
  <c r="C53" i="19"/>
  <c r="L52" i="19"/>
  <c r="K52" i="19"/>
  <c r="B52" i="19"/>
  <c r="G52" i="19"/>
  <c r="F52" i="19"/>
  <c r="D52" i="19"/>
  <c r="C52" i="19"/>
  <c r="L51" i="19"/>
  <c r="K51" i="19"/>
  <c r="B51" i="19"/>
  <c r="G51" i="19"/>
  <c r="F51" i="19"/>
  <c r="D51" i="19"/>
  <c r="C51" i="19"/>
  <c r="L50" i="19"/>
  <c r="K50" i="19"/>
  <c r="B50" i="19"/>
  <c r="G50" i="19"/>
  <c r="F50" i="19"/>
  <c r="D50" i="19"/>
  <c r="C50" i="19"/>
  <c r="L49" i="19"/>
  <c r="K49" i="19"/>
  <c r="B49" i="19"/>
  <c r="G49" i="19"/>
  <c r="F49" i="19"/>
  <c r="D49" i="19"/>
  <c r="C49" i="19"/>
  <c r="L48" i="19"/>
  <c r="K48" i="19"/>
  <c r="B48" i="19"/>
  <c r="G48" i="19"/>
  <c r="F48" i="19"/>
  <c r="D48" i="19"/>
  <c r="C48" i="19"/>
  <c r="L47" i="19"/>
  <c r="K47" i="19"/>
  <c r="B47" i="19"/>
  <c r="G47" i="19"/>
  <c r="F47" i="19"/>
  <c r="D47" i="19"/>
  <c r="C47" i="19"/>
  <c r="L46" i="19"/>
  <c r="K46" i="19"/>
  <c r="B46" i="19"/>
  <c r="G46" i="19"/>
  <c r="F46" i="19"/>
  <c r="D46" i="19"/>
  <c r="C46" i="19"/>
  <c r="L45" i="19"/>
  <c r="K45" i="19"/>
  <c r="B45" i="19"/>
  <c r="G45" i="19"/>
  <c r="F45" i="19"/>
  <c r="D45" i="19"/>
  <c r="C45" i="19"/>
  <c r="L44" i="19"/>
  <c r="K44" i="19"/>
  <c r="B44" i="19"/>
  <c r="G44" i="19"/>
  <c r="F44" i="19"/>
  <c r="D44" i="19"/>
  <c r="C44" i="19"/>
  <c r="L43" i="19"/>
  <c r="K43" i="19"/>
  <c r="B43" i="19"/>
  <c r="G43" i="19"/>
  <c r="F43" i="19"/>
  <c r="D43" i="19"/>
  <c r="C43" i="19"/>
  <c r="L42" i="19"/>
  <c r="K42" i="19"/>
  <c r="B42" i="19"/>
  <c r="G42" i="19"/>
  <c r="F42" i="19"/>
  <c r="D42" i="19"/>
  <c r="C42" i="19"/>
  <c r="L41" i="19"/>
  <c r="K41" i="19"/>
  <c r="B41" i="19"/>
  <c r="G41" i="19"/>
  <c r="F41" i="19"/>
  <c r="D41" i="19"/>
  <c r="C41" i="19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L27" i="19"/>
  <c r="K27" i="19"/>
  <c r="B27" i="19"/>
  <c r="G27" i="19"/>
  <c r="F27" i="19"/>
  <c r="D27" i="19"/>
  <c r="C27" i="19"/>
  <c r="L26" i="19"/>
  <c r="K26" i="19"/>
  <c r="B26" i="19"/>
  <c r="G26" i="19"/>
  <c r="F26" i="19"/>
  <c r="D26" i="19"/>
  <c r="C26" i="19"/>
  <c r="L25" i="19"/>
  <c r="K25" i="19"/>
  <c r="B25" i="19"/>
  <c r="G25" i="19"/>
  <c r="F25" i="19"/>
  <c r="D25" i="19"/>
  <c r="C25" i="19"/>
  <c r="L24" i="19"/>
  <c r="K24" i="19"/>
  <c r="B24" i="19"/>
  <c r="G24" i="19"/>
  <c r="F24" i="19"/>
  <c r="D24" i="19"/>
  <c r="C24" i="19"/>
  <c r="L23" i="19"/>
  <c r="K23" i="19"/>
  <c r="B23" i="19"/>
  <c r="G23" i="19"/>
  <c r="F23" i="19"/>
  <c r="D23" i="19"/>
  <c r="C23" i="19"/>
  <c r="L22" i="19"/>
  <c r="K22" i="19"/>
  <c r="B22" i="19"/>
  <c r="G22" i="19"/>
  <c r="F22" i="19"/>
  <c r="D22" i="19"/>
  <c r="C22" i="19"/>
  <c r="L21" i="19"/>
  <c r="K21" i="19"/>
  <c r="B21" i="19"/>
  <c r="G21" i="19"/>
  <c r="F21" i="19"/>
  <c r="D21" i="19"/>
  <c r="C21" i="19"/>
  <c r="L20" i="19"/>
  <c r="K20" i="19"/>
  <c r="B20" i="19"/>
  <c r="G20" i="19"/>
  <c r="F20" i="19"/>
  <c r="D20" i="19"/>
  <c r="C20" i="19"/>
  <c r="L19" i="19"/>
  <c r="K19" i="19"/>
  <c r="B19" i="19"/>
  <c r="G19" i="19"/>
  <c r="F19" i="19"/>
  <c r="D19" i="19"/>
  <c r="C19" i="19"/>
  <c r="L18" i="19"/>
  <c r="K18" i="19"/>
  <c r="B18" i="19"/>
  <c r="G18" i="19"/>
  <c r="F18" i="19"/>
  <c r="D18" i="19"/>
  <c r="C18" i="19"/>
  <c r="L17" i="19"/>
  <c r="K17" i="19"/>
  <c r="B17" i="19"/>
  <c r="G17" i="19"/>
  <c r="F17" i="19"/>
  <c r="D17" i="19"/>
  <c r="C17" i="19"/>
  <c r="L16" i="19"/>
  <c r="K16" i="19"/>
  <c r="B16" i="19"/>
  <c r="G16" i="19"/>
  <c r="F16" i="19"/>
  <c r="D16" i="19"/>
  <c r="C16" i="19"/>
  <c r="L15" i="19"/>
  <c r="K15" i="19"/>
  <c r="B15" i="19"/>
  <c r="G15" i="19"/>
  <c r="F15" i="19"/>
  <c r="D15" i="19"/>
  <c r="C15" i="19"/>
  <c r="L14" i="19"/>
  <c r="K14" i="19"/>
  <c r="B14" i="19"/>
  <c r="G14" i="19"/>
  <c r="F14" i="19"/>
  <c r="D14" i="19"/>
  <c r="C14" i="19"/>
  <c r="L13" i="19"/>
  <c r="K13" i="19"/>
  <c r="B13" i="19"/>
  <c r="G13" i="19"/>
  <c r="F13" i="19"/>
  <c r="D13" i="19"/>
  <c r="C13" i="19"/>
  <c r="L12" i="19"/>
  <c r="K12" i="19"/>
  <c r="B12" i="19"/>
  <c r="G12" i="19"/>
  <c r="F12" i="19"/>
  <c r="D12" i="19"/>
  <c r="C12" i="19"/>
  <c r="L11" i="19"/>
  <c r="K11" i="19"/>
  <c r="B11" i="19"/>
  <c r="G11" i="19"/>
  <c r="F11" i="19"/>
  <c r="D11" i="19"/>
  <c r="C11" i="19"/>
  <c r="L10" i="19"/>
  <c r="K10" i="19"/>
  <c r="B10" i="19"/>
  <c r="G10" i="19"/>
  <c r="F10" i="19"/>
  <c r="D10" i="19"/>
  <c r="C10" i="19"/>
  <c r="L9" i="19"/>
  <c r="K9" i="19"/>
  <c r="B9" i="19"/>
  <c r="G9" i="19"/>
  <c r="F9" i="19"/>
  <c r="D9" i="19"/>
  <c r="C9" i="19"/>
  <c r="L8" i="19"/>
  <c r="K8" i="19"/>
  <c r="B8" i="19"/>
  <c r="G8" i="19"/>
  <c r="F8" i="19"/>
  <c r="D8" i="19"/>
  <c r="C8" i="19"/>
  <c r="L7" i="19"/>
  <c r="K7" i="19"/>
  <c r="B7" i="19"/>
  <c r="G7" i="19"/>
  <c r="F7" i="19"/>
  <c r="D7" i="19"/>
  <c r="C7" i="19"/>
  <c r="L6" i="19"/>
  <c r="K6" i="19"/>
  <c r="B6" i="19"/>
  <c r="G6" i="19"/>
  <c r="F6" i="19"/>
  <c r="D6" i="19"/>
  <c r="C6" i="19"/>
  <c r="L5" i="19"/>
  <c r="K5" i="19"/>
  <c r="B5" i="19"/>
  <c r="G5" i="19"/>
  <c r="F5" i="19"/>
  <c r="D5" i="19"/>
  <c r="C5" i="19"/>
  <c r="L4" i="19"/>
  <c r="K4" i="19"/>
  <c r="B4" i="19"/>
  <c r="G4" i="19"/>
  <c r="F4" i="19"/>
  <c r="D4" i="19"/>
  <c r="C4" i="19"/>
  <c r="L3" i="19"/>
  <c r="K3" i="19"/>
  <c r="B3" i="19"/>
  <c r="G3" i="19"/>
  <c r="F3" i="19"/>
  <c r="D3" i="19"/>
  <c r="C3" i="19"/>
  <c r="L2" i="19"/>
  <c r="K2" i="19"/>
  <c r="B2" i="19"/>
  <c r="G2" i="19"/>
  <c r="F2" i="19"/>
  <c r="D2" i="19"/>
  <c r="C2" i="19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U13" i="1"/>
  <c r="N4" i="22"/>
  <c r="G4" i="22"/>
  <c r="F4" i="22"/>
  <c r="D4" i="22"/>
  <c r="C4" i="22"/>
  <c r="A4" i="22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O61" i="9"/>
  <c r="N61" i="9"/>
  <c r="M61" i="9"/>
  <c r="L61" i="9"/>
  <c r="K61" i="9"/>
  <c r="J61" i="9"/>
  <c r="I61" i="9"/>
  <c r="H61" i="9"/>
  <c r="G61" i="9"/>
  <c r="E61" i="9"/>
  <c r="D61" i="9"/>
  <c r="A61" i="9"/>
  <c r="J20" i="11"/>
  <c r="O60" i="9"/>
  <c r="N60" i="9"/>
  <c r="M60" i="9"/>
  <c r="L60" i="9"/>
  <c r="K60" i="9"/>
  <c r="J60" i="9"/>
  <c r="I60" i="9"/>
  <c r="H60" i="9"/>
  <c r="G60" i="9"/>
  <c r="E60" i="9"/>
  <c r="D60" i="9"/>
  <c r="A60" i="9"/>
  <c r="J19" i="11"/>
  <c r="O59" i="9"/>
  <c r="N59" i="9"/>
  <c r="M59" i="9"/>
  <c r="L59" i="9"/>
  <c r="K59" i="9"/>
  <c r="J59" i="9"/>
  <c r="I59" i="9"/>
  <c r="H59" i="9"/>
  <c r="G59" i="9"/>
  <c r="E59" i="9"/>
  <c r="D59" i="9"/>
  <c r="A59" i="9"/>
  <c r="J18" i="11"/>
  <c r="O58" i="9"/>
  <c r="N58" i="9"/>
  <c r="M58" i="9"/>
  <c r="L58" i="9"/>
  <c r="K58" i="9"/>
  <c r="J58" i="9"/>
  <c r="I58" i="9"/>
  <c r="H58" i="9"/>
  <c r="G58" i="9"/>
  <c r="E58" i="9"/>
  <c r="D58" i="9"/>
  <c r="A58" i="9"/>
  <c r="J17" i="11"/>
  <c r="O57" i="9"/>
  <c r="N57" i="9"/>
  <c r="M57" i="9"/>
  <c r="L57" i="9"/>
  <c r="K57" i="9"/>
  <c r="J57" i="9"/>
  <c r="I57" i="9"/>
  <c r="H57" i="9"/>
  <c r="G57" i="9"/>
  <c r="E57" i="9"/>
  <c r="D57" i="9"/>
  <c r="A57" i="9"/>
  <c r="J16" i="11"/>
  <c r="O56" i="9"/>
  <c r="N56" i="9"/>
  <c r="M56" i="9"/>
  <c r="L56" i="9"/>
  <c r="K56" i="9"/>
  <c r="J56" i="9"/>
  <c r="I56" i="9"/>
  <c r="H56" i="9"/>
  <c r="G56" i="9"/>
  <c r="E56" i="9"/>
  <c r="D56" i="9"/>
  <c r="A56" i="9"/>
  <c r="J15" i="11"/>
  <c r="O55" i="9"/>
  <c r="N55" i="9"/>
  <c r="M55" i="9"/>
  <c r="L55" i="9"/>
  <c r="K55" i="9"/>
  <c r="J55" i="9"/>
  <c r="I55" i="9"/>
  <c r="H55" i="9"/>
  <c r="G55" i="9"/>
  <c r="E55" i="9"/>
  <c r="D55" i="9"/>
  <c r="A55" i="9"/>
  <c r="J14" i="11"/>
  <c r="O54" i="9"/>
  <c r="N54" i="9"/>
  <c r="M54" i="9"/>
  <c r="L54" i="9"/>
  <c r="K54" i="9"/>
  <c r="J54" i="9"/>
  <c r="I54" i="9"/>
  <c r="H54" i="9"/>
  <c r="G54" i="9"/>
  <c r="E54" i="9"/>
  <c r="D54" i="9"/>
  <c r="A54" i="9"/>
  <c r="J13" i="11"/>
  <c r="O53" i="9"/>
  <c r="N53" i="9"/>
  <c r="M53" i="9"/>
  <c r="L53" i="9"/>
  <c r="K53" i="9"/>
  <c r="J53" i="9"/>
  <c r="I53" i="9"/>
  <c r="H53" i="9"/>
  <c r="G53" i="9"/>
  <c r="E53" i="9"/>
  <c r="D53" i="9"/>
  <c r="A53" i="9"/>
  <c r="J12" i="11"/>
  <c r="O52" i="9"/>
  <c r="N52" i="9"/>
  <c r="M52" i="9"/>
  <c r="L52" i="9"/>
  <c r="K52" i="9"/>
  <c r="J52" i="9"/>
  <c r="I52" i="9"/>
  <c r="H52" i="9"/>
  <c r="G52" i="9"/>
  <c r="E52" i="9"/>
  <c r="D52" i="9"/>
  <c r="A52" i="9"/>
  <c r="J11" i="11"/>
  <c r="O51" i="9"/>
  <c r="N51" i="9"/>
  <c r="M51" i="9"/>
  <c r="L51" i="9"/>
  <c r="K51" i="9"/>
  <c r="J51" i="9"/>
  <c r="I51" i="9"/>
  <c r="H51" i="9"/>
  <c r="G51" i="9"/>
  <c r="E51" i="9"/>
  <c r="D51" i="9"/>
  <c r="A51" i="9"/>
  <c r="J10" i="11"/>
  <c r="O50" i="9"/>
  <c r="N50" i="9"/>
  <c r="M50" i="9"/>
  <c r="L50" i="9"/>
  <c r="K50" i="9"/>
  <c r="J50" i="9"/>
  <c r="I50" i="9"/>
  <c r="H50" i="9"/>
  <c r="G50" i="9"/>
  <c r="E50" i="9"/>
  <c r="D50" i="9"/>
  <c r="A50" i="9"/>
  <c r="J9" i="11"/>
  <c r="O49" i="9"/>
  <c r="N49" i="9"/>
  <c r="M49" i="9"/>
  <c r="L49" i="9"/>
  <c r="K49" i="9"/>
  <c r="J49" i="9"/>
  <c r="I49" i="9"/>
  <c r="H49" i="9"/>
  <c r="G49" i="9"/>
  <c r="E49" i="9"/>
  <c r="D49" i="9"/>
  <c r="A49" i="9"/>
  <c r="J8" i="11"/>
  <c r="O48" i="9"/>
  <c r="N48" i="9"/>
  <c r="M48" i="9"/>
  <c r="L48" i="9"/>
  <c r="K48" i="9"/>
  <c r="J48" i="9"/>
  <c r="I48" i="9"/>
  <c r="H48" i="9"/>
  <c r="G48" i="9"/>
  <c r="E48" i="9"/>
  <c r="D48" i="9"/>
  <c r="A48" i="9"/>
  <c r="J7" i="11"/>
  <c r="O47" i="9"/>
  <c r="N47" i="9"/>
  <c r="M47" i="9"/>
  <c r="L47" i="9"/>
  <c r="K47" i="9"/>
  <c r="J47" i="9"/>
  <c r="I47" i="9"/>
  <c r="H47" i="9"/>
  <c r="G47" i="9"/>
  <c r="E47" i="9"/>
  <c r="D47" i="9"/>
  <c r="A47" i="9"/>
  <c r="J6" i="11"/>
  <c r="O46" i="9"/>
  <c r="N46" i="9"/>
  <c r="M46" i="9"/>
  <c r="L46" i="9"/>
  <c r="K46" i="9"/>
  <c r="J46" i="9"/>
  <c r="I46" i="9"/>
  <c r="H46" i="9"/>
  <c r="G46" i="9"/>
  <c r="E46" i="9"/>
  <c r="D46" i="9"/>
  <c r="A46" i="9"/>
  <c r="J5" i="11"/>
  <c r="O45" i="9"/>
  <c r="N45" i="9"/>
  <c r="M45" i="9"/>
  <c r="L45" i="9"/>
  <c r="K45" i="9"/>
  <c r="J45" i="9"/>
  <c r="I45" i="9"/>
  <c r="H45" i="9"/>
  <c r="G45" i="9"/>
  <c r="E45" i="9"/>
  <c r="D45" i="9"/>
  <c r="A45" i="9"/>
  <c r="J4" i="11"/>
  <c r="O44" i="9"/>
  <c r="N44" i="9"/>
  <c r="M44" i="9"/>
  <c r="L44" i="9"/>
  <c r="K44" i="9"/>
  <c r="J44" i="9"/>
  <c r="I44" i="9"/>
  <c r="H44" i="9"/>
  <c r="G44" i="9"/>
  <c r="E44" i="9"/>
  <c r="D44" i="9"/>
  <c r="A44" i="9"/>
  <c r="J3" i="11"/>
  <c r="O43" i="9"/>
  <c r="N43" i="9"/>
  <c r="M43" i="9"/>
  <c r="L43" i="9"/>
  <c r="K43" i="9"/>
  <c r="J43" i="9"/>
  <c r="I43" i="9"/>
  <c r="H43" i="9"/>
  <c r="G43" i="9"/>
  <c r="E43" i="9"/>
  <c r="D43" i="9"/>
  <c r="A43" i="9"/>
  <c r="J2" i="11"/>
  <c r="O42" i="9"/>
  <c r="N42" i="9"/>
  <c r="M42" i="9"/>
  <c r="L42" i="9"/>
  <c r="K42" i="9"/>
  <c r="J42" i="9"/>
  <c r="I42" i="9"/>
  <c r="H42" i="9"/>
  <c r="G42" i="9"/>
  <c r="E42" i="9"/>
  <c r="D42" i="9"/>
  <c r="A42" i="9"/>
  <c r="T4" i="7"/>
  <c r="T3" i="7"/>
  <c r="U14" i="1"/>
  <c r="U12" i="1"/>
  <c r="U9" i="1"/>
  <c r="U7" i="1"/>
  <c r="U8" i="1"/>
  <c r="S16" i="1"/>
  <c r="S15" i="1"/>
  <c r="T13" i="1"/>
  <c r="T14" i="1"/>
  <c r="S11" i="1"/>
  <c r="S10" i="1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Y4" i="7"/>
  <c r="W4" i="7"/>
  <c r="U4" i="7"/>
  <c r="R4" i="7"/>
  <c r="Q4" i="7"/>
  <c r="P4" i="7"/>
  <c r="O4" i="7"/>
  <c r="N4" i="7"/>
  <c r="H4" i="7"/>
  <c r="G5" i="2"/>
  <c r="A5" i="2"/>
  <c r="G6" i="2"/>
  <c r="A6" i="2"/>
  <c r="G7" i="2"/>
  <c r="A7" i="2"/>
  <c r="G8" i="2"/>
  <c r="A8" i="2"/>
  <c r="G9" i="2"/>
  <c r="A9" i="2"/>
  <c r="G10" i="2"/>
  <c r="A10" i="2"/>
  <c r="G2" i="2"/>
  <c r="A2" i="2"/>
  <c r="G3" i="2"/>
  <c r="A3" i="2"/>
  <c r="G4" i="2"/>
  <c r="A4" i="2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6" i="1"/>
  <c r="AF16" i="1"/>
  <c r="AI16" i="1"/>
  <c r="AG16" i="1"/>
  <c r="AE16" i="1"/>
  <c r="E9" i="9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E5" i="9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E2" i="9"/>
  <c r="X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E4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AC8" i="1"/>
  <c r="E3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H10" i="2"/>
  <c r="E10" i="2"/>
  <c r="D10" i="2"/>
  <c r="H2" i="1"/>
  <c r="H3" i="1"/>
  <c r="H4" i="1"/>
  <c r="H5" i="1"/>
  <c r="H6" i="1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M20" i="10"/>
  <c r="N20" i="10"/>
  <c r="Q20" i="10"/>
  <c r="P20" i="10"/>
  <c r="R20" i="10"/>
  <c r="O20" i="10"/>
  <c r="S20" i="10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M19" i="10"/>
  <c r="N19" i="10"/>
  <c r="Q19" i="10"/>
  <c r="P19" i="10"/>
  <c r="R19" i="10"/>
  <c r="O19" i="10"/>
  <c r="S19" i="10"/>
  <c r="S5" i="1"/>
  <c r="T2" i="7"/>
  <c r="S6" i="1"/>
  <c r="T19" i="10"/>
  <c r="W19" i="10"/>
  <c r="V19" i="10"/>
  <c r="X19" i="10"/>
  <c r="U19" i="10"/>
  <c r="Y19" i="10"/>
  <c r="G19" i="10"/>
  <c r="J19" i="10"/>
  <c r="I19" i="10"/>
  <c r="K19" i="10"/>
  <c r="H19" i="10"/>
  <c r="L19" i="10"/>
  <c r="U6" i="1"/>
  <c r="O19" i="9"/>
  <c r="N19" i="9"/>
  <c r="M19" i="9"/>
  <c r="L19" i="9"/>
  <c r="K19" i="9"/>
  <c r="J19" i="9"/>
  <c r="I19" i="9"/>
  <c r="H19" i="9"/>
  <c r="G19" i="9"/>
  <c r="E19" i="9"/>
  <c r="D19" i="9"/>
  <c r="A19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W2" i="7"/>
  <c r="U2" i="7"/>
  <c r="V6" i="1"/>
  <c r="V5" i="1"/>
  <c r="V4" i="1"/>
  <c r="V2" i="1"/>
  <c r="V3" i="1"/>
  <c r="T6" i="1"/>
  <c r="T5" i="1"/>
  <c r="T2" i="1"/>
  <c r="T3" i="1"/>
  <c r="T4" i="1"/>
  <c r="AD2" i="1"/>
  <c r="AF2" i="1"/>
  <c r="AI2" i="1"/>
  <c r="AG2" i="1"/>
  <c r="AE2" i="1"/>
  <c r="X2" i="1"/>
  <c r="Q2" i="1"/>
  <c r="P2" i="1"/>
  <c r="O2" i="1"/>
  <c r="N2" i="1"/>
  <c r="M2" i="1"/>
  <c r="J2" i="1"/>
  <c r="I2" i="1"/>
  <c r="D2" i="1"/>
  <c r="F2" i="1"/>
  <c r="E2" i="1"/>
  <c r="A2" i="1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D3" i="9"/>
  <c r="A3" i="9"/>
  <c r="T20" i="10"/>
  <c r="W20" i="10"/>
  <c r="V20" i="10"/>
  <c r="X20" i="10"/>
  <c r="U20" i="10"/>
  <c r="Y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6" i="1"/>
  <c r="AF6" i="1"/>
  <c r="AI6" i="1"/>
  <c r="AG6" i="1"/>
  <c r="AE6" i="1"/>
  <c r="X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Q4" i="1"/>
  <c r="P4" i="1"/>
  <c r="O4" i="1"/>
  <c r="N4" i="1"/>
  <c r="M4" i="1"/>
  <c r="J4" i="1"/>
  <c r="I4" i="1"/>
  <c r="D4" i="1"/>
  <c r="F4" i="1"/>
  <c r="E4" i="1"/>
  <c r="A4" i="1"/>
  <c r="H4" i="2"/>
  <c r="E4" i="2"/>
  <c r="D4" i="2"/>
  <c r="B4" i="2"/>
  <c r="H3" i="2"/>
  <c r="E3" i="2"/>
  <c r="D3" i="2"/>
  <c r="B3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D3" i="1"/>
  <c r="AG3" i="1"/>
  <c r="AF3" i="1"/>
  <c r="AE3" i="1"/>
  <c r="AC3" i="1"/>
  <c r="X3" i="1"/>
  <c r="Q3" i="1"/>
  <c r="P3" i="1"/>
  <c r="O3" i="1"/>
  <c r="N3" i="1"/>
  <c r="M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3" i="1"/>
  <c r="AI3" i="1"/>
  <c r="A2" i="9"/>
  <c r="J3" i="1"/>
  <c r="I3" i="1"/>
  <c r="D3" i="1"/>
  <c r="F3" i="1"/>
  <c r="E3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<sst xmlns="http://schemas.openxmlformats.org/spreadsheetml/2006/main" count="1141" uniqueCount="363">
  <si>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</si>
  <si>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</si>
  <si>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</si>
  <si>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</si>
  <si>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</si>
  <si>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</si>
  <si>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</si>
  <si>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</si>
  <si>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</si>
  <si>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</si>
  <si>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</si>
  <si>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</si>
  <si>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</si>
  <si>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</si>
  <si>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</si>
  <si>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</si>
  <si>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</si>
  <si>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</si>
  <si>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</si>
  <si>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</si>
  <si>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</si>
  <si>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</si>
  <si>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</si>
  <si>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</si>
  <si>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</si>
  <si>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</si>
  <si>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</si>
  <si>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</si>
  <si>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</si>
  <si>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</si>
  <si>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</si>
  <si>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</si>
  <si>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</si>
  <si>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</si>
  <si>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</si>
  <si>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</si>
  <si>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</si>
  <si>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</si>
  <si>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</si>
  <si>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</si>
  <si>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</si>
  <si>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</si>
  <si>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</si>
  <si>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</si>
  <si>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</si>
  <si>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</si>
  <si>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</si>
  <si>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</si>
  <si>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</si>
  <si>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</si>
  <si>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</si>
  <si>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</si>
  <si>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</si>
  <si>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</si>
  <si>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</si>
  <si>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</si>
  <si>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</si>
  <si>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</si>
  <si>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</si>
  <si>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</si>
  <si>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</si>
  <si>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</si>
  <si>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</si>
  <si>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</si>
  <si>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</si>
  <si>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</si>
  <si>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</si>
  <si>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</si>
  <si>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</si>
  <si>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</si>
  <si>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</si>
  <si>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</si>
  <si>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</si>
  <si>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</si>
  <si>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</si>
  <si>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</si>
  <si>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</si>
  <si>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</si>
  <si>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</si>
  <si>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</si>
  <si>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</si>
  <si>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</si>
  <si>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</si>
  <si>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</si>
  <si>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</si>
  <si>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</si>
  <si>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</si>
  <si>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</si>
  <si>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</si>
  <si>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</si>
  <si>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</si>
  <si>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</si>
  <si>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</si>
  <si>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</si>
  <si>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</si>
  <si>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</si>
  <si>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</si>
  <si>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</si>
  <si>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</si>
  <si>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</si>
  <si>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</si>
  <si>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</si>
  <si>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</si>
  <si>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</si>
  <si>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</si>
  <si>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</si>
  <si>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</si>
  <si>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</si>
  <si>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</si>
  <si>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</si>
  <si>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</si>
  <si>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</si>
  <si>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</si>
  <si>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</si>
  <si>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</si>
  <si>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</si>
  <si>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</si>
  <si>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</si>
  <si>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</si>
  <si>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</si>
  <si>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</si>
  <si>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</si>
  <si>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</si>
  <si>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</si>
  <si>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</si>
  <si>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</si>
  <si>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</si>
  <si>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</si>
  <si>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</si>
  <si>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</si>
  <si>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</si>
  <si>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</si>
  <si>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</si>
  <si>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</si>
  <si>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</si>
  <si>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</si>
  <si>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</si>
  <si>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</si>
  <si>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</si>
  <si>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</si>
  <si>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</si>
  <si>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</si>
  <si>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</si>
  <si>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</si>
  <si>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</si>
  <si>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</si>
  <si>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</si>
  <si>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</si>
  <si>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</si>
  <si>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</si>
  <si>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</si>
  <si>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</si>
  <si>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</si>
  <si>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</si>
  <si>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</si>
  <si>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</si>
  <si>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</si>
  <si>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</si>
  <si>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</si>
  <si>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</si>
  <si>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</si>
  <si>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</si>
  <si>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</si>
  <si>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</si>
  <si>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</si>
  <si>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</si>
  <si>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</si>
  <si>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</si>
  <si>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</si>
  <si>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</si>
  <si>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</si>
  <si>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</si>
  <si>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</si>
  <si>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</si>
  <si>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</si>
  <si>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</si>
  <si>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</si>
  <si>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</si>
  <si>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</si>
  <si>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</si>
  <si>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</si>
  <si>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</si>
  <si>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</si>
  <si>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</si>
  <si>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</si>
  <si>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</si>
  <si>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</si>
  <si>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</si>
  <si>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</si>
  <si>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</si>
  <si>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</si>
  <si>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</si>
  <si>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</si>
  <si>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</si>
  <si>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</si>
  <si>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</si>
  <si>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</si>
  <si>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</si>
  <si>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</si>
  <si>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</si>
  <si>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</si>
  <si>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</si>
  <si>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</si>
  <si>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</si>
  <si>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</si>
  <si>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</si>
  <si>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</si>
  <si>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</si>
  <si>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</si>
  <si>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</si>
  <si>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</si>
  <si>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</si>
  <si>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</si>
  <si>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</si>
  <si>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</si>
  <si>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</si>
  <si>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</si>
  <si>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</si>
  <si>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</si>
  <si>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</si>
  <si>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</si>
  <si>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</si>
  <si>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</si>
  <si>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</si>
  <si>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</si>
  <si>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</si>
  <si>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</si>
  <si>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</si>
  <si>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</si>
  <si>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</si>
  <si>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</si>
  <si>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</si>
  <si>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</si>
  <si>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</si>
  <si>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</si>
  <si>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</si>
  <si>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</si>
  <si>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</si>
  <si>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</si>
  <si>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</si>
  <si>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</si>
  <si>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</si>
  <si>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</si>
  <si>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</si>
  <si>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</si>
  <si>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</si>
  <si>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</si>
  <si>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</si>
  <si>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</si>
  <si>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</si>
  <si>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</si>
  <si>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</si>
  <si>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</si>
  <si>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</si>
  <si>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</si>
  <si>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</si>
  <si>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</si>
  <si>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</si>
  <si>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全体攻撃</t>
    <rPh sb="0" eb="4">
      <t>ゼンタ</t>
    </rPh>
    <phoneticPr fontId="5"/>
  </si>
  <si>
    <t>状態異常耐性</t>
    <rPh sb="0" eb="6">
      <t>ジョウタ</t>
    </rPh>
    <phoneticPr fontId="5"/>
  </si>
  <si>
    <t>状態異常耐性</t>
    <rPh sb="0" eb="6">
      <t>ジョウタイイ</t>
    </rPh>
    <phoneticPr fontId="5"/>
  </si>
  <si>
    <t xml:space="preserve">[effect:enemy_message, val1:1.2, val2:1.2],[effect:fix_speed, target:myself, turn:1]    </t>
    <phoneticPr fontId="5"/>
  </si>
  <si>
    <t>2回連続攻撃</t>
    <rPh sb="2" eb="6">
      <t>レンゾk</t>
    </rPh>
    <phoneticPr fontId="5"/>
  </si>
  <si>
    <t>3回連続攻撃</t>
    <rPh sb="2" eb="6">
      <t>レンゾk</t>
    </rPh>
    <phoneticPr fontId="5"/>
  </si>
  <si>
    <t>クイーンズビュート</t>
    <phoneticPr fontId="5"/>
  </si>
  <si>
    <t>クイーンズウィップ</t>
    <phoneticPr fontId="5"/>
  </si>
  <si>
    <t>いい気にならないで！</t>
    <phoneticPr fontId="5"/>
  </si>
  <si>
    <t>楽しませてくれるわね！</t>
    <rPh sb="0" eb="1">
      <t>タノs</t>
    </rPh>
    <phoneticPr fontId="5"/>
  </si>
  <si>
    <t>覚えてなさいよ！！</t>
    <rPh sb="0" eb="1">
      <t>オボ</t>
    </rPh>
    <phoneticPr fontId="5"/>
  </si>
  <si>
    <t>どう？苦しい！？</t>
    <rPh sb="3" eb="4">
      <t>クルシm</t>
    </rPh>
    <phoneticPr fontId="5"/>
  </si>
  <si>
    <t>こんなのはどうかしら？</t>
    <phoneticPr fontId="5"/>
  </si>
  <si>
    <t>アタックジャマー</t>
    <phoneticPr fontId="5"/>
  </si>
  <si>
    <t>ヒールジャマー</t>
    <phoneticPr fontId="5"/>
  </si>
  <si>
    <t>パネルエンチャント</t>
    <phoneticPr fontId="5"/>
  </si>
  <si>
    <t xml:space="preserve">[effect:enemy_message, val1:1.2, val2:1.2],[effect:rush, count:2, val:0.3] </t>
    <phoneticPr fontId="5"/>
  </si>
  <si>
    <t xml:space="preserve">[effect:enemy_message, val1:1.2, val2:1.2],[effect:rush, count:4, val:0.35]      </t>
    <phoneticPr fontId="5"/>
  </si>
  <si>
    <t>まだまだ！これからよ！</t>
    <phoneticPr fontId="5"/>
  </si>
  <si>
    <t>[effect:enemy_message, val1:1.2, val2:1.2],[effect:spread, val:0.65]</t>
    <phoneticPr fontId="5"/>
  </si>
  <si>
    <t xml:space="preserve">[effect:enemy_message, val1:1.2, val2:2.5],[effect:attack_break, target:unit_all, turn:2, val:0.2, calc:mul, animation:attack_break01],[effect:rush, count:1, val:1.0]     </t>
    <phoneticPr fontId="5"/>
  </si>
  <si>
    <t xml:space="preserve">[effect:enemy_message, val1:1.2, val2:2.5],[effect:degrade_unit, target:unit_all, turn:2, status:heal, val:0.2, calc:mul, animation:degrade_unit_all_heal],[effect:rush, count:1, val:1.0]    </t>
    <phoneticPr fontId="5"/>
  </si>
  <si>
    <t xml:space="preserve">[effect:enemy_message, val1:1.2, val2:1.2],[effect:rush, count:2, val:0.2] </t>
    <phoneticPr fontId="5"/>
  </si>
  <si>
    <t xml:space="preserve">[effect:enemy_message, val1:1.2, val2:2.5],[effect:attack_break, target:unit_all, turn:2, val:0.1, calc:mul, animation:attack_break01],[effect:rush, count:1, val:1.0]     </t>
    <phoneticPr fontId="5"/>
  </si>
  <si>
    <t xml:space="preserve">[effect:enemy_message, val1:1.2, val2:2.5],[effect:degrade_unit, target:unit_all, turn:2, status:heal, val:0.1, calc:mul, animation:degrade_unit_all_heal],[effect:rush, count:1, val:1.0]    </t>
    <phoneticPr fontId="5"/>
  </si>
  <si>
    <t xml:space="preserve">[effect:enemy_message, val1:1.2, val2:1.2],[effect:rush, count:4, val:0.25]      </t>
    <phoneticPr fontId="5"/>
  </si>
  <si>
    <t xml:space="preserve">[effect:enemy_message, val1:1.2, val2:2.5],[effect:attack_break, target:unit_all, turn:1, val:0.1, calc:mul, animation:attack_break01],[effect:rush, count:1, val:1.0]     </t>
    <phoneticPr fontId="5"/>
  </si>
  <si>
    <t xml:space="preserve">[effect:enemy_message, val1:1.2, val2:2.5],[effect:degrade_unit, target:unit_all, turn:1, status:heal, val:0.1, calc:mul, animation:degrade_unit_all_heal],[effect:rush, count:1, val:1.0]    </t>
    <phoneticPr fontId="5"/>
  </si>
  <si>
    <t xml:space="preserve">[effect:enemy_message, val1:1.2, val2:1.2],[effect:rush, count:2, val:0.6] </t>
    <phoneticPr fontId="5"/>
  </si>
  <si>
    <t>倒れて！</t>
    <rPh sb="0" eb="1">
      <t>タオr</t>
    </rPh>
    <phoneticPr fontId="5"/>
  </si>
  <si>
    <t>いい加減に落ちなさい！</t>
    <phoneticPr fontId="5"/>
  </si>
  <si>
    <t>私は、負けられないの！</t>
  </si>
  <si>
    <t xml:space="preserve">[effect:enemy_message, val1:1.2, val2:1.2],[effect:rush, count:2, val:0.9] </t>
    <phoneticPr fontId="5"/>
  </si>
  <si>
    <t xml:space="preserve">[effect:enemy_message, val1:1.2, val2:1.2],[effect:rush, count:2, val:0.7] </t>
    <phoneticPr fontId="5"/>
  </si>
  <si>
    <t>[effect:enemy_message, val1:1.2, val2:1.2],[effect:spread, val:0.5]</t>
    <phoneticPr fontId="5"/>
  </si>
  <si>
    <t>link</t>
  </si>
  <si>
    <t>unit</t>
  </si>
  <si>
    <t>unit</t>
    <phoneticPr fontId="5"/>
  </si>
  <si>
    <t>complete</t>
    <phoneticPr fontId="5"/>
  </si>
  <si>
    <t>4回連続攻撃</t>
    <rPh sb="2" eb="6">
      <t>レンゾk</t>
    </rPh>
    <phoneticPr fontId="5"/>
  </si>
  <si>
    <t>[effect:enemy_message, val1:1.7, val2:1.7, dead_type:suicide]</t>
    <phoneticPr fontId="5"/>
  </si>
  <si>
    <t>1ターン全ユニットの攻撃力20%DOWN</t>
    <rPh sb="4" eb="5">
      <t>ゼンユn</t>
    </rPh>
    <rPh sb="10" eb="12">
      <t>コウゲk</t>
    </rPh>
    <rPh sb="12" eb="13">
      <t>チカr</t>
    </rPh>
    <phoneticPr fontId="5"/>
  </si>
  <si>
    <t>1ターン全ユニットの回復力20%DOWN</t>
    <rPh sb="4" eb="5">
      <t>ゼンユn</t>
    </rPh>
    <rPh sb="10" eb="12">
      <t>カイフk</t>
    </rPh>
    <rPh sb="12" eb="13">
      <t>チカr</t>
    </rPh>
    <phoneticPr fontId="5"/>
  </si>
  <si>
    <t>特定エリアを黄パネルに変換</t>
    <rPh sb="6" eb="7">
      <t>ki</t>
    </rPh>
    <phoneticPr fontId="5"/>
  </si>
  <si>
    <t>特定エリアをハートパネルに変換</t>
    <phoneticPr fontId="5"/>
  </si>
  <si>
    <t>2ターン全ユニットの攻撃力20%DOWN+
単体攻撃</t>
    <rPh sb="22" eb="26">
      <t>タンタイ</t>
    </rPh>
    <phoneticPr fontId="5"/>
  </si>
  <si>
    <t>2ターン全ユニットの回復力20%DOWN+
単体攻撃</t>
    <rPh sb="22" eb="26">
      <t>タンタ</t>
    </rPh>
    <phoneticPr fontId="5"/>
  </si>
  <si>
    <t>1ターン全ユニットの回復力10%DOWN</t>
    <rPh sb="4" eb="5">
      <t>ゼンユn</t>
    </rPh>
    <rPh sb="10" eb="12">
      <t>カイフk</t>
    </rPh>
    <rPh sb="12" eb="13">
      <t>チカr</t>
    </rPh>
    <phoneticPr fontId="5"/>
  </si>
  <si>
    <t>1ターン全ユニットの攻撃力10%DOWN</t>
    <rPh sb="4" eb="5">
      <t>ゼンユn</t>
    </rPh>
    <rPh sb="10" eb="12">
      <t>コウゲk</t>
    </rPh>
    <rPh sb="12" eb="13">
      <t>チカr</t>
    </rPh>
    <phoneticPr fontId="5"/>
  </si>
  <si>
    <t>2ターン全ユニットの攻撃力10%DOWN+
単体攻撃</t>
    <rPh sb="22" eb="26">
      <t>タンタイ</t>
    </rPh>
    <phoneticPr fontId="5"/>
  </si>
  <si>
    <t>2ターン全ユニットの回復力10%DOWN+
単体攻撃</t>
    <rPh sb="22" eb="26">
      <t>タンタ</t>
    </rPh>
    <phoneticPr fontId="5"/>
  </si>
  <si>
    <t>特定エリアを赤パネルに変換+
単体攻撃</t>
    <rPh sb="0" eb="2">
      <t>トクテ</t>
    </rPh>
    <rPh sb="6" eb="7">
      <t>アk</t>
    </rPh>
    <rPh sb="15" eb="19">
      <t>タンタ</t>
    </rPh>
    <phoneticPr fontId="5"/>
  </si>
  <si>
    <t>3ターン全ユニットの攻撃力30%DOWN+
単体攻撃</t>
    <rPh sb="22" eb="26">
      <t>タンタイ</t>
    </rPh>
    <phoneticPr fontId="5"/>
  </si>
  <si>
    <t>3ターン全ユニットの回復力30%DOWN+
単体攻撃</t>
    <rPh sb="22" eb="26">
      <t>タンタ</t>
    </rPh>
    <phoneticPr fontId="5"/>
  </si>
  <si>
    <t>3ターン全ユニットの攻撃力10%DOWN+
単体攻撃</t>
    <rPh sb="22" eb="26">
      <t>タンタイ</t>
    </rPh>
    <phoneticPr fontId="5"/>
  </si>
  <si>
    <t>3ターン全ユニットの回復力10%DOWN+
単体攻撃</t>
    <rPh sb="22" eb="26">
      <t>タンタ</t>
    </rPh>
    <phoneticPr fontId="5"/>
  </si>
  <si>
    <t>1ターン全ユニットの攻撃力10%DOWN+
単体攻撃</t>
    <rPh sb="22" eb="26">
      <t>タンタイ</t>
    </rPh>
    <phoneticPr fontId="5"/>
  </si>
  <si>
    <t>1ターン全ユニットの回復力10%DOWN+
単体攻撃</t>
    <rPh sb="22" eb="26">
      <t>タンタ</t>
    </rPh>
    <phoneticPr fontId="5"/>
  </si>
  <si>
    <t>両脇のノエルは各々
攻撃力・回復力DOWNを使用します
攻撃を集中して各個撃破しましょう</t>
    <rPh sb="0" eb="2">
      <t>リョウワ</t>
    </rPh>
    <rPh sb="7" eb="8">
      <t>オノオn</t>
    </rPh>
    <rPh sb="10" eb="12">
      <t>コウゲk</t>
    </rPh>
    <rPh sb="12" eb="13">
      <t>チカr</t>
    </rPh>
    <rPh sb="14" eb="16">
      <t>カイフk</t>
    </rPh>
    <rPh sb="16" eb="17">
      <t>チカr</t>
    </rPh>
    <rPh sb="22" eb="24">
      <t>シヨ</t>
    </rPh>
    <rPh sb="28" eb="30">
      <t>sh</t>
    </rPh>
    <rPh sb="31" eb="33">
      <t>シュウチュ</t>
    </rPh>
    <rPh sb="35" eb="39">
      <t>カッコゲキh</t>
    </rPh>
    <phoneticPr fontId="5"/>
  </si>
  <si>
    <t>スパルタは時限式ダメージパネルを
エリア変換で生み出します
スキルやフィーバーで対応しましょう</t>
    <rPh sb="5" eb="8">
      <t>ジゲn</t>
    </rPh>
    <rPh sb="23" eb="24">
      <t>ウミダs</t>
    </rPh>
    <rPh sb="40" eb="42">
      <t>タイオ</t>
    </rPh>
    <phoneticPr fontId="5"/>
  </si>
  <si>
    <t>私は、負けられないの！</t>
    <phoneticPr fontId="5"/>
  </si>
  <si>
    <t xml:space="preserve">[effect:enemy_message, val1:2.7, val2:1.2],[effect:tolerance, target:myself, turn:-1, count:-1, tolerance_effect:all, animation:enemy_tolerance]    </t>
    <phoneticPr fontId="5"/>
  </si>
  <si>
    <t>[effect:enemy_message, val1:1.2, val2:1.5],[effect:change_range_block,block_change:1,base_type:0, square_count:3, position01:4, value_h01:1, value_w01:1,new_block:block_heart, target:block_all, count:0, val:0,animation:change_range_block]</t>
    <phoneticPr fontId="5"/>
  </si>
  <si>
    <t xml:space="preserve">[effect:enemy_message, val1:2.1, val2:1.2],[effect:tolerance, target:myself, turn:-1, count:-1, tolerance_effect:all, animation:enemy_tolerance]    </t>
    <phoneticPr fontId="5"/>
  </si>
  <si>
    <t xml:space="preserve">[effect:enemy_message, val1:1.2, val2:2.0],[effect:attack_break, target:unit_all, turn:1, val:0.2, calc:mul, animation:attack_break01]    </t>
    <phoneticPr fontId="5"/>
  </si>
  <si>
    <t xml:space="preserve">[effect:enemy_message, val1:1.2, val2:2.0],[effect:degrade_unit, target:unit_all, turn:1, status:heal, val:0.2, calc:mul, animation:degrade_unit_all_heal]    </t>
    <phoneticPr fontId="5"/>
  </si>
  <si>
    <t>[effect:enemy_message, val1:1.2, val2:1.3],[effect:change_range_block,block_change:1,base_type:0, square_count:3, position01:4, value_h01:1, value_w01:1,new_block:block_yellow, target:block_all, count:0, val:0,animation:change_range_block]</t>
    <phoneticPr fontId="5"/>
  </si>
  <si>
    <t>[effect:enemy_message, val1:1.2, val2:1.8],[effect:change_range_block,block_change:1,base_type:0,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val:0.8]</t>
    <phoneticPr fontId="5"/>
  </si>
  <si>
    <t xml:space="preserve">[effect:enemy_message, val1:1.2, val2:2.5],[effect:attack_break, target:unit_all, turn:3, val:0.3, calc:mul, animation:attack_break01],[effect:rush, count:1, val:0.7]     </t>
    <phoneticPr fontId="5"/>
  </si>
  <si>
    <t xml:space="preserve">[effect:enemy_message, val1:1.2, val2:2.5],[effect:degrade_unit, target:unit_all, turn:3, status:heal, val:0.3, calc:mul, animation:degrade_unit_all_heal],[effect:rush, count:1, val:0.7]    </t>
    <phoneticPr fontId="5"/>
  </si>
  <si>
    <t>スパルタは特定のタイミングで
赤・青パネル吸収攻撃を使用するため
盤面に残さないように意識しましょう</t>
    <rPh sb="5" eb="7">
      <t>トクテ</t>
    </rPh>
    <rPh sb="15" eb="18">
      <t>アカア</t>
    </rPh>
    <rPh sb="21" eb="23">
      <t>キュウシュ</t>
    </rPh>
    <rPh sb="23" eb="25">
      <t>コウゲキ</t>
    </rPh>
    <rPh sb="26" eb="28">
      <t>シヨウ</t>
    </rPh>
    <rPh sb="33" eb="35">
      <t>バンメn</t>
    </rPh>
    <rPh sb="36" eb="37">
      <t>ノコs</t>
    </rPh>
    <rPh sb="43" eb="45">
      <t>イシk</t>
    </rPh>
    <phoneticPr fontId="5"/>
  </si>
  <si>
    <t xml:space="preserve">[effect:enemy_message, val1:1.2, val2:2.0],[effect:attack_break, target:unit_all, turn:1, val:0.2, calc:mul, animation:attack_break01]    </t>
    <phoneticPr fontId="5"/>
  </si>
  <si>
    <t xml:space="preserve">[effect:enemy_message, val1:1.2, val2:2.0],[effect:degrade_unit, target:unit_all, turn:1, status:heal, val:0.1, calc:mul, animation:degrade_unit_all_heal]    </t>
    <phoneticPr fontId="5"/>
  </si>
  <si>
    <t xml:space="preserve">[effect:enemy_message, val1:1.2, val2:1.2],[effect:rush, count:2, val:0.2] </t>
    <phoneticPr fontId="5"/>
  </si>
  <si>
    <t>[effect:enemy_message, val1:1.2, val2:1.3],[effect:change_range_block,block_change:1,base_type:0, square_count:3, position01:4, value_h01:1, value_w01:1,new_block:block_yellow, target:block_all, count:0, val:0,animation:change_range_block]</t>
    <phoneticPr fontId="5"/>
  </si>
  <si>
    <t>[effect:enemy_message, val1:1.2, val2:1.5],[effect:change_range_block,block_change:1,base_type:0, square_count:3, position01:4, value_h01:1, value_w01:1,new_block:block_heart, target:block_all, count:0, val:0,animation:change_range_block]</t>
    <phoneticPr fontId="5"/>
  </si>
  <si>
    <t>[effect:enemy_message, val1:1.2, val2:1.8],[effect:change_range_block,block_change:1,base_type:0,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val:0.6]</t>
    <phoneticPr fontId="5"/>
  </si>
  <si>
    <t xml:space="preserve">[effect:enemy_message, val1:1.2, val2:2.5],[effect:attack_break, target:unit_all, turn:3, val:0.1, calc:mul, animation:attack_break01],[effect:rush, count:1, val:0.7]     </t>
    <phoneticPr fontId="5"/>
  </si>
  <si>
    <t xml:space="preserve">[effect:enemy_message, val1:1.2, val2:2.5],[effect:degrade_unit, target:unit_all, turn:3, status:heal, val:0.1, calc:mul, animation:degrade_unit_all_heal],[effect:rush, count:1, val:0.7]    </t>
    <phoneticPr fontId="5"/>
  </si>
  <si>
    <t xml:space="preserve">[effect:enemy_message, val1:1.2, val2:2.0],[effect:attack_break, target:unit_all, turn:1, val:0.1, calc:mul, animation:attack_break01]    </t>
    <phoneticPr fontId="5"/>
  </si>
  <si>
    <t>[effect:enemy_message, val1:1.2, val2:1.8],[effect:change_range_block,block_change:1,base_type:0,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val:0.5]</t>
    <phoneticPr fontId="5"/>
  </si>
  <si>
    <t xml:space="preserve">[effect:enemy_message, val1:1.2, val2:2.5],[effect:attack_break, target:unit_all, turn:2, val:0.1, calc:mul, animation:attack_break01],[effect:rush, count:1, val:0.7]     </t>
    <phoneticPr fontId="5"/>
  </si>
  <si>
    <t xml:space="preserve">[effect:enemy_message, val1:1.2, val2:2.5],[effect:degrade_unit, target:unit_all, turn:2, status:heal, val:0.1, calc:mul, animation:degrade_unit_all_heal],[effect:rush, count:1, val:0.7]    </t>
    <phoneticPr fontId="5"/>
  </si>
  <si>
    <t xml:space="preserve">[effect:enemy_message, val1:1.2, val2:1.2],[effect:rush, count:4, val:0.3]      </t>
    <phoneticPr fontId="5"/>
  </si>
  <si>
    <t>[effect:enemy_message, val1:1.2, val2:1.2],[effect:spread, val:0.4]</t>
    <phoneticPr fontId="5"/>
  </si>
  <si>
    <t>[effect:enemy_message, val1:1.2, val2:2.3],[effect:change_range_block,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val:0.04,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val:0.03, animation:change_range_block]</t>
    <phoneticPr fontId="5"/>
  </si>
  <si>
    <t>行動頻度UP</t>
    <rPh sb="0" eb="4">
      <t>コウド</t>
    </rPh>
    <phoneticPr fontId="5"/>
  </si>
  <si>
    <t>赤・青パネルを吸収して全体攻撃</t>
    <rPh sb="0" eb="1">
      <t>アk</t>
    </rPh>
    <rPh sb="7" eb="15">
      <t>キュウシュ</t>
    </rPh>
    <phoneticPr fontId="5"/>
  </si>
  <si>
    <t>特定エリアを
赤・青の時限式ダメージパネルに変換</t>
    <rPh sb="0" eb="2">
      <t>トクテ</t>
    </rPh>
    <rPh sb="7" eb="8">
      <t>アカ</t>
    </rPh>
    <rPh sb="9" eb="10">
      <t>ア</t>
    </rPh>
    <rPh sb="11" eb="14">
      <t>ジゲn</t>
    </rPh>
    <phoneticPr fontId="5"/>
  </si>
  <si>
    <t>[effect:enemy_message, val1:1.2, val2:2.3],[effect:change_range_block,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val:0.045,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val:0.065, animation:change_range_block]</t>
    <phoneticPr fontId="5"/>
  </si>
  <si>
    <t>[effect:enemy_message, val1:1.2, val2:2.3],[effect:change_range_block,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val:0.025,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val:0.065, animation:change_range_block]</t>
    <phoneticPr fontId="5"/>
  </si>
  <si>
    <t>まったく使えないわね！
ワタシ自らが相手になってあげるわ</t>
    <rPh sb="4" eb="5">
      <t>ツカ</t>
    </rPh>
    <rPh sb="15" eb="16">
      <t>ミズカr</t>
    </rPh>
    <rPh sb="18" eb="20">
      <t>アイt</t>
    </rPh>
    <phoneticPr fontId="5"/>
  </si>
  <si>
    <t>フフッ、大変ねぇ…</t>
    <rPh sb="4" eb="6">
      <t>タイヘn</t>
    </rPh>
    <phoneticPr fontId="5"/>
  </si>
  <si>
    <t>やるわね…いいわ！
本気を出してあげる！</t>
    <rPh sb="10" eb="12">
      <t>ホn</t>
    </rPh>
    <phoneticPr fontId="5"/>
  </si>
  <si>
    <t>このワタシが…</t>
  </si>
  <si>
    <t>やるわね…いいわ
本気を出してあげるわ</t>
    <rPh sb="9" eb="11">
      <t>ホn</t>
    </rPh>
    <phoneticPr fontId="5"/>
  </si>
  <si>
    <t>4回連続攻撃</t>
    <rPh sb="1" eb="2">
      <t>k</t>
    </rPh>
    <rPh sb="2" eb="6">
      <t>レンゾk</t>
    </rPh>
    <phoneticPr fontId="5"/>
  </si>
  <si>
    <t xml:space="preserve">[effect:enemy_message, val1:1.2, val2:1.2],[effect:rush, count:3, val:0.75]    </t>
    <phoneticPr fontId="5"/>
  </si>
  <si>
    <t xml:space="preserve">[effect:enemy_message, val1:1.2, val2:1.2],[effect:rush, count:3, val:0.6]    </t>
    <phoneticPr fontId="5"/>
  </si>
  <si>
    <t xml:space="preserve">[effect:enemy_message, val1:1.2, val2:1.2],[effect:rush, count:3, val:0.5]    </t>
    <phoneticPr fontId="5"/>
  </si>
  <si>
    <t>[effect:enemy_message, val1:1.2, val2:1.5],[effect:break_attack, target:unit_all, val:0.015, lowest_val:500, count:-1, color:blue, block01:block_red, block02:block_blue]</t>
    <phoneticPr fontId="5"/>
  </si>
  <si>
    <t>[effect:enemy_message, val1:1.2, val2:1.5],[effect:break_attack, target:unit_all, val:0.01, lowest_val:300, count:-1, color:blue, block01:block_red, block02:block_blue]</t>
    <phoneticPr fontId="5"/>
  </si>
  <si>
    <t>[effect:enemy_message, val1:1.2, val2:1.5],[effect:break_attack, target:unit_all, val:0.01, lowest_val:200, count:-1, color:blue, block01:block_red, block02:block_blue]</t>
    <phoneticPr fontId="5"/>
  </si>
  <si>
    <t>ルキフグスは全体攻撃と
連続攻撃を使用しますが
エリア変換をする際に隙が生まれます
その隙に一気に攻めて撃破しましょう</t>
    <rPh sb="6" eb="10">
      <t>ゼンタ</t>
    </rPh>
    <rPh sb="12" eb="16">
      <t>レンゾk</t>
    </rPh>
    <rPh sb="17" eb="19">
      <t>シヨウs</t>
    </rPh>
    <rPh sb="32" eb="33">
      <t>サ</t>
    </rPh>
    <rPh sb="46" eb="48">
      <t>イッk</t>
    </rPh>
    <rPh sb="49" eb="50">
      <t>セメマsh</t>
    </rPh>
    <phoneticPr fontId="5"/>
  </si>
  <si>
    <t>スパルタは
攻撃力・回復力DOWNを多用します
対応できるユニットで撃破しましょう</t>
    <rPh sb="6" eb="9">
      <t>コウゲk</t>
    </rPh>
    <rPh sb="10" eb="12">
      <t>カイフk</t>
    </rPh>
    <rPh sb="12" eb="13">
      <t>チカr</t>
    </rPh>
    <rPh sb="18" eb="20">
      <t>タヨ</t>
    </rPh>
    <rPh sb="24" eb="26">
      <t>タイオ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</si>
</sst>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0"/>
      <color rgb="FFC00000"/>
      <name val="ＭＳ Ｐゴシック"/>
      <family val="3"/>
      <charset val="128"/>
      <scheme val="minor"/>
    </font>
    <font>
      <sz val="10"/>
      <color rgb="FFFFC000"/>
      <name val="ＭＳ Ｐゴシック"/>
      <family val="3"/>
      <charset val="128"/>
      <scheme val="minor"/>
    </font>
    <font>
      <sz val="10"/>
      <color rgb="FF92D050"/>
      <name val="ＭＳ Ｐゴシック"/>
      <family val="3"/>
      <charset val="128"/>
      <scheme val="minor"/>
    </font>
    <font>
      <sz val="10"/>
      <color rgb="FF7030A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0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7" xfId="0" applyFont="1" applyBorder="1"/>
    <xf numFmtId="0" fontId="52" fillId="0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0" fontId="16" fillId="0" borderId="7" xfId="0" applyFont="1" applyBorder="1" applyAlignment="1">
      <alignment wrapText="1"/>
    </xf>
    <xf numFmtId="0" fontId="54" fillId="0" borderId="7" xfId="0" applyFont="1" applyFill="1" applyBorder="1" applyAlignment="1">
      <alignment vertical="center"/>
    </xf>
    <xf numFmtId="0" fontId="55" fillId="0" borderId="7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56" fillId="0" borderId="7" xfId="0" applyFont="1" applyFill="1" applyBorder="1" applyAlignment="1">
      <alignment vertical="center"/>
    </xf>
    <xf numFmtId="0" fontId="57" fillId="0" borderId="7" xfId="0" applyFont="1" applyFill="1" applyBorder="1" applyAlignment="1">
      <alignment vertical="center"/>
    </xf>
    <xf numFmtId="0" fontId="27" fillId="0" borderId="2" xfId="0" applyFont="1" applyFill="1" applyBorder="1"/>
    <xf numFmtId="0" fontId="28" fillId="0" borderId="2" xfId="0" applyFont="1" applyFill="1" applyBorder="1"/>
    <xf numFmtId="0" fontId="29" fillId="3" borderId="23" xfId="0" applyFont="1" applyFill="1" applyBorder="1" applyAlignment="1">
      <alignment vertical="center"/>
    </xf>
    <xf numFmtId="0" fontId="29" fillId="0" borderId="23" xfId="0" applyFont="1" applyFill="1" applyBorder="1" applyAlignment="1">
      <alignment vertical="center"/>
    </xf>
    <xf numFmtId="0" fontId="30" fillId="0" borderId="2" xfId="0" applyFont="1" applyFill="1" applyBorder="1"/>
    <xf numFmtId="0" fontId="31" fillId="14" borderId="2" xfId="0" applyFont="1" applyFill="1" applyBorder="1"/>
    <xf numFmtId="38" fontId="16" fillId="14" borderId="2" xfId="628" applyFont="1" applyFill="1" applyBorder="1" applyAlignment="1"/>
    <xf numFmtId="0" fontId="0" fillId="0" borderId="2" xfId="0" applyBorder="1"/>
    <xf numFmtId="0" fontId="27" fillId="0" borderId="0" xfId="0" applyFont="1" applyFill="1" applyBorder="1"/>
    <xf numFmtId="0" fontId="28" fillId="0" borderId="0" xfId="0" applyFont="1" applyFill="1" applyBorder="1"/>
    <xf numFmtId="0" fontId="29" fillId="3" borderId="0" xfId="0" applyFont="1" applyFill="1" applyBorder="1" applyAlignment="1">
      <alignment vertical="center"/>
    </xf>
    <xf numFmtId="0" fontId="31" fillId="0" borderId="0" xfId="0" applyFont="1" applyFill="1" applyBorder="1"/>
    <xf numFmtId="0" fontId="29" fillId="0" borderId="0" xfId="0" applyFont="1" applyFill="1" applyBorder="1" applyAlignment="1">
      <alignment vertical="center"/>
    </xf>
    <xf numFmtId="0" fontId="26" fillId="0" borderId="0" xfId="0" applyFont="1" applyBorder="1"/>
    <xf numFmtId="0" fontId="30" fillId="0" borderId="0" xfId="0" applyFont="1" applyFill="1" applyBorder="1"/>
    <xf numFmtId="0" fontId="0" fillId="0" borderId="0" xfId="0" applyBorder="1"/>
    <xf numFmtId="0" fontId="31" fillId="32" borderId="0" xfId="0" applyFont="1" applyFill="1" applyBorder="1"/>
    <xf numFmtId="38" fontId="16" fillId="32" borderId="0" xfId="628" applyFont="1" applyFill="1" applyBorder="1" applyAlignment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70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赤字強調" xfId="431"/>
    <cellStyle name="青字強調" xfId="43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1" sqref="A1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257</v>
      </c>
      <c r="B2" s="57" t="s">
        <v>107</v>
      </c>
      <c r="C2" s="63">
        <v>30050</v>
      </c>
      <c r="D2" s="57" t="s">
        <v>108</v>
      </c>
      <c r="E2" s="56" t="str">
        <f>B2&amp;C2&amp;D2</f>
        <v>floors_30050.tmp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257</v>
      </c>
      <c r="B3" s="57" t="s">
        <v>110</v>
      </c>
      <c r="C3" s="63">
        <v>30050</v>
      </c>
      <c r="D3" s="57" t="s">
        <v>108</v>
      </c>
      <c r="E3" s="56" t="str">
        <f>B3&amp;C3&amp;D3</f>
        <v>enemy_habitats_30050.tmp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257</v>
      </c>
      <c r="B4" s="57" t="s">
        <v>112</v>
      </c>
      <c r="C4" s="63">
        <v>30050</v>
      </c>
      <c r="D4" s="57" t="s">
        <v>108</v>
      </c>
      <c r="E4" s="56" t="str">
        <f>B4&amp;C4&amp;D4</f>
        <v>enemy_habitat_S_30050.tmp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257</v>
      </c>
      <c r="B5" s="57" t="s">
        <v>114</v>
      </c>
      <c r="C5" s="63">
        <v>30050</v>
      </c>
      <c r="D5" s="57" t="s">
        <v>108</v>
      </c>
      <c r="E5" s="56" t="str">
        <f>B5&amp;C5&amp;D5</f>
        <v>enemy_skill_sets_30050.tmp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257</v>
      </c>
      <c r="B6" s="57" t="s">
        <v>116</v>
      </c>
      <c r="C6" s="63">
        <v>30050</v>
      </c>
      <c r="D6" s="57" t="s">
        <v>117</v>
      </c>
      <c r="E6" s="56" t="str">
        <f t="shared" ref="E6:E10" si="0">B6&amp;C6&amp;D6</f>
        <v>enemy_skills_tmp_30050.tmp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257</v>
      </c>
      <c r="B7" s="57" t="s">
        <v>118</v>
      </c>
      <c r="C7" s="63">
        <v>30050</v>
      </c>
      <c r="D7" s="57" t="s">
        <v>108</v>
      </c>
      <c r="E7" s="56" t="str">
        <f>B7&amp;C7&amp;D7</f>
        <v>enemy_skills_i18n_30050.tmp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257</v>
      </c>
      <c r="B8" s="57" t="s">
        <v>120</v>
      </c>
      <c r="C8" s="63">
        <v>30050</v>
      </c>
      <c r="D8" s="57" t="s">
        <v>121</v>
      </c>
      <c r="E8" s="56" t="str">
        <f t="shared" si="0"/>
        <v>enemy_skill_triggers_30050.tmp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257</v>
      </c>
      <c r="B9" s="68" t="s">
        <v>178</v>
      </c>
      <c r="C9" s="63">
        <v>30050</v>
      </c>
      <c r="D9" s="68" t="s">
        <v>172</v>
      </c>
      <c r="E9" s="69" t="str">
        <f t="shared" si="0"/>
        <v>stage_bug_bonuses_30050.tmp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257</v>
      </c>
      <c r="B10" s="68" t="s">
        <v>201</v>
      </c>
      <c r="C10" s="63">
        <v>30050</v>
      </c>
      <c r="D10" s="68" t="s">
        <v>181</v>
      </c>
      <c r="E10" s="69" t="str">
        <f t="shared" si="0"/>
        <v>stage_hints_data_c_30050.tmp</v>
      </c>
      <c r="F10" s="68" t="s">
        <v>209</v>
      </c>
      <c r="G10" s="74" t="s">
        <v>182</v>
      </c>
      <c r="H10" s="74" t="s">
        <v>174</v>
      </c>
      <c r="I10" s="75" t="s">
        <v>183</v>
      </c>
      <c r="J10" s="67" t="s">
        <v>184</v>
      </c>
      <c r="K10" s="67" t="s">
        <v>185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</row>
    <row r="11" spans="1:30" s="76" customFormat="1" x14ac:dyDescent="0.15">
      <c r="A11" s="61" t="s">
        <v>257</v>
      </c>
      <c r="B11" s="68" t="s">
        <v>202</v>
      </c>
      <c r="C11" s="63">
        <v>30050</v>
      </c>
      <c r="D11" s="68" t="s">
        <v>172</v>
      </c>
      <c r="E11" s="69" t="str">
        <f t="shared" ref="E11:E13" si="1">B11&amp;C11&amp;D11</f>
        <v>stage_hints_data_f_30050.tmp</v>
      </c>
      <c r="F11" s="68" t="s">
        <v>210</v>
      </c>
      <c r="G11" s="74" t="s">
        <v>182</v>
      </c>
      <c r="H11" s="74" t="s">
        <v>174</v>
      </c>
      <c r="I11" s="75" t="s">
        <v>183</v>
      </c>
      <c r="J11" s="67" t="s">
        <v>184</v>
      </c>
      <c r="K11" s="67" t="s">
        <v>185</v>
      </c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</row>
    <row r="12" spans="1:30" s="76" customFormat="1" x14ac:dyDescent="0.15">
      <c r="A12" s="61" t="s">
        <v>257</v>
      </c>
      <c r="B12" s="68" t="s">
        <v>203</v>
      </c>
      <c r="C12" s="63">
        <v>30050</v>
      </c>
      <c r="D12" s="68" t="s">
        <v>172</v>
      </c>
      <c r="E12" s="69" t="str">
        <f t="shared" si="1"/>
        <v>stage_hints_i18n_30050.tmp</v>
      </c>
      <c r="F12" s="68" t="s">
        <v>211</v>
      </c>
      <c r="G12" s="75" t="s">
        <v>204</v>
      </c>
      <c r="H12" s="96" t="s">
        <v>205</v>
      </c>
      <c r="I12" s="74" t="s">
        <v>206</v>
      </c>
      <c r="J12" s="105" t="s">
        <v>207</v>
      </c>
      <c r="K12" s="67" t="s">
        <v>208</v>
      </c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</row>
    <row r="13" spans="1:30" s="76" customFormat="1" x14ac:dyDescent="0.15">
      <c r="A13" s="68" t="s">
        <v>252</v>
      </c>
      <c r="B13" s="68" t="s">
        <v>251</v>
      </c>
      <c r="C13" s="63">
        <v>30050</v>
      </c>
      <c r="D13" s="68" t="s">
        <v>232</v>
      </c>
      <c r="E13" s="69" t="str">
        <f t="shared" si="1"/>
        <v>stage_bonuses_30050.tmp</v>
      </c>
      <c r="F13" s="68" t="s">
        <v>231</v>
      </c>
      <c r="G13" s="74" t="s">
        <v>233</v>
      </c>
      <c r="H13" s="74" t="s">
        <v>234</v>
      </c>
      <c r="I13" s="74" t="s">
        <v>235</v>
      </c>
      <c r="J13" s="74" t="s">
        <v>236</v>
      </c>
      <c r="K13" s="74" t="s">
        <v>237</v>
      </c>
      <c r="L13" s="74" t="s">
        <v>238</v>
      </c>
      <c r="M13" s="74" t="s">
        <v>239</v>
      </c>
      <c r="N13" s="74" t="s">
        <v>240</v>
      </c>
      <c r="O13" s="74" t="s">
        <v>241</v>
      </c>
      <c r="P13" s="74" t="s">
        <v>242</v>
      </c>
      <c r="Q13" s="74" t="s">
        <v>243</v>
      </c>
      <c r="R13" s="74" t="s">
        <v>244</v>
      </c>
      <c r="S13" s="74" t="s">
        <v>245</v>
      </c>
      <c r="T13" s="74" t="s">
        <v>246</v>
      </c>
      <c r="U13" s="74" t="s">
        <v>247</v>
      </c>
      <c r="V13" s="74" t="s">
        <v>248</v>
      </c>
      <c r="W13" s="74" t="s">
        <v>249</v>
      </c>
      <c r="X13" s="74" t="s">
        <v>250</v>
      </c>
      <c r="Y13" s="104"/>
      <c r="Z13" s="104"/>
      <c r="AA13" s="104"/>
      <c r="AB13" s="104"/>
      <c r="AC13" s="104"/>
      <c r="AD13" s="104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L5" sqref="L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30050_3-1</v>
      </c>
      <c r="B2" s="16" t="str">
        <f>IF(COUNTIF(enemy_habitats!$H:$H,A2),"OK","NG")</f>
        <v>OK</v>
      </c>
      <c r="C2" s="7">
        <v>30050</v>
      </c>
      <c r="D2" s="11" t="str">
        <f ca="1">VLOOKUP($C2,OFFSET([2]quests!$A$1,0,0,COUNTA([2]quests!$A:$A),MATCH(D$1,[2]quests!$1:$1,0)-MATCH($C$1,[2]quests!$1:$1,0)+1),MATCH(D$1,[2]quests!$1:$1,0)-MATCH($C$1,[2]quests!$1:$1,0)+1,FALSE)</f>
        <v>忍耐と服従</v>
      </c>
      <c r="E2" s="18" t="str">
        <f ca="1">VLOOKUP($C2,OFFSET([2]quests!$A$1,0,0,COUNTA([2]quests!$A:$A),MATCH(E$1,[2]quests!$1:$1,0)-MATCH($C$1,[2]quests!$1:$1,0)+1),MATCH(E$1,[2]quests!$1:$1,0)-MATCH($C$1,[2]quests!$1:$1,0)+1,FALSE)</f>
        <v>英傑シリーズ　超級</v>
      </c>
      <c r="F2" s="21">
        <v>3</v>
      </c>
      <c r="G2" s="23" t="str">
        <f t="shared" ref="G2:G10" si="1">C2&amp;"_"&amp;F2</f>
        <v>30050_3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【超級】忍耐と服従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30050_3-2</v>
      </c>
      <c r="B3" s="16" t="str">
        <f>IF(COUNTIF(enemy_habitats!$H:$H,A3),"OK","NG")</f>
        <v>OK</v>
      </c>
      <c r="C3" s="7">
        <v>30050</v>
      </c>
      <c r="D3" s="11" t="str">
        <f ca="1">VLOOKUP($C3,OFFSET([2]quests!$A$1,0,0,COUNTA([2]quests!$A:$A),MATCH(D$1,[2]quests!$1:$1,0)-MATCH($C$1,[2]quests!$1:$1,0)+1),MATCH(D$1,[2]quests!$1:$1,0)-MATCH($C$1,[2]quests!$1:$1,0)+1,FALSE)</f>
        <v>忍耐と服従</v>
      </c>
      <c r="E3" s="18" t="str">
        <f ca="1">VLOOKUP($C3,OFFSET([2]quests!$A$1,0,0,COUNTA([2]quests!$A:$A),MATCH(E$1,[2]quests!$1:$1,0)-MATCH($C$1,[2]quests!$1:$1,0)+1),MATCH(E$1,[2]quests!$1:$1,0)-MATCH($C$1,[2]quests!$1:$1,0)+1,FALSE)</f>
        <v>英傑シリーズ　超級</v>
      </c>
      <c r="F3" s="21">
        <v>3</v>
      </c>
      <c r="G3" s="23" t="str">
        <f t="shared" si="1"/>
        <v>30050_3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【超級】忍耐と服従</v>
      </c>
      <c r="I3" s="21">
        <v>2</v>
      </c>
      <c r="J3" s="12">
        <v>20</v>
      </c>
      <c r="K3" s="12">
        <v>20</v>
      </c>
    </row>
    <row r="4" spans="1:11" ht="21" customHeight="1" x14ac:dyDescent="0.15">
      <c r="A4" s="16" t="str">
        <f t="shared" si="0"/>
        <v>30050_3-3</v>
      </c>
      <c r="B4" s="16" t="str">
        <f>IF(COUNTIF(enemy_habitats!$H:$H,A4),"OK","NG")</f>
        <v>OK</v>
      </c>
      <c r="C4" s="7">
        <v>30050</v>
      </c>
      <c r="D4" s="11" t="str">
        <f ca="1">VLOOKUP($C4,OFFSET([2]quests!$A$1,0,0,COUNTA([2]quests!$A:$A),MATCH(D$1,[2]quests!$1:$1,0)-MATCH($C$1,[2]quests!$1:$1,0)+1),MATCH(D$1,[2]quests!$1:$1,0)-MATCH($C$1,[2]quests!$1:$1,0)+1,FALSE)</f>
        <v>忍耐と服従</v>
      </c>
      <c r="E4" s="18" t="str">
        <f ca="1">VLOOKUP($C4,OFFSET([2]quests!$A$1,0,0,COUNTA([2]quests!$A:$A),MATCH(E$1,[2]quests!$1:$1,0)-MATCH($C$1,[2]quests!$1:$1,0)+1),MATCH(E$1,[2]quests!$1:$1,0)-MATCH($C$1,[2]quests!$1:$1,0)+1,FALSE)</f>
        <v>英傑シリーズ　超級</v>
      </c>
      <c r="F4" s="21">
        <v>3</v>
      </c>
      <c r="G4" s="23" t="str">
        <f t="shared" si="1"/>
        <v>30050_3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【超級】忍耐と服従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30050_2-1</v>
      </c>
      <c r="B5" s="16" t="str">
        <f>IF(COUNTIF(enemy_habitats!$H:$H,A5),"OK","NG")</f>
        <v>OK</v>
      </c>
      <c r="C5" s="7">
        <v>30050</v>
      </c>
      <c r="D5" s="11" t="str">
        <f ca="1">VLOOKUP($C5,OFFSET([2]quests!$A$1,0,0,COUNTA([2]quests!$A:$A),MATCH(D$1,[2]quests!$1:$1,0)-MATCH($C$1,[2]quests!$1:$1,0)+1),MATCH(D$1,[2]quests!$1:$1,0)-MATCH($C$1,[2]quests!$1:$1,0)+1,FALSE)</f>
        <v>忍耐と服従</v>
      </c>
      <c r="E5" s="18" t="str">
        <f ca="1">VLOOKUP($C5,OFFSET([2]quests!$A$1,0,0,COUNTA([2]quests!$A:$A),MATCH(E$1,[2]quests!$1:$1,0)-MATCH($C$1,[2]quests!$1:$1,0)+1),MATCH(E$1,[2]quests!$1:$1,0)-MATCH($C$1,[2]quests!$1:$1,0)+1,FALSE)</f>
        <v>英傑シリーズ　超級</v>
      </c>
      <c r="F5" s="21">
        <v>2</v>
      </c>
      <c r="G5" s="23" t="str">
        <f t="shared" si="1"/>
        <v>30050_2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【上級】忍耐と服従</v>
      </c>
      <c r="I5" s="21">
        <v>1</v>
      </c>
      <c r="J5" s="12">
        <v>45</v>
      </c>
      <c r="K5" s="12">
        <v>45</v>
      </c>
    </row>
    <row r="6" spans="1:11" ht="21" customHeight="1" x14ac:dyDescent="0.15">
      <c r="A6" s="16" t="str">
        <f t="shared" si="0"/>
        <v>30050_2-2</v>
      </c>
      <c r="B6" s="16" t="str">
        <f>IF(COUNTIF(enemy_habitats!$H:$H,A6),"OK","NG")</f>
        <v>OK</v>
      </c>
      <c r="C6" s="7">
        <v>30050</v>
      </c>
      <c r="D6" s="11" t="str">
        <f ca="1">VLOOKUP($C6,OFFSET([2]quests!$A$1,0,0,COUNTA([2]quests!$A:$A),MATCH(D$1,[2]quests!$1:$1,0)-MATCH($C$1,[2]quests!$1:$1,0)+1),MATCH(D$1,[2]quests!$1:$1,0)-MATCH($C$1,[2]quests!$1:$1,0)+1,FALSE)</f>
        <v>忍耐と服従</v>
      </c>
      <c r="E6" s="18" t="str">
        <f ca="1">VLOOKUP($C6,OFFSET([2]quests!$A$1,0,0,COUNTA([2]quests!$A:$A),MATCH(E$1,[2]quests!$1:$1,0)-MATCH($C$1,[2]quests!$1:$1,0)+1),MATCH(E$1,[2]quests!$1:$1,0)-MATCH($C$1,[2]quests!$1:$1,0)+1,FALSE)</f>
        <v>英傑シリーズ　超級</v>
      </c>
      <c r="F6" s="21">
        <v>2</v>
      </c>
      <c r="G6" s="23" t="str">
        <f t="shared" si="1"/>
        <v>30050_2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【上級】忍耐と服従</v>
      </c>
      <c r="I6" s="21">
        <v>2</v>
      </c>
      <c r="J6" s="12">
        <v>20</v>
      </c>
      <c r="K6" s="12">
        <v>20</v>
      </c>
    </row>
    <row r="7" spans="1:11" ht="21" customHeight="1" x14ac:dyDescent="0.15">
      <c r="A7" s="16" t="str">
        <f t="shared" si="0"/>
        <v>30050_2-3</v>
      </c>
      <c r="B7" s="16" t="str">
        <f>IF(COUNTIF(enemy_habitats!$H:$H,A7),"OK","NG")</f>
        <v>OK</v>
      </c>
      <c r="C7" s="7">
        <v>30050</v>
      </c>
      <c r="D7" s="11" t="str">
        <f ca="1">VLOOKUP($C7,OFFSET([2]quests!$A$1,0,0,COUNTA([2]quests!$A:$A),MATCH(D$1,[2]quests!$1:$1,0)-MATCH($C$1,[2]quests!$1:$1,0)+1),MATCH(D$1,[2]quests!$1:$1,0)-MATCH($C$1,[2]quests!$1:$1,0)+1,FALSE)</f>
        <v>忍耐と服従</v>
      </c>
      <c r="E7" s="18" t="str">
        <f ca="1">VLOOKUP($C7,OFFSET([2]quests!$A$1,0,0,COUNTA([2]quests!$A:$A),MATCH(E$1,[2]quests!$1:$1,0)-MATCH($C$1,[2]quests!$1:$1,0)+1),MATCH(E$1,[2]quests!$1:$1,0)-MATCH($C$1,[2]quests!$1:$1,0)+1,FALSE)</f>
        <v>英傑シリーズ　超級</v>
      </c>
      <c r="F7" s="21">
        <v>2</v>
      </c>
      <c r="G7" s="23" t="str">
        <f t="shared" si="1"/>
        <v>30050_2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【上級】忍耐と服従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30050_1-1</v>
      </c>
      <c r="B8" s="16" t="str">
        <f>IF(COUNTIF(enemy_habitats!$H:$H,A8),"OK","NG")</f>
        <v>OK</v>
      </c>
      <c r="C8" s="7">
        <v>30050</v>
      </c>
      <c r="D8" s="11" t="str">
        <f ca="1">VLOOKUP($C8,OFFSET([2]quests!$A$1,0,0,COUNTA([2]quests!$A:$A),MATCH(D$1,[2]quests!$1:$1,0)-MATCH($C$1,[2]quests!$1:$1,0)+1),MATCH(D$1,[2]quests!$1:$1,0)-MATCH($C$1,[2]quests!$1:$1,0)+1,FALSE)</f>
        <v>忍耐と服従</v>
      </c>
      <c r="E8" s="18" t="str">
        <f ca="1">VLOOKUP($C8,OFFSET([2]quests!$A$1,0,0,COUNTA([2]quests!$A:$A),MATCH(E$1,[2]quests!$1:$1,0)-MATCH($C$1,[2]quests!$1:$1,0)+1),MATCH(E$1,[2]quests!$1:$1,0)-MATCH($C$1,[2]quests!$1:$1,0)+1,FALSE)</f>
        <v>英傑シリーズ　超級</v>
      </c>
      <c r="F8" s="21">
        <v>1</v>
      </c>
      <c r="G8" s="23" t="str">
        <f t="shared" si="1"/>
        <v>30050_1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【中級】忍耐と服従</v>
      </c>
      <c r="I8" s="21">
        <v>1</v>
      </c>
      <c r="J8" s="12">
        <v>45</v>
      </c>
      <c r="K8" s="12">
        <v>45</v>
      </c>
    </row>
    <row r="9" spans="1:11" ht="21" customHeight="1" x14ac:dyDescent="0.15">
      <c r="A9" s="16" t="str">
        <f t="shared" si="0"/>
        <v>30050_1-2</v>
      </c>
      <c r="B9" s="16" t="str">
        <f>IF(COUNTIF(enemy_habitats!$H:$H,A9),"OK","NG")</f>
        <v>OK</v>
      </c>
      <c r="C9" s="7">
        <v>30050</v>
      </c>
      <c r="D9" s="11" t="str">
        <f ca="1">VLOOKUP($C9,OFFSET([2]quests!$A$1,0,0,COUNTA([2]quests!$A:$A),MATCH(D$1,[2]quests!$1:$1,0)-MATCH($C$1,[2]quests!$1:$1,0)+1),MATCH(D$1,[2]quests!$1:$1,0)-MATCH($C$1,[2]quests!$1:$1,0)+1,FALSE)</f>
        <v>忍耐と服従</v>
      </c>
      <c r="E9" s="18" t="str">
        <f ca="1">VLOOKUP($C9,OFFSET([2]quests!$A$1,0,0,COUNTA([2]quests!$A:$A),MATCH(E$1,[2]quests!$1:$1,0)-MATCH($C$1,[2]quests!$1:$1,0)+1),MATCH(E$1,[2]quests!$1:$1,0)-MATCH($C$1,[2]quests!$1:$1,0)+1,FALSE)</f>
        <v>英傑シリーズ　超級</v>
      </c>
      <c r="F9" s="21">
        <v>1</v>
      </c>
      <c r="G9" s="23" t="str">
        <f t="shared" si="1"/>
        <v>30050_1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【中級】忍耐と服従</v>
      </c>
      <c r="I9" s="21">
        <v>2</v>
      </c>
      <c r="J9" s="12">
        <v>20</v>
      </c>
      <c r="K9" s="12">
        <v>20</v>
      </c>
    </row>
    <row r="10" spans="1:11" ht="21" customHeight="1" x14ac:dyDescent="0.15">
      <c r="A10" s="16" t="str">
        <f t="shared" si="0"/>
        <v>30050_1-3</v>
      </c>
      <c r="B10" s="16" t="str">
        <f>IF(COUNTIF(enemy_habitats!$H:$H,A10),"OK","NG")</f>
        <v>OK</v>
      </c>
      <c r="C10" s="7">
        <v>30050</v>
      </c>
      <c r="D10" s="11" t="str">
        <f ca="1">VLOOKUP($C10,OFFSET([2]quests!$A$1,0,0,COUNTA([2]quests!$A:$A),MATCH(D$1,[2]quests!$1:$1,0)-MATCH($C$1,[2]quests!$1:$1,0)+1),MATCH(D$1,[2]quests!$1:$1,0)-MATCH($C$1,[2]quests!$1:$1,0)+1,FALSE)</f>
        <v>忍耐と服従</v>
      </c>
      <c r="E10" s="18" t="str">
        <f ca="1">VLOOKUP($C10,OFFSET([2]quests!$A$1,0,0,COUNTA([2]quests!$A:$A),MATCH(E$1,[2]quests!$1:$1,0)-MATCH($C$1,[2]quests!$1:$1,0)+1),MATCH(E$1,[2]quests!$1:$1,0)-MATCH($C$1,[2]quests!$1:$1,0)+1,FALSE)</f>
        <v>英傑シリーズ　超級</v>
      </c>
      <c r="F10" s="21">
        <v>1</v>
      </c>
      <c r="G10" s="23" t="str">
        <f t="shared" si="1"/>
        <v>30050_1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【中級】忍耐と服従</v>
      </c>
      <c r="I10" s="21">
        <v>3</v>
      </c>
      <c r="J10" s="12">
        <v>30</v>
      </c>
      <c r="K10" s="12">
        <v>30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6"/>
  <sheetViews>
    <sheetView showGridLines="0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J12" sqref="AJ12:AJ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6" t="s">
        <v>253</v>
      </c>
      <c r="U1" s="26" t="s">
        <v>50</v>
      </c>
      <c r="V1" s="106" t="s">
        <v>254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6" si="0">B2&amp;"_"&amp;C2&amp;"-"&amp;G2&amp;"/"&amp;L2&amp;"&lt;lv"&amp;R2&amp;"&gt;s"&amp;AC2</f>
        <v>30050_3-1/364&lt;lv61&gt;s1</v>
      </c>
      <c r="B2" s="22">
        <v>30050</v>
      </c>
      <c r="C2" s="21">
        <v>3</v>
      </c>
      <c r="D2" s="2" t="str">
        <f t="shared" ref="D2:D16" si="1">B2&amp;"_"&amp;C2</f>
        <v>30050_3</v>
      </c>
      <c r="E2" s="4" t="str">
        <f ca="1">VLOOKUP($B2,OFFSET([2]quests!$A$1,0,0,COUNTA([2]quests!$A:$A),MATCH(E$1,[2]quests!$1:$1,0)-MATCH($B$1,[2]quests!$1:$1,0)+1),MATCH(E$1,[2]quests!$1:$1,0)-MATCH($B$1,[2]quests!$1:$1,0)+1,FALSE)</f>
        <v>忍耐と服従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【超級】忍耐と服従</v>
      </c>
      <c r="G2" s="21">
        <v>1</v>
      </c>
      <c r="H2" s="15" t="str">
        <f t="shared" ref="H2:H16" si="2">B2&amp;"_"&amp;C2&amp;"-"&amp;G2</f>
        <v>30050_3-1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364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ノエル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61</v>
      </c>
      <c r="S2" s="25">
        <v>2.0325203252032522</v>
      </c>
      <c r="T2" s="107">
        <f>S2*12300</f>
        <v>25000.000000000004</v>
      </c>
      <c r="U2" s="25">
        <v>0.378000378000378</v>
      </c>
      <c r="V2" s="107">
        <f>5291*U2</f>
        <v>2000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1ターン全ユニットの攻撃力20%DOWN</v>
      </c>
      <c r="Y2" s="62">
        <v>30050001</v>
      </c>
      <c r="Z2" s="6">
        <v>1</v>
      </c>
      <c r="AA2" s="6">
        <v>100</v>
      </c>
      <c r="AB2" s="6">
        <v>0</v>
      </c>
      <c r="AC2" s="17">
        <v>1</v>
      </c>
      <c r="AD2" s="24">
        <f t="shared" ref="AD2:AD16" si="3">L2</f>
        <v>364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16" ca="1" si="4">AF2</f>
        <v>2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ca="1" si="0"/>
        <v>30050_3-1/18&lt;lv60&gt;s2</v>
      </c>
      <c r="B3" s="22">
        <v>30050</v>
      </c>
      <c r="C3" s="21">
        <v>3</v>
      </c>
      <c r="D3" s="2" t="str">
        <f t="shared" si="1"/>
        <v>30050_3</v>
      </c>
      <c r="E3" s="4" t="str">
        <f ca="1">VLOOKUP($B3,OFFSET([2]quests!$A$1,0,0,COUNTA([2]quests!$A:$A),MATCH(E$1,[2]quests!$1:$1,0)-MATCH($B$1,[2]quests!$1:$1,0)+1),MATCH(E$1,[2]quests!$1:$1,0)-MATCH($B$1,[2]quests!$1:$1,0)+1,FALSE)</f>
        <v>忍耐と服従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【超級】忍耐と服従</v>
      </c>
      <c r="G3" s="21">
        <v>1</v>
      </c>
      <c r="H3" s="15" t="str">
        <f t="shared" si="2"/>
        <v>30050_3-1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18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戦闘案内人 リム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5">
        <v>2.5947067981318113</v>
      </c>
      <c r="T3" s="107">
        <f>11562*S3</f>
        <v>30000.000000000004</v>
      </c>
      <c r="U3" s="25">
        <v>1.4897579143389199</v>
      </c>
      <c r="V3" s="107">
        <f>U3*2685</f>
        <v>4000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3" s="62">
        <v>30050002</v>
      </c>
      <c r="Z3" s="6">
        <v>1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 t="shared" si="3"/>
        <v>18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4">
        <f t="shared" ca="1" si="4"/>
        <v>2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30050_3-1/364&lt;lv60&gt;s1</v>
      </c>
      <c r="B4" s="22">
        <v>30050</v>
      </c>
      <c r="C4" s="21">
        <v>3</v>
      </c>
      <c r="D4" s="2" t="str">
        <f t="shared" si="1"/>
        <v>30050_3</v>
      </c>
      <c r="E4" s="4" t="str">
        <f ca="1">VLOOKUP($B4,OFFSET([2]quests!$A$1,0,0,COUNTA([2]quests!$A:$A),MATCH(E$1,[2]quests!$1:$1,0)-MATCH($B$1,[2]quests!$1:$1,0)+1),MATCH(E$1,[2]quests!$1:$1,0)-MATCH($B$1,[2]quests!$1:$1,0)+1,FALSE)</f>
        <v>忍耐と服従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【超級】忍耐と服従</v>
      </c>
      <c r="G4" s="21">
        <v>1</v>
      </c>
      <c r="H4" s="15" t="str">
        <f t="shared" si="2"/>
        <v>30050_3-1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53</v>
      </c>
      <c r="L4" s="20">
        <v>364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ノエル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5">
        <v>2</v>
      </c>
      <c r="T4" s="107">
        <f>S4*12500</f>
        <v>25000</v>
      </c>
      <c r="U4" s="25">
        <v>0.37195462153617259</v>
      </c>
      <c r="V4" s="107">
        <f>5377*U4</f>
        <v>2000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1ターン全ユニットの回復力20%DOWN</v>
      </c>
      <c r="Y4" s="62">
        <v>30050003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364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4"/>
        <v>2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30050_3-2/220&lt;lv60&gt;s1</v>
      </c>
      <c r="B5" s="22">
        <v>30050</v>
      </c>
      <c r="C5" s="21">
        <v>3</v>
      </c>
      <c r="D5" s="2" t="str">
        <f t="shared" si="1"/>
        <v>30050_3</v>
      </c>
      <c r="E5" s="4" t="str">
        <f ca="1">VLOOKUP($B5,OFFSET([2]quests!$A$1,0,0,COUNTA([2]quests!$A:$A),MATCH(E$1,[2]quests!$1:$1,0)-MATCH($B$1,[2]quests!$1:$1,0)+1),MATCH(E$1,[2]quests!$1:$1,0)-MATCH($B$1,[2]quests!$1:$1,0)+1,FALSE)</f>
        <v>忍耐と服従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【超級】忍耐と服従</v>
      </c>
      <c r="G5" s="21">
        <v>2</v>
      </c>
      <c r="H5" s="15" t="str">
        <f t="shared" si="2"/>
        <v>30050_3-2</v>
      </c>
      <c r="I5" s="4">
        <f ca="1">VLOOKUP($H5,OFFSET(floors!$A$1,0,0,COUNTA(floors!$A:$A),MATCH(I$1,floors!$1:$1,0)-MATCH($H$1,floors!$1:$1,0)+1),MATCH(I$1,floors!$1:$1,0)-MATCH($H$1,floors!$1:$1,0)+1,FALSE)</f>
        <v>20</v>
      </c>
      <c r="J5" s="4">
        <f ca="1">VLOOKUP($H5,OFFSET(floors!$A$1,0,0,COUNTA(floors!$A:$A),MATCH(J$1,floors!$1:$1,0)-MATCH($H$1,floors!$1:$1,0)+1),MATCH(J$1,floors!$1:$1,0)-MATCH($H$1,floors!$1:$1,0)+1,FALSE)</f>
        <v>20</v>
      </c>
      <c r="K5" s="38" t="s">
        <v>53</v>
      </c>
      <c r="L5" s="20">
        <v>220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ルキフグス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60</v>
      </c>
      <c r="S5" s="25">
        <f>150000/64944</f>
        <v>2.3096821877309681</v>
      </c>
      <c r="T5" s="107">
        <f>64944*S5</f>
        <v>150000</v>
      </c>
      <c r="U5" s="25">
        <v>0.5</v>
      </c>
      <c r="V5" s="107">
        <f>8632*U5</f>
        <v>4316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5" s="62">
        <v>30050004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220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ルキフグス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30050_3-3/1436&lt;lv60&gt;s2</v>
      </c>
      <c r="B6" s="22">
        <v>30050</v>
      </c>
      <c r="C6" s="21">
        <v>3</v>
      </c>
      <c r="D6" s="2" t="str">
        <f t="shared" si="1"/>
        <v>30050_3</v>
      </c>
      <c r="E6" s="4" t="str">
        <f ca="1">VLOOKUP($B6,OFFSET([2]quests!$A$1,0,0,COUNTA([2]quests!$A:$A),MATCH(E$1,[2]quests!$1:$1,0)-MATCH($B$1,[2]quests!$1:$1,0)+1),MATCH(E$1,[2]quests!$1:$1,0)-MATCH($B$1,[2]quests!$1:$1,0)+1,FALSE)</f>
        <v>忍耐と服従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【超級】忍耐と服従</v>
      </c>
      <c r="G6" s="21">
        <v>3</v>
      </c>
      <c r="H6" s="15" t="str">
        <f t="shared" si="2"/>
        <v>30050_3-3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>
        <v>1</v>
      </c>
      <c r="L6" s="20">
        <v>1436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スパルタ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hero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5">
        <f>170000/75153</f>
        <v>2.2620520804226047</v>
      </c>
      <c r="T6" s="107">
        <f>75153*S6</f>
        <v>170000.00000000003</v>
      </c>
      <c r="U6" s="25">
        <f>7000/13682</f>
        <v>0.51162110802514249</v>
      </c>
      <c r="V6" s="107">
        <f>13682*U6</f>
        <v>7000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62">
        <v>30050005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1436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スパルタ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4">
        <f t="shared" ca="1" si="4"/>
        <v>4</v>
      </c>
      <c r="AJ6" s="8">
        <v>100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30050_2-1/364&lt;lv51&gt;s1</v>
      </c>
      <c r="B7" s="22">
        <v>30050</v>
      </c>
      <c r="C7" s="21">
        <v>2</v>
      </c>
      <c r="D7" s="2" t="str">
        <f t="shared" si="1"/>
        <v>30050_2</v>
      </c>
      <c r="E7" s="4" t="str">
        <f ca="1">VLOOKUP($B7,OFFSET([2]quests!$A$1,0,0,COUNTA([2]quests!$A:$A),MATCH(E$1,[2]quests!$1:$1,0)-MATCH($B$1,[2]quests!$1:$1,0)+1),MATCH(E$1,[2]quests!$1:$1,0)-MATCH($B$1,[2]quests!$1:$1,0)+1,FALSE)</f>
        <v>忍耐と服従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【上級】忍耐と服従</v>
      </c>
      <c r="G7" s="21">
        <v>1</v>
      </c>
      <c r="H7" s="15" t="str">
        <f t="shared" si="2"/>
        <v>30050_2-1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364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ノエル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51</v>
      </c>
      <c r="S7" s="25">
        <v>1.6260162601626016</v>
      </c>
      <c r="T7" s="107">
        <f>S7*12300</f>
        <v>20000</v>
      </c>
      <c r="U7" s="25">
        <f>1500/5291</f>
        <v>0.2835002835002835</v>
      </c>
      <c r="V7" s="107">
        <f>5291*U7</f>
        <v>1500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1ターン全ユニットの攻撃力20%DOWN</v>
      </c>
      <c r="Y7" s="62">
        <v>30050007</v>
      </c>
      <c r="Z7" s="6">
        <v>1</v>
      </c>
      <c r="AA7" s="6">
        <v>100</v>
      </c>
      <c r="AB7" s="6">
        <v>0</v>
      </c>
      <c r="AC7" s="17">
        <v>1</v>
      </c>
      <c r="AD7" s="24">
        <f t="shared" si="3"/>
        <v>364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4"/>
        <v>2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ca="1" si="0"/>
        <v>30050_2-1/18&lt;lv50&gt;s2</v>
      </c>
      <c r="B8" s="22">
        <v>30050</v>
      </c>
      <c r="C8" s="21">
        <v>2</v>
      </c>
      <c r="D8" s="2" t="str">
        <f t="shared" si="1"/>
        <v>30050_2</v>
      </c>
      <c r="E8" s="4" t="str">
        <f ca="1">VLOOKUP($B8,OFFSET([2]quests!$A$1,0,0,COUNTA([2]quests!$A:$A),MATCH(E$1,[2]quests!$1:$1,0)-MATCH($B$1,[2]quests!$1:$1,0)+1),MATCH(E$1,[2]quests!$1:$1,0)-MATCH($B$1,[2]quests!$1:$1,0)+1,FALSE)</f>
        <v>忍耐と服従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【上級】忍耐と服従</v>
      </c>
      <c r="G8" s="21">
        <v>1</v>
      </c>
      <c r="H8" s="15" t="str">
        <f t="shared" si="2"/>
        <v>30050_2-1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8" t="s">
        <v>53</v>
      </c>
      <c r="L8" s="20">
        <v>18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戦闘案内人 リム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50</v>
      </c>
      <c r="S8" s="25">
        <v>2.1622556651098428</v>
      </c>
      <c r="T8" s="107">
        <f>11562*S8</f>
        <v>25000.000000000004</v>
      </c>
      <c r="U8" s="25">
        <f>3000/2685</f>
        <v>1.1173184357541899</v>
      </c>
      <c r="V8" s="107">
        <f>U8*2685</f>
        <v>3000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8" s="62">
        <v>30050008</v>
      </c>
      <c r="Z8" s="6">
        <v>1</v>
      </c>
      <c r="AA8" s="6">
        <v>100</v>
      </c>
      <c r="AB8" s="6">
        <v>0</v>
      </c>
      <c r="AC8" s="17">
        <f ca="1">VLOOKUP($L8,OFFSET([3]enemies!$A$1,0,0,COUNTA([3]enemies!$A:$A),MATCH(AC$1,[3]enemies!$1:$1,0)-MATCH($L$1,[3]enemies!$1:$1,0)+1),MATCH(AC$1,[3]enemies!$1:$1,0)-MATCH($L$1,[3]enemies!$1:$1,0)+1,FALSE)</f>
        <v>2</v>
      </c>
      <c r="AD8" s="24">
        <f t="shared" si="3"/>
        <v>18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" s="7">
        <v>1</v>
      </c>
      <c r="AI8" s="24">
        <f t="shared" ca="1" si="4"/>
        <v>2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30050_2-1/364&lt;lv50&gt;s1</v>
      </c>
      <c r="B9" s="22">
        <v>30050</v>
      </c>
      <c r="C9" s="21">
        <v>2</v>
      </c>
      <c r="D9" s="2" t="str">
        <f t="shared" si="1"/>
        <v>30050_2</v>
      </c>
      <c r="E9" s="4" t="str">
        <f ca="1">VLOOKUP($B9,OFFSET([2]quests!$A$1,0,0,COUNTA([2]quests!$A:$A),MATCH(E$1,[2]quests!$1:$1,0)-MATCH($B$1,[2]quests!$1:$1,0)+1),MATCH(E$1,[2]quests!$1:$1,0)-MATCH($B$1,[2]quests!$1:$1,0)+1,FALSE)</f>
        <v>忍耐と服従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【上級】忍耐と服従</v>
      </c>
      <c r="G9" s="21">
        <v>1</v>
      </c>
      <c r="H9" s="15" t="str">
        <f t="shared" si="2"/>
        <v>30050_2-1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8" t="s">
        <v>53</v>
      </c>
      <c r="L9" s="20">
        <v>364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ノエル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50</v>
      </c>
      <c r="S9" s="25">
        <v>1.6</v>
      </c>
      <c r="T9" s="107">
        <f>S9*12500</f>
        <v>20000</v>
      </c>
      <c r="U9" s="25">
        <f>1500/5377</f>
        <v>0.27896596615212943</v>
      </c>
      <c r="V9" s="107">
        <f>5377*U9</f>
        <v>1500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1ターン全ユニットの回復力10%DOWN</v>
      </c>
      <c r="Y9" s="62">
        <v>30050009</v>
      </c>
      <c r="Z9" s="6">
        <v>1</v>
      </c>
      <c r="AA9" s="6">
        <v>100</v>
      </c>
      <c r="AB9" s="6">
        <v>0</v>
      </c>
      <c r="AC9" s="17">
        <v>1</v>
      </c>
      <c r="AD9" s="24">
        <f t="shared" si="3"/>
        <v>364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4"/>
        <v>2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30050_2-2/220&lt;lv50&gt;s1</v>
      </c>
      <c r="B10" s="22">
        <v>30050</v>
      </c>
      <c r="C10" s="21">
        <v>2</v>
      </c>
      <c r="D10" s="2" t="str">
        <f t="shared" si="1"/>
        <v>30050_2</v>
      </c>
      <c r="E10" s="4" t="str">
        <f ca="1">VLOOKUP($B10,OFFSET([2]quests!$A$1,0,0,COUNTA([2]quests!$A:$A),MATCH(E$1,[2]quests!$1:$1,0)-MATCH($B$1,[2]quests!$1:$1,0)+1),MATCH(E$1,[2]quests!$1:$1,0)-MATCH($B$1,[2]quests!$1:$1,0)+1,FALSE)</f>
        <v>忍耐と服従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【上級】忍耐と服従</v>
      </c>
      <c r="G10" s="21">
        <v>2</v>
      </c>
      <c r="H10" s="15" t="str">
        <f t="shared" si="2"/>
        <v>30050_2-2</v>
      </c>
      <c r="I10" s="4">
        <f ca="1">VLOOKUP($H10,OFFSET(floors!$A$1,0,0,COUNTA(floors!$A:$A),MATCH(I$1,floors!$1:$1,0)-MATCH($H$1,floors!$1:$1,0)+1),MATCH(I$1,floors!$1:$1,0)-MATCH($H$1,floors!$1:$1,0)+1,FALSE)</f>
        <v>20</v>
      </c>
      <c r="J10" s="4">
        <f ca="1">VLOOKUP($H10,OFFSET(floors!$A$1,0,0,COUNTA(floors!$A:$A),MATCH(J$1,floors!$1:$1,0)-MATCH($H$1,floors!$1:$1,0)+1),MATCH(J$1,floors!$1:$1,0)-MATCH($H$1,floors!$1:$1,0)+1,FALSE)</f>
        <v>20</v>
      </c>
      <c r="K10" s="38" t="s">
        <v>53</v>
      </c>
      <c r="L10" s="20">
        <v>220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ルキフグス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50</v>
      </c>
      <c r="S10" s="25">
        <f>120000/64944</f>
        <v>1.8477457501847745</v>
      </c>
      <c r="T10" s="107">
        <f>64944*S10</f>
        <v>120000</v>
      </c>
      <c r="U10" s="25">
        <v>0.4</v>
      </c>
      <c r="V10" s="107">
        <f>8632*U10</f>
        <v>3452.8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10" s="62">
        <v>30050010</v>
      </c>
      <c r="Z10" s="6">
        <v>1</v>
      </c>
      <c r="AA10" s="6">
        <v>100</v>
      </c>
      <c r="AB10" s="6">
        <v>0</v>
      </c>
      <c r="AC10" s="17">
        <v>1</v>
      </c>
      <c r="AD10" s="24">
        <f t="shared" si="3"/>
        <v>220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ルキフグス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0" s="7">
        <v>1</v>
      </c>
      <c r="AI10" s="24">
        <f t="shared" ca="1" si="4"/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30050_2-3/1436&lt;lv50&gt;s2</v>
      </c>
      <c r="B11" s="22">
        <v>30050</v>
      </c>
      <c r="C11" s="21">
        <v>2</v>
      </c>
      <c r="D11" s="2" t="str">
        <f t="shared" si="1"/>
        <v>30050_2</v>
      </c>
      <c r="E11" s="4" t="str">
        <f ca="1">VLOOKUP($B11,OFFSET([2]quests!$A$1,0,0,COUNTA([2]quests!$A:$A),MATCH(E$1,[2]quests!$1:$1,0)-MATCH($B$1,[2]quests!$1:$1,0)+1),MATCH(E$1,[2]quests!$1:$1,0)-MATCH($B$1,[2]quests!$1:$1,0)+1,FALSE)</f>
        <v>忍耐と服従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【上級】忍耐と服従</v>
      </c>
      <c r="G11" s="21">
        <v>3</v>
      </c>
      <c r="H11" s="15" t="str">
        <f t="shared" si="2"/>
        <v>30050_2-3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8">
        <v>1</v>
      </c>
      <c r="L11" s="20">
        <v>1436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スパルタ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hero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50</v>
      </c>
      <c r="S11" s="25">
        <f>140000/75153</f>
        <v>1.8628664191715567</v>
      </c>
      <c r="T11" s="107">
        <f>75153*S11</f>
        <v>140000</v>
      </c>
      <c r="U11" s="25">
        <v>0.35</v>
      </c>
      <c r="V11" s="107">
        <f>13682*U11</f>
        <v>4788.7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1" s="62">
        <v>30050011</v>
      </c>
      <c r="Z11" s="6">
        <v>1</v>
      </c>
      <c r="AA11" s="6">
        <v>100</v>
      </c>
      <c r="AB11" s="6">
        <v>1</v>
      </c>
      <c r="AC11" s="17">
        <v>2</v>
      </c>
      <c r="AD11" s="24">
        <f t="shared" si="3"/>
        <v>1436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スパルタ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4</v>
      </c>
      <c r="AJ11" s="8">
        <v>50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0"/>
        <v>30050_1-1/364&lt;lv41&gt;s1</v>
      </c>
      <c r="B12" s="22">
        <v>30050</v>
      </c>
      <c r="C12" s="21">
        <v>1</v>
      </c>
      <c r="D12" s="2" t="str">
        <f t="shared" si="1"/>
        <v>30050_1</v>
      </c>
      <c r="E12" s="4" t="str">
        <f ca="1">VLOOKUP($B12,OFFSET([2]quests!$A$1,0,0,COUNTA([2]quests!$A:$A),MATCH(E$1,[2]quests!$1:$1,0)-MATCH($B$1,[2]quests!$1:$1,0)+1),MATCH(E$1,[2]quests!$1:$1,0)-MATCH($B$1,[2]quests!$1:$1,0)+1,FALSE)</f>
        <v>忍耐と服従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【中級】忍耐と服従</v>
      </c>
      <c r="G12" s="21">
        <v>1</v>
      </c>
      <c r="H12" s="15" t="str">
        <f t="shared" si="2"/>
        <v>30050_1-1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364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ノエル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41</v>
      </c>
      <c r="S12" s="25">
        <v>1.2195121951219512</v>
      </c>
      <c r="T12" s="107">
        <f>S12*12300</f>
        <v>15000</v>
      </c>
      <c r="U12" s="25">
        <f>1000/5291</f>
        <v>0.189000189000189</v>
      </c>
      <c r="V12" s="107">
        <f>5291*U12</f>
        <v>1000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1ターン全ユニットの攻撃力10%DOWN</v>
      </c>
      <c r="Y12" s="62">
        <v>30050013</v>
      </c>
      <c r="Z12" s="6">
        <v>1</v>
      </c>
      <c r="AA12" s="6">
        <v>100</v>
      </c>
      <c r="AB12" s="6">
        <v>0</v>
      </c>
      <c r="AC12" s="17">
        <v>1</v>
      </c>
      <c r="AD12" s="24">
        <f t="shared" si="3"/>
        <v>364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7">
        <v>1</v>
      </c>
      <c r="AI12" s="24">
        <f t="shared" ca="1" si="4"/>
        <v>2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0"/>
        <v>30050_1-1/18&lt;lv40&gt;s1</v>
      </c>
      <c r="B13" s="22">
        <v>30050</v>
      </c>
      <c r="C13" s="21">
        <v>1</v>
      </c>
      <c r="D13" s="2" t="str">
        <f t="shared" si="1"/>
        <v>30050_1</v>
      </c>
      <c r="E13" s="4" t="str">
        <f ca="1">VLOOKUP($B13,OFFSET([2]quests!$A$1,0,0,COUNTA([2]quests!$A:$A),MATCH(E$1,[2]quests!$1:$1,0)-MATCH($B$1,[2]quests!$1:$1,0)+1),MATCH(E$1,[2]quests!$1:$1,0)-MATCH($B$1,[2]quests!$1:$1,0)+1,FALSE)</f>
        <v>忍耐と服従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【中級】忍耐と服従</v>
      </c>
      <c r="G13" s="21">
        <v>1</v>
      </c>
      <c r="H13" s="15" t="str">
        <f t="shared" si="2"/>
        <v>30050_1-1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18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戦闘案内人 リム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40</v>
      </c>
      <c r="S13" s="25">
        <v>1.7298045320878741</v>
      </c>
      <c r="T13" s="107">
        <f>S13*11562</f>
        <v>20000</v>
      </c>
      <c r="U13" s="25">
        <f>2500/5291</f>
        <v>0.4725004725004725</v>
      </c>
      <c r="V13" s="107">
        <f>5291*U13</f>
        <v>2500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13" s="62">
        <v>30050014</v>
      </c>
      <c r="Z13" s="6">
        <v>1</v>
      </c>
      <c r="AA13" s="6">
        <v>100</v>
      </c>
      <c r="AB13" s="6">
        <v>0</v>
      </c>
      <c r="AC13" s="17">
        <v>1</v>
      </c>
      <c r="AD13" s="24">
        <f t="shared" si="3"/>
        <v>18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Drop1W</v>
      </c>
      <c r="AH13" s="7">
        <v>1</v>
      </c>
      <c r="AI13" s="24">
        <f t="shared" ca="1" si="4"/>
        <v>2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0"/>
        <v>30050_1-1/364&lt;lv40&gt;s1</v>
      </c>
      <c r="B14" s="22">
        <v>30050</v>
      </c>
      <c r="C14" s="21">
        <v>1</v>
      </c>
      <c r="D14" s="2" t="str">
        <f t="shared" si="1"/>
        <v>30050_1</v>
      </c>
      <c r="E14" s="4" t="str">
        <f ca="1">VLOOKUP($B14,OFFSET([2]quests!$A$1,0,0,COUNTA([2]quests!$A:$A),MATCH(E$1,[2]quests!$1:$1,0)-MATCH($B$1,[2]quests!$1:$1,0)+1),MATCH(E$1,[2]quests!$1:$1,0)-MATCH($B$1,[2]quests!$1:$1,0)+1,FALSE)</f>
        <v>忍耐と服従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【中級】忍耐と服従</v>
      </c>
      <c r="G14" s="21">
        <v>1</v>
      </c>
      <c r="H14" s="15" t="str">
        <f t="shared" si="2"/>
        <v>30050_1-1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20">
        <v>364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ノエル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40</v>
      </c>
      <c r="S14" s="25">
        <v>1.2</v>
      </c>
      <c r="T14" s="107">
        <f>S14*12500</f>
        <v>15000</v>
      </c>
      <c r="U14" s="25">
        <f>1000/5377</f>
        <v>0.1859773107680863</v>
      </c>
      <c r="V14" s="107">
        <f>5291*U14</f>
        <v>984.00595127394456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1ターン全ユニットの回復力10%DOWN</v>
      </c>
      <c r="Y14" s="62">
        <v>30050015</v>
      </c>
      <c r="Z14" s="6">
        <v>1</v>
      </c>
      <c r="AA14" s="6">
        <v>100</v>
      </c>
      <c r="AB14" s="6">
        <v>0</v>
      </c>
      <c r="AC14" s="17">
        <v>1</v>
      </c>
      <c r="AD14" s="24">
        <f t="shared" si="3"/>
        <v>364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t="shared" ca="1" si="4"/>
        <v>2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0"/>
        <v>30050_1-2/220&lt;lv40&gt;s1</v>
      </c>
      <c r="B15" s="22">
        <v>30050</v>
      </c>
      <c r="C15" s="21">
        <v>1</v>
      </c>
      <c r="D15" s="2" t="str">
        <f t="shared" si="1"/>
        <v>30050_1</v>
      </c>
      <c r="E15" s="4" t="str">
        <f ca="1">VLOOKUP($B15,OFFSET([2]quests!$A$1,0,0,COUNTA([2]quests!$A:$A),MATCH(E$1,[2]quests!$1:$1,0)-MATCH($B$1,[2]quests!$1:$1,0)+1),MATCH(E$1,[2]quests!$1:$1,0)-MATCH($B$1,[2]quests!$1:$1,0)+1,FALSE)</f>
        <v>忍耐と服従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【中級】忍耐と服従</v>
      </c>
      <c r="G15" s="21">
        <v>2</v>
      </c>
      <c r="H15" s="15" t="str">
        <f t="shared" si="2"/>
        <v>30050_1-2</v>
      </c>
      <c r="I15" s="4">
        <f ca="1">VLOOKUP($H15,OFFSET(floors!$A$1,0,0,COUNTA(floors!$A:$A),MATCH(I$1,floors!$1:$1,0)-MATCH($H$1,floors!$1:$1,0)+1),MATCH(I$1,floors!$1:$1,0)-MATCH($H$1,floors!$1:$1,0)+1,FALSE)</f>
        <v>20</v>
      </c>
      <c r="J15" s="4">
        <f ca="1">VLOOKUP($H15,OFFSET(floors!$A$1,0,0,COUNTA(floors!$A:$A),MATCH(J$1,floors!$1:$1,0)-MATCH($H$1,floors!$1:$1,0)+1),MATCH(J$1,floors!$1:$1,0)-MATCH($H$1,floors!$1:$1,0)+1,FALSE)</f>
        <v>20</v>
      </c>
      <c r="K15" s="38" t="s">
        <v>53</v>
      </c>
      <c r="L15" s="20">
        <v>220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ルキフグス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god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40</v>
      </c>
      <c r="S15" s="25">
        <f>90000/64944</f>
        <v>1.3858093126385809</v>
      </c>
      <c r="T15" s="107">
        <f>64944*S15</f>
        <v>90000</v>
      </c>
      <c r="U15" s="25">
        <v>0.35</v>
      </c>
      <c r="V15" s="107">
        <f>8632*U15</f>
        <v>3021.2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15" s="62">
        <v>30050016</v>
      </c>
      <c r="Z15" s="6">
        <v>1</v>
      </c>
      <c r="AA15" s="6">
        <v>100</v>
      </c>
      <c r="AB15" s="6">
        <v>0</v>
      </c>
      <c r="AC15" s="17">
        <v>1</v>
      </c>
      <c r="AD15" s="24">
        <f t="shared" si="3"/>
        <v>220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ルキフグス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3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5" s="7">
        <v>1</v>
      </c>
      <c r="AI15" s="24">
        <f t="shared" ca="1" si="4"/>
        <v>3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0"/>
        <v>30050_1-3/1436&lt;lv40&gt;s2</v>
      </c>
      <c r="B16" s="22">
        <v>30050</v>
      </c>
      <c r="C16" s="21">
        <v>1</v>
      </c>
      <c r="D16" s="2" t="str">
        <f t="shared" si="1"/>
        <v>30050_1</v>
      </c>
      <c r="E16" s="4" t="str">
        <f ca="1">VLOOKUP($B16,OFFSET([2]quests!$A$1,0,0,COUNTA([2]quests!$A:$A),MATCH(E$1,[2]quests!$1:$1,0)-MATCH($B$1,[2]quests!$1:$1,0)+1),MATCH(E$1,[2]quests!$1:$1,0)-MATCH($B$1,[2]quests!$1:$1,0)+1,FALSE)</f>
        <v>忍耐と服従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【中級】忍耐と服従</v>
      </c>
      <c r="G16" s="21">
        <v>3</v>
      </c>
      <c r="H16" s="15" t="str">
        <f t="shared" si="2"/>
        <v>30050_1-3</v>
      </c>
      <c r="I16" s="4">
        <f ca="1">VLOOKUP($H16,OFFSET(floors!$A$1,0,0,COUNTA(floors!$A:$A),MATCH(I$1,floors!$1:$1,0)-MATCH($H$1,floors!$1:$1,0)+1),MATCH(I$1,floors!$1:$1,0)-MATCH($H$1,floors!$1:$1,0)+1,FALSE)</f>
        <v>30</v>
      </c>
      <c r="J16" s="4">
        <f ca="1">VLOOKUP($H16,OFFSET(floors!$A$1,0,0,COUNTA(floors!$A:$A),MATCH(J$1,floors!$1:$1,0)-MATCH($H$1,floors!$1:$1,0)+1),MATCH(J$1,floors!$1:$1,0)-MATCH($H$1,floors!$1:$1,0)+1,FALSE)</f>
        <v>30</v>
      </c>
      <c r="K16" s="38">
        <v>1</v>
      </c>
      <c r="L16" s="20">
        <v>1436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スパルタ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hero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40</v>
      </c>
      <c r="S16" s="25">
        <f>110000/75153</f>
        <v>1.4636807579205089</v>
      </c>
      <c r="T16" s="107">
        <f>75153*S16</f>
        <v>110000</v>
      </c>
      <c r="U16" s="25">
        <v>0.3</v>
      </c>
      <c r="V16" s="107">
        <f>13682*U16</f>
        <v>4104.5999999999995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6" s="62">
        <v>30050017</v>
      </c>
      <c r="Z16" s="6">
        <v>1</v>
      </c>
      <c r="AA16" s="6">
        <v>100</v>
      </c>
      <c r="AB16" s="6">
        <v>1</v>
      </c>
      <c r="AC16" s="17">
        <v>2</v>
      </c>
      <c r="AD16" s="24">
        <f t="shared" si="3"/>
        <v>1436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スパルタ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7">
        <v>1</v>
      </c>
      <c r="AI16" s="24">
        <f t="shared" ca="1" si="4"/>
        <v>4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X2" sqref="X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6" t="s">
        <v>253</v>
      </c>
      <c r="V1" s="26" t="s">
        <v>50</v>
      </c>
      <c r="W1" s="106" t="s">
        <v>254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30050_3-3/1437&lt;lv61&gt;sq1st2</v>
      </c>
      <c r="B2" s="22">
        <v>30050</v>
      </c>
      <c r="C2" s="21">
        <v>3</v>
      </c>
      <c r="D2" s="2" t="str">
        <f>B2&amp;"_"&amp;C2</f>
        <v>30050_3</v>
      </c>
      <c r="E2" s="4" t="str">
        <f ca="1">VLOOKUP($B2,OFFSET([2]quests!$A$1,0,0,COUNTA([2]quests!$A:$A),MATCH(E$1,[2]quests!$1:$1,0)-MATCH($B$1,[2]quests!$1:$1,0)+1),MATCH(E$1,[2]quests!$1:$1,0)-MATCH($B$1,[2]quests!$1:$1,0)+1,FALSE)</f>
        <v>忍耐と服従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【超級】忍耐と服従</v>
      </c>
      <c r="G2" s="21">
        <v>3</v>
      </c>
      <c r="H2" s="15" t="str">
        <f>B2&amp;"_"&amp;C2&amp;"-"&amp;G2</f>
        <v>30050_3-3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1437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暴厳の練磨師 スパルタ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hero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61</v>
      </c>
      <c r="T2" s="25">
        <f>210000/99875</f>
        <v>2.1026282853566958</v>
      </c>
      <c r="U2" s="107">
        <f>T2*99875</f>
        <v>210000</v>
      </c>
      <c r="V2" s="25">
        <v>0.7</v>
      </c>
      <c r="W2" s="107">
        <f>8807*V2</f>
        <v>6164.9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30050006</v>
      </c>
      <c r="AA2" s="7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30050_2-3/1437&lt;lv51&gt;sq1st2</v>
      </c>
      <c r="B3" s="22">
        <v>30050</v>
      </c>
      <c r="C3" s="21">
        <v>2</v>
      </c>
      <c r="D3" s="2" t="str">
        <f>B3&amp;"_"&amp;C3</f>
        <v>30050_2</v>
      </c>
      <c r="E3" s="4" t="str">
        <f ca="1">VLOOKUP($B3,OFFSET([2]quests!$A$1,0,0,COUNTA([2]quests!$A:$A),MATCH(E$1,[2]quests!$1:$1,0)-MATCH($B$1,[2]quests!$1:$1,0)+1),MATCH(E$1,[2]quests!$1:$1,0)-MATCH($B$1,[2]quests!$1:$1,0)+1,FALSE)</f>
        <v>忍耐と服従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【上級】忍耐と服従</v>
      </c>
      <c r="G3" s="21">
        <v>3</v>
      </c>
      <c r="H3" s="15" t="str">
        <f>B3&amp;"_"&amp;C3&amp;"-"&amp;G3</f>
        <v>30050_2-3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1</v>
      </c>
      <c r="L3" s="38">
        <v>2</v>
      </c>
      <c r="M3" s="20">
        <v>1437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暴厳の練磨師 スパルタ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hero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51</v>
      </c>
      <c r="T3" s="25">
        <f>170000/99875</f>
        <v>1.7021276595744681</v>
      </c>
      <c r="U3" s="107">
        <f>T3*99875</f>
        <v>170000</v>
      </c>
      <c r="V3" s="25">
        <v>0.6</v>
      </c>
      <c r="W3" s="107">
        <f>8807*V3</f>
        <v>5284.2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30050012</v>
      </c>
      <c r="AA3" s="7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30050_1-3/1437&lt;lv41&gt;sq1st2</v>
      </c>
      <c r="B4" s="22">
        <v>30050</v>
      </c>
      <c r="C4" s="21">
        <v>1</v>
      </c>
      <c r="D4" s="2" t="str">
        <f>B4&amp;"_"&amp;C4</f>
        <v>30050_1</v>
      </c>
      <c r="E4" s="4" t="str">
        <f ca="1">VLOOKUP($B4,OFFSET([2]quests!$A$1,0,0,COUNTA([2]quests!$A:$A),MATCH(E$1,[2]quests!$1:$1,0)-MATCH($B$1,[2]quests!$1:$1,0)+1),MATCH(E$1,[2]quests!$1:$1,0)-MATCH($B$1,[2]quests!$1:$1,0)+1,FALSE)</f>
        <v>忍耐と服従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【中級】忍耐と服従</v>
      </c>
      <c r="G4" s="21">
        <v>3</v>
      </c>
      <c r="H4" s="15" t="str">
        <f>B4&amp;"_"&amp;C4&amp;"-"&amp;G4</f>
        <v>30050_1-3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>
        <v>1</v>
      </c>
      <c r="L4" s="38">
        <v>2</v>
      </c>
      <c r="M4" s="20">
        <v>1437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暴厳の練磨師 スパルタ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hero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41</v>
      </c>
      <c r="T4" s="25">
        <f>140000/99875</f>
        <v>1.4017521902377972</v>
      </c>
      <c r="U4" s="107">
        <f>T4*99875</f>
        <v>140000</v>
      </c>
      <c r="V4" s="25">
        <v>0.5</v>
      </c>
      <c r="W4" s="107">
        <f>8807*V4</f>
        <v>4403.5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30050018</v>
      </c>
      <c r="AA4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62"/>
  <sheetViews>
    <sheetView showGridLines="0" workbookViewId="0">
      <pane xSplit="5" ySplit="1" topLeftCell="F35" activePane="bottomRight" state="frozen"/>
      <selection pane="topRight"/>
      <selection pane="bottomLeft"/>
      <selection pane="bottomRight" activeCell="C61" sqref="C6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30050001_30050001</v>
      </c>
      <c r="B2" s="47">
        <v>30050001</v>
      </c>
      <c r="C2" s="110">
        <v>30050001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アタックジャマー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1ターン全ユニットの攻撃力20%DOWN</v>
      </c>
      <c r="F2" s="110">
        <v>30050001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8" si="1">B3&amp;"_"&amp;C3</f>
        <v>30050002_30050002</v>
      </c>
      <c r="B3" s="47">
        <v>30050002</v>
      </c>
      <c r="C3" s="111">
        <v>30050002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倒れて！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" s="111">
        <v>30050002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30050003_30050003</v>
      </c>
      <c r="B4" s="47">
        <v>30050003</v>
      </c>
      <c r="C4" s="110">
        <v>30050003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ヒールジャマー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1ターン全ユニットの回復力20%DOWN</v>
      </c>
      <c r="F4" s="110">
        <v>30050003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30050004_30050004</v>
      </c>
      <c r="B5" s="47">
        <v>30050004</v>
      </c>
      <c r="C5" s="111">
        <v>30050004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私は、負けられないの！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" s="111">
        <v>30050004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30050004_30050005</v>
      </c>
      <c r="B6" s="47">
        <v>30050004</v>
      </c>
      <c r="C6" s="111">
        <v>30050005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パネルエンチャント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特定エリアを黄パネルに変換</v>
      </c>
      <c r="F6" s="111">
        <v>30050005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30050004_30050006</v>
      </c>
      <c r="B7" s="47">
        <v>30050004</v>
      </c>
      <c r="C7" s="111">
        <v>30050006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いい加減に落ちなさい！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111">
        <v>30050006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30050004_30050007</v>
      </c>
      <c r="B8" s="47">
        <v>30050004</v>
      </c>
      <c r="C8" s="111">
        <v>30050007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パネルエンチャント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特定エリアをハートパネルに変換</v>
      </c>
      <c r="F8" s="111">
        <v>30050007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30050005_30050008</v>
      </c>
      <c r="B9" s="47">
        <v>30050005</v>
      </c>
      <c r="C9" s="110">
        <v>30050008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まったく使えないわね！_x000D_ワタシ自らが相手になってあげるわ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" s="110">
        <v>30050008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30050005_30050011</v>
      </c>
      <c r="B10" s="47">
        <v>30050005</v>
      </c>
      <c r="C10" s="110">
        <v>30050011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こんなのはどうかしら？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特定エリアを赤パネルに変換+_x000D_単体攻撃</v>
      </c>
      <c r="F10" s="110">
        <v>30050011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30050005_30050012</v>
      </c>
      <c r="B11" s="47">
        <v>30050005</v>
      </c>
      <c r="C11" s="110">
        <v>30050012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フフッ、大変ねぇ…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2ターン全ユニットの攻撃力20%DOWN+_x000D_単体攻撃</v>
      </c>
      <c r="F11" s="110">
        <v>30050012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30050005_30050013</v>
      </c>
      <c r="B12" s="47">
        <v>30050005</v>
      </c>
      <c r="C12" s="110">
        <v>30050013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どう？苦しい！？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2ターン全ユニットの回復力20%DOWN+_x000D_単体攻撃</v>
      </c>
      <c r="F12" s="110">
        <v>30050013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30050005_30050014</v>
      </c>
      <c r="B13" s="47">
        <v>30050005</v>
      </c>
      <c r="C13" s="110">
        <v>30050014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まだまだ！これからよ！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13" s="110">
        <v>30050014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30050005_30050015</v>
      </c>
      <c r="B14" s="47">
        <v>30050005</v>
      </c>
      <c r="C14" s="110">
        <v>30050015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クイーンズウィップ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4" s="110">
        <v>30050015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30050006_30050016</v>
      </c>
      <c r="B15" s="47">
        <v>30050006</v>
      </c>
      <c r="C15" s="111">
        <v>30050016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やるわね…いいわ！_x000D_本気を出してあげる！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111">
        <v>30050016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30050006_30050017</v>
      </c>
      <c r="B16" s="47">
        <v>30050006</v>
      </c>
      <c r="C16" s="111">
        <v>30050017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フフッ、大変ねぇ…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3ターン全ユニットの攻撃力30%DOWN+_x000D_単体攻撃</v>
      </c>
      <c r="F16" s="111">
        <v>30050017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30050006_30050018</v>
      </c>
      <c r="B17" s="47">
        <v>30050006</v>
      </c>
      <c r="C17" s="111">
        <v>30050018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どう？苦しい！？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3ターン全ユニットの回復力30%DOWN+_x000D_単体攻撃</v>
      </c>
      <c r="F17" s="111">
        <v>30050018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30050006_30050019</v>
      </c>
      <c r="B18" s="47">
        <v>30050006</v>
      </c>
      <c r="C18" s="111">
        <v>30050019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楽しませてくれるわね！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赤・青パネルを吸収して全体攻撃</v>
      </c>
      <c r="F18" s="111">
        <v>30050019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2">B19&amp;"_"&amp;C19</f>
        <v>30050006_30050020</v>
      </c>
      <c r="B19" s="47">
        <v>30050006</v>
      </c>
      <c r="C19" s="111">
        <v>30050020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いい気にならないで！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特定エリアを_x000D_赤・青の時限式ダメージパネルに変換</v>
      </c>
      <c r="F19" s="111">
        <v>30050020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:A21" si="3">B20&amp;"_"&amp;C20</f>
        <v>30050006_30050021</v>
      </c>
      <c r="B20" s="47">
        <v>30050006</v>
      </c>
      <c r="C20" s="111">
        <v>30050021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クイーンズビュート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0" s="111">
        <v>30050021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30050006_30050022</v>
      </c>
      <c r="B21" s="47">
        <v>30050006</v>
      </c>
      <c r="C21" s="111">
        <v>30050022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このワタシが…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覚えてなさいよ！！</v>
      </c>
      <c r="F21" s="111">
        <v>30050022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:A41" si="4">B22&amp;"_"&amp;C22</f>
        <v>30050007_30050025</v>
      </c>
      <c r="B22" s="47">
        <v>30050007</v>
      </c>
      <c r="C22" s="114">
        <v>30050025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アタックジャマー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1ターン全ユニットの攻撃力20%DOWN</v>
      </c>
      <c r="F22" s="110">
        <v>30050001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4"/>
        <v>30050008_30050026</v>
      </c>
      <c r="B23" s="47">
        <v>30050008</v>
      </c>
      <c r="C23" s="115">
        <v>30050026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倒れて！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3" s="111">
        <v>30050002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4"/>
        <v>30050009_30050027</v>
      </c>
      <c r="B24" s="47">
        <v>30050009</v>
      </c>
      <c r="C24" s="114">
        <v>30050027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ヒールジャマー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1ターン全ユニットの回復力10%DOWN</v>
      </c>
      <c r="F24" s="110">
        <v>30050003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30050010_30050028</v>
      </c>
      <c r="B25" s="47">
        <v>30050010</v>
      </c>
      <c r="C25" s="115">
        <v>30050028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私は、負けられないの！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5" s="111">
        <v>30050004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30050010_30050029</v>
      </c>
      <c r="B26" s="47">
        <v>30050010</v>
      </c>
      <c r="C26" s="115">
        <v>30050029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パネルエンチャント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特定エリアを黄パネルに変換</v>
      </c>
      <c r="F26" s="111">
        <v>30050005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4"/>
        <v>30050010_30050030</v>
      </c>
      <c r="B27" s="47">
        <v>30050010</v>
      </c>
      <c r="C27" s="115">
        <v>30050030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いい加減に落ちなさい！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" s="111">
        <v>30050006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4"/>
        <v>30050010_30050031</v>
      </c>
      <c r="B28" s="47">
        <v>30050010</v>
      </c>
      <c r="C28" s="115">
        <v>30050031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パネルエンチャント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特定エリアをハートパネルに変換</v>
      </c>
      <c r="F28" s="111">
        <v>30050007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30050011_30050032</v>
      </c>
      <c r="B29" s="47">
        <v>30050011</v>
      </c>
      <c r="C29" s="114">
        <v>30050032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まったく使えないわね！_x000D_ワタシ自らが相手になってあげるわ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110">
        <v>30050008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30050011_30050035</v>
      </c>
      <c r="B30" s="47">
        <v>30050011</v>
      </c>
      <c r="C30" s="114">
        <v>30050035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こんなのはどうかしら？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特定エリアを赤パネルに変換+_x000D_単体攻撃</v>
      </c>
      <c r="F30" s="110">
        <v>30050011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4"/>
        <v>30050011_30050036</v>
      </c>
      <c r="B31" s="47">
        <v>30050011</v>
      </c>
      <c r="C31" s="114">
        <v>30050036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フフッ、大変ねぇ…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2ターン全ユニットの攻撃力10%DOWN+_x000D_単体攻撃</v>
      </c>
      <c r="F31" s="110">
        <v>30050012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4"/>
        <v>30050011_30050037</v>
      </c>
      <c r="B32" s="47">
        <v>30050011</v>
      </c>
      <c r="C32" s="114">
        <v>30050037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どう？苦しい！？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2ターン全ユニットの回復力10%DOWN+_x000D_単体攻撃</v>
      </c>
      <c r="F32" s="110">
        <v>30050013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4"/>
        <v>30050011_30050038</v>
      </c>
      <c r="B33" s="47">
        <v>30050011</v>
      </c>
      <c r="C33" s="114">
        <v>30050038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まだまだ！これからよ！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33" s="110">
        <v>30050014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30050011_30050039</v>
      </c>
      <c r="B34" s="47">
        <v>30050011</v>
      </c>
      <c r="C34" s="114">
        <v>30050039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クイーンズウィップ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4" s="110">
        <v>30050015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30050012_30050040</v>
      </c>
      <c r="B35" s="47">
        <v>30050012</v>
      </c>
      <c r="C35" s="115">
        <v>30050040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やるわね…いいわ_x000D_本気を出してあげるわ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5" s="111">
        <v>30050016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4"/>
        <v>30050012_30050041</v>
      </c>
      <c r="B36" s="47">
        <v>30050012</v>
      </c>
      <c r="C36" s="115">
        <v>30050041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フフッ、大変ねぇ…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3ターン全ユニットの攻撃力10%DOWN+_x000D_単体攻撃</v>
      </c>
      <c r="F36" s="111">
        <v>30050017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4"/>
        <v>30050012_30050042</v>
      </c>
      <c r="B37" s="47">
        <v>30050012</v>
      </c>
      <c r="C37" s="115">
        <v>30050042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どう？苦しい！？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3ターン全ユニットの回復力10%DOWN+_x000D_単体攻撃</v>
      </c>
      <c r="F37" s="111">
        <v>30050018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4"/>
        <v>30050012_30050043</v>
      </c>
      <c r="B38" s="47">
        <v>30050012</v>
      </c>
      <c r="C38" s="115">
        <v>30050043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楽しませてくれるわね！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赤・青パネルを吸収して全体攻撃</v>
      </c>
      <c r="F38" s="111">
        <v>30050019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30050012_30050044</v>
      </c>
      <c r="B39" s="47">
        <v>30050012</v>
      </c>
      <c r="C39" s="115">
        <v>30050044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いい気にならないで！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特定エリアを_x000D_赤・青の時限式ダメージパネルに変換</v>
      </c>
      <c r="F39" s="111">
        <v>30050020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30050012_30050045</v>
      </c>
      <c r="B40" s="47">
        <v>30050012</v>
      </c>
      <c r="C40" s="115">
        <v>30050045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クイーンズビュート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0" s="111">
        <v>30050021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4"/>
        <v>30050012_30050046</v>
      </c>
      <c r="B41" s="47">
        <v>30050012</v>
      </c>
      <c r="C41" s="115">
        <v>30050046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このワタシが…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覚えてなさいよ！！</v>
      </c>
      <c r="F41" s="111">
        <v>30050022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:A61" si="5">B42&amp;"_"&amp;C42</f>
        <v>30050013_30050049</v>
      </c>
      <c r="B42" s="47">
        <v>30050013</v>
      </c>
      <c r="C42" s="119">
        <v>30050049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アタックジャマー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1ターン全ユニットの攻撃力10%DOWN</v>
      </c>
      <c r="F42" s="110">
        <v>30050001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30050014_30050050</v>
      </c>
      <c r="B43" s="47">
        <v>30050014</v>
      </c>
      <c r="C43" s="120">
        <v>30050050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倒れて！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3" s="111">
        <v>30050002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5"/>
        <v>30050015_30050051</v>
      </c>
      <c r="B44" s="47">
        <v>30050015</v>
      </c>
      <c r="C44" s="119">
        <v>30050051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ヒールジャマー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1ターン全ユニットの回復力10%DOWN</v>
      </c>
      <c r="F44" s="110">
        <v>30050003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30050016_30050052</v>
      </c>
      <c r="B45" s="47">
        <v>30050016</v>
      </c>
      <c r="C45" s="120">
        <v>30050052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私は、負けられないの！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5" s="111">
        <v>30050004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30050016_30050053</v>
      </c>
      <c r="B46" s="47">
        <v>30050016</v>
      </c>
      <c r="C46" s="120">
        <v>30050053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パネルエンチャント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特定エリアを黄パネルに変換</v>
      </c>
      <c r="F46" s="111">
        <v>30050005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30050016_30050054</v>
      </c>
      <c r="B47" s="47">
        <v>30050016</v>
      </c>
      <c r="C47" s="120">
        <v>30050054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いい加減に落ちなさい！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7" s="111">
        <v>30050006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5"/>
        <v>30050016_30050055</v>
      </c>
      <c r="B48" s="47">
        <v>30050016</v>
      </c>
      <c r="C48" s="120">
        <v>30050055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パネルエンチャント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特定エリアをハートパネルに変換</v>
      </c>
      <c r="F48" s="111">
        <v>30050007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9" ht="21" customHeight="1" x14ac:dyDescent="0.15">
      <c r="A49" s="39" t="str">
        <f t="shared" si="5"/>
        <v>30050017_30050056</v>
      </c>
      <c r="B49" s="47">
        <v>30050017</v>
      </c>
      <c r="C49" s="119">
        <v>30050056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まったく使えないわね！_x000D_ワタシ自らが相手になってあげるわ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9" s="110">
        <v>30050008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9" ht="21" customHeight="1" x14ac:dyDescent="0.15">
      <c r="A50" s="39" t="str">
        <f t="shared" si="5"/>
        <v>30050017_30050059</v>
      </c>
      <c r="B50" s="47">
        <v>30050017</v>
      </c>
      <c r="C50" s="119">
        <v>30050059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こんなのはどうかしら？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特定エリアを赤パネルに変換+_x000D_単体攻撃</v>
      </c>
      <c r="F50" s="110">
        <v>30050011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9" ht="21" customHeight="1" x14ac:dyDescent="0.15">
      <c r="A51" s="39" t="str">
        <f t="shared" si="5"/>
        <v>30050017_30050060</v>
      </c>
      <c r="B51" s="47">
        <v>30050017</v>
      </c>
      <c r="C51" s="119">
        <v>30050060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フフッ、大変ねぇ…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1ターン全ユニットの攻撃力10%DOWN+_x000D_単体攻撃</v>
      </c>
      <c r="F51" s="110">
        <v>30050012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9" ht="21" customHeight="1" x14ac:dyDescent="0.15">
      <c r="A52" s="39" t="str">
        <f t="shared" si="5"/>
        <v>30050017_30050061</v>
      </c>
      <c r="B52" s="47">
        <v>30050017</v>
      </c>
      <c r="C52" s="119">
        <v>30050061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どう？苦しい！？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1ターン全ユニットの回復力10%DOWN+_x000D_単体攻撃</v>
      </c>
      <c r="F52" s="110">
        <v>30050013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9" ht="21" customHeight="1" x14ac:dyDescent="0.15">
      <c r="A53" s="39" t="str">
        <f t="shared" si="5"/>
        <v>30050017_30050062</v>
      </c>
      <c r="B53" s="47">
        <v>30050017</v>
      </c>
      <c r="C53" s="119">
        <v>30050062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まだまだ！これからよ！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53" s="110">
        <v>30050014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9" ht="21" customHeight="1" x14ac:dyDescent="0.15">
      <c r="A54" s="39" t="str">
        <f t="shared" si="5"/>
        <v>30050017_30050063</v>
      </c>
      <c r="B54" s="47">
        <v>30050017</v>
      </c>
      <c r="C54" s="119">
        <v>30050063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クイーンズウィップ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4" s="110">
        <v>30050015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9" ht="21" customHeight="1" x14ac:dyDescent="0.15">
      <c r="A55" s="39" t="str">
        <f t="shared" si="5"/>
        <v>30050018_30050064</v>
      </c>
      <c r="B55" s="47">
        <v>30050018</v>
      </c>
      <c r="C55" s="120">
        <v>30050064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やるわね…いいわ_x000D_本気を出してあげるわ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5" s="111">
        <v>30050016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9" ht="19" customHeight="1" x14ac:dyDescent="0.15">
      <c r="A56" s="39" t="str">
        <f t="shared" si="5"/>
        <v>30050018_30050065</v>
      </c>
      <c r="B56" s="47">
        <v>30050018</v>
      </c>
      <c r="C56" s="120">
        <v>30050065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フフッ、大変ねぇ…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2ターン全ユニットの攻撃力10%DOWN+_x000D_単体攻撃</v>
      </c>
      <c r="F56" s="111">
        <v>30050017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9" ht="21" customHeight="1" x14ac:dyDescent="0.15">
      <c r="A57" s="39" t="str">
        <f t="shared" si="5"/>
        <v>30050018_30050066</v>
      </c>
      <c r="B57" s="47">
        <v>30050018</v>
      </c>
      <c r="C57" s="120">
        <v>30050066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どう？苦しい！？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2ターン全ユニットの回復力10%DOWN+_x000D_単体攻撃</v>
      </c>
      <c r="F57" s="111">
        <v>30050018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9" ht="21" customHeight="1" x14ac:dyDescent="0.15">
      <c r="A58" s="39" t="str">
        <f t="shared" si="5"/>
        <v>30050018_30050067</v>
      </c>
      <c r="B58" s="47">
        <v>30050018</v>
      </c>
      <c r="C58" s="120">
        <v>30050067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楽しませてくれるわね！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赤・青パネルを吸収して全体攻撃</v>
      </c>
      <c r="F58" s="111">
        <v>30050019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  <c r="S58" s="116"/>
    </row>
    <row r="59" spans="1:19" ht="21" customHeight="1" x14ac:dyDescent="0.15">
      <c r="A59" s="39" t="str">
        <f t="shared" si="5"/>
        <v>30050018_30050068</v>
      </c>
      <c r="B59" s="47">
        <v>30050018</v>
      </c>
      <c r="C59" s="120">
        <v>30050068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いい気にならないで！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特定エリアを_x000D_赤・青の時限式ダメージパネルに変換</v>
      </c>
      <c r="F59" s="111">
        <v>30050020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  <c r="S59" s="116"/>
    </row>
    <row r="60" spans="1:19" ht="21" customHeight="1" x14ac:dyDescent="0.15">
      <c r="A60" s="39" t="str">
        <f t="shared" si="5"/>
        <v>30050018_30050069</v>
      </c>
      <c r="B60" s="47">
        <v>30050018</v>
      </c>
      <c r="C60" s="120">
        <v>30050069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クイーンズビュート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60" s="111">
        <v>30050021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  <c r="S60" s="116"/>
    </row>
    <row r="61" spans="1:19" ht="21" customHeight="1" x14ac:dyDescent="0.15">
      <c r="A61" s="39" t="str">
        <f t="shared" si="5"/>
        <v>30050018_30050070</v>
      </c>
      <c r="B61" s="47">
        <v>30050018</v>
      </c>
      <c r="C61" s="120">
        <v>30050070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このワタシが…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覚えてなさいよ！！</v>
      </c>
      <c r="F61" s="111">
        <v>30050022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  <c r="S61" s="116"/>
    </row>
    <row r="62" spans="1:19" ht="21" customHeight="1" x14ac:dyDescent="0.15">
      <c r="A62" s="11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6"/>
      <c r="Q62" s="116"/>
      <c r="R62" s="116"/>
      <c r="S62" s="11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1"/>
  <sheetViews>
    <sheetView showGridLines="0" workbookViewId="0">
      <pane ySplit="1" topLeftCell="A19" activePane="bottomLeft" state="frozenSplit"/>
      <selection pane="bottomLeft" activeCell="B58" sqref="B5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58" style="49" customWidth="1"/>
    <col min="3" max="4" width="12.83203125" style="49"/>
    <col min="5" max="5" width="30.5" style="49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10">
        <v>30050001</v>
      </c>
      <c r="B2" s="109" t="s">
        <v>322</v>
      </c>
      <c r="C2" s="50">
        <v>3</v>
      </c>
      <c r="D2" s="50" t="s">
        <v>128</v>
      </c>
      <c r="E2" s="51" t="s">
        <v>271</v>
      </c>
      <c r="F2" s="51" t="s">
        <v>299</v>
      </c>
      <c r="G2" s="64" t="str">
        <f t="shared" ref="G2:G20" si="0">IFERROR(LEFT(B2,FIND("],",B2)),B2)</f>
        <v>[effect:enemy_message, val1:1.2, val2:2.0]</v>
      </c>
      <c r="H2" s="64">
        <f t="shared" ref="H2:H20" si="1">FIND("effect:",G2)+7</f>
        <v>9</v>
      </c>
      <c r="I2" s="64">
        <f t="shared" ref="I2:I20" si="2">IFERROR(FIND(",",G2),LEN(G2))</f>
        <v>22</v>
      </c>
      <c r="J2" s="64" t="e">
        <f t="shared" ref="J2:J20" si="3">FIND("target:",G2)+7</f>
        <v>#VALUE!</v>
      </c>
      <c r="K2" s="64">
        <f t="shared" ref="K2:K20" si="4"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20" si="5">IFERROR(RIGHT(B2,LEN(B2)-FIND("],",B2)-1),"none")</f>
        <v xml:space="preserve">[effect:attack_break, target:unit_all, turn:1, val:0.2, calc:mul, animation:attack_break01]    </v>
      </c>
      <c r="N2" s="48" t="str">
        <f>IFERROR(LEFT(M2,FIND("],",M2)+S12),M2)</f>
        <v xml:space="preserve">[effect:attack_break, target:unit_all, turn:1, val:0.2, calc:mul, animation:attack_break01]    </v>
      </c>
      <c r="O2" s="64">
        <f t="shared" ref="O2:O20" si="6">FIND("effect:",N2)+7</f>
        <v>9</v>
      </c>
      <c r="P2" s="64">
        <f t="shared" ref="P2:P20" si="7">IFERROR(FIND(",",N2),LEN(N2))</f>
        <v>21</v>
      </c>
      <c r="Q2" s="64">
        <f t="shared" ref="Q2:Q20" si="8">FIND("target:",N2)+7</f>
        <v>30</v>
      </c>
      <c r="R2" s="64">
        <f t="shared" ref="R2:R20" si="9">FIND(",",N2,P2+1)</f>
        <v>38</v>
      </c>
      <c r="S2" s="64" t="str">
        <f>IFERROR(VLOOKUP(MID(N2,Q2,R2-Q2),[6]skilldef!$C:$D,2,FALSE),"-") &amp; " / " &amp; IFERROR(VLOOKUP(MID(N2,O2,P2-O2),[6]skilldef!$A:$B,2,FALSE),"-")</f>
        <v>味方全体に / -</v>
      </c>
      <c r="T2" s="48" t="str">
        <f t="shared" ref="T2:T20" si="10">IFERROR(RIGHT(M2,LEN(M2)-FIND("],",M2)-1),"none")</f>
        <v>none</v>
      </c>
      <c r="U2" s="64" t="e">
        <f t="shared" ref="U2:U20" si="11">FIND("effect:",T2)+7</f>
        <v>#VALUE!</v>
      </c>
      <c r="V2" s="64">
        <f t="shared" ref="V2:V20" si="12">IFERROR(FIND(",",T2),LEN(T2))</f>
        <v>4</v>
      </c>
      <c r="W2" s="64" t="e">
        <f t="shared" ref="W2:W20" si="13">FIND("target:",T2)+7</f>
        <v>#VALUE!</v>
      </c>
      <c r="X2" s="64" t="e">
        <f t="shared" ref="X2:X20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11">
        <v>30050002</v>
      </c>
      <c r="B3" s="109" t="s">
        <v>274</v>
      </c>
      <c r="C3" s="50">
        <v>3</v>
      </c>
      <c r="D3" s="50" t="s">
        <v>128</v>
      </c>
      <c r="E3" s="51" t="s">
        <v>287</v>
      </c>
      <c r="F3" s="51" t="s">
        <v>262</v>
      </c>
      <c r="G3" s="64" t="str">
        <f t="shared" si="0"/>
        <v>[effect:enemy_message, val1:1.2, val2:1.2]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si="5"/>
        <v xml:space="preserve">[effect:rush, count:2, val:0.3] </v>
      </c>
      <c r="N3" s="48" t="str">
        <f>IFERROR(LEFT(M3,FIND("],",M3)+S13),M3)</f>
        <v xml:space="preserve">[effect:rush, count:2, val:0.3] </v>
      </c>
      <c r="O3" s="64">
        <f t="shared" si="6"/>
        <v>9</v>
      </c>
      <c r="P3" s="64">
        <f t="shared" si="7"/>
        <v>13</v>
      </c>
      <c r="Q3" s="64" t="e">
        <f t="shared" si="8"/>
        <v>#VALUE!</v>
      </c>
      <c r="R3" s="64">
        <f t="shared" si="9"/>
        <v>22</v>
      </c>
      <c r="S3" s="64" t="str">
        <f>IFERROR(VLOOKUP(MID(N3,Q3,R3-Q3),[6]skilldef!$C:$D,2,FALSE),"-") &amp; " / " &amp; IFERROR(VLOOKUP(MID(N3,O3,P3-O3),[6]skilldef!$A:$B,2,FALSE),"-")</f>
        <v>- / 連続攻撃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110">
        <v>30050003</v>
      </c>
      <c r="B4" s="109" t="s">
        <v>323</v>
      </c>
      <c r="C4" s="50">
        <v>3</v>
      </c>
      <c r="D4" s="50" t="s">
        <v>128</v>
      </c>
      <c r="E4" s="51" t="s">
        <v>272</v>
      </c>
      <c r="F4" s="51" t="s">
        <v>300</v>
      </c>
      <c r="G4" s="64" t="str">
        <f t="shared" si="0"/>
        <v>[effect:enemy_message, val1:1.2, val2:2.0]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 xml:space="preserve">[effect:degrade_unit, target:unit_all, turn:1, status:heal, val:0.2, calc:mul, animation:degrade_unit_all_heal]    </v>
      </c>
      <c r="N4" s="48" t="str">
        <f>IFERROR(LEFT(M4,FIND("],",M4)+S14),M4)</f>
        <v xml:space="preserve">[effect:degrade_unit, target:unit_all, turn:1, status:heal, val:0.2, calc:mul, animation:degrade_unit_all_heal]    </v>
      </c>
      <c r="O4" s="64">
        <f t="shared" si="6"/>
        <v>9</v>
      </c>
      <c r="P4" s="64">
        <f t="shared" si="7"/>
        <v>21</v>
      </c>
      <c r="Q4" s="64">
        <f t="shared" si="8"/>
        <v>30</v>
      </c>
      <c r="R4" s="64">
        <f t="shared" si="9"/>
        <v>38</v>
      </c>
      <c r="S4" s="64" t="str">
        <f>IFERROR(VLOOKUP(MID(N4,Q4,R4-Q4),[6]skilldef!$C:$D,2,FALSE),"-") &amp; " / " &amp; IFERROR(VLOOKUP(MID(N4,O4,P4-O4),[6]skilldef!$A:$B,2,FALSE),"-")</f>
        <v>味方全体に / ステータスDOWN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111">
        <v>30050004</v>
      </c>
      <c r="B5" s="109" t="s">
        <v>355</v>
      </c>
      <c r="C5" s="50">
        <v>3</v>
      </c>
      <c r="D5" s="50" t="s">
        <v>128</v>
      </c>
      <c r="E5" s="51" t="s">
        <v>318</v>
      </c>
      <c r="F5" s="51" t="s">
        <v>263</v>
      </c>
      <c r="G5" s="64" t="str">
        <f t="shared" si="0"/>
        <v>[effect:enemy_message, val1:1.2, val2:1.2]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 xml:space="preserve">[effect:rush, count:3, val:0.75]    </v>
      </c>
      <c r="N5" s="48" t="str">
        <f>IFERROR(LEFT(M5,FIND("],",M5)+S15),M5)</f>
        <v xml:space="preserve">[effect:rush, count:3, val:0.75]    </v>
      </c>
      <c r="O5" s="64">
        <f t="shared" si="6"/>
        <v>9</v>
      </c>
      <c r="P5" s="64">
        <f t="shared" si="7"/>
        <v>13</v>
      </c>
      <c r="Q5" s="64" t="e">
        <f t="shared" si="8"/>
        <v>#VALUE!</v>
      </c>
      <c r="R5" s="64">
        <f t="shared" si="9"/>
        <v>22</v>
      </c>
      <c r="S5" s="64" t="str">
        <f>IFERROR(VLOOKUP(MID(N5,Q5,R5-Q5),[6]skilldef!$C:$D,2,FALSE),"-") &amp; " / " &amp; IFERROR(VLOOKUP(MID(N5,O5,P5-O5),[6]skilldef!$A:$B,2,FALSE),"-")</f>
        <v>- / 連続攻撃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11">
        <v>30050005</v>
      </c>
      <c r="B6" s="109" t="s">
        <v>324</v>
      </c>
      <c r="C6" s="50">
        <v>3</v>
      </c>
      <c r="D6" s="50" t="s">
        <v>128</v>
      </c>
      <c r="E6" s="51" t="s">
        <v>273</v>
      </c>
      <c r="F6" s="112" t="s">
        <v>301</v>
      </c>
      <c r="G6" s="64" t="str">
        <f t="shared" si="0"/>
        <v>[effect:enemy_message, val1:1.2, val2:1.3]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32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>[effect:change_range_block,block_change:1,base_type:0, square_count:3, position01:4, value_h01:1, value_w01:1,new_block:block_yellow, target:block_all, count:0, val:0,animation:change_range_block]</v>
      </c>
      <c r="N6" s="48" t="str">
        <f>IFERROR(LEFT(M6,FIND("],",M6)+#REF!),M6)</f>
        <v>[effect:change_range_block,block_change:1,base_type:0, square_count:3, position01:4, value_h01:1, value_w01:1,new_block:block_yellow, target:block_all, count:0, val:0,animation:change_range_block]</v>
      </c>
      <c r="O6" s="64">
        <f t="shared" si="6"/>
        <v>9</v>
      </c>
      <c r="P6" s="64">
        <f t="shared" si="7"/>
        <v>27</v>
      </c>
      <c r="Q6" s="64">
        <f t="shared" si="8"/>
        <v>142</v>
      </c>
      <c r="R6" s="64">
        <f t="shared" si="9"/>
        <v>42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11">
        <v>30050006</v>
      </c>
      <c r="B7" s="109" t="s">
        <v>277</v>
      </c>
      <c r="C7" s="50">
        <v>3</v>
      </c>
      <c r="D7" s="50" t="s">
        <v>128</v>
      </c>
      <c r="E7" s="51" t="s">
        <v>288</v>
      </c>
      <c r="F7" s="51" t="s">
        <v>258</v>
      </c>
      <c r="G7" s="64" t="str">
        <f t="shared" si="0"/>
        <v>[effect:enemy_message, val1:1.2, val2:1.2]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[effect:spread, val:0.65]</v>
      </c>
      <c r="N7" s="48" t="str">
        <f>IFERROR(LEFT(M7,FIND("],",M7)+S16),M7)</f>
        <v>[effect:spread, val:0.65]</v>
      </c>
      <c r="O7" s="64">
        <f t="shared" si="6"/>
        <v>9</v>
      </c>
      <c r="P7" s="64">
        <f t="shared" si="7"/>
        <v>15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IFERROR(VLOOKUP(MID(N7,Q7,R7-Q7),[6]skilldef!$C:$D,2,FALSE),"-") &amp; " / " &amp; IFERROR(VLOOKUP(MID(N7,O7,P7-O7),[6]skilldef!$A:$B,2,FALSE),"-")</f>
        <v>- / 全体攻撃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11">
        <v>30050007</v>
      </c>
      <c r="B8" s="109" t="s">
        <v>320</v>
      </c>
      <c r="C8" s="50">
        <v>3</v>
      </c>
      <c r="D8" s="50" t="s">
        <v>128</v>
      </c>
      <c r="E8" s="51" t="s">
        <v>273</v>
      </c>
      <c r="F8" s="112" t="s">
        <v>302</v>
      </c>
      <c r="G8" s="64" t="str">
        <f t="shared" si="0"/>
        <v>[effect:enemy_message, val1:1.2, val2:1.5]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32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>[effect:change_range_block,block_change:1,base_type:0, square_count:3, position01:4, value_h01:1, value_w01:1,new_block:block_heart, target:block_all, count:0, val:0,animation:change_range_block]</v>
      </c>
      <c r="N8" s="48" t="str">
        <f>IFERROR(LEFT(M8,FIND("],",M8)+S17),M8)</f>
        <v>[effect:change_range_block,block_change:1,base_type:0, square_count:3, position01:4, value_h01:1, value_w01:1,new_block:block_heart, target:block_all, count:0, val:0,animation:change_range_block]</v>
      </c>
      <c r="O8" s="64">
        <f t="shared" si="6"/>
        <v>9</v>
      </c>
      <c r="P8" s="64">
        <f t="shared" si="7"/>
        <v>27</v>
      </c>
      <c r="Q8" s="64">
        <f t="shared" si="8"/>
        <v>141</v>
      </c>
      <c r="R8" s="64">
        <f t="shared" si="9"/>
        <v>42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36" customHeight="1" x14ac:dyDescent="0.15">
      <c r="A9" s="110">
        <v>30050008</v>
      </c>
      <c r="B9" s="109" t="s">
        <v>319</v>
      </c>
      <c r="C9" s="50">
        <v>3</v>
      </c>
      <c r="D9" s="50" t="s">
        <v>128</v>
      </c>
      <c r="E9" s="51" t="s">
        <v>349</v>
      </c>
      <c r="F9" s="51" t="s">
        <v>259</v>
      </c>
      <c r="G9" s="64" t="str">
        <f t="shared" si="0"/>
        <v>[effect:enemy_message, val1:2.7, val2:1.2]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32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si="5"/>
        <v xml:space="preserve">[effect:tolerance, target:myself, turn:-1, count:-1, tolerance_effect:all, animation:enemy_tolerance]    </v>
      </c>
      <c r="N9" s="48" t="str">
        <f>IFERROR(LEFT(M9,FIND("],",M9)+S18),M9)</f>
        <v xml:space="preserve">[effect:tolerance, target:myself, turn:-1, count:-1, tolerance_effect:all, animation:enemy_tolerance]    </v>
      </c>
      <c r="O9" s="64">
        <f t="shared" si="6"/>
        <v>9</v>
      </c>
      <c r="P9" s="64">
        <f t="shared" si="7"/>
        <v>18</v>
      </c>
      <c r="Q9" s="64">
        <f t="shared" si="8"/>
        <v>27</v>
      </c>
      <c r="R9" s="64">
        <f t="shared" si="9"/>
        <v>33</v>
      </c>
      <c r="S9" s="64" t="str">
        <f>IFERROR(VLOOKUP(MID(N9,Q9,R9-Q9),[6]skilldef!$C:$D,2,FALSE),"-") &amp; " / " &amp; IFERROR(VLOOKUP(MID(N9,O9,P9-O9),[6]skilldef!$A:$B,2,FALSE),"-")</f>
        <v>自分自身に / 状態異常耐性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110">
        <v>30050011</v>
      </c>
      <c r="B10" s="109" t="s">
        <v>325</v>
      </c>
      <c r="C10" s="50">
        <v>3</v>
      </c>
      <c r="D10" s="50" t="s">
        <v>128</v>
      </c>
      <c r="E10" s="51" t="s">
        <v>270</v>
      </c>
      <c r="F10" s="51" t="s">
        <v>309</v>
      </c>
      <c r="G10" s="64" t="str">
        <f t="shared" si="0"/>
        <v>[effect:enemy_message, val1:1.2, val2:1.8]</v>
      </c>
      <c r="H10" s="64">
        <f t="shared" si="1"/>
        <v>9</v>
      </c>
      <c r="I10" s="64">
        <f t="shared" si="2"/>
        <v>22</v>
      </c>
      <c r="J10" s="64" t="e">
        <f t="shared" si="3"/>
        <v>#VALUE!</v>
      </c>
      <c r="K10" s="64">
        <f t="shared" si="4"/>
        <v>32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si="5"/>
        <v>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val:0.8]</v>
      </c>
      <c r="N10" s="48" t="str">
        <f t="shared" ref="N10:N11" si="15">IFERROR(LEFT(M10,FIND("],",M10)+S20),M10)</f>
        <v>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val:0.8]</v>
      </c>
      <c r="O10" s="64">
        <f t="shared" si="6"/>
        <v>9</v>
      </c>
      <c r="P10" s="64">
        <f t="shared" si="7"/>
        <v>27</v>
      </c>
      <c r="Q10" s="64">
        <f t="shared" si="8"/>
        <v>422</v>
      </c>
      <c r="R10" s="64">
        <f t="shared" si="9"/>
        <v>42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[effect:rush, count:1, val:0.8]</v>
      </c>
      <c r="U10" s="64">
        <f t="shared" si="11"/>
        <v>9</v>
      </c>
      <c r="V10" s="64">
        <f t="shared" si="12"/>
        <v>13</v>
      </c>
      <c r="W10" s="64" t="e">
        <f t="shared" si="13"/>
        <v>#VALUE!</v>
      </c>
      <c r="X10" s="64">
        <f t="shared" si="14"/>
        <v>22</v>
      </c>
      <c r="Y10" s="64" t="str">
        <f>IFERROR(VLOOKUP(MID(T10,W10,X10-W10),[6]skilldef!$C:$D,2,FALSE),"-") &amp; " / " &amp; IFERROR(VLOOKUP(MID(T10,U10,V10-U10),[6]skilldef!$A:$B,2,FALSE),"-")</f>
        <v>- / 連続攻撃</v>
      </c>
      <c r="Z10" s="50"/>
      <c r="AA10" s="52"/>
      <c r="AB10" s="50"/>
    </row>
    <row r="11" spans="1:28" ht="70" x14ac:dyDescent="0.15">
      <c r="A11" s="110">
        <v>30050012</v>
      </c>
      <c r="B11" s="109" t="s">
        <v>278</v>
      </c>
      <c r="C11" s="50">
        <v>3</v>
      </c>
      <c r="D11" s="50" t="s">
        <v>128</v>
      </c>
      <c r="E11" s="51" t="s">
        <v>350</v>
      </c>
      <c r="F11" s="51" t="s">
        <v>303</v>
      </c>
      <c r="G11" s="64" t="str">
        <f t="shared" si="0"/>
        <v>[effect:enemy_message, val1:1.2, val2:2.5]</v>
      </c>
      <c r="H11" s="64">
        <f t="shared" si="1"/>
        <v>9</v>
      </c>
      <c r="I11" s="64">
        <f t="shared" si="2"/>
        <v>22</v>
      </c>
      <c r="J11" s="64" t="e">
        <f t="shared" si="3"/>
        <v>#VALUE!</v>
      </c>
      <c r="K11" s="64">
        <f t="shared" si="4"/>
        <v>32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si="5"/>
        <v xml:space="preserve">[effect:attack_break, target:unit_all, turn:2, val:0.2, calc:mul, animation:attack_break01],[effect:rush, count:1, val:1.0]     </v>
      </c>
      <c r="N11" s="48" t="str">
        <f t="shared" si="15"/>
        <v xml:space="preserve">[effect:attack_break, target:unit_all, turn:2, val:0.2, calc:mul, animation:attack_break01],[effect:rush, count:1, val:1.0]     </v>
      </c>
      <c r="O11" s="64">
        <f t="shared" si="6"/>
        <v>9</v>
      </c>
      <c r="P11" s="64">
        <f t="shared" si="7"/>
        <v>21</v>
      </c>
      <c r="Q11" s="64">
        <f t="shared" si="8"/>
        <v>30</v>
      </c>
      <c r="R11" s="64">
        <f t="shared" si="9"/>
        <v>38</v>
      </c>
      <c r="S11" s="64" t="str">
        <f>IFERROR(VLOOKUP(MID(N11,Q11,R11-Q11),[6]skilldef!$C:$D,2,FALSE),"-") &amp; " / " &amp; IFERROR(VLOOKUP(MID(N11,O11,P11-O11),[6]skilldef!$A:$B,2,FALSE),"-")</f>
        <v>味方全体に / -</v>
      </c>
      <c r="T11" s="48" t="str">
        <f t="shared" si="10"/>
        <v xml:space="preserve">[effect:rush, count:1, val:1.0]     </v>
      </c>
      <c r="U11" s="64">
        <f t="shared" si="11"/>
        <v>9</v>
      </c>
      <c r="V11" s="64">
        <f t="shared" si="12"/>
        <v>13</v>
      </c>
      <c r="W11" s="64" t="e">
        <f t="shared" si="13"/>
        <v>#VALUE!</v>
      </c>
      <c r="X11" s="64">
        <f t="shared" si="14"/>
        <v>22</v>
      </c>
      <c r="Y11" s="64" t="str">
        <f>IFERROR(VLOOKUP(MID(T11,W11,X11-W11),[6]skilldef!$C:$D,2,FALSE),"-") &amp; " / " &amp; IFERROR(VLOOKUP(MID(T11,U11,V11-U11),[6]skilldef!$A:$B,2,FALSE),"-")</f>
        <v>- / 連続攻撃</v>
      </c>
      <c r="Z11" s="50"/>
      <c r="AA11" s="52"/>
      <c r="AB11" s="50"/>
    </row>
    <row r="12" spans="1:28" ht="70" x14ac:dyDescent="0.15">
      <c r="A12" s="110">
        <v>30050013</v>
      </c>
      <c r="B12" s="109" t="s">
        <v>279</v>
      </c>
      <c r="C12" s="50">
        <v>3</v>
      </c>
      <c r="D12" s="50" t="s">
        <v>128</v>
      </c>
      <c r="E12" s="51" t="s">
        <v>269</v>
      </c>
      <c r="F12" s="51" t="s">
        <v>304</v>
      </c>
      <c r="G12" s="64" t="str">
        <f t="shared" si="0"/>
        <v>[effect:enemy_message, val1:1.2, val2:2.5]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 xml:space="preserve">[effect:degrade_unit, target:unit_all, turn:2, status:heal, val:0.2, calc:mul, animation:degrade_unit_all_heal],[effect:rush, count:1, val:1.0]    </v>
      </c>
      <c r="N12" s="48" t="str">
        <f>IFERROR(LEFT(M12,FIND("],",M12)+#REF!),M12)</f>
        <v xml:space="preserve">[effect:degrade_unit, target:unit_all, turn:2, status:heal, val:0.2, calc:mul, animation:degrade_unit_all_heal],[effect:rush, count:1, val:1.0]    </v>
      </c>
      <c r="O12" s="64">
        <f t="shared" si="6"/>
        <v>9</v>
      </c>
      <c r="P12" s="64">
        <f t="shared" si="7"/>
        <v>21</v>
      </c>
      <c r="Q12" s="64">
        <f t="shared" si="8"/>
        <v>30</v>
      </c>
      <c r="R12" s="64">
        <f t="shared" si="9"/>
        <v>38</v>
      </c>
      <c r="S12" s="64" t="str">
        <f>IFERROR(VLOOKUP(MID(N12,Q12,R12-Q12),[6]skilldef!$C:$D,2,FALSE),"-") &amp; " / " &amp; IFERROR(VLOOKUP(MID(N12,O12,P12-O12),[6]skilldef!$A:$B,2,FALSE),"-")</f>
        <v>味方全体に / ステータスDOWN</v>
      </c>
      <c r="T12" s="48" t="str">
        <f t="shared" si="10"/>
        <v xml:space="preserve">[effect:rush, count:1, val:1.0]    </v>
      </c>
      <c r="U12" s="64">
        <f t="shared" si="11"/>
        <v>9</v>
      </c>
      <c r="V12" s="64">
        <f t="shared" si="12"/>
        <v>13</v>
      </c>
      <c r="W12" s="64" t="e">
        <f t="shared" si="13"/>
        <v>#VALUE!</v>
      </c>
      <c r="X12" s="64">
        <f t="shared" si="14"/>
        <v>22</v>
      </c>
      <c r="Y12" s="64" t="str">
        <f>IFERROR(VLOOKUP(MID(T12,W12,X12-W12),[6]skilldef!$C:$D,2,FALSE),"-") &amp; " / " &amp; IFERROR(VLOOKUP(MID(T12,U12,V12-U12),[6]skilldef!$A:$B,2,FALSE),"-")</f>
        <v>- / 連続攻撃</v>
      </c>
      <c r="Z12" s="50"/>
      <c r="AA12" s="52"/>
      <c r="AB12" s="50"/>
    </row>
    <row r="13" spans="1:28" ht="21" customHeight="1" x14ac:dyDescent="0.15">
      <c r="A13" s="110">
        <v>30050014</v>
      </c>
      <c r="B13" s="109" t="s">
        <v>261</v>
      </c>
      <c r="C13" s="50">
        <v>3</v>
      </c>
      <c r="D13" s="50" t="s">
        <v>128</v>
      </c>
      <c r="E13" s="51" t="s">
        <v>276</v>
      </c>
      <c r="F13" s="51" t="s">
        <v>344</v>
      </c>
      <c r="G13" s="64" t="str">
        <f t="shared" si="0"/>
        <v>[effect:enemy_message, val1:1.2, val2:1.2]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 xml:space="preserve">[effect:fix_speed, target:myself, turn:1]    </v>
      </c>
      <c r="N13" s="48" t="str">
        <f>IFERROR(LEFT(M13,FIND("],",M13)+#REF!),M13)</f>
        <v xml:space="preserve">[effect:fix_speed, target:myself, turn:1]    </v>
      </c>
      <c r="O13" s="64">
        <f t="shared" si="6"/>
        <v>9</v>
      </c>
      <c r="P13" s="64">
        <f t="shared" si="7"/>
        <v>18</v>
      </c>
      <c r="Q13" s="64">
        <f t="shared" si="8"/>
        <v>27</v>
      </c>
      <c r="R13" s="64">
        <f t="shared" si="9"/>
        <v>33</v>
      </c>
      <c r="S13" s="64" t="str">
        <f>IFERROR(VLOOKUP(MID(N13,Q13,R13-Q13),[6]skilldef!$C:$D,2,FALSE),"-") &amp; " / " &amp; IFERROR(VLOOKUP(MID(N13,O13,P13-O13),[6]skilldef!$A:$B,2,FALSE),"-")</f>
        <v>自分自身に / 行動値設定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10">
        <v>30050015</v>
      </c>
      <c r="B14" s="109" t="s">
        <v>290</v>
      </c>
      <c r="C14" s="50">
        <v>3</v>
      </c>
      <c r="D14" s="50" t="s">
        <v>128</v>
      </c>
      <c r="E14" s="51" t="s">
        <v>265</v>
      </c>
      <c r="F14" s="51" t="s">
        <v>262</v>
      </c>
      <c r="G14" s="64" t="str">
        <f t="shared" si="0"/>
        <v>[effect:enemy_message, val1:1.2, val2:1.2]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 xml:space="preserve">[effect:rush, count:2, val:0.9] </v>
      </c>
      <c r="N14" s="48" t="str">
        <f>IFERROR(LEFT(M14,FIND("],",M14)+S22),M14)</f>
        <v xml:space="preserve">[effect:rush, count:2, val:0.9] </v>
      </c>
      <c r="O14" s="64">
        <f t="shared" si="6"/>
        <v>9</v>
      </c>
      <c r="P14" s="64">
        <f t="shared" si="7"/>
        <v>13</v>
      </c>
      <c r="Q14" s="64" t="e">
        <f t="shared" si="8"/>
        <v>#VALUE!</v>
      </c>
      <c r="R14" s="64">
        <f t="shared" si="9"/>
        <v>22</v>
      </c>
      <c r="S14" s="64" t="str">
        <f>IFERROR(VLOOKUP(MID(N14,Q14,R14-Q14),[6]skilldef!$C:$D,2,FALSE),"-") &amp; " / " &amp; IFERROR(VLOOKUP(MID(N14,O14,P14-O14),[6]skilldef!$A:$B,2,FALSE),"-")</f>
        <v>- / 連続攻撃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30" customHeight="1" x14ac:dyDescent="0.15">
      <c r="A15" s="111">
        <v>30050016</v>
      </c>
      <c r="B15" s="109" t="s">
        <v>321</v>
      </c>
      <c r="C15" s="50">
        <v>3</v>
      </c>
      <c r="D15" s="50" t="s">
        <v>128</v>
      </c>
      <c r="E15" s="51" t="s">
        <v>351</v>
      </c>
      <c r="F15" s="51" t="s">
        <v>260</v>
      </c>
      <c r="G15" s="64" t="str">
        <f t="shared" si="0"/>
        <v>[effect:enemy_message, val1:2.1, val2:1.2]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5"/>
        <v xml:space="preserve">[effect:tolerance, target:myself, turn:-1, count:-1, tolerance_effect:all, animation:enemy_tolerance]    </v>
      </c>
      <c r="N15" s="48" t="str">
        <f>IFERROR(LEFT(M15,FIND("],",M15)+S23),M15)</f>
        <v xml:space="preserve">[effect:tolerance, target:myself, turn:-1, count:-1, tolerance_effect:all, animation:enemy_tolerance]    </v>
      </c>
      <c r="O15" s="64">
        <f t="shared" si="6"/>
        <v>9</v>
      </c>
      <c r="P15" s="64">
        <f t="shared" si="7"/>
        <v>18</v>
      </c>
      <c r="Q15" s="64">
        <f t="shared" si="8"/>
        <v>27</v>
      </c>
      <c r="R15" s="64">
        <f t="shared" si="9"/>
        <v>33</v>
      </c>
      <c r="S15" s="64" t="str">
        <f>IFERROR(VLOOKUP(MID(N15,Q15,R15-Q15),[6]skilldef!$C:$D,2,FALSE),"-") &amp; " / " &amp; IFERROR(VLOOKUP(MID(N15,O15,P15-O15),[6]skilldef!$A:$B,2,FALSE),"-")</f>
        <v>自分自身に / 状態異常耐性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11">
        <v>30050017</v>
      </c>
      <c r="B16" s="109" t="s">
        <v>326</v>
      </c>
      <c r="C16" s="50">
        <v>3</v>
      </c>
      <c r="D16" s="50" t="s">
        <v>128</v>
      </c>
      <c r="E16" s="51" t="s">
        <v>350</v>
      </c>
      <c r="F16" s="51" t="s">
        <v>310</v>
      </c>
      <c r="G16" s="64" t="str">
        <f t="shared" si="0"/>
        <v>[effect:enemy_message, val1:1.2, val2:2.5]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 xml:space="preserve">[effect:attack_break, target:unit_all, turn:3, val:0.3, calc:mul, animation:attack_break01],[effect:rush, count:1, val:0.7]     </v>
      </c>
      <c r="N16" s="48" t="str">
        <f>IFERROR(LEFT(M16,FIND("],",M16)+S25),M16)</f>
        <v xml:space="preserve">[effect:attack_break, target:unit_all, turn:3, val:0.3, calc:mul, animation:attack_break01],[effect:rush, count:1, val:0.7]     </v>
      </c>
      <c r="O16" s="64">
        <f t="shared" si="6"/>
        <v>9</v>
      </c>
      <c r="P16" s="64">
        <f t="shared" si="7"/>
        <v>21</v>
      </c>
      <c r="Q16" s="64">
        <f t="shared" si="8"/>
        <v>30</v>
      </c>
      <c r="R16" s="64">
        <f t="shared" si="9"/>
        <v>38</v>
      </c>
      <c r="S16" s="64" t="str">
        <f>IFERROR(VLOOKUP(MID(N16,Q16,R16-Q16),[6]skilldef!$C:$D,2,FALSE),"-") &amp; " / " &amp; IFERROR(VLOOKUP(MID(N16,O16,P16-O16),[6]skilldef!$A:$B,2,FALSE),"-")</f>
        <v>味方全体に / -</v>
      </c>
      <c r="T16" s="48" t="str">
        <f t="shared" si="10"/>
        <v xml:space="preserve">[effect:rush, count:1, val:0.7]     </v>
      </c>
      <c r="U16" s="64">
        <f t="shared" si="11"/>
        <v>9</v>
      </c>
      <c r="V16" s="64">
        <f t="shared" si="12"/>
        <v>13</v>
      </c>
      <c r="W16" s="64" t="e">
        <f t="shared" si="13"/>
        <v>#VALUE!</v>
      </c>
      <c r="X16" s="64">
        <f t="shared" si="14"/>
        <v>22</v>
      </c>
      <c r="Y16" s="64" t="str">
        <f>IFERROR(VLOOKUP(MID(T16,W16,X16-W16),[6]skilldef!$C:$D,2,FALSE),"-") &amp; " / " &amp; IFERROR(VLOOKUP(MID(T16,U16,V16-U16),[6]skilldef!$A:$B,2,FALSE),"-")</f>
        <v>- / 連続攻撃</v>
      </c>
      <c r="Z16" s="50"/>
      <c r="AA16" s="52"/>
      <c r="AB16" s="50"/>
    </row>
    <row r="17" spans="1:28" ht="21" customHeight="1" x14ac:dyDescent="0.15">
      <c r="A17" s="111">
        <v>30050018</v>
      </c>
      <c r="B17" s="109" t="s">
        <v>327</v>
      </c>
      <c r="C17" s="50">
        <v>3</v>
      </c>
      <c r="D17" s="50" t="s">
        <v>128</v>
      </c>
      <c r="E17" s="51" t="s">
        <v>269</v>
      </c>
      <c r="F17" s="51" t="s">
        <v>311</v>
      </c>
      <c r="G17" s="64" t="str">
        <f t="shared" si="0"/>
        <v>[effect:enemy_message, val1:1.2, val2:2.5]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 xml:space="preserve">[effect:degrade_unit, target:unit_all, turn:3, status:heal, val:0.3, calc:mul, animation:degrade_unit_all_heal],[effect:rush, count:1, val:0.7]    </v>
      </c>
      <c r="N17" s="48" t="str">
        <f>IFERROR(LEFT(M17,FIND("],",M17)+S26),M17)</f>
        <v xml:space="preserve">[effect:degrade_unit, target:unit_all, turn:3, status:heal, val:0.3, calc:mul, animation:degrade_unit_all_heal],[effect:rush, count:1, val:0.7]    </v>
      </c>
      <c r="O17" s="64">
        <f t="shared" si="6"/>
        <v>9</v>
      </c>
      <c r="P17" s="64">
        <f t="shared" si="7"/>
        <v>21</v>
      </c>
      <c r="Q17" s="64">
        <f t="shared" si="8"/>
        <v>30</v>
      </c>
      <c r="R17" s="64">
        <f t="shared" si="9"/>
        <v>38</v>
      </c>
      <c r="S17" s="64" t="str">
        <f>IFERROR(VLOOKUP(MID(N17,Q17,R17-Q17),[6]skilldef!$C:$D,2,FALSE),"-") &amp; " / " &amp; IFERROR(VLOOKUP(MID(N17,O17,P17-O17),[6]skilldef!$A:$B,2,FALSE),"-")</f>
        <v>味方全体に / ステータスDOWN</v>
      </c>
      <c r="T17" s="48" t="str">
        <f t="shared" si="10"/>
        <v xml:space="preserve">[effect:rush, count:1, val:0.7]    </v>
      </c>
      <c r="U17" s="64">
        <f t="shared" si="11"/>
        <v>9</v>
      </c>
      <c r="V17" s="64">
        <f t="shared" si="12"/>
        <v>13</v>
      </c>
      <c r="W17" s="64" t="e">
        <f t="shared" si="13"/>
        <v>#VALUE!</v>
      </c>
      <c r="X17" s="64">
        <f t="shared" si="14"/>
        <v>22</v>
      </c>
      <c r="Y17" s="64" t="str">
        <f>IFERROR(VLOOKUP(MID(T17,W17,X17-W17),[6]skilldef!$C:$D,2,FALSE),"-") &amp; " / " &amp; IFERROR(VLOOKUP(MID(T17,U17,V17-U17),[6]skilldef!$A:$B,2,FALSE),"-")</f>
        <v>- / 連続攻撃</v>
      </c>
      <c r="Z17" s="50"/>
      <c r="AA17" s="52"/>
      <c r="AB17" s="50"/>
    </row>
    <row r="18" spans="1:28" ht="50" customHeight="1" x14ac:dyDescent="0.15">
      <c r="A18" s="111">
        <v>30050019</v>
      </c>
      <c r="B18" s="113" t="s">
        <v>358</v>
      </c>
      <c r="C18" s="50">
        <v>3</v>
      </c>
      <c r="D18" s="50" t="s">
        <v>128</v>
      </c>
      <c r="E18" s="51" t="s">
        <v>267</v>
      </c>
      <c r="F18" s="51" t="s">
        <v>345</v>
      </c>
      <c r="G18" s="64" t="str">
        <f t="shared" si="0"/>
        <v>[effect:enemy_message, val1:1.2, val2:1.5]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>[effect:break_attack, target:unit_all, val:0.015, lowest_val:500, count:-1, color:blue, block01:block_red, block02:block_blue]</v>
      </c>
      <c r="N18" s="48" t="str">
        <f>IFERROR(LEFT(M18,FIND("],",M18)+S27),M18)</f>
        <v>[effect:break_attack, target:unit_all, val:0.015, lowest_val:500, count:-1, color:blue, block01:block_red, block02:block_blue]</v>
      </c>
      <c r="O18" s="64">
        <f t="shared" si="6"/>
        <v>9</v>
      </c>
      <c r="P18" s="64">
        <f t="shared" si="7"/>
        <v>21</v>
      </c>
      <c r="Q18" s="64">
        <f t="shared" si="8"/>
        <v>30</v>
      </c>
      <c r="R18" s="64">
        <f t="shared" si="9"/>
        <v>38</v>
      </c>
      <c r="S18" s="64" t="str">
        <f>IFERROR(VLOOKUP(MID(N18,Q18,R18-Q18),[6]skilldef!$C:$D,2,FALSE),"-") &amp; " / " &amp; IFERROR(VLOOKUP(MID(N18,O18,P18-O18),[6]skilldef!$A:$B,2,FALSE),"-")</f>
        <v>味方全体に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31" customHeight="1" x14ac:dyDescent="0.15">
      <c r="A19" s="111">
        <v>30050020</v>
      </c>
      <c r="B19" s="113" t="s">
        <v>343</v>
      </c>
      <c r="C19" s="50">
        <v>3</v>
      </c>
      <c r="D19" s="50" t="s">
        <v>128</v>
      </c>
      <c r="E19" s="51" t="s">
        <v>266</v>
      </c>
      <c r="F19" s="51" t="s">
        <v>346</v>
      </c>
      <c r="G19" s="64" t="str">
        <f t="shared" ref="G19" si="16">IFERROR(LEFT(B19,FIND("],",B19)),B19)</f>
        <v>[effect:enemy_message, val1:1.2, val2:2.3]</v>
      </c>
      <c r="H19" s="64">
        <f t="shared" ref="H19" si="17">FIND("effect:",G19)+7</f>
        <v>9</v>
      </c>
      <c r="I19" s="64">
        <f t="shared" ref="I19" si="18">IFERROR(FIND(",",G19),LEN(G19))</f>
        <v>22</v>
      </c>
      <c r="J19" s="64" t="e">
        <f t="shared" ref="J19" si="19">FIND("target:",G19)+7</f>
        <v>#VALUE!</v>
      </c>
      <c r="K19" s="64">
        <f t="shared" ref="K19" si="20">FIND(",",G19,I19+1)</f>
        <v>32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ref="M19" si="21">IFERROR(RIGHT(B19,LEN(B19)-FIND("],",B19)-1),"none")</f>
        <v>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val:0.04,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val:0.03, animation:change_range_block]</v>
      </c>
      <c r="N19" s="48" t="str">
        <f>IFERROR(LEFT(M19,FIND("],",M19)+S28),M19)</f>
        <v>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val:0.04,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val:0.03, animation:change_range_block]</v>
      </c>
      <c r="O19" s="64">
        <f t="shared" ref="O19" si="22">FIND("effect:",N19)+7</f>
        <v>9</v>
      </c>
      <c r="P19" s="64">
        <f t="shared" ref="P19" si="23">IFERROR(FIND(",",N19),LEN(N19))</f>
        <v>27</v>
      </c>
      <c r="Q19" s="64">
        <f t="shared" ref="Q19" si="24">FIND("target:",N19)+7</f>
        <v>389</v>
      </c>
      <c r="R19" s="64">
        <f t="shared" ref="R19" si="25">FIND(",",N19,P19+1)</f>
        <v>43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ref="T19" si="26">IFERROR(RIGHT(M19,LEN(M19)-FIND("],",M19)-1),"none")</f>
        <v>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val:0.03, animation:change_range_block]</v>
      </c>
      <c r="U19" s="64">
        <f t="shared" ref="U19" si="27">FIND("effect:",T19)+7</f>
        <v>9</v>
      </c>
      <c r="V19" s="64">
        <f t="shared" ref="V19" si="28">IFERROR(FIND(",",T19),LEN(T19))</f>
        <v>27</v>
      </c>
      <c r="W19" s="64">
        <f t="shared" ref="W19" si="29">FIND("target:",T19)+7</f>
        <v>346</v>
      </c>
      <c r="X19" s="64">
        <f t="shared" ref="X19" si="30">FIND(",",T19,V19+1)</f>
        <v>42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11">
        <v>30050021</v>
      </c>
      <c r="B20" s="109" t="s">
        <v>275</v>
      </c>
      <c r="C20" s="50">
        <v>3</v>
      </c>
      <c r="D20" s="50" t="s">
        <v>128</v>
      </c>
      <c r="E20" s="51" t="s">
        <v>264</v>
      </c>
      <c r="F20" s="51" t="s">
        <v>297</v>
      </c>
      <c r="G20" s="64" t="str">
        <f t="shared" si="0"/>
        <v>[effect:enemy_message, val1:1.2, val2:1.2]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5"/>
        <v xml:space="preserve">[effect:rush, count:4, val:0.35]      </v>
      </c>
      <c r="N20" s="48" t="str">
        <f>IFERROR(LEFT(M20,FIND("],",M20)+S28),M20)</f>
        <v xml:space="preserve">[effect:rush, count:4, val:0.35]      </v>
      </c>
      <c r="O20" s="64">
        <f t="shared" si="6"/>
        <v>9</v>
      </c>
      <c r="P20" s="64">
        <f t="shared" si="7"/>
        <v>13</v>
      </c>
      <c r="Q20" s="64" t="e">
        <f t="shared" si="8"/>
        <v>#VALUE!</v>
      </c>
      <c r="R20" s="64">
        <f t="shared" si="9"/>
        <v>22</v>
      </c>
      <c r="S20" s="64" t="str">
        <f>IFERROR(VLOOKUP(MID(N20,Q20,R20-Q20),[6]skilldef!$C:$D,2,FALSE),"-") &amp; " / " &amp; IFERROR(VLOOKUP(MID(N20,O20,P20-O20),[6]skilldef!$A:$B,2,FALSE),"-")</f>
        <v>- / 連続攻撃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11">
        <v>30050022</v>
      </c>
      <c r="B21" s="47" t="s">
        <v>298</v>
      </c>
      <c r="C21" s="50">
        <v>3</v>
      </c>
      <c r="D21" s="50" t="s">
        <v>128</v>
      </c>
      <c r="E21" s="51" t="s">
        <v>352</v>
      </c>
      <c r="F21" s="51" t="s">
        <v>268</v>
      </c>
      <c r="G21" s="64" t="str">
        <f t="shared" ref="G21" si="31">IFERROR(LEFT(B21,FIND("],",B21)),B21)</f>
        <v>[effect:enemy_message, val1:1.7, val2:1.7, dead_type:suicide]</v>
      </c>
      <c r="H21" s="64">
        <f t="shared" ref="H21" si="32">FIND("effect:",G21)+7</f>
        <v>9</v>
      </c>
      <c r="I21" s="64">
        <f t="shared" ref="I21" si="33">IFERROR(FIND(",",G21),LEN(G21))</f>
        <v>22</v>
      </c>
      <c r="J21" s="64" t="e">
        <f t="shared" ref="J21" si="34">FIND("target:",G21)+7</f>
        <v>#VALUE!</v>
      </c>
      <c r="K21" s="64">
        <f t="shared" ref="K21" si="35">FIND(",",G21,I21+1)</f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ref="M21" si="36">IFERROR(RIGHT(B21,LEN(B21)-FIND("],",B21)-1),"none")</f>
        <v>none</v>
      </c>
      <c r="N21" s="48" t="str">
        <f>IFERROR(LEFT(M21,FIND("],",M21)+S29),M21)</f>
        <v>none</v>
      </c>
      <c r="O21" s="64" t="e">
        <f t="shared" ref="O21" si="37">FIND("effect:",N21)+7</f>
        <v>#VALUE!</v>
      </c>
      <c r="P21" s="64">
        <f t="shared" ref="P21" si="38">IFERROR(FIND(",",N21),LEN(N21))</f>
        <v>4</v>
      </c>
      <c r="Q21" s="64" t="e">
        <f t="shared" ref="Q21" si="39">FIND("target:",N21)+7</f>
        <v>#VALUE!</v>
      </c>
      <c r="R21" s="64" t="e">
        <f t="shared" ref="R21" si="40">FIND(",",N21,P21+1)</f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ref="T21" si="41">IFERROR(RIGHT(M21,LEN(M21)-FIND("],",M21)-1),"none")</f>
        <v>none</v>
      </c>
      <c r="U21" s="64" t="e">
        <f t="shared" ref="U21" si="42">FIND("effect:",T21)+7</f>
        <v>#VALUE!</v>
      </c>
      <c r="V21" s="64">
        <f t="shared" ref="V21" si="43">IFERROR(FIND(",",T21),LEN(T21))</f>
        <v>4</v>
      </c>
      <c r="W21" s="64" t="e">
        <f t="shared" ref="W21" si="44">FIND("target:",T21)+7</f>
        <v>#VALUE!</v>
      </c>
      <c r="X21" s="64" t="e">
        <f t="shared" ref="X21" si="45">FIND(",",T21,V21+1)</f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14">
        <v>30050025</v>
      </c>
      <c r="B22" s="109" t="s">
        <v>329</v>
      </c>
      <c r="C22" s="50">
        <v>3</v>
      </c>
      <c r="D22" s="50" t="s">
        <v>128</v>
      </c>
      <c r="E22" s="51" t="s">
        <v>271</v>
      </c>
      <c r="F22" s="51" t="s">
        <v>299</v>
      </c>
      <c r="G22" s="64" t="str">
        <f t="shared" ref="G22:G41" si="46">IFERROR(LEFT(B22,FIND("],",B22)),B22)</f>
        <v>[effect:enemy_message, val1:1.2, val2:2.0]</v>
      </c>
      <c r="H22" s="64">
        <f t="shared" ref="H22:H41" si="47">FIND("effect:",G22)+7</f>
        <v>9</v>
      </c>
      <c r="I22" s="64">
        <f t="shared" ref="I22:I41" si="48">IFERROR(FIND(",",G22),LEN(G22))</f>
        <v>22</v>
      </c>
      <c r="J22" s="64" t="e">
        <f t="shared" ref="J22:J41" si="49">FIND("target:",G22)+7</f>
        <v>#VALUE!</v>
      </c>
      <c r="K22" s="64">
        <f t="shared" ref="K22:K41" si="50">FIND(",",G22,I22+1)</f>
        <v>32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ref="M22:M41" si="51">IFERROR(RIGHT(B22,LEN(B22)-FIND("],",B22)-1),"none")</f>
        <v xml:space="preserve">[effect:attack_break, target:unit_all, turn:1, val:0.2, calc:mul, animation:attack_break01]    </v>
      </c>
      <c r="N22" s="48" t="str">
        <f>IFERROR(LEFT(M22,FIND("],",M22)+S32),M22)</f>
        <v xml:space="preserve">[effect:attack_break, target:unit_all, turn:1, val:0.2, calc:mul, animation:attack_break01]    </v>
      </c>
      <c r="O22" s="64">
        <f t="shared" ref="O22:O41" si="52">FIND("effect:",N22)+7</f>
        <v>9</v>
      </c>
      <c r="P22" s="64">
        <f t="shared" ref="P22:P41" si="53">IFERROR(FIND(",",N22),LEN(N22))</f>
        <v>21</v>
      </c>
      <c r="Q22" s="64">
        <f t="shared" ref="Q22:Q41" si="54">FIND("target:",N22)+7</f>
        <v>30</v>
      </c>
      <c r="R22" s="64">
        <f t="shared" ref="R22:R41" si="55">FIND(",",N22,P22+1)</f>
        <v>38</v>
      </c>
      <c r="S22" s="64" t="str">
        <f>IFERROR(VLOOKUP(MID(N22,Q22,R22-Q22),[6]skilldef!$C:$D,2,FALSE),"-") &amp; " / " &amp; IFERROR(VLOOKUP(MID(N22,O22,P22-O22),[6]skilldef!$A:$B,2,FALSE),"-")</f>
        <v>味方全体に / -</v>
      </c>
      <c r="T22" s="48" t="str">
        <f t="shared" ref="T22:T41" si="56">IFERROR(RIGHT(M22,LEN(M22)-FIND("],",M22)-1),"none")</f>
        <v>none</v>
      </c>
      <c r="U22" s="64" t="e">
        <f t="shared" ref="U22:U41" si="57">FIND("effect:",T22)+7</f>
        <v>#VALUE!</v>
      </c>
      <c r="V22" s="64">
        <f t="shared" ref="V22:V41" si="58">IFERROR(FIND(",",T22),LEN(T22))</f>
        <v>4</v>
      </c>
      <c r="W22" s="64" t="e">
        <f t="shared" ref="W22:W41" si="59">FIND("target:",T22)+7</f>
        <v>#VALUE!</v>
      </c>
      <c r="X22" s="64" t="e">
        <f t="shared" ref="X22:X41" si="60">FIND(",",T22,V22+1)</f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15">
        <v>30050026</v>
      </c>
      <c r="B23" s="109" t="s">
        <v>331</v>
      </c>
      <c r="C23" s="50">
        <v>3</v>
      </c>
      <c r="D23" s="50" t="s">
        <v>128</v>
      </c>
      <c r="E23" s="51" t="s">
        <v>287</v>
      </c>
      <c r="F23" s="51" t="s">
        <v>262</v>
      </c>
      <c r="G23" s="64" t="str">
        <f t="shared" si="46"/>
        <v>[effect:enemy_message, val1:1.2, val2:1.2]</v>
      </c>
      <c r="H23" s="64">
        <f t="shared" si="47"/>
        <v>9</v>
      </c>
      <c r="I23" s="64">
        <f t="shared" si="48"/>
        <v>22</v>
      </c>
      <c r="J23" s="64" t="e">
        <f t="shared" si="49"/>
        <v>#VALUE!</v>
      </c>
      <c r="K23" s="64">
        <f t="shared" si="50"/>
        <v>32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1"/>
        <v xml:space="preserve">[effect:rush, count:2, val:0.2] </v>
      </c>
      <c r="N23" s="48" t="str">
        <f>IFERROR(LEFT(M23,FIND("],",M23)+S33),M23)</f>
        <v xml:space="preserve">[effect:rush, count:2, val:0.2] </v>
      </c>
      <c r="O23" s="64">
        <f t="shared" si="52"/>
        <v>9</v>
      </c>
      <c r="P23" s="64">
        <f t="shared" si="53"/>
        <v>13</v>
      </c>
      <c r="Q23" s="64" t="e">
        <f t="shared" si="54"/>
        <v>#VALUE!</v>
      </c>
      <c r="R23" s="64">
        <f t="shared" si="55"/>
        <v>22</v>
      </c>
      <c r="S23" s="64" t="str">
        <f>IFERROR(VLOOKUP(MID(N23,Q23,R23-Q23),[6]skilldef!$C:$D,2,FALSE),"-") &amp; " / " &amp; IFERROR(VLOOKUP(MID(N23,O23,P23-O23),[6]skilldef!$A:$B,2,FALSE),"-")</f>
        <v>- / 連続攻撃</v>
      </c>
      <c r="T23" s="48" t="str">
        <f t="shared" si="56"/>
        <v>none</v>
      </c>
      <c r="U23" s="64" t="e">
        <f t="shared" si="57"/>
        <v>#VALUE!</v>
      </c>
      <c r="V23" s="64">
        <f t="shared" si="58"/>
        <v>4</v>
      </c>
      <c r="W23" s="64" t="e">
        <f t="shared" si="59"/>
        <v>#VALUE!</v>
      </c>
      <c r="X23" s="64" t="e">
        <f t="shared" si="60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14">
        <v>30050027</v>
      </c>
      <c r="B24" s="109" t="s">
        <v>330</v>
      </c>
      <c r="C24" s="50">
        <v>3</v>
      </c>
      <c r="D24" s="50" t="s">
        <v>128</v>
      </c>
      <c r="E24" s="51" t="s">
        <v>272</v>
      </c>
      <c r="F24" s="51" t="s">
        <v>305</v>
      </c>
      <c r="G24" s="64" t="str">
        <f t="shared" si="46"/>
        <v>[effect:enemy_message, val1:1.2, val2:2.0]</v>
      </c>
      <c r="H24" s="64">
        <f t="shared" si="47"/>
        <v>9</v>
      </c>
      <c r="I24" s="64">
        <f t="shared" si="48"/>
        <v>22</v>
      </c>
      <c r="J24" s="64" t="e">
        <f t="shared" si="49"/>
        <v>#VALUE!</v>
      </c>
      <c r="K24" s="64">
        <f t="shared" si="50"/>
        <v>32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1"/>
        <v xml:space="preserve">[effect:degrade_unit, target:unit_all, turn:1, status:heal, val:0.1, calc:mul, animation:degrade_unit_all_heal]    </v>
      </c>
      <c r="N24" s="48" t="str">
        <f>IFERROR(LEFT(M24,FIND("],",M24)+S34),M24)</f>
        <v xml:space="preserve">[effect:degrade_unit, target:unit_all, turn:1, status:heal, val:0.1, calc:mul, animation:degrade_unit_all_heal]    </v>
      </c>
      <c r="O24" s="64">
        <f t="shared" si="52"/>
        <v>9</v>
      </c>
      <c r="P24" s="64">
        <f t="shared" si="53"/>
        <v>21</v>
      </c>
      <c r="Q24" s="64">
        <f t="shared" si="54"/>
        <v>30</v>
      </c>
      <c r="R24" s="64">
        <f t="shared" si="55"/>
        <v>38</v>
      </c>
      <c r="S24" s="64" t="str">
        <f>IFERROR(VLOOKUP(MID(N24,Q24,R24-Q24),[6]skilldef!$C:$D,2,FALSE),"-") &amp; " / " &amp; IFERROR(VLOOKUP(MID(N24,O24,P24-O24),[6]skilldef!$A:$B,2,FALSE),"-")</f>
        <v>味方全体に / ステータスDOWN</v>
      </c>
      <c r="T24" s="48" t="str">
        <f t="shared" si="56"/>
        <v>none</v>
      </c>
      <c r="U24" s="64" t="e">
        <f t="shared" si="57"/>
        <v>#VALUE!</v>
      </c>
      <c r="V24" s="64">
        <f t="shared" si="58"/>
        <v>4</v>
      </c>
      <c r="W24" s="64" t="e">
        <f t="shared" si="59"/>
        <v>#VALUE!</v>
      </c>
      <c r="X24" s="64" t="e">
        <f t="shared" si="60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15">
        <v>30050028</v>
      </c>
      <c r="B25" s="109" t="s">
        <v>356</v>
      </c>
      <c r="C25" s="50">
        <v>3</v>
      </c>
      <c r="D25" s="50" t="s">
        <v>128</v>
      </c>
      <c r="E25" s="51" t="s">
        <v>289</v>
      </c>
      <c r="F25" s="51" t="s">
        <v>263</v>
      </c>
      <c r="G25" s="64" t="str">
        <f t="shared" si="46"/>
        <v>[effect:enemy_message, val1:1.2, val2:1.2]</v>
      </c>
      <c r="H25" s="64">
        <f t="shared" si="47"/>
        <v>9</v>
      </c>
      <c r="I25" s="64">
        <f t="shared" si="48"/>
        <v>22</v>
      </c>
      <c r="J25" s="64" t="e">
        <f t="shared" si="49"/>
        <v>#VALUE!</v>
      </c>
      <c r="K25" s="64">
        <f t="shared" si="50"/>
        <v>32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1"/>
        <v xml:space="preserve">[effect:rush, count:3, val:0.6]    </v>
      </c>
      <c r="N25" s="48" t="str">
        <f>IFERROR(LEFT(M25,FIND("],",M25)+S35),M25)</f>
        <v xml:space="preserve">[effect:rush, count:3, val:0.6]    </v>
      </c>
      <c r="O25" s="64">
        <f t="shared" si="52"/>
        <v>9</v>
      </c>
      <c r="P25" s="64">
        <f t="shared" si="53"/>
        <v>13</v>
      </c>
      <c r="Q25" s="64" t="e">
        <f t="shared" si="54"/>
        <v>#VALUE!</v>
      </c>
      <c r="R25" s="64">
        <f t="shared" si="55"/>
        <v>22</v>
      </c>
      <c r="S25" s="64" t="str">
        <f>IFERROR(VLOOKUP(MID(N25,Q25,R25-Q25),[6]skilldef!$C:$D,2,FALSE),"-") &amp; " / " &amp; IFERROR(VLOOKUP(MID(N25,O25,P25-O25),[6]skilldef!$A:$B,2,FALSE),"-")</f>
        <v>- / 連続攻撃</v>
      </c>
      <c r="T25" s="48" t="str">
        <f t="shared" si="56"/>
        <v>none</v>
      </c>
      <c r="U25" s="64" t="e">
        <f t="shared" si="57"/>
        <v>#VALUE!</v>
      </c>
      <c r="V25" s="64">
        <f t="shared" si="58"/>
        <v>4</v>
      </c>
      <c r="W25" s="64" t="e">
        <f t="shared" si="59"/>
        <v>#VALUE!</v>
      </c>
      <c r="X25" s="64" t="e">
        <f t="shared" si="60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15">
        <v>30050029</v>
      </c>
      <c r="B26" s="109" t="s">
        <v>332</v>
      </c>
      <c r="C26" s="50">
        <v>3</v>
      </c>
      <c r="D26" s="50" t="s">
        <v>128</v>
      </c>
      <c r="E26" s="51" t="s">
        <v>273</v>
      </c>
      <c r="F26" s="112" t="s">
        <v>301</v>
      </c>
      <c r="G26" s="64" t="str">
        <f t="shared" si="46"/>
        <v>[effect:enemy_message, val1:1.2, val2:1.3]</v>
      </c>
      <c r="H26" s="64">
        <f t="shared" si="47"/>
        <v>9</v>
      </c>
      <c r="I26" s="64">
        <f t="shared" si="48"/>
        <v>22</v>
      </c>
      <c r="J26" s="64" t="e">
        <f t="shared" si="49"/>
        <v>#VALUE!</v>
      </c>
      <c r="K26" s="64">
        <f t="shared" si="50"/>
        <v>32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51"/>
        <v>[effect:change_range_block,block_change:1,base_type:0, square_count:3, position01:4, value_h01:1, value_w01:1,new_block:block_yellow, target:block_all, count:0, val:0,animation:change_range_block]</v>
      </c>
      <c r="N26" s="48" t="str">
        <f>IFERROR(LEFT(M26,FIND("],",M26)+#REF!),M26)</f>
        <v>[effect:change_range_block,block_change:1,base_type:0, square_count:3, position01:4, value_h01:1, value_w01:1,new_block:block_yellow, target:block_all, count:0, val:0,animation:change_range_block]</v>
      </c>
      <c r="O26" s="64">
        <f t="shared" si="52"/>
        <v>9</v>
      </c>
      <c r="P26" s="64">
        <f t="shared" si="53"/>
        <v>27</v>
      </c>
      <c r="Q26" s="64">
        <f t="shared" si="54"/>
        <v>142</v>
      </c>
      <c r="R26" s="64">
        <f t="shared" si="55"/>
        <v>42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56"/>
        <v>none</v>
      </c>
      <c r="U26" s="64" t="e">
        <f t="shared" si="57"/>
        <v>#VALUE!</v>
      </c>
      <c r="V26" s="64">
        <f t="shared" si="58"/>
        <v>4</v>
      </c>
      <c r="W26" s="64" t="e">
        <f t="shared" si="59"/>
        <v>#VALUE!</v>
      </c>
      <c r="X26" s="64" t="e">
        <f t="shared" si="60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15">
        <v>30050030</v>
      </c>
      <c r="B27" s="109" t="s">
        <v>292</v>
      </c>
      <c r="C27" s="50">
        <v>3</v>
      </c>
      <c r="D27" s="50" t="s">
        <v>128</v>
      </c>
      <c r="E27" s="51" t="s">
        <v>288</v>
      </c>
      <c r="F27" s="51" t="s">
        <v>258</v>
      </c>
      <c r="G27" s="64" t="str">
        <f t="shared" si="46"/>
        <v>[effect:enemy_message, val1:1.2, val2:1.2]</v>
      </c>
      <c r="H27" s="64">
        <f t="shared" si="47"/>
        <v>9</v>
      </c>
      <c r="I27" s="64">
        <f t="shared" si="48"/>
        <v>22</v>
      </c>
      <c r="J27" s="64" t="e">
        <f t="shared" si="49"/>
        <v>#VALUE!</v>
      </c>
      <c r="K27" s="64">
        <f t="shared" si="50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1"/>
        <v>[effect:spread, val:0.5]</v>
      </c>
      <c r="N27" s="48" t="str">
        <f>IFERROR(LEFT(M27,FIND("],",M27)+S36),M27)</f>
        <v>[effect:spread, val:0.5]</v>
      </c>
      <c r="O27" s="64">
        <f t="shared" si="52"/>
        <v>9</v>
      </c>
      <c r="P27" s="64">
        <f t="shared" si="53"/>
        <v>15</v>
      </c>
      <c r="Q27" s="64" t="e">
        <f t="shared" si="54"/>
        <v>#VALUE!</v>
      </c>
      <c r="R27" s="64" t="e">
        <f t="shared" si="55"/>
        <v>#VALUE!</v>
      </c>
      <c r="S27" s="64" t="str">
        <f>IFERROR(VLOOKUP(MID(N27,Q27,R27-Q27),[6]skilldef!$C:$D,2,FALSE),"-") &amp; " / " &amp; IFERROR(VLOOKUP(MID(N27,O27,P27-O27),[6]skilldef!$A:$B,2,FALSE),"-")</f>
        <v>- / 全体攻撃</v>
      </c>
      <c r="T27" s="48" t="str">
        <f t="shared" si="56"/>
        <v>none</v>
      </c>
      <c r="U27" s="64" t="e">
        <f t="shared" si="57"/>
        <v>#VALUE!</v>
      </c>
      <c r="V27" s="64">
        <f t="shared" si="58"/>
        <v>4</v>
      </c>
      <c r="W27" s="64" t="e">
        <f t="shared" si="59"/>
        <v>#VALUE!</v>
      </c>
      <c r="X27" s="64" t="e">
        <f t="shared" si="60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15">
        <v>30050031</v>
      </c>
      <c r="B28" s="109" t="s">
        <v>333</v>
      </c>
      <c r="C28" s="50">
        <v>3</v>
      </c>
      <c r="D28" s="50" t="s">
        <v>128</v>
      </c>
      <c r="E28" s="51" t="s">
        <v>273</v>
      </c>
      <c r="F28" s="112" t="s">
        <v>302</v>
      </c>
      <c r="G28" s="64" t="str">
        <f t="shared" si="46"/>
        <v>[effect:enemy_message, val1:1.2, val2:1.5]</v>
      </c>
      <c r="H28" s="64">
        <f t="shared" si="47"/>
        <v>9</v>
      </c>
      <c r="I28" s="64">
        <f t="shared" si="48"/>
        <v>22</v>
      </c>
      <c r="J28" s="64" t="e">
        <f t="shared" si="49"/>
        <v>#VALUE!</v>
      </c>
      <c r="K28" s="64">
        <f t="shared" si="50"/>
        <v>32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1"/>
        <v>[effect:change_range_block,block_change:1,base_type:0, square_count:3, position01:4, value_h01:1, value_w01:1,new_block:block_heart, target:block_all, count:0, val:0,animation:change_range_block]</v>
      </c>
      <c r="N28" s="48" t="str">
        <f>IFERROR(LEFT(M28,FIND("],",M28)+S37),M28)</f>
        <v>[effect:change_range_block,block_change:1,base_type:0, square_count:3, position01:4, value_h01:1, value_w01:1,new_block:block_heart, target:block_all, count:0, val:0,animation:change_range_block]</v>
      </c>
      <c r="O28" s="64">
        <f t="shared" si="52"/>
        <v>9</v>
      </c>
      <c r="P28" s="64">
        <f t="shared" si="53"/>
        <v>27</v>
      </c>
      <c r="Q28" s="64">
        <f t="shared" si="54"/>
        <v>141</v>
      </c>
      <c r="R28" s="64">
        <f t="shared" si="55"/>
        <v>42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56"/>
        <v>none</v>
      </c>
      <c r="U28" s="64" t="e">
        <f t="shared" si="57"/>
        <v>#VALUE!</v>
      </c>
      <c r="V28" s="64">
        <f t="shared" si="58"/>
        <v>4</v>
      </c>
      <c r="W28" s="64" t="e">
        <f t="shared" si="59"/>
        <v>#VALUE!</v>
      </c>
      <c r="X28" s="64" t="e">
        <f t="shared" si="60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36" customHeight="1" x14ac:dyDescent="0.15">
      <c r="A29" s="114">
        <v>30050032</v>
      </c>
      <c r="B29" s="109" t="s">
        <v>319</v>
      </c>
      <c r="C29" s="50">
        <v>3</v>
      </c>
      <c r="D29" s="50" t="s">
        <v>128</v>
      </c>
      <c r="E29" s="51" t="s">
        <v>349</v>
      </c>
      <c r="F29" s="51" t="s">
        <v>259</v>
      </c>
      <c r="G29" s="64" t="str">
        <f t="shared" si="46"/>
        <v>[effect:enemy_message, val1:2.7, val2:1.2]</v>
      </c>
      <c r="H29" s="64">
        <f t="shared" si="47"/>
        <v>9</v>
      </c>
      <c r="I29" s="64">
        <f t="shared" si="48"/>
        <v>22</v>
      </c>
      <c r="J29" s="64" t="e">
        <f t="shared" si="49"/>
        <v>#VALUE!</v>
      </c>
      <c r="K29" s="64">
        <f t="shared" si="50"/>
        <v>32</v>
      </c>
      <c r="L29" s="64" t="str">
        <f>IFERROR(VLOOKUP(MID(G29,J29,K29-J29),[6]skilldef!$C:$D,2,FALSE),"-") &amp; " / " &amp; IFERROR(VLOOKUP(MID(G29,H29,I29-H29),[6]skilldef!$A:$B,2,FALSE),"-")</f>
        <v>- / -</v>
      </c>
      <c r="M29" s="64" t="str">
        <f t="shared" si="51"/>
        <v xml:space="preserve">[effect:tolerance, target:myself, turn:-1, count:-1, tolerance_effect:all, animation:enemy_tolerance]    </v>
      </c>
      <c r="N29" s="48" t="str">
        <f>IFERROR(LEFT(M29,FIND("],",M29)+S38),M29)</f>
        <v xml:space="preserve">[effect:tolerance, target:myself, turn:-1, count:-1, tolerance_effect:all, animation:enemy_tolerance]    </v>
      </c>
      <c r="O29" s="64">
        <f t="shared" si="52"/>
        <v>9</v>
      </c>
      <c r="P29" s="64">
        <f t="shared" si="53"/>
        <v>18</v>
      </c>
      <c r="Q29" s="64">
        <f t="shared" si="54"/>
        <v>27</v>
      </c>
      <c r="R29" s="64">
        <f t="shared" si="55"/>
        <v>33</v>
      </c>
      <c r="S29" s="64" t="str">
        <f>IFERROR(VLOOKUP(MID(N29,Q29,R29-Q29),[6]skilldef!$C:$D,2,FALSE),"-") &amp; " / " &amp; IFERROR(VLOOKUP(MID(N29,O29,P29-O29),[6]skilldef!$A:$B,2,FALSE),"-")</f>
        <v>自分自身に / 状態異常耐性</v>
      </c>
      <c r="T29" s="48" t="str">
        <f t="shared" si="56"/>
        <v>none</v>
      </c>
      <c r="U29" s="64" t="e">
        <f t="shared" si="57"/>
        <v>#VALUE!</v>
      </c>
      <c r="V29" s="64">
        <f t="shared" si="58"/>
        <v>4</v>
      </c>
      <c r="W29" s="64" t="e">
        <f t="shared" si="59"/>
        <v>#VALUE!</v>
      </c>
      <c r="X29" s="64" t="e">
        <f t="shared" si="60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114">
        <v>30050035</v>
      </c>
      <c r="B30" s="109" t="s">
        <v>334</v>
      </c>
      <c r="C30" s="50">
        <v>3</v>
      </c>
      <c r="D30" s="50" t="s">
        <v>128</v>
      </c>
      <c r="E30" s="51" t="s">
        <v>270</v>
      </c>
      <c r="F30" s="51" t="s">
        <v>309</v>
      </c>
      <c r="G30" s="64" t="str">
        <f t="shared" si="46"/>
        <v>[effect:enemy_message, val1:1.2, val2:1.8]</v>
      </c>
      <c r="H30" s="64">
        <f t="shared" si="47"/>
        <v>9</v>
      </c>
      <c r="I30" s="64">
        <f t="shared" si="48"/>
        <v>22</v>
      </c>
      <c r="J30" s="64" t="e">
        <f t="shared" si="49"/>
        <v>#VALUE!</v>
      </c>
      <c r="K30" s="64">
        <f t="shared" si="50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51"/>
        <v>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val:0.6]</v>
      </c>
      <c r="N30" s="48" t="str">
        <f t="shared" ref="N30:N31" si="61">IFERROR(LEFT(M30,FIND("],",M30)+S40),M30)</f>
        <v>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val:0.6]</v>
      </c>
      <c r="O30" s="64">
        <f t="shared" si="52"/>
        <v>9</v>
      </c>
      <c r="P30" s="64">
        <f t="shared" si="53"/>
        <v>27</v>
      </c>
      <c r="Q30" s="64">
        <f t="shared" si="54"/>
        <v>422</v>
      </c>
      <c r="R30" s="64">
        <f t="shared" si="55"/>
        <v>42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56"/>
        <v>[effect:rush, count:1, val:0.6]</v>
      </c>
      <c r="U30" s="64">
        <f t="shared" si="57"/>
        <v>9</v>
      </c>
      <c r="V30" s="64">
        <f t="shared" si="58"/>
        <v>13</v>
      </c>
      <c r="W30" s="64" t="e">
        <f t="shared" si="59"/>
        <v>#VALUE!</v>
      </c>
      <c r="X30" s="64">
        <f t="shared" si="60"/>
        <v>22</v>
      </c>
      <c r="Y30" s="64" t="str">
        <f>IFERROR(VLOOKUP(MID(T30,W30,X30-W30),[6]skilldef!$C:$D,2,FALSE),"-") &amp; " / " &amp; IFERROR(VLOOKUP(MID(T30,U30,V30-U30),[6]skilldef!$A:$B,2,FALSE),"-")</f>
        <v>- / 連続攻撃</v>
      </c>
      <c r="Z30" s="50"/>
      <c r="AA30" s="52"/>
      <c r="AB30" s="50"/>
    </row>
    <row r="31" spans="1:28" ht="21" customHeight="1" x14ac:dyDescent="0.15">
      <c r="A31" s="114">
        <v>30050036</v>
      </c>
      <c r="B31" s="109" t="s">
        <v>281</v>
      </c>
      <c r="C31" s="50">
        <v>3</v>
      </c>
      <c r="D31" s="50" t="s">
        <v>128</v>
      </c>
      <c r="E31" s="51" t="s">
        <v>350</v>
      </c>
      <c r="F31" s="51" t="s">
        <v>307</v>
      </c>
      <c r="G31" s="64" t="str">
        <f t="shared" si="46"/>
        <v>[effect:enemy_message, val1:1.2, val2:2.5]</v>
      </c>
      <c r="H31" s="64">
        <f t="shared" si="47"/>
        <v>9</v>
      </c>
      <c r="I31" s="64">
        <f t="shared" si="48"/>
        <v>22</v>
      </c>
      <c r="J31" s="64" t="e">
        <f t="shared" si="49"/>
        <v>#VALUE!</v>
      </c>
      <c r="K31" s="64">
        <f t="shared" si="50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51"/>
        <v xml:space="preserve">[effect:attack_break, target:unit_all, turn:2, val:0.1, calc:mul, animation:attack_break01],[effect:rush, count:1, val:1.0]     </v>
      </c>
      <c r="N31" s="48" t="str">
        <f t="shared" si="61"/>
        <v xml:space="preserve">[effect:attack_break, target:unit_all, turn:2, val:0.1, calc:mul, animation:attack_break01],[effect:rush, count:1, val:1.0]     </v>
      </c>
      <c r="O31" s="64">
        <f t="shared" si="52"/>
        <v>9</v>
      </c>
      <c r="P31" s="64">
        <f t="shared" si="53"/>
        <v>21</v>
      </c>
      <c r="Q31" s="64">
        <f t="shared" si="54"/>
        <v>30</v>
      </c>
      <c r="R31" s="64">
        <f t="shared" si="55"/>
        <v>38</v>
      </c>
      <c r="S31" s="64" t="str">
        <f>IFERROR(VLOOKUP(MID(N31,Q31,R31-Q31),[6]skilldef!$C:$D,2,FALSE),"-") &amp; " / " &amp; IFERROR(VLOOKUP(MID(N31,O31,P31-O31),[6]skilldef!$A:$B,2,FALSE),"-")</f>
        <v>味方全体に / -</v>
      </c>
      <c r="T31" s="48" t="str">
        <f t="shared" si="56"/>
        <v xml:space="preserve">[effect:rush, count:1, val:1.0]     </v>
      </c>
      <c r="U31" s="64">
        <f t="shared" si="57"/>
        <v>9</v>
      </c>
      <c r="V31" s="64">
        <f t="shared" si="58"/>
        <v>13</v>
      </c>
      <c r="W31" s="64" t="e">
        <f t="shared" si="59"/>
        <v>#VALUE!</v>
      </c>
      <c r="X31" s="64">
        <f t="shared" si="60"/>
        <v>22</v>
      </c>
      <c r="Y31" s="64" t="str">
        <f>IFERROR(VLOOKUP(MID(T31,W31,X31-W31),[6]skilldef!$C:$D,2,FALSE),"-") &amp; " / " &amp; IFERROR(VLOOKUP(MID(T31,U31,V31-U31),[6]skilldef!$A:$B,2,FALSE),"-")</f>
        <v>- / 連続攻撃</v>
      </c>
      <c r="Z31" s="50"/>
      <c r="AA31" s="52"/>
      <c r="AB31" s="50"/>
    </row>
    <row r="32" spans="1:28" ht="21" customHeight="1" x14ac:dyDescent="0.15">
      <c r="A32" s="114">
        <v>30050037</v>
      </c>
      <c r="B32" s="109" t="s">
        <v>282</v>
      </c>
      <c r="C32" s="50">
        <v>3</v>
      </c>
      <c r="D32" s="50" t="s">
        <v>128</v>
      </c>
      <c r="E32" s="51" t="s">
        <v>269</v>
      </c>
      <c r="F32" s="51" t="s">
        <v>308</v>
      </c>
      <c r="G32" s="64" t="str">
        <f t="shared" si="46"/>
        <v>[effect:enemy_message, val1:1.2, val2:2.5]</v>
      </c>
      <c r="H32" s="64">
        <f t="shared" si="47"/>
        <v>9</v>
      </c>
      <c r="I32" s="64">
        <f t="shared" si="48"/>
        <v>22</v>
      </c>
      <c r="J32" s="64" t="e">
        <f t="shared" si="49"/>
        <v>#VALUE!</v>
      </c>
      <c r="K32" s="64">
        <f t="shared" si="50"/>
        <v>32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51"/>
        <v xml:space="preserve">[effect:degrade_unit, target:unit_all, turn:2, status:heal, val:0.1, calc:mul, animation:degrade_unit_all_heal],[effect:rush, count:1, val:1.0]    </v>
      </c>
      <c r="N32" s="48" t="str">
        <f>IFERROR(LEFT(M32,FIND("],",M32)+#REF!),M32)</f>
        <v xml:space="preserve">[effect:degrade_unit, target:unit_all, turn:2, status:heal, val:0.1, calc:mul, animation:degrade_unit_all_heal],[effect:rush, count:1, val:1.0]    </v>
      </c>
      <c r="O32" s="64">
        <f t="shared" si="52"/>
        <v>9</v>
      </c>
      <c r="P32" s="64">
        <f t="shared" si="53"/>
        <v>21</v>
      </c>
      <c r="Q32" s="64">
        <f t="shared" si="54"/>
        <v>30</v>
      </c>
      <c r="R32" s="64">
        <f t="shared" si="55"/>
        <v>38</v>
      </c>
      <c r="S32" s="64" t="str">
        <f>IFERROR(VLOOKUP(MID(N32,Q32,R32-Q32),[6]skilldef!$C:$D,2,FALSE),"-") &amp; " / " &amp; IFERROR(VLOOKUP(MID(N32,O32,P32-O32),[6]skilldef!$A:$B,2,FALSE),"-")</f>
        <v>味方全体に / ステータスDOWN</v>
      </c>
      <c r="T32" s="48" t="str">
        <f t="shared" si="56"/>
        <v xml:space="preserve">[effect:rush, count:1, val:1.0]    </v>
      </c>
      <c r="U32" s="64">
        <f t="shared" si="57"/>
        <v>9</v>
      </c>
      <c r="V32" s="64">
        <f t="shared" si="58"/>
        <v>13</v>
      </c>
      <c r="W32" s="64" t="e">
        <f t="shared" si="59"/>
        <v>#VALUE!</v>
      </c>
      <c r="X32" s="64">
        <f t="shared" si="60"/>
        <v>22</v>
      </c>
      <c r="Y32" s="64" t="str">
        <f>IFERROR(VLOOKUP(MID(T32,W32,X32-W32),[6]skilldef!$C:$D,2,FALSE),"-") &amp; " / " &amp; IFERROR(VLOOKUP(MID(T32,U32,V32-U32),[6]skilldef!$A:$B,2,FALSE),"-")</f>
        <v>- / 連続攻撃</v>
      </c>
      <c r="Z32" s="50"/>
      <c r="AA32" s="52"/>
      <c r="AB32" s="50"/>
    </row>
    <row r="33" spans="1:28" ht="21" customHeight="1" x14ac:dyDescent="0.15">
      <c r="A33" s="114">
        <v>30050038</v>
      </c>
      <c r="B33" s="109" t="s">
        <v>261</v>
      </c>
      <c r="C33" s="50">
        <v>3</v>
      </c>
      <c r="D33" s="50" t="s">
        <v>128</v>
      </c>
      <c r="E33" s="51" t="s">
        <v>276</v>
      </c>
      <c r="F33" s="51" t="s">
        <v>344</v>
      </c>
      <c r="G33" s="64" t="str">
        <f t="shared" si="46"/>
        <v>[effect:enemy_message, val1:1.2, val2:1.2]</v>
      </c>
      <c r="H33" s="64">
        <f t="shared" si="47"/>
        <v>9</v>
      </c>
      <c r="I33" s="64">
        <f t="shared" si="48"/>
        <v>22</v>
      </c>
      <c r="J33" s="64" t="e">
        <f t="shared" si="49"/>
        <v>#VALUE!</v>
      </c>
      <c r="K33" s="64">
        <f t="shared" si="50"/>
        <v>32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si="51"/>
        <v xml:space="preserve">[effect:fix_speed, target:myself, turn:1]    </v>
      </c>
      <c r="N33" s="48" t="str">
        <f>IFERROR(LEFT(M33,FIND("],",M33)+#REF!),M33)</f>
        <v xml:space="preserve">[effect:fix_speed, target:myself, turn:1]    </v>
      </c>
      <c r="O33" s="64">
        <f t="shared" si="52"/>
        <v>9</v>
      </c>
      <c r="P33" s="64">
        <f t="shared" si="53"/>
        <v>18</v>
      </c>
      <c r="Q33" s="64">
        <f t="shared" si="54"/>
        <v>27</v>
      </c>
      <c r="R33" s="64">
        <f t="shared" si="55"/>
        <v>33</v>
      </c>
      <c r="S33" s="64" t="str">
        <f>IFERROR(VLOOKUP(MID(N33,Q33,R33-Q33),[6]skilldef!$C:$D,2,FALSE),"-") &amp; " / " &amp; IFERROR(VLOOKUP(MID(N33,O33,P33-O33),[6]skilldef!$A:$B,2,FALSE),"-")</f>
        <v>自分自身に / 行動値設定</v>
      </c>
      <c r="T33" s="48" t="str">
        <f t="shared" si="56"/>
        <v>none</v>
      </c>
      <c r="U33" s="64" t="e">
        <f t="shared" si="57"/>
        <v>#VALUE!</v>
      </c>
      <c r="V33" s="64">
        <f t="shared" si="58"/>
        <v>4</v>
      </c>
      <c r="W33" s="64" t="e">
        <f t="shared" si="59"/>
        <v>#VALUE!</v>
      </c>
      <c r="X33" s="64" t="e">
        <f t="shared" si="60"/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114">
        <v>30050039</v>
      </c>
      <c r="B34" s="109" t="s">
        <v>291</v>
      </c>
      <c r="C34" s="50">
        <v>3</v>
      </c>
      <c r="D34" s="50" t="s">
        <v>128</v>
      </c>
      <c r="E34" s="51" t="s">
        <v>265</v>
      </c>
      <c r="F34" s="51" t="s">
        <v>262</v>
      </c>
      <c r="G34" s="64" t="str">
        <f t="shared" si="46"/>
        <v>[effect:enemy_message, val1:1.2, val2:1.2]</v>
      </c>
      <c r="H34" s="64">
        <f t="shared" si="47"/>
        <v>9</v>
      </c>
      <c r="I34" s="64">
        <f t="shared" si="48"/>
        <v>22</v>
      </c>
      <c r="J34" s="64" t="e">
        <f t="shared" si="49"/>
        <v>#VALUE!</v>
      </c>
      <c r="K34" s="64">
        <f t="shared" si="50"/>
        <v>32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si="51"/>
        <v xml:space="preserve">[effect:rush, count:2, val:0.7] </v>
      </c>
      <c r="N34" s="48" t="str">
        <f>IFERROR(LEFT(M34,FIND("],",M34)+S42),M34)</f>
        <v xml:space="preserve">[effect:rush, count:2, val:0.7] </v>
      </c>
      <c r="O34" s="64">
        <f t="shared" si="52"/>
        <v>9</v>
      </c>
      <c r="P34" s="64">
        <f t="shared" si="53"/>
        <v>13</v>
      </c>
      <c r="Q34" s="64" t="e">
        <f t="shared" si="54"/>
        <v>#VALUE!</v>
      </c>
      <c r="R34" s="64">
        <f t="shared" si="55"/>
        <v>22</v>
      </c>
      <c r="S34" s="64" t="str">
        <f>IFERROR(VLOOKUP(MID(N34,Q34,R34-Q34),[6]skilldef!$C:$D,2,FALSE),"-") &amp; " / " &amp; IFERROR(VLOOKUP(MID(N34,O34,P34-O34),[6]skilldef!$A:$B,2,FALSE),"-")</f>
        <v>- / 連続攻撃</v>
      </c>
      <c r="T34" s="48" t="str">
        <f t="shared" si="56"/>
        <v>none</v>
      </c>
      <c r="U34" s="64" t="e">
        <f t="shared" si="57"/>
        <v>#VALUE!</v>
      </c>
      <c r="V34" s="64">
        <f t="shared" si="58"/>
        <v>4</v>
      </c>
      <c r="W34" s="64" t="e">
        <f t="shared" si="59"/>
        <v>#VALUE!</v>
      </c>
      <c r="X34" s="64" t="e">
        <f t="shared" si="60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34" customHeight="1" x14ac:dyDescent="0.15">
      <c r="A35" s="115">
        <v>30050040</v>
      </c>
      <c r="B35" s="109" t="s">
        <v>321</v>
      </c>
      <c r="C35" s="50">
        <v>3</v>
      </c>
      <c r="D35" s="50" t="s">
        <v>128</v>
      </c>
      <c r="E35" s="51" t="s">
        <v>353</v>
      </c>
      <c r="F35" s="51" t="s">
        <v>260</v>
      </c>
      <c r="G35" s="64" t="str">
        <f t="shared" si="46"/>
        <v>[effect:enemy_message, val1:2.1, val2:1.2]</v>
      </c>
      <c r="H35" s="64">
        <f t="shared" si="47"/>
        <v>9</v>
      </c>
      <c r="I35" s="64">
        <f t="shared" si="48"/>
        <v>22</v>
      </c>
      <c r="J35" s="64" t="e">
        <f t="shared" si="49"/>
        <v>#VALUE!</v>
      </c>
      <c r="K35" s="64">
        <f t="shared" si="50"/>
        <v>32</v>
      </c>
      <c r="L35" s="64" t="str">
        <f>IFERROR(VLOOKUP(MID(G35,J35,K35-J35),[6]skilldef!$C:$D,2,FALSE),"-") &amp; " / " &amp; IFERROR(VLOOKUP(MID(G35,H35,I35-H35),[6]skilldef!$A:$B,2,FALSE),"-")</f>
        <v>- / -</v>
      </c>
      <c r="M35" s="64" t="str">
        <f t="shared" si="51"/>
        <v xml:space="preserve">[effect:tolerance, target:myself, turn:-1, count:-1, tolerance_effect:all, animation:enemy_tolerance]    </v>
      </c>
      <c r="N35" s="48" t="str">
        <f>IFERROR(LEFT(M35,FIND("],",M35)+S43),M35)</f>
        <v xml:space="preserve">[effect:tolerance, target:myself, turn:-1, count:-1, tolerance_effect:all, animation:enemy_tolerance]    </v>
      </c>
      <c r="O35" s="64">
        <f t="shared" si="52"/>
        <v>9</v>
      </c>
      <c r="P35" s="64">
        <f t="shared" si="53"/>
        <v>18</v>
      </c>
      <c r="Q35" s="64">
        <f t="shared" si="54"/>
        <v>27</v>
      </c>
      <c r="R35" s="64">
        <f t="shared" si="55"/>
        <v>33</v>
      </c>
      <c r="S35" s="64" t="str">
        <f>IFERROR(VLOOKUP(MID(N35,Q35,R35-Q35),[6]skilldef!$C:$D,2,FALSE),"-") &amp; " / " &amp; IFERROR(VLOOKUP(MID(N35,O35,P35-O35),[6]skilldef!$A:$B,2,FALSE),"-")</f>
        <v>自分自身に / 状態異常耐性</v>
      </c>
      <c r="T35" s="48" t="str">
        <f t="shared" si="56"/>
        <v>none</v>
      </c>
      <c r="U35" s="64" t="e">
        <f t="shared" si="57"/>
        <v>#VALUE!</v>
      </c>
      <c r="V35" s="64">
        <f t="shared" si="58"/>
        <v>4</v>
      </c>
      <c r="W35" s="64" t="e">
        <f t="shared" si="59"/>
        <v>#VALUE!</v>
      </c>
      <c r="X35" s="64" t="e">
        <f t="shared" si="60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115">
        <v>30050041</v>
      </c>
      <c r="B36" s="109" t="s">
        <v>335</v>
      </c>
      <c r="C36" s="50">
        <v>3</v>
      </c>
      <c r="D36" s="50" t="s">
        <v>128</v>
      </c>
      <c r="E36" s="51" t="s">
        <v>350</v>
      </c>
      <c r="F36" s="51" t="s">
        <v>312</v>
      </c>
      <c r="G36" s="64" t="str">
        <f t="shared" si="46"/>
        <v>[effect:enemy_message, val1:1.2, val2:2.5]</v>
      </c>
      <c r="H36" s="64">
        <f t="shared" si="47"/>
        <v>9</v>
      </c>
      <c r="I36" s="64">
        <f t="shared" si="48"/>
        <v>22</v>
      </c>
      <c r="J36" s="64" t="e">
        <f t="shared" si="49"/>
        <v>#VALUE!</v>
      </c>
      <c r="K36" s="64">
        <f t="shared" si="50"/>
        <v>32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si="51"/>
        <v xml:space="preserve">[effect:attack_break, target:unit_all, turn:3, val:0.1, calc:mul, animation:attack_break01],[effect:rush, count:1, val:0.7]     </v>
      </c>
      <c r="N36" s="48" t="str">
        <f>IFERROR(LEFT(M36,FIND("],",M36)+S45),M36)</f>
        <v xml:space="preserve">[effect:attack_break, target:unit_all, turn:3, val:0.1, calc:mul, animation:attack_break01],[effect:rush, count:1, val:0.7]     </v>
      </c>
      <c r="O36" s="64">
        <f t="shared" si="52"/>
        <v>9</v>
      </c>
      <c r="P36" s="64">
        <f t="shared" si="53"/>
        <v>21</v>
      </c>
      <c r="Q36" s="64">
        <f t="shared" si="54"/>
        <v>30</v>
      </c>
      <c r="R36" s="64">
        <f t="shared" si="55"/>
        <v>38</v>
      </c>
      <c r="S36" s="64" t="str">
        <f>IFERROR(VLOOKUP(MID(N36,Q36,R36-Q36),[6]skilldef!$C:$D,2,FALSE),"-") &amp; " / " &amp; IFERROR(VLOOKUP(MID(N36,O36,P36-O36),[6]skilldef!$A:$B,2,FALSE),"-")</f>
        <v>味方全体に / -</v>
      </c>
      <c r="T36" s="48" t="str">
        <f t="shared" si="56"/>
        <v xml:space="preserve">[effect:rush, count:1, val:0.7]     </v>
      </c>
      <c r="U36" s="64">
        <f t="shared" si="57"/>
        <v>9</v>
      </c>
      <c r="V36" s="64">
        <f t="shared" si="58"/>
        <v>13</v>
      </c>
      <c r="W36" s="64" t="e">
        <f t="shared" si="59"/>
        <v>#VALUE!</v>
      </c>
      <c r="X36" s="64">
        <f t="shared" si="60"/>
        <v>22</v>
      </c>
      <c r="Y36" s="64" t="str">
        <f>IFERROR(VLOOKUP(MID(T36,W36,X36-W36),[6]skilldef!$C:$D,2,FALSE),"-") &amp; " / " &amp; IFERROR(VLOOKUP(MID(T36,U36,V36-U36),[6]skilldef!$A:$B,2,FALSE),"-")</f>
        <v>- / 連続攻撃</v>
      </c>
      <c r="Z36" s="50"/>
      <c r="AA36" s="52"/>
      <c r="AB36" s="50"/>
    </row>
    <row r="37" spans="1:28" ht="21" customHeight="1" x14ac:dyDescent="0.15">
      <c r="A37" s="115">
        <v>30050042</v>
      </c>
      <c r="B37" s="109" t="s">
        <v>336</v>
      </c>
      <c r="C37" s="50">
        <v>3</v>
      </c>
      <c r="D37" s="50" t="s">
        <v>128</v>
      </c>
      <c r="E37" s="51" t="s">
        <v>269</v>
      </c>
      <c r="F37" s="51" t="s">
        <v>313</v>
      </c>
      <c r="G37" s="64" t="str">
        <f t="shared" si="46"/>
        <v>[effect:enemy_message, val1:1.2, val2:2.5]</v>
      </c>
      <c r="H37" s="64">
        <f t="shared" si="47"/>
        <v>9</v>
      </c>
      <c r="I37" s="64">
        <f t="shared" si="48"/>
        <v>22</v>
      </c>
      <c r="J37" s="64" t="e">
        <f t="shared" si="49"/>
        <v>#VALUE!</v>
      </c>
      <c r="K37" s="64">
        <f t="shared" si="50"/>
        <v>32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si="51"/>
        <v xml:space="preserve">[effect:degrade_unit, target:unit_all, turn:3, status:heal, val:0.1, calc:mul, animation:degrade_unit_all_heal],[effect:rush, count:1, val:0.7]    </v>
      </c>
      <c r="N37" s="48" t="str">
        <f>IFERROR(LEFT(M37,FIND("],",M37)+S46),M37)</f>
        <v xml:space="preserve">[effect:degrade_unit, target:unit_all, turn:3, status:heal, val:0.1, calc:mul, animation:degrade_unit_all_heal],[effect:rush, count:1, val:0.7]    </v>
      </c>
      <c r="O37" s="64">
        <f t="shared" si="52"/>
        <v>9</v>
      </c>
      <c r="P37" s="64">
        <f t="shared" si="53"/>
        <v>21</v>
      </c>
      <c r="Q37" s="64">
        <f t="shared" si="54"/>
        <v>30</v>
      </c>
      <c r="R37" s="64">
        <f t="shared" si="55"/>
        <v>38</v>
      </c>
      <c r="S37" s="64" t="str">
        <f>IFERROR(VLOOKUP(MID(N37,Q37,R37-Q37),[6]skilldef!$C:$D,2,FALSE),"-") &amp; " / " &amp; IFERROR(VLOOKUP(MID(N37,O37,P37-O37),[6]skilldef!$A:$B,2,FALSE),"-")</f>
        <v>味方全体に / ステータスDOWN</v>
      </c>
      <c r="T37" s="48" t="str">
        <f t="shared" si="56"/>
        <v xml:space="preserve">[effect:rush, count:1, val:0.7]    </v>
      </c>
      <c r="U37" s="64">
        <f t="shared" si="57"/>
        <v>9</v>
      </c>
      <c r="V37" s="64">
        <f t="shared" si="58"/>
        <v>13</v>
      </c>
      <c r="W37" s="64" t="e">
        <f t="shared" si="59"/>
        <v>#VALUE!</v>
      </c>
      <c r="X37" s="64">
        <f t="shared" si="60"/>
        <v>22</v>
      </c>
      <c r="Y37" s="64" t="str">
        <f>IFERROR(VLOOKUP(MID(T37,W37,X37-W37),[6]skilldef!$C:$D,2,FALSE),"-") &amp; " / " &amp; IFERROR(VLOOKUP(MID(T37,U37,V37-U37),[6]skilldef!$A:$B,2,FALSE),"-")</f>
        <v>- / 連続攻撃</v>
      </c>
      <c r="Z37" s="50"/>
      <c r="AA37" s="52"/>
      <c r="AB37" s="50"/>
    </row>
    <row r="38" spans="1:28" ht="47" customHeight="1" x14ac:dyDescent="0.15">
      <c r="A38" s="115">
        <v>30050043</v>
      </c>
      <c r="B38" s="113" t="s">
        <v>359</v>
      </c>
      <c r="C38" s="50">
        <v>3</v>
      </c>
      <c r="D38" s="50" t="s">
        <v>128</v>
      </c>
      <c r="E38" s="51" t="s">
        <v>267</v>
      </c>
      <c r="F38" s="51" t="s">
        <v>345</v>
      </c>
      <c r="G38" s="64" t="str">
        <f t="shared" si="46"/>
        <v>[effect:enemy_message, val1:1.2, val2:1.5]</v>
      </c>
      <c r="H38" s="64">
        <f t="shared" si="47"/>
        <v>9</v>
      </c>
      <c r="I38" s="64">
        <f t="shared" si="48"/>
        <v>22</v>
      </c>
      <c r="J38" s="64" t="e">
        <f t="shared" si="49"/>
        <v>#VALUE!</v>
      </c>
      <c r="K38" s="64">
        <f t="shared" si="50"/>
        <v>32</v>
      </c>
      <c r="L38" s="64" t="str">
        <f>IFERROR(VLOOKUP(MID(G38,J38,K38-J38),[6]skilldef!$C:$D,2,FALSE),"-") &amp; " / " &amp; IFERROR(VLOOKUP(MID(G38,H38,I38-H38),[6]skilldef!$A:$B,2,FALSE),"-")</f>
        <v>- / -</v>
      </c>
      <c r="M38" s="64" t="str">
        <f t="shared" si="51"/>
        <v>[effect:break_attack, target:unit_all, val:0.01, lowest_val:300, count:-1, color:blue, block01:block_red, block02:block_blue]</v>
      </c>
      <c r="N38" s="48" t="str">
        <f>IFERROR(LEFT(M38,FIND("],",M38)+S47),M38)</f>
        <v>[effect:break_attack, target:unit_all, val:0.01, lowest_val:300, count:-1, color:blue, block01:block_red, block02:block_blue]</v>
      </c>
      <c r="O38" s="64">
        <f t="shared" si="52"/>
        <v>9</v>
      </c>
      <c r="P38" s="64">
        <f t="shared" si="53"/>
        <v>21</v>
      </c>
      <c r="Q38" s="64">
        <f t="shared" si="54"/>
        <v>30</v>
      </c>
      <c r="R38" s="64">
        <f t="shared" si="55"/>
        <v>38</v>
      </c>
      <c r="S38" s="64" t="str">
        <f>IFERROR(VLOOKUP(MID(N38,Q38,R38-Q38),[6]skilldef!$C:$D,2,FALSE),"-") &amp; " / " &amp; IFERROR(VLOOKUP(MID(N38,O38,P38-O38),[6]skilldef!$A:$B,2,FALSE),"-")</f>
        <v>味方全体に / -</v>
      </c>
      <c r="T38" s="48" t="str">
        <f t="shared" si="56"/>
        <v>none</v>
      </c>
      <c r="U38" s="64" t="e">
        <f t="shared" si="57"/>
        <v>#VALUE!</v>
      </c>
      <c r="V38" s="64">
        <f t="shared" si="58"/>
        <v>4</v>
      </c>
      <c r="W38" s="64" t="e">
        <f t="shared" si="59"/>
        <v>#VALUE!</v>
      </c>
      <c r="X38" s="64" t="e">
        <f t="shared" si="60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56" customHeight="1" x14ac:dyDescent="0.15">
      <c r="A39" s="115">
        <v>30050044</v>
      </c>
      <c r="B39" s="113" t="s">
        <v>347</v>
      </c>
      <c r="C39" s="50">
        <v>3</v>
      </c>
      <c r="D39" s="50" t="s">
        <v>128</v>
      </c>
      <c r="E39" s="51" t="s">
        <v>266</v>
      </c>
      <c r="F39" s="51" t="s">
        <v>346</v>
      </c>
      <c r="G39" s="64" t="str">
        <f t="shared" si="46"/>
        <v>[effect:enemy_message, val1:1.2, val2:2.3]</v>
      </c>
      <c r="H39" s="64">
        <f t="shared" si="47"/>
        <v>9</v>
      </c>
      <c r="I39" s="64">
        <f t="shared" si="48"/>
        <v>22</v>
      </c>
      <c r="J39" s="64" t="e">
        <f t="shared" si="49"/>
        <v>#VALUE!</v>
      </c>
      <c r="K39" s="64">
        <f t="shared" si="50"/>
        <v>32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si="51"/>
        <v>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val:0.045,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val:0.065, animation:change_range_block]</v>
      </c>
      <c r="N39" s="48" t="str">
        <f>IFERROR(LEFT(M39,FIND("],",M39)+S48),M39)</f>
        <v>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val:0.045,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val:0.065, animation:change_range_block]</v>
      </c>
      <c r="O39" s="64">
        <f t="shared" si="52"/>
        <v>9</v>
      </c>
      <c r="P39" s="64">
        <f t="shared" si="53"/>
        <v>27</v>
      </c>
      <c r="Q39" s="64">
        <f t="shared" si="54"/>
        <v>389</v>
      </c>
      <c r="R39" s="64">
        <f t="shared" si="55"/>
        <v>43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56"/>
        <v>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val:0.065, animation:change_range_block]</v>
      </c>
      <c r="U39" s="64">
        <f t="shared" si="57"/>
        <v>9</v>
      </c>
      <c r="V39" s="64">
        <f t="shared" si="58"/>
        <v>27</v>
      </c>
      <c r="W39" s="64">
        <f t="shared" si="59"/>
        <v>346</v>
      </c>
      <c r="X39" s="64">
        <f t="shared" si="60"/>
        <v>42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115">
        <v>30050045</v>
      </c>
      <c r="B40" s="109" t="s">
        <v>341</v>
      </c>
      <c r="C40" s="50">
        <v>3</v>
      </c>
      <c r="D40" s="50" t="s">
        <v>128</v>
      </c>
      <c r="E40" s="51" t="s">
        <v>264</v>
      </c>
      <c r="F40" s="51" t="s">
        <v>354</v>
      </c>
      <c r="G40" s="64" t="str">
        <f t="shared" si="46"/>
        <v>[effect:enemy_message, val1:1.2, val2:1.2]</v>
      </c>
      <c r="H40" s="64">
        <f t="shared" si="47"/>
        <v>9</v>
      </c>
      <c r="I40" s="64">
        <f t="shared" si="48"/>
        <v>22</v>
      </c>
      <c r="J40" s="64" t="e">
        <f t="shared" si="49"/>
        <v>#VALUE!</v>
      </c>
      <c r="K40" s="64">
        <f t="shared" si="50"/>
        <v>32</v>
      </c>
      <c r="L40" s="64" t="str">
        <f>IFERROR(VLOOKUP(MID(G40,J40,K40-J40),[6]skilldef!$C:$D,2,FALSE),"-") &amp; " / " &amp; IFERROR(VLOOKUP(MID(G40,H40,I40-H40),[6]skilldef!$A:$B,2,FALSE),"-")</f>
        <v>- / -</v>
      </c>
      <c r="M40" s="64" t="str">
        <f t="shared" si="51"/>
        <v xml:space="preserve">[effect:rush, count:4, val:0.3]      </v>
      </c>
      <c r="N40" s="48" t="str">
        <f>IFERROR(LEFT(M40,FIND("],",M40)+S48),M40)</f>
        <v xml:space="preserve">[effect:rush, count:4, val:0.3]      </v>
      </c>
      <c r="O40" s="64">
        <f t="shared" si="52"/>
        <v>9</v>
      </c>
      <c r="P40" s="64">
        <f t="shared" si="53"/>
        <v>13</v>
      </c>
      <c r="Q40" s="64" t="e">
        <f t="shared" si="54"/>
        <v>#VALUE!</v>
      </c>
      <c r="R40" s="64">
        <f t="shared" si="55"/>
        <v>22</v>
      </c>
      <c r="S40" s="64" t="str">
        <f>IFERROR(VLOOKUP(MID(N40,Q40,R40-Q40),[6]skilldef!$C:$D,2,FALSE),"-") &amp; " / " &amp; IFERROR(VLOOKUP(MID(N40,O40,P40-O40),[6]skilldef!$A:$B,2,FALSE),"-")</f>
        <v>- / 連続攻撃</v>
      </c>
      <c r="T40" s="48" t="str">
        <f t="shared" si="56"/>
        <v>none</v>
      </c>
      <c r="U40" s="64" t="e">
        <f t="shared" si="57"/>
        <v>#VALUE!</v>
      </c>
      <c r="V40" s="64">
        <f t="shared" si="58"/>
        <v>4</v>
      </c>
      <c r="W40" s="64" t="e">
        <f t="shared" si="59"/>
        <v>#VALUE!</v>
      </c>
      <c r="X40" s="64" t="e">
        <f t="shared" si="60"/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115">
        <v>30050046</v>
      </c>
      <c r="B41" s="47" t="s">
        <v>298</v>
      </c>
      <c r="C41" s="50">
        <v>3</v>
      </c>
      <c r="D41" s="50" t="s">
        <v>128</v>
      </c>
      <c r="E41" s="51" t="s">
        <v>352</v>
      </c>
      <c r="F41" s="51" t="s">
        <v>268</v>
      </c>
      <c r="G41" s="64" t="str">
        <f t="shared" si="46"/>
        <v>[effect:enemy_message, val1:1.7, val2:1.7, dead_type:suicide]</v>
      </c>
      <c r="H41" s="64">
        <f t="shared" si="47"/>
        <v>9</v>
      </c>
      <c r="I41" s="64">
        <f t="shared" si="48"/>
        <v>22</v>
      </c>
      <c r="J41" s="64" t="e">
        <f t="shared" si="49"/>
        <v>#VALUE!</v>
      </c>
      <c r="K41" s="64">
        <f t="shared" si="50"/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51"/>
        <v>none</v>
      </c>
      <c r="N41" s="48" t="str">
        <f>IFERROR(LEFT(M41,FIND("],",M41)+S49),M41)</f>
        <v>none</v>
      </c>
      <c r="O41" s="64" t="e">
        <f t="shared" si="52"/>
        <v>#VALUE!</v>
      </c>
      <c r="P41" s="64">
        <f t="shared" si="53"/>
        <v>4</v>
      </c>
      <c r="Q41" s="64" t="e">
        <f t="shared" si="54"/>
        <v>#VALUE!</v>
      </c>
      <c r="R41" s="64" t="e">
        <f t="shared" si="55"/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si="56"/>
        <v>none</v>
      </c>
      <c r="U41" s="64" t="e">
        <f t="shared" si="57"/>
        <v>#VALUE!</v>
      </c>
      <c r="V41" s="64">
        <f t="shared" si="58"/>
        <v>4</v>
      </c>
      <c r="W41" s="64" t="e">
        <f t="shared" si="59"/>
        <v>#VALUE!</v>
      </c>
      <c r="X41" s="64" t="e">
        <f t="shared" si="60"/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19">
        <v>30050049</v>
      </c>
      <c r="B42" s="109" t="s">
        <v>337</v>
      </c>
      <c r="C42" s="50">
        <v>3</v>
      </c>
      <c r="D42" s="50" t="s">
        <v>128</v>
      </c>
      <c r="E42" s="51" t="s">
        <v>271</v>
      </c>
      <c r="F42" s="51" t="s">
        <v>306</v>
      </c>
      <c r="G42" s="64" t="str">
        <f t="shared" ref="G42:G61" si="62">IFERROR(LEFT(B42,FIND("],",B42)),B42)</f>
        <v>[effect:enemy_message, val1:1.2, val2:2.0]</v>
      </c>
      <c r="H42" s="64">
        <f t="shared" ref="H42:H61" si="63">FIND("effect:",G42)+7</f>
        <v>9</v>
      </c>
      <c r="I42" s="64">
        <f t="shared" ref="I42:I61" si="64">IFERROR(FIND(",",G42),LEN(G42))</f>
        <v>22</v>
      </c>
      <c r="J42" s="64" t="e">
        <f t="shared" ref="J42:J61" si="65">FIND("target:",G42)+7</f>
        <v>#VALUE!</v>
      </c>
      <c r="K42" s="64">
        <f t="shared" ref="K42:K61" si="66">FIND(",",G42,I42+1)</f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ref="M42:M61" si="67">IFERROR(RIGHT(B42,LEN(B42)-FIND("],",B42)-1),"none")</f>
        <v xml:space="preserve">[effect:attack_break, target:unit_all, turn:1, val:0.1, calc:mul, animation:attack_break01]    </v>
      </c>
      <c r="N42" s="48" t="str">
        <f>IFERROR(LEFT(M42,FIND("],",M42)+S52),M42)</f>
        <v xml:space="preserve">[effect:attack_break, target:unit_all, turn:1, val:0.1, calc:mul, animation:attack_break01]    </v>
      </c>
      <c r="O42" s="64">
        <f t="shared" ref="O42:O61" si="68">FIND("effect:",N42)+7</f>
        <v>9</v>
      </c>
      <c r="P42" s="64">
        <f t="shared" ref="P42:P61" si="69">IFERROR(FIND(",",N42),LEN(N42))</f>
        <v>21</v>
      </c>
      <c r="Q42" s="64">
        <f t="shared" ref="Q42:Q61" si="70">FIND("target:",N42)+7</f>
        <v>30</v>
      </c>
      <c r="R42" s="64">
        <f t="shared" ref="R42:R61" si="71">FIND(",",N42,P42+1)</f>
        <v>38</v>
      </c>
      <c r="S42" s="64" t="str">
        <f>IFERROR(VLOOKUP(MID(N42,Q42,R42-Q42),[6]skilldef!$C:$D,2,FALSE),"-") &amp; " / " &amp; IFERROR(VLOOKUP(MID(N42,O42,P42-O42),[6]skilldef!$A:$B,2,FALSE),"-")</f>
        <v>味方全体に / -</v>
      </c>
      <c r="T42" s="48" t="str">
        <f t="shared" ref="T42:T61" si="72">IFERROR(RIGHT(M42,LEN(M42)-FIND("],",M42)-1),"none")</f>
        <v>none</v>
      </c>
      <c r="U42" s="64" t="e">
        <f t="shared" ref="U42:U61" si="73">FIND("effect:",T42)+7</f>
        <v>#VALUE!</v>
      </c>
      <c r="V42" s="64">
        <f t="shared" ref="V42:V61" si="74">IFERROR(FIND(",",T42),LEN(T42))</f>
        <v>4</v>
      </c>
      <c r="W42" s="64" t="e">
        <f t="shared" ref="W42:W61" si="75">FIND("target:",T42)+7</f>
        <v>#VALUE!</v>
      </c>
      <c r="X42" s="64" t="e">
        <f t="shared" ref="X42:X61" si="76">FIND(",",T42,V42+1)</f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120">
        <v>30050050</v>
      </c>
      <c r="B43" s="109" t="s">
        <v>280</v>
      </c>
      <c r="C43" s="50">
        <v>3</v>
      </c>
      <c r="D43" s="50" t="s">
        <v>128</v>
      </c>
      <c r="E43" s="51" t="s">
        <v>287</v>
      </c>
      <c r="F43" s="51" t="s">
        <v>262</v>
      </c>
      <c r="G43" s="64" t="str">
        <f t="shared" si="62"/>
        <v>[effect:enemy_message, val1:1.2, val2:1.2]</v>
      </c>
      <c r="H43" s="64">
        <f t="shared" si="63"/>
        <v>9</v>
      </c>
      <c r="I43" s="64">
        <f t="shared" si="64"/>
        <v>22</v>
      </c>
      <c r="J43" s="64" t="e">
        <f t="shared" si="65"/>
        <v>#VALUE!</v>
      </c>
      <c r="K43" s="64">
        <f t="shared" si="66"/>
        <v>32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si="67"/>
        <v xml:space="preserve">[effect:rush, count:2, val:0.2] </v>
      </c>
      <c r="N43" s="48" t="str">
        <f>IFERROR(LEFT(M43,FIND("],",M43)+S53),M43)</f>
        <v xml:space="preserve">[effect:rush, count:2, val:0.2] </v>
      </c>
      <c r="O43" s="64">
        <f t="shared" si="68"/>
        <v>9</v>
      </c>
      <c r="P43" s="64">
        <f t="shared" si="69"/>
        <v>13</v>
      </c>
      <c r="Q43" s="64" t="e">
        <f t="shared" si="70"/>
        <v>#VALUE!</v>
      </c>
      <c r="R43" s="64">
        <f t="shared" si="71"/>
        <v>22</v>
      </c>
      <c r="S43" s="64" t="str">
        <f>IFERROR(VLOOKUP(MID(N43,Q43,R43-Q43),[6]skilldef!$C:$D,2,FALSE),"-") &amp; " / " &amp; IFERROR(VLOOKUP(MID(N43,O43,P43-O43),[6]skilldef!$A:$B,2,FALSE),"-")</f>
        <v>- / 連続攻撃</v>
      </c>
      <c r="T43" s="48" t="str">
        <f t="shared" si="72"/>
        <v>none</v>
      </c>
      <c r="U43" s="64" t="e">
        <f t="shared" si="73"/>
        <v>#VALUE!</v>
      </c>
      <c r="V43" s="64">
        <f t="shared" si="74"/>
        <v>4</v>
      </c>
      <c r="W43" s="64" t="e">
        <f t="shared" si="75"/>
        <v>#VALUE!</v>
      </c>
      <c r="X43" s="64" t="e">
        <f t="shared" si="76"/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19">
        <v>30050051</v>
      </c>
      <c r="B44" s="109" t="s">
        <v>330</v>
      </c>
      <c r="C44" s="50">
        <v>3</v>
      </c>
      <c r="D44" s="50" t="s">
        <v>128</v>
      </c>
      <c r="E44" s="51" t="s">
        <v>272</v>
      </c>
      <c r="F44" s="51" t="s">
        <v>305</v>
      </c>
      <c r="G44" s="64" t="str">
        <f t="shared" si="62"/>
        <v>[effect:enemy_message, val1:1.2, val2:2.0]</v>
      </c>
      <c r="H44" s="64">
        <f t="shared" si="63"/>
        <v>9</v>
      </c>
      <c r="I44" s="64">
        <f t="shared" si="64"/>
        <v>22</v>
      </c>
      <c r="J44" s="64" t="e">
        <f t="shared" si="65"/>
        <v>#VALUE!</v>
      </c>
      <c r="K44" s="64">
        <f t="shared" si="66"/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67"/>
        <v xml:space="preserve">[effect:degrade_unit, target:unit_all, turn:1, status:heal, val:0.1, calc:mul, animation:degrade_unit_all_heal]    </v>
      </c>
      <c r="N44" s="48" t="str">
        <f>IFERROR(LEFT(M44,FIND("],",M44)+S54),M44)</f>
        <v xml:space="preserve">[effect:degrade_unit, target:unit_all, turn:1, status:heal, val:0.1, calc:mul, animation:degrade_unit_all_heal]    </v>
      </c>
      <c r="O44" s="64">
        <f t="shared" si="68"/>
        <v>9</v>
      </c>
      <c r="P44" s="64">
        <f t="shared" si="69"/>
        <v>21</v>
      </c>
      <c r="Q44" s="64">
        <f t="shared" si="70"/>
        <v>30</v>
      </c>
      <c r="R44" s="64">
        <f t="shared" si="71"/>
        <v>38</v>
      </c>
      <c r="S44" s="64" t="str">
        <f>IFERROR(VLOOKUP(MID(N44,Q44,R44-Q44),[6]skilldef!$C:$D,2,FALSE),"-") &amp; " / " &amp; IFERROR(VLOOKUP(MID(N44,O44,P44-O44),[6]skilldef!$A:$B,2,FALSE),"-")</f>
        <v>味方全体に / ステータスDOWN</v>
      </c>
      <c r="T44" s="48" t="str">
        <f t="shared" si="72"/>
        <v>none</v>
      </c>
      <c r="U44" s="64" t="e">
        <f t="shared" si="73"/>
        <v>#VALUE!</v>
      </c>
      <c r="V44" s="64">
        <f t="shared" si="74"/>
        <v>4</v>
      </c>
      <c r="W44" s="64" t="e">
        <f t="shared" si="75"/>
        <v>#VALUE!</v>
      </c>
      <c r="X44" s="64" t="e">
        <f t="shared" si="76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20">
        <v>30050052</v>
      </c>
      <c r="B45" s="109" t="s">
        <v>357</v>
      </c>
      <c r="C45" s="50">
        <v>3</v>
      </c>
      <c r="D45" s="50" t="s">
        <v>128</v>
      </c>
      <c r="E45" s="51" t="s">
        <v>289</v>
      </c>
      <c r="F45" s="51" t="s">
        <v>263</v>
      </c>
      <c r="G45" s="64" t="str">
        <f t="shared" si="62"/>
        <v>[effect:enemy_message, val1:1.2, val2:1.2]</v>
      </c>
      <c r="H45" s="64">
        <f t="shared" si="63"/>
        <v>9</v>
      </c>
      <c r="I45" s="64">
        <f t="shared" si="64"/>
        <v>22</v>
      </c>
      <c r="J45" s="64" t="e">
        <f t="shared" si="65"/>
        <v>#VALUE!</v>
      </c>
      <c r="K45" s="64">
        <f t="shared" si="66"/>
        <v>32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67"/>
        <v xml:space="preserve">[effect:rush, count:3, val:0.5]    </v>
      </c>
      <c r="N45" s="48" t="str">
        <f>IFERROR(LEFT(M45,FIND("],",M45)+S55),M45)</f>
        <v xml:space="preserve">[effect:rush, count:3, val:0.5]    </v>
      </c>
      <c r="O45" s="64">
        <f t="shared" si="68"/>
        <v>9</v>
      </c>
      <c r="P45" s="64">
        <f t="shared" si="69"/>
        <v>13</v>
      </c>
      <c r="Q45" s="64" t="e">
        <f t="shared" si="70"/>
        <v>#VALUE!</v>
      </c>
      <c r="R45" s="64">
        <f t="shared" si="71"/>
        <v>22</v>
      </c>
      <c r="S45" s="64" t="str">
        <f>IFERROR(VLOOKUP(MID(N45,Q45,R45-Q45),[6]skilldef!$C:$D,2,FALSE),"-") &amp; " / " &amp; IFERROR(VLOOKUP(MID(N45,O45,P45-O45),[6]skilldef!$A:$B,2,FALSE),"-")</f>
        <v>- / 連続攻撃</v>
      </c>
      <c r="T45" s="48" t="str">
        <f t="shared" si="72"/>
        <v>none</v>
      </c>
      <c r="U45" s="64" t="e">
        <f t="shared" si="73"/>
        <v>#VALUE!</v>
      </c>
      <c r="V45" s="64">
        <f t="shared" si="74"/>
        <v>4</v>
      </c>
      <c r="W45" s="64" t="e">
        <f t="shared" si="75"/>
        <v>#VALUE!</v>
      </c>
      <c r="X45" s="64" t="e">
        <f t="shared" si="76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20">
        <v>30050053</v>
      </c>
      <c r="B46" s="109" t="s">
        <v>332</v>
      </c>
      <c r="C46" s="50">
        <v>3</v>
      </c>
      <c r="D46" s="50" t="s">
        <v>128</v>
      </c>
      <c r="E46" s="51" t="s">
        <v>273</v>
      </c>
      <c r="F46" s="112" t="s">
        <v>301</v>
      </c>
      <c r="G46" s="64" t="str">
        <f t="shared" si="62"/>
        <v>[effect:enemy_message, val1:1.2, val2:1.3]</v>
      </c>
      <c r="H46" s="64">
        <f t="shared" si="63"/>
        <v>9</v>
      </c>
      <c r="I46" s="64">
        <f t="shared" si="64"/>
        <v>22</v>
      </c>
      <c r="J46" s="64" t="e">
        <f t="shared" si="65"/>
        <v>#VALUE!</v>
      </c>
      <c r="K46" s="64">
        <f t="shared" si="66"/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si="67"/>
        <v>[effect:change_range_block,block_change:1,base_type:0, square_count:3, position01:4, value_h01:1, value_w01:1,new_block:block_yellow, target:block_all, count:0, val:0,animation:change_range_block]</v>
      </c>
      <c r="N46" s="48" t="str">
        <f>IFERROR(LEFT(M46,FIND("],",M46)+#REF!),M46)</f>
        <v>[effect:change_range_block,block_change:1,base_type:0, square_count:3, position01:4, value_h01:1, value_w01:1,new_block:block_yellow, target:block_all, count:0, val:0,animation:change_range_block]</v>
      </c>
      <c r="O46" s="64">
        <f t="shared" si="68"/>
        <v>9</v>
      </c>
      <c r="P46" s="64">
        <f t="shared" si="69"/>
        <v>27</v>
      </c>
      <c r="Q46" s="64">
        <f t="shared" si="70"/>
        <v>142</v>
      </c>
      <c r="R46" s="64">
        <f t="shared" si="71"/>
        <v>42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72"/>
        <v>none</v>
      </c>
      <c r="U46" s="64" t="e">
        <f t="shared" si="73"/>
        <v>#VALUE!</v>
      </c>
      <c r="V46" s="64">
        <f t="shared" si="74"/>
        <v>4</v>
      </c>
      <c r="W46" s="64" t="e">
        <f t="shared" si="75"/>
        <v>#VALUE!</v>
      </c>
      <c r="X46" s="64" t="e">
        <f t="shared" si="76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120">
        <v>30050054</v>
      </c>
      <c r="B47" s="109" t="s">
        <v>342</v>
      </c>
      <c r="C47" s="50">
        <v>3</v>
      </c>
      <c r="D47" s="50" t="s">
        <v>128</v>
      </c>
      <c r="E47" s="51" t="s">
        <v>288</v>
      </c>
      <c r="F47" s="51" t="s">
        <v>258</v>
      </c>
      <c r="G47" s="64" t="str">
        <f t="shared" si="62"/>
        <v>[effect:enemy_message, val1:1.2, val2:1.2]</v>
      </c>
      <c r="H47" s="64">
        <f t="shared" si="63"/>
        <v>9</v>
      </c>
      <c r="I47" s="64">
        <f t="shared" si="64"/>
        <v>22</v>
      </c>
      <c r="J47" s="64" t="e">
        <f t="shared" si="65"/>
        <v>#VALUE!</v>
      </c>
      <c r="K47" s="64">
        <f t="shared" si="66"/>
        <v>32</v>
      </c>
      <c r="L47" s="64" t="str">
        <f>IFERROR(VLOOKUP(MID(G47,J47,K47-J47),[6]skilldef!$C:$D,2,FALSE),"-") &amp; " / " &amp; IFERROR(VLOOKUP(MID(G47,H47,I47-H47),[6]skilldef!$A:$B,2,FALSE),"-")</f>
        <v>- / -</v>
      </c>
      <c r="M47" s="64" t="str">
        <f t="shared" si="67"/>
        <v>[effect:spread, val:0.4]</v>
      </c>
      <c r="N47" s="48" t="str">
        <f>IFERROR(LEFT(M47,FIND("],",M47)+S56),M47)</f>
        <v>[effect:spread, val:0.4]</v>
      </c>
      <c r="O47" s="64">
        <f t="shared" si="68"/>
        <v>9</v>
      </c>
      <c r="P47" s="64">
        <f t="shared" si="69"/>
        <v>15</v>
      </c>
      <c r="Q47" s="64" t="e">
        <f t="shared" si="70"/>
        <v>#VALUE!</v>
      </c>
      <c r="R47" s="64" t="e">
        <f t="shared" si="71"/>
        <v>#VALUE!</v>
      </c>
      <c r="S47" s="64" t="str">
        <f>IFERROR(VLOOKUP(MID(N47,Q47,R47-Q47),[6]skilldef!$C:$D,2,FALSE),"-") &amp; " / " &amp; IFERROR(VLOOKUP(MID(N47,O47,P47-O47),[6]skilldef!$A:$B,2,FALSE),"-")</f>
        <v>- / 全体攻撃</v>
      </c>
      <c r="T47" s="48" t="str">
        <f t="shared" si="72"/>
        <v>none</v>
      </c>
      <c r="U47" s="64" t="e">
        <f t="shared" si="73"/>
        <v>#VALUE!</v>
      </c>
      <c r="V47" s="64">
        <f t="shared" si="74"/>
        <v>4</v>
      </c>
      <c r="W47" s="64" t="e">
        <f t="shared" si="75"/>
        <v>#VALUE!</v>
      </c>
      <c r="X47" s="64" t="e">
        <f t="shared" si="76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120">
        <v>30050055</v>
      </c>
      <c r="B48" s="109" t="s">
        <v>333</v>
      </c>
      <c r="C48" s="50">
        <v>3</v>
      </c>
      <c r="D48" s="50" t="s">
        <v>128</v>
      </c>
      <c r="E48" s="51" t="s">
        <v>273</v>
      </c>
      <c r="F48" s="112" t="s">
        <v>302</v>
      </c>
      <c r="G48" s="64" t="str">
        <f t="shared" si="62"/>
        <v>[effect:enemy_message, val1:1.2, val2:1.5]</v>
      </c>
      <c r="H48" s="64">
        <f t="shared" si="63"/>
        <v>9</v>
      </c>
      <c r="I48" s="64">
        <f t="shared" si="64"/>
        <v>22</v>
      </c>
      <c r="J48" s="64" t="e">
        <f t="shared" si="65"/>
        <v>#VALUE!</v>
      </c>
      <c r="K48" s="64">
        <f t="shared" si="66"/>
        <v>32</v>
      </c>
      <c r="L48" s="64" t="str">
        <f>IFERROR(VLOOKUP(MID(G48,J48,K48-J48),[6]skilldef!$C:$D,2,FALSE),"-") &amp; " / " &amp; IFERROR(VLOOKUP(MID(G48,H48,I48-H48),[6]skilldef!$A:$B,2,FALSE),"-")</f>
        <v>- / -</v>
      </c>
      <c r="M48" s="64" t="str">
        <f t="shared" si="67"/>
        <v>[effect:change_range_block,block_change:1,base_type:0, square_count:3, position01:4, value_h01:1, value_w01:1,new_block:block_heart, target:block_all, count:0, val:0,animation:change_range_block]</v>
      </c>
      <c r="N48" s="48" t="str">
        <f>IFERROR(LEFT(M48,FIND("],",M48)+S57),M48)</f>
        <v>[effect:change_range_block,block_change:1,base_type:0, square_count:3, position01:4, value_h01:1, value_w01:1,new_block:block_heart, target:block_all, count:0, val:0,animation:change_range_block]</v>
      </c>
      <c r="O48" s="64">
        <f t="shared" si="68"/>
        <v>9</v>
      </c>
      <c r="P48" s="64">
        <f t="shared" si="69"/>
        <v>27</v>
      </c>
      <c r="Q48" s="64">
        <f t="shared" si="70"/>
        <v>141</v>
      </c>
      <c r="R48" s="64">
        <f t="shared" si="71"/>
        <v>42</v>
      </c>
      <c r="S48" s="64" t="str">
        <f>IFERROR(VLOOKUP(MID(N48,Q48,R48-Q48),[6]skilldef!$C:$D,2,FALSE),"-") &amp; " / " &amp; IFERROR(VLOOKUP(MID(N48,O48,P48-O48),[6]skilldef!$A:$B,2,FALSE),"-")</f>
        <v>- / -</v>
      </c>
      <c r="T48" s="48" t="str">
        <f t="shared" si="72"/>
        <v>none</v>
      </c>
      <c r="U48" s="64" t="e">
        <f t="shared" si="73"/>
        <v>#VALUE!</v>
      </c>
      <c r="V48" s="64">
        <f t="shared" si="74"/>
        <v>4</v>
      </c>
      <c r="W48" s="64" t="e">
        <f t="shared" si="75"/>
        <v>#VALUE!</v>
      </c>
      <c r="X48" s="64" t="e">
        <f t="shared" si="76"/>
        <v>#VALUE!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34" customHeight="1" x14ac:dyDescent="0.15">
      <c r="A49" s="119">
        <v>30050056</v>
      </c>
      <c r="B49" s="109" t="s">
        <v>319</v>
      </c>
      <c r="C49" s="50">
        <v>3</v>
      </c>
      <c r="D49" s="50" t="s">
        <v>128</v>
      </c>
      <c r="E49" s="51" t="s">
        <v>349</v>
      </c>
      <c r="F49" s="51" t="s">
        <v>259</v>
      </c>
      <c r="G49" s="64" t="str">
        <f t="shared" si="62"/>
        <v>[effect:enemy_message, val1:2.7, val2:1.2]</v>
      </c>
      <c r="H49" s="64">
        <f t="shared" si="63"/>
        <v>9</v>
      </c>
      <c r="I49" s="64">
        <f t="shared" si="64"/>
        <v>22</v>
      </c>
      <c r="J49" s="64" t="e">
        <f t="shared" si="65"/>
        <v>#VALUE!</v>
      </c>
      <c r="K49" s="64">
        <f t="shared" si="66"/>
        <v>32</v>
      </c>
      <c r="L49" s="64" t="str">
        <f>IFERROR(VLOOKUP(MID(G49,J49,K49-J49),[6]skilldef!$C:$D,2,FALSE),"-") &amp; " / " &amp; IFERROR(VLOOKUP(MID(G49,H49,I49-H49),[6]skilldef!$A:$B,2,FALSE),"-")</f>
        <v>- / -</v>
      </c>
      <c r="M49" s="64" t="str">
        <f t="shared" si="67"/>
        <v xml:space="preserve">[effect:tolerance, target:myself, turn:-1, count:-1, tolerance_effect:all, animation:enemy_tolerance]    </v>
      </c>
      <c r="N49" s="48" t="str">
        <f>IFERROR(LEFT(M49,FIND("],",M49)+S58),M49)</f>
        <v xml:space="preserve">[effect:tolerance, target:myself, turn:-1, count:-1, tolerance_effect:all, animation:enemy_tolerance]    </v>
      </c>
      <c r="O49" s="64">
        <f t="shared" si="68"/>
        <v>9</v>
      </c>
      <c r="P49" s="64">
        <f t="shared" si="69"/>
        <v>18</v>
      </c>
      <c r="Q49" s="64">
        <f t="shared" si="70"/>
        <v>27</v>
      </c>
      <c r="R49" s="64">
        <f t="shared" si="71"/>
        <v>33</v>
      </c>
      <c r="S49" s="64" t="str">
        <f>IFERROR(VLOOKUP(MID(N49,Q49,R49-Q49),[6]skilldef!$C:$D,2,FALSE),"-") &amp; " / " &amp; IFERROR(VLOOKUP(MID(N49,O49,P49-O49),[6]skilldef!$A:$B,2,FALSE),"-")</f>
        <v>自分自身に / 状態異常耐性</v>
      </c>
      <c r="T49" s="48" t="str">
        <f t="shared" si="72"/>
        <v>none</v>
      </c>
      <c r="U49" s="64" t="e">
        <f t="shared" si="73"/>
        <v>#VALUE!</v>
      </c>
      <c r="V49" s="64">
        <f t="shared" si="74"/>
        <v>4</v>
      </c>
      <c r="W49" s="64" t="e">
        <f t="shared" si="75"/>
        <v>#VALUE!</v>
      </c>
      <c r="X49" s="64" t="e">
        <f t="shared" si="76"/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119">
        <v>30050059</v>
      </c>
      <c r="B50" s="109" t="s">
        <v>338</v>
      </c>
      <c r="C50" s="50">
        <v>3</v>
      </c>
      <c r="D50" s="50" t="s">
        <v>128</v>
      </c>
      <c r="E50" s="51" t="s">
        <v>270</v>
      </c>
      <c r="F50" s="51" t="s">
        <v>309</v>
      </c>
      <c r="G50" s="64" t="str">
        <f t="shared" si="62"/>
        <v>[effect:enemy_message, val1:1.2, val2:1.8]</v>
      </c>
      <c r="H50" s="64">
        <f t="shared" si="63"/>
        <v>9</v>
      </c>
      <c r="I50" s="64">
        <f t="shared" si="64"/>
        <v>22</v>
      </c>
      <c r="J50" s="64" t="e">
        <f t="shared" si="65"/>
        <v>#VALUE!</v>
      </c>
      <c r="K50" s="64">
        <f t="shared" si="66"/>
        <v>32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si="67"/>
        <v>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val:0.5]</v>
      </c>
      <c r="N50" s="48" t="str">
        <f t="shared" ref="N50:N51" si="77">IFERROR(LEFT(M50,FIND("],",M50)+S60),M50)</f>
        <v>[effect:change_range_block,block_change:1,base_type:0, square_count:8, position01:7, position02:14, position03:21, position04:28,position05:35,position06:42,position07:49,position08:56, value_h01:2, value_h02:2, value_h03:2, value_h04:2, value_h05:2, value_h06:2, value_h07:2, value_h08:1, value_w01:1, value_w02:1, value_w03:1, value_w04:1, value_w05:1, value_w06:1, value_w07:1, value_w08:1,new_block:block_red, target:block_all, count:0, val:0,animation:change_range_block],[effect:rush, count:1, val:0.5]</v>
      </c>
      <c r="O50" s="64">
        <f t="shared" si="68"/>
        <v>9</v>
      </c>
      <c r="P50" s="64">
        <f t="shared" si="69"/>
        <v>27</v>
      </c>
      <c r="Q50" s="64">
        <f t="shared" si="70"/>
        <v>422</v>
      </c>
      <c r="R50" s="64">
        <f t="shared" si="71"/>
        <v>42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si="72"/>
        <v>[effect:rush, count:1, val:0.5]</v>
      </c>
      <c r="U50" s="64">
        <f t="shared" si="73"/>
        <v>9</v>
      </c>
      <c r="V50" s="64">
        <f t="shared" si="74"/>
        <v>13</v>
      </c>
      <c r="W50" s="64" t="e">
        <f t="shared" si="75"/>
        <v>#VALUE!</v>
      </c>
      <c r="X50" s="64">
        <f t="shared" si="76"/>
        <v>22</v>
      </c>
      <c r="Y50" s="64" t="str">
        <f>IFERROR(VLOOKUP(MID(T50,W50,X50-W50),[6]skilldef!$C:$D,2,FALSE),"-") &amp; " / " &amp; IFERROR(VLOOKUP(MID(T50,U50,V50-U50),[6]skilldef!$A:$B,2,FALSE),"-")</f>
        <v>- / 連続攻撃</v>
      </c>
      <c r="Z50" s="50"/>
      <c r="AA50" s="52"/>
      <c r="AB50" s="50"/>
    </row>
    <row r="51" spans="1:28" ht="21" customHeight="1" x14ac:dyDescent="0.15">
      <c r="A51" s="119">
        <v>30050060</v>
      </c>
      <c r="B51" s="109" t="s">
        <v>284</v>
      </c>
      <c r="C51" s="50">
        <v>3</v>
      </c>
      <c r="D51" s="50" t="s">
        <v>128</v>
      </c>
      <c r="E51" s="51" t="s">
        <v>350</v>
      </c>
      <c r="F51" s="51" t="s">
        <v>314</v>
      </c>
      <c r="G51" s="64" t="str">
        <f t="shared" si="62"/>
        <v>[effect:enemy_message, val1:1.2, val2:2.5]</v>
      </c>
      <c r="H51" s="64">
        <f t="shared" si="63"/>
        <v>9</v>
      </c>
      <c r="I51" s="64">
        <f t="shared" si="64"/>
        <v>22</v>
      </c>
      <c r="J51" s="64" t="e">
        <f t="shared" si="65"/>
        <v>#VALUE!</v>
      </c>
      <c r="K51" s="64">
        <f t="shared" si="66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67"/>
        <v xml:space="preserve">[effect:attack_break, target:unit_all, turn:1, val:0.1, calc:mul, animation:attack_break01],[effect:rush, count:1, val:1.0]     </v>
      </c>
      <c r="N51" s="48" t="str">
        <f t="shared" si="77"/>
        <v xml:space="preserve">[effect:attack_break, target:unit_all, turn:1, val:0.1, calc:mul, animation:attack_break01],[effect:rush, count:1, val:1.0]     </v>
      </c>
      <c r="O51" s="64">
        <f t="shared" si="68"/>
        <v>9</v>
      </c>
      <c r="P51" s="64">
        <f t="shared" si="69"/>
        <v>21</v>
      </c>
      <c r="Q51" s="64">
        <f t="shared" si="70"/>
        <v>30</v>
      </c>
      <c r="R51" s="64">
        <f t="shared" si="71"/>
        <v>38</v>
      </c>
      <c r="S51" s="64" t="str">
        <f>IFERROR(VLOOKUP(MID(N51,Q51,R51-Q51),[6]skilldef!$C:$D,2,FALSE),"-") &amp; " / " &amp; IFERROR(VLOOKUP(MID(N51,O51,P51-O51),[6]skilldef!$A:$B,2,FALSE),"-")</f>
        <v>味方全体に / -</v>
      </c>
      <c r="T51" s="48" t="str">
        <f t="shared" si="72"/>
        <v xml:space="preserve">[effect:rush, count:1, val:1.0]     </v>
      </c>
      <c r="U51" s="64">
        <f t="shared" si="73"/>
        <v>9</v>
      </c>
      <c r="V51" s="64">
        <f t="shared" si="74"/>
        <v>13</v>
      </c>
      <c r="W51" s="64" t="e">
        <f t="shared" si="75"/>
        <v>#VALUE!</v>
      </c>
      <c r="X51" s="64">
        <f t="shared" si="76"/>
        <v>22</v>
      </c>
      <c r="Y51" s="64" t="str">
        <f>IFERROR(VLOOKUP(MID(T51,W51,X51-W51),[6]skilldef!$C:$D,2,FALSE),"-") &amp; " / " &amp; IFERROR(VLOOKUP(MID(T51,U51,V51-U51),[6]skilldef!$A:$B,2,FALSE),"-")</f>
        <v>- / 連続攻撃</v>
      </c>
      <c r="Z51" s="50"/>
      <c r="AA51" s="52"/>
      <c r="AB51" s="50"/>
    </row>
    <row r="52" spans="1:28" ht="21" customHeight="1" x14ac:dyDescent="0.15">
      <c r="A52" s="119">
        <v>30050061</v>
      </c>
      <c r="B52" s="109" t="s">
        <v>285</v>
      </c>
      <c r="C52" s="50">
        <v>3</v>
      </c>
      <c r="D52" s="50" t="s">
        <v>128</v>
      </c>
      <c r="E52" s="51" t="s">
        <v>269</v>
      </c>
      <c r="F52" s="51" t="s">
        <v>315</v>
      </c>
      <c r="G52" s="64" t="str">
        <f t="shared" si="62"/>
        <v>[effect:enemy_message, val1:1.2, val2:2.5]</v>
      </c>
      <c r="H52" s="64">
        <f t="shared" si="63"/>
        <v>9</v>
      </c>
      <c r="I52" s="64">
        <f t="shared" si="64"/>
        <v>22</v>
      </c>
      <c r="J52" s="64" t="e">
        <f t="shared" si="65"/>
        <v>#VALUE!</v>
      </c>
      <c r="K52" s="64">
        <f t="shared" si="66"/>
        <v>32</v>
      </c>
      <c r="L52" s="64" t="str">
        <f>IFERROR(VLOOKUP(MID(G52,J52,K52-J52),[6]skilldef!$C:$D,2,FALSE),"-") &amp; " / " &amp; IFERROR(VLOOKUP(MID(G52,H52,I52-H52),[6]skilldef!$A:$B,2,FALSE),"-")</f>
        <v>- / -</v>
      </c>
      <c r="M52" s="64" t="str">
        <f t="shared" si="67"/>
        <v xml:space="preserve">[effect:degrade_unit, target:unit_all, turn:1, status:heal, val:0.1, calc:mul, animation:degrade_unit_all_heal],[effect:rush, count:1, val:1.0]    </v>
      </c>
      <c r="N52" s="48" t="str">
        <f>IFERROR(LEFT(M52,FIND("],",M52)+#REF!),M52)</f>
        <v xml:space="preserve">[effect:degrade_unit, target:unit_all, turn:1, status:heal, val:0.1, calc:mul, animation:degrade_unit_all_heal],[effect:rush, count:1, val:1.0]    </v>
      </c>
      <c r="O52" s="64">
        <f t="shared" si="68"/>
        <v>9</v>
      </c>
      <c r="P52" s="64">
        <f t="shared" si="69"/>
        <v>21</v>
      </c>
      <c r="Q52" s="64">
        <f t="shared" si="70"/>
        <v>30</v>
      </c>
      <c r="R52" s="64">
        <f t="shared" si="71"/>
        <v>38</v>
      </c>
      <c r="S52" s="64" t="str">
        <f>IFERROR(VLOOKUP(MID(N52,Q52,R52-Q52),[6]skilldef!$C:$D,2,FALSE),"-") &amp; " / " &amp; IFERROR(VLOOKUP(MID(N52,O52,P52-O52),[6]skilldef!$A:$B,2,FALSE),"-")</f>
        <v>味方全体に / ステータスDOWN</v>
      </c>
      <c r="T52" s="48" t="str">
        <f t="shared" si="72"/>
        <v xml:space="preserve">[effect:rush, count:1, val:1.0]    </v>
      </c>
      <c r="U52" s="64">
        <f t="shared" si="73"/>
        <v>9</v>
      </c>
      <c r="V52" s="64">
        <f t="shared" si="74"/>
        <v>13</v>
      </c>
      <c r="W52" s="64" t="e">
        <f t="shared" si="75"/>
        <v>#VALUE!</v>
      </c>
      <c r="X52" s="64">
        <f t="shared" si="76"/>
        <v>22</v>
      </c>
      <c r="Y52" s="64" t="str">
        <f>IFERROR(VLOOKUP(MID(T52,W52,X52-W52),[6]skilldef!$C:$D,2,FALSE),"-") &amp; " / " &amp; IFERROR(VLOOKUP(MID(T52,U52,V52-U52),[6]skilldef!$A:$B,2,FALSE),"-")</f>
        <v>- / 連続攻撃</v>
      </c>
      <c r="Z52" s="50"/>
      <c r="AA52" s="52"/>
      <c r="AB52" s="50"/>
    </row>
    <row r="53" spans="1:28" ht="21" customHeight="1" x14ac:dyDescent="0.15">
      <c r="A53" s="119">
        <v>30050062</v>
      </c>
      <c r="B53" s="109" t="s">
        <v>261</v>
      </c>
      <c r="C53" s="50">
        <v>3</v>
      </c>
      <c r="D53" s="50" t="s">
        <v>128</v>
      </c>
      <c r="E53" s="51" t="s">
        <v>276</v>
      </c>
      <c r="F53" s="51" t="s">
        <v>344</v>
      </c>
      <c r="G53" s="64" t="str">
        <f t="shared" si="62"/>
        <v>[effect:enemy_message, val1:1.2, val2:1.2]</v>
      </c>
      <c r="H53" s="64">
        <f t="shared" si="63"/>
        <v>9</v>
      </c>
      <c r="I53" s="64">
        <f t="shared" si="64"/>
        <v>22</v>
      </c>
      <c r="J53" s="64" t="e">
        <f t="shared" si="65"/>
        <v>#VALUE!</v>
      </c>
      <c r="K53" s="64">
        <f t="shared" si="66"/>
        <v>32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si="67"/>
        <v xml:space="preserve">[effect:fix_speed, target:myself, turn:1]    </v>
      </c>
      <c r="N53" s="48" t="str">
        <f>IFERROR(LEFT(M53,FIND("],",M53)+#REF!),M53)</f>
        <v xml:space="preserve">[effect:fix_speed, target:myself, turn:1]    </v>
      </c>
      <c r="O53" s="64">
        <f t="shared" si="68"/>
        <v>9</v>
      </c>
      <c r="P53" s="64">
        <f t="shared" si="69"/>
        <v>18</v>
      </c>
      <c r="Q53" s="64">
        <f t="shared" si="70"/>
        <v>27</v>
      </c>
      <c r="R53" s="64">
        <f t="shared" si="71"/>
        <v>33</v>
      </c>
      <c r="S53" s="64" t="str">
        <f>IFERROR(VLOOKUP(MID(N53,Q53,R53-Q53),[6]skilldef!$C:$D,2,FALSE),"-") &amp; " / " &amp; IFERROR(VLOOKUP(MID(N53,O53,P53-O53),[6]skilldef!$A:$B,2,FALSE),"-")</f>
        <v>自分自身に / 行動値設定</v>
      </c>
      <c r="T53" s="48" t="str">
        <f t="shared" si="72"/>
        <v>none</v>
      </c>
      <c r="U53" s="64" t="e">
        <f t="shared" si="73"/>
        <v>#VALUE!</v>
      </c>
      <c r="V53" s="64">
        <f t="shared" si="74"/>
        <v>4</v>
      </c>
      <c r="W53" s="64" t="e">
        <f t="shared" si="75"/>
        <v>#VALUE!</v>
      </c>
      <c r="X53" s="64" t="e">
        <f t="shared" si="76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19">
        <v>30050063</v>
      </c>
      <c r="B54" s="109" t="s">
        <v>286</v>
      </c>
      <c r="C54" s="50">
        <v>3</v>
      </c>
      <c r="D54" s="50" t="s">
        <v>128</v>
      </c>
      <c r="E54" s="51" t="s">
        <v>265</v>
      </c>
      <c r="F54" s="51" t="s">
        <v>262</v>
      </c>
      <c r="G54" s="64" t="str">
        <f t="shared" si="62"/>
        <v>[effect:enemy_message, val1:1.2, val2:1.2]</v>
      </c>
      <c r="H54" s="64">
        <f t="shared" si="63"/>
        <v>9</v>
      </c>
      <c r="I54" s="64">
        <f t="shared" si="64"/>
        <v>22</v>
      </c>
      <c r="J54" s="64" t="e">
        <f t="shared" si="65"/>
        <v>#VALUE!</v>
      </c>
      <c r="K54" s="64">
        <f t="shared" si="66"/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67"/>
        <v xml:space="preserve">[effect:rush, count:2, val:0.6] </v>
      </c>
      <c r="N54" s="48" t="str">
        <f>IFERROR(LEFT(M54,FIND("],",M54)+S62),M54)</f>
        <v xml:space="preserve">[effect:rush, count:2, val:0.6] </v>
      </c>
      <c r="O54" s="64">
        <f t="shared" si="68"/>
        <v>9</v>
      </c>
      <c r="P54" s="64">
        <f t="shared" si="69"/>
        <v>13</v>
      </c>
      <c r="Q54" s="64" t="e">
        <f t="shared" si="70"/>
        <v>#VALUE!</v>
      </c>
      <c r="R54" s="64">
        <f t="shared" si="71"/>
        <v>22</v>
      </c>
      <c r="S54" s="64" t="str">
        <f>IFERROR(VLOOKUP(MID(N54,Q54,R54-Q54),[6]skilldef!$C:$D,2,FALSE),"-") &amp; " / " &amp; IFERROR(VLOOKUP(MID(N54,O54,P54-O54),[6]skilldef!$A:$B,2,FALSE),"-")</f>
        <v>- / 連続攻撃</v>
      </c>
      <c r="T54" s="48" t="str">
        <f t="shared" si="72"/>
        <v>none</v>
      </c>
      <c r="U54" s="64" t="e">
        <f t="shared" si="73"/>
        <v>#VALUE!</v>
      </c>
      <c r="V54" s="64">
        <f t="shared" si="74"/>
        <v>4</v>
      </c>
      <c r="W54" s="64" t="e">
        <f t="shared" si="75"/>
        <v>#VALUE!</v>
      </c>
      <c r="X54" s="64" t="e">
        <f t="shared" si="76"/>
        <v>#VALUE!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120">
        <v>30050064</v>
      </c>
      <c r="B55" s="109" t="s">
        <v>321</v>
      </c>
      <c r="C55" s="50">
        <v>3</v>
      </c>
      <c r="D55" s="50" t="s">
        <v>128</v>
      </c>
      <c r="E55" s="51" t="s">
        <v>353</v>
      </c>
      <c r="F55" s="51" t="s">
        <v>260</v>
      </c>
      <c r="G55" s="64" t="str">
        <f t="shared" si="62"/>
        <v>[effect:enemy_message, val1:2.1, val2:1.2]</v>
      </c>
      <c r="H55" s="64">
        <f t="shared" si="63"/>
        <v>9</v>
      </c>
      <c r="I55" s="64">
        <f t="shared" si="64"/>
        <v>22</v>
      </c>
      <c r="J55" s="64" t="e">
        <f t="shared" si="65"/>
        <v>#VALUE!</v>
      </c>
      <c r="K55" s="64">
        <f t="shared" si="66"/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67"/>
        <v xml:space="preserve">[effect:tolerance, target:myself, turn:-1, count:-1, tolerance_effect:all, animation:enemy_tolerance]    </v>
      </c>
      <c r="N55" s="48" t="str">
        <f>IFERROR(LEFT(M55,FIND("],",M55)+S63),M55)</f>
        <v xml:space="preserve">[effect:tolerance, target:myself, turn:-1, count:-1, tolerance_effect:all, animation:enemy_tolerance]    </v>
      </c>
      <c r="O55" s="64">
        <f t="shared" si="68"/>
        <v>9</v>
      </c>
      <c r="P55" s="64">
        <f t="shared" si="69"/>
        <v>18</v>
      </c>
      <c r="Q55" s="64">
        <f t="shared" si="70"/>
        <v>27</v>
      </c>
      <c r="R55" s="64">
        <f t="shared" si="71"/>
        <v>33</v>
      </c>
      <c r="S55" s="64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si="72"/>
        <v>none</v>
      </c>
      <c r="U55" s="64" t="e">
        <f t="shared" si="73"/>
        <v>#VALUE!</v>
      </c>
      <c r="V55" s="64">
        <f t="shared" si="74"/>
        <v>4</v>
      </c>
      <c r="W55" s="64" t="e">
        <f t="shared" si="75"/>
        <v>#VALUE!</v>
      </c>
      <c r="X55" s="64" t="e">
        <f t="shared" si="76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120">
        <v>30050065</v>
      </c>
      <c r="B56" s="109" t="s">
        <v>339</v>
      </c>
      <c r="C56" s="50">
        <v>3</v>
      </c>
      <c r="D56" s="50" t="s">
        <v>128</v>
      </c>
      <c r="E56" s="51" t="s">
        <v>350</v>
      </c>
      <c r="F56" s="51" t="s">
        <v>307</v>
      </c>
      <c r="G56" s="64" t="str">
        <f t="shared" si="62"/>
        <v>[effect:enemy_message, val1:1.2, val2:2.5]</v>
      </c>
      <c r="H56" s="64">
        <f t="shared" si="63"/>
        <v>9</v>
      </c>
      <c r="I56" s="64">
        <f t="shared" si="64"/>
        <v>22</v>
      </c>
      <c r="J56" s="64" t="e">
        <f t="shared" si="65"/>
        <v>#VALUE!</v>
      </c>
      <c r="K56" s="64">
        <f t="shared" si="66"/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67"/>
        <v xml:space="preserve">[effect:attack_break, target:unit_all, turn:2, val:0.1, calc:mul, animation:attack_break01],[effect:rush, count:1, val:0.7]     </v>
      </c>
      <c r="N56" s="48" t="str">
        <f>IFERROR(LEFT(M56,FIND("],",M56)+S65),M56)</f>
        <v>[effect:attack_break, target:unit_all, turn:2, val:0.1, calc:mul, animation:attack_break01]</v>
      </c>
      <c r="O56" s="64">
        <f t="shared" si="68"/>
        <v>9</v>
      </c>
      <c r="P56" s="64">
        <f t="shared" si="69"/>
        <v>21</v>
      </c>
      <c r="Q56" s="64">
        <f t="shared" si="70"/>
        <v>30</v>
      </c>
      <c r="R56" s="64">
        <f t="shared" si="71"/>
        <v>38</v>
      </c>
      <c r="S56" s="64" t="str">
        <f>IFERROR(VLOOKUP(MID(N56,Q56,R56-Q56),[6]skilldef!$C:$D,2,FALSE),"-") &amp; " / " &amp; IFERROR(VLOOKUP(MID(N56,O56,P56-O56),[6]skilldef!$A:$B,2,FALSE),"-")</f>
        <v>味方全体に / -</v>
      </c>
      <c r="T56" s="48" t="str">
        <f t="shared" si="72"/>
        <v xml:space="preserve">[effect:rush, count:1, val:0.7]     </v>
      </c>
      <c r="U56" s="64">
        <f t="shared" si="73"/>
        <v>9</v>
      </c>
      <c r="V56" s="64">
        <f t="shared" si="74"/>
        <v>13</v>
      </c>
      <c r="W56" s="64" t="e">
        <f t="shared" si="75"/>
        <v>#VALUE!</v>
      </c>
      <c r="X56" s="64">
        <f t="shared" si="76"/>
        <v>22</v>
      </c>
      <c r="Y56" s="64" t="str">
        <f>IFERROR(VLOOKUP(MID(T56,W56,X56-W56),[6]skilldef!$C:$D,2,FALSE),"-") &amp; " / " &amp; IFERROR(VLOOKUP(MID(T56,U56,V56-U56),[6]skilldef!$A:$B,2,FALSE),"-")</f>
        <v>- / 連続攻撃</v>
      </c>
      <c r="Z56" s="50"/>
      <c r="AA56" s="52"/>
      <c r="AB56" s="50"/>
    </row>
    <row r="57" spans="1:28" ht="21" customHeight="1" x14ac:dyDescent="0.15">
      <c r="A57" s="120">
        <v>30050066</v>
      </c>
      <c r="B57" s="109" t="s">
        <v>340</v>
      </c>
      <c r="C57" s="50">
        <v>3</v>
      </c>
      <c r="D57" s="50" t="s">
        <v>128</v>
      </c>
      <c r="E57" s="51" t="s">
        <v>269</v>
      </c>
      <c r="F57" s="51" t="s">
        <v>308</v>
      </c>
      <c r="G57" s="64" t="str">
        <f t="shared" si="62"/>
        <v>[effect:enemy_message, val1:1.2, val2:2.5]</v>
      </c>
      <c r="H57" s="64">
        <f t="shared" si="63"/>
        <v>9</v>
      </c>
      <c r="I57" s="64">
        <f t="shared" si="64"/>
        <v>22</v>
      </c>
      <c r="J57" s="64" t="e">
        <f t="shared" si="65"/>
        <v>#VALUE!</v>
      </c>
      <c r="K57" s="64">
        <f t="shared" si="66"/>
        <v>32</v>
      </c>
      <c r="L57" s="64" t="str">
        <f>IFERROR(VLOOKUP(MID(G57,J57,K57-J57),[6]skilldef!$C:$D,2,FALSE),"-") &amp; " / " &amp; IFERROR(VLOOKUP(MID(G57,H57,I57-H57),[6]skilldef!$A:$B,2,FALSE),"-")</f>
        <v>- / -</v>
      </c>
      <c r="M57" s="64" t="str">
        <f t="shared" si="67"/>
        <v xml:space="preserve">[effect:degrade_unit, target:unit_all, turn:2, status:heal, val:0.1, calc:mul, animation:degrade_unit_all_heal],[effect:rush, count:1, val:0.7]    </v>
      </c>
      <c r="N57" s="48" t="str">
        <f>IFERROR(LEFT(M57,FIND("],",M57)+S66),M57)</f>
        <v>[effect:degrade_unit, target:unit_all, turn:2, status:heal, val:0.1, calc:mul, animation:degrade_unit_all_heal]</v>
      </c>
      <c r="O57" s="64">
        <f t="shared" si="68"/>
        <v>9</v>
      </c>
      <c r="P57" s="64">
        <f t="shared" si="69"/>
        <v>21</v>
      </c>
      <c r="Q57" s="64">
        <f t="shared" si="70"/>
        <v>30</v>
      </c>
      <c r="R57" s="64">
        <f t="shared" si="71"/>
        <v>38</v>
      </c>
      <c r="S57" s="64" t="str">
        <f>IFERROR(VLOOKUP(MID(N57,Q57,R57-Q57),[6]skilldef!$C:$D,2,FALSE),"-") &amp; " / " &amp; IFERROR(VLOOKUP(MID(N57,O57,P57-O57),[6]skilldef!$A:$B,2,FALSE),"-")</f>
        <v>味方全体に / ステータスDOWN</v>
      </c>
      <c r="T57" s="48" t="str">
        <f t="shared" si="72"/>
        <v xml:space="preserve">[effect:rush, count:1, val:0.7]    </v>
      </c>
      <c r="U57" s="64">
        <f t="shared" si="73"/>
        <v>9</v>
      </c>
      <c r="V57" s="64">
        <f t="shared" si="74"/>
        <v>13</v>
      </c>
      <c r="W57" s="64" t="e">
        <f t="shared" si="75"/>
        <v>#VALUE!</v>
      </c>
      <c r="X57" s="64">
        <f t="shared" si="76"/>
        <v>22</v>
      </c>
      <c r="Y57" s="64" t="str">
        <f>IFERROR(VLOOKUP(MID(T57,W57,X57-W57),[6]skilldef!$C:$D,2,FALSE),"-") &amp; " / " &amp; IFERROR(VLOOKUP(MID(T57,U57,V57-U57),[6]skilldef!$A:$B,2,FALSE),"-")</f>
        <v>- / 連続攻撃</v>
      </c>
      <c r="Z57" s="50"/>
      <c r="AA57" s="52"/>
      <c r="AB57" s="50"/>
    </row>
    <row r="58" spans="1:28" ht="21" customHeight="1" x14ac:dyDescent="0.15">
      <c r="A58" s="120">
        <v>30050067</v>
      </c>
      <c r="B58" s="113" t="s">
        <v>360</v>
      </c>
      <c r="C58" s="50">
        <v>3</v>
      </c>
      <c r="D58" s="50" t="s">
        <v>128</v>
      </c>
      <c r="E58" s="51" t="s">
        <v>267</v>
      </c>
      <c r="F58" s="51" t="s">
        <v>345</v>
      </c>
      <c r="G58" s="64" t="str">
        <f t="shared" si="62"/>
        <v>[effect:enemy_message, val1:1.2, val2:1.5]</v>
      </c>
      <c r="H58" s="64">
        <f t="shared" si="63"/>
        <v>9</v>
      </c>
      <c r="I58" s="64">
        <f t="shared" si="64"/>
        <v>22</v>
      </c>
      <c r="J58" s="64" t="e">
        <f t="shared" si="65"/>
        <v>#VALUE!</v>
      </c>
      <c r="K58" s="64">
        <f t="shared" si="66"/>
        <v>32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67"/>
        <v>[effect:break_attack, target:unit_all, val:0.01, lowest_val:200, count:-1, color:blue, block01:block_red, block02:block_blue]</v>
      </c>
      <c r="N58" s="48" t="str">
        <f>IFERROR(LEFT(M58,FIND("],",M58)+S67),M58)</f>
        <v>[effect:break_attack, target:unit_all, val:0.01, lowest_val:200, count:-1, color:blue, block01:block_red, block02:block_blue]</v>
      </c>
      <c r="O58" s="64">
        <f t="shared" si="68"/>
        <v>9</v>
      </c>
      <c r="P58" s="64">
        <f t="shared" si="69"/>
        <v>21</v>
      </c>
      <c r="Q58" s="64">
        <f t="shared" si="70"/>
        <v>30</v>
      </c>
      <c r="R58" s="64">
        <f t="shared" si="71"/>
        <v>38</v>
      </c>
      <c r="S58" s="64" t="str">
        <f>IFERROR(VLOOKUP(MID(N58,Q58,R58-Q58),[6]skilldef!$C:$D,2,FALSE),"-") &amp; " / " &amp; IFERROR(VLOOKUP(MID(N58,O58,P58-O58),[6]skilldef!$A:$B,2,FALSE),"-")</f>
        <v>味方全体に / -</v>
      </c>
      <c r="T58" s="48" t="str">
        <f t="shared" si="72"/>
        <v>none</v>
      </c>
      <c r="U58" s="64" t="e">
        <f t="shared" si="73"/>
        <v>#VALUE!</v>
      </c>
      <c r="V58" s="64">
        <f t="shared" si="74"/>
        <v>4</v>
      </c>
      <c r="W58" s="64" t="e">
        <f t="shared" si="75"/>
        <v>#VALUE!</v>
      </c>
      <c r="X58" s="64" t="e">
        <f t="shared" si="76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180" customHeight="1" x14ac:dyDescent="0.15">
      <c r="A59" s="120">
        <v>30050068</v>
      </c>
      <c r="B59" s="113" t="s">
        <v>348</v>
      </c>
      <c r="C59" s="50">
        <v>3</v>
      </c>
      <c r="D59" s="50" t="s">
        <v>128</v>
      </c>
      <c r="E59" s="51" t="s">
        <v>266</v>
      </c>
      <c r="F59" s="51" t="s">
        <v>346</v>
      </c>
      <c r="G59" s="64" t="str">
        <f t="shared" si="62"/>
        <v>[effect:enemy_message, val1:1.2, val2:2.3]</v>
      </c>
      <c r="H59" s="64">
        <f t="shared" si="63"/>
        <v>9</v>
      </c>
      <c r="I59" s="64">
        <f t="shared" si="64"/>
        <v>22</v>
      </c>
      <c r="J59" s="64" t="e">
        <f t="shared" si="65"/>
        <v>#VALUE!</v>
      </c>
      <c r="K59" s="64">
        <f t="shared" si="66"/>
        <v>32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si="67"/>
        <v>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val:0.025, animation:change_range_block],[effect:change_range_block,block_change:1,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val:0.065, animation:change_range_block]</v>
      </c>
      <c r="N59" s="48" t="str">
        <f>IFERROR(LEFT(M59,FIND("],",M59)+S68),M59)</f>
        <v>[effect:change_range_block, block_change:1, base_type:0, square_count:7, position01:6, position02:12, position03:18, position04:24, position05:30, position06:36, position07:42, value_h01:2,  value_h02:2, value_h03:2, value_h04:2, value_h05:2, value_h06:2, value_h07:2, value_w01:1, value_w02:1, value_w03:1, value_w04:1, value_w05:1, value_w06:1, value_w07:1, new_block:block_red, target:block_all, count:0, val:0,  new_block:time_bomb, target:block_all, color:block_red, count:0, val:0.025, animation:change_range_block]</v>
      </c>
      <c r="O59" s="64">
        <f t="shared" si="68"/>
        <v>9</v>
      </c>
      <c r="P59" s="64">
        <f t="shared" si="69"/>
        <v>27</v>
      </c>
      <c r="Q59" s="64">
        <f t="shared" si="70"/>
        <v>389</v>
      </c>
      <c r="R59" s="64">
        <f t="shared" si="71"/>
        <v>43</v>
      </c>
      <c r="S59" s="64" t="str">
        <f>IFERROR(VLOOKUP(MID(N59,Q59,R59-Q59),[6]skilldef!$C:$D,2,FALSE),"-") &amp; " / " &amp; IFERROR(VLOOKUP(MID(N59,O59,P59-O59),[6]skilldef!$A:$B,2,FALSE),"-")</f>
        <v>- / -</v>
      </c>
      <c r="T59" s="48" t="str">
        <f t="shared" si="72"/>
        <v>[effect:change_range_block,block_change:1, base_type:0, square_count:7, position01:0, position02:8,  position03:16, position04:32, position05:40, position06:48, value_h01:2, value_h02:2, value_h03:2, value_h04:2, value_h05:2, value_h06:2, value_w01:1, value_w02:1, value_w03:1, value_w04:1, value_w05:1, value_w06:1, new_block:time_bomb, target:block_all, color:block_blue,count:0, val:0.065, animation:change_range_block]</v>
      </c>
      <c r="U59" s="64">
        <f t="shared" si="73"/>
        <v>9</v>
      </c>
      <c r="V59" s="64">
        <f t="shared" si="74"/>
        <v>27</v>
      </c>
      <c r="W59" s="64">
        <f t="shared" si="75"/>
        <v>346</v>
      </c>
      <c r="X59" s="64">
        <f t="shared" si="76"/>
        <v>42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120">
        <v>30050069</v>
      </c>
      <c r="B60" s="109" t="s">
        <v>283</v>
      </c>
      <c r="C60" s="50">
        <v>3</v>
      </c>
      <c r="D60" s="50" t="s">
        <v>128</v>
      </c>
      <c r="E60" s="51" t="s">
        <v>264</v>
      </c>
      <c r="F60" s="51" t="s">
        <v>354</v>
      </c>
      <c r="G60" s="64" t="str">
        <f t="shared" si="62"/>
        <v>[effect:enemy_message, val1:1.2, val2:1.2]</v>
      </c>
      <c r="H60" s="64">
        <f t="shared" si="63"/>
        <v>9</v>
      </c>
      <c r="I60" s="64">
        <f t="shared" si="64"/>
        <v>22</v>
      </c>
      <c r="J60" s="64" t="e">
        <f t="shared" si="65"/>
        <v>#VALUE!</v>
      </c>
      <c r="K60" s="64">
        <f t="shared" si="66"/>
        <v>32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si="67"/>
        <v xml:space="preserve">[effect:rush, count:4, val:0.25]      </v>
      </c>
      <c r="N60" s="48" t="str">
        <f>IFERROR(LEFT(M60,FIND("],",M60)+S68),M60)</f>
        <v xml:space="preserve">[effect:rush, count:4, val:0.25]      </v>
      </c>
      <c r="O60" s="64">
        <f t="shared" si="68"/>
        <v>9</v>
      </c>
      <c r="P60" s="64">
        <f t="shared" si="69"/>
        <v>13</v>
      </c>
      <c r="Q60" s="64" t="e">
        <f t="shared" si="70"/>
        <v>#VALUE!</v>
      </c>
      <c r="R60" s="64">
        <f t="shared" si="71"/>
        <v>22</v>
      </c>
      <c r="S60" s="64" t="str">
        <f>IFERROR(VLOOKUP(MID(N60,Q60,R60-Q60),[6]skilldef!$C:$D,2,FALSE),"-") &amp; " / " &amp; IFERROR(VLOOKUP(MID(N60,O60,P60-O60),[6]skilldef!$A:$B,2,FALSE),"-")</f>
        <v>- / 連続攻撃</v>
      </c>
      <c r="T60" s="48" t="str">
        <f t="shared" si="72"/>
        <v>none</v>
      </c>
      <c r="U60" s="64" t="e">
        <f t="shared" si="73"/>
        <v>#VALUE!</v>
      </c>
      <c r="V60" s="64">
        <f t="shared" si="74"/>
        <v>4</v>
      </c>
      <c r="W60" s="64" t="e">
        <f t="shared" si="75"/>
        <v>#VALUE!</v>
      </c>
      <c r="X60" s="64" t="e">
        <f t="shared" si="76"/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120">
        <v>30050070</v>
      </c>
      <c r="B61" s="47" t="s">
        <v>298</v>
      </c>
      <c r="C61" s="50">
        <v>3</v>
      </c>
      <c r="D61" s="50" t="s">
        <v>128</v>
      </c>
      <c r="E61" s="51" t="s">
        <v>352</v>
      </c>
      <c r="F61" s="51" t="s">
        <v>268</v>
      </c>
      <c r="G61" s="64" t="str">
        <f t="shared" si="62"/>
        <v>[effect:enemy_message, val1:1.7, val2:1.7, dead_type:suicide]</v>
      </c>
      <c r="H61" s="64">
        <f t="shared" si="63"/>
        <v>9</v>
      </c>
      <c r="I61" s="64">
        <f t="shared" si="64"/>
        <v>22</v>
      </c>
      <c r="J61" s="64" t="e">
        <f t="shared" si="65"/>
        <v>#VALUE!</v>
      </c>
      <c r="K61" s="64">
        <f t="shared" si="66"/>
        <v>32</v>
      </c>
      <c r="L61" s="64" t="str">
        <f>IFERROR(VLOOKUP(MID(G61,J61,K61-J61),[6]skilldef!$C:$D,2,FALSE),"-") &amp; " / " &amp; IFERROR(VLOOKUP(MID(G61,H61,I61-H61),[6]skilldef!$A:$B,2,FALSE),"-")</f>
        <v>- / -</v>
      </c>
      <c r="M61" s="64" t="str">
        <f t="shared" si="67"/>
        <v>none</v>
      </c>
      <c r="N61" s="48" t="str">
        <f>IFERROR(LEFT(M61,FIND("],",M61)+S69),M61)</f>
        <v>none</v>
      </c>
      <c r="O61" s="64" t="e">
        <f t="shared" si="68"/>
        <v>#VALUE!</v>
      </c>
      <c r="P61" s="64">
        <f t="shared" si="69"/>
        <v>4</v>
      </c>
      <c r="Q61" s="64" t="e">
        <f t="shared" si="70"/>
        <v>#VALUE!</v>
      </c>
      <c r="R61" s="64" t="e">
        <f t="shared" si="71"/>
        <v>#VALUE!</v>
      </c>
      <c r="S61" s="64" t="str">
        <f>IFERROR(VLOOKUP(MID(N61,Q61,R61-Q61),[6]skilldef!$C:$D,2,FALSE),"-") &amp; " / " &amp; IFERROR(VLOOKUP(MID(N61,O61,P61-O61),[6]skilldef!$A:$B,2,FALSE),"-")</f>
        <v>- / -</v>
      </c>
      <c r="T61" s="48" t="str">
        <f t="shared" si="72"/>
        <v>none</v>
      </c>
      <c r="U61" s="64" t="e">
        <f t="shared" si="73"/>
        <v>#VALUE!</v>
      </c>
      <c r="V61" s="64">
        <f t="shared" si="74"/>
        <v>4</v>
      </c>
      <c r="W61" s="64" t="e">
        <f t="shared" si="75"/>
        <v>#VALUE!</v>
      </c>
      <c r="X61" s="64" t="e">
        <f t="shared" si="76"/>
        <v>#VALUE!</v>
      </c>
      <c r="Y61" s="64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1"/>
  <sheetViews>
    <sheetView showGridLines="0" workbookViewId="0">
      <pane ySplit="1" topLeftCell="A2" activePane="bottomLeft" state="frozenSplit"/>
      <selection pane="bottomLeft" activeCell="I2" sqref="I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10">
        <v>30050001</v>
      </c>
      <c r="B2" s="47">
        <v>0</v>
      </c>
      <c r="C2" s="47" t="s">
        <v>89</v>
      </c>
      <c r="D2" s="47">
        <v>100</v>
      </c>
      <c r="E2" s="47" t="s">
        <v>256</v>
      </c>
      <c r="F2" s="47" t="s">
        <v>90</v>
      </c>
      <c r="G2" s="47" t="s">
        <v>256</v>
      </c>
      <c r="H2" s="47">
        <v>2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111">
        <v>30050002</v>
      </c>
      <c r="B3" s="47">
        <v>0</v>
      </c>
      <c r="C3" s="47" t="s">
        <v>53</v>
      </c>
      <c r="D3" s="47">
        <v>100</v>
      </c>
      <c r="E3" s="47" t="s">
        <v>53</v>
      </c>
      <c r="F3" s="47" t="s">
        <v>90</v>
      </c>
      <c r="G3" s="47" t="s">
        <v>53</v>
      </c>
      <c r="H3" s="47">
        <v>1</v>
      </c>
      <c r="I3" s="47" t="s">
        <v>90</v>
      </c>
      <c r="J3" s="48">
        <f t="shared" ref="J3:J20" si="1">D3</f>
        <v>100</v>
      </c>
    </row>
    <row r="4" spans="1:11" ht="21" customHeight="1" x14ac:dyDescent="0.15">
      <c r="A4" s="110">
        <v>30050003</v>
      </c>
      <c r="B4" s="47">
        <v>0</v>
      </c>
      <c r="C4" s="47" t="s">
        <v>53</v>
      </c>
      <c r="D4" s="47">
        <v>100</v>
      </c>
      <c r="E4" s="47" t="s">
        <v>53</v>
      </c>
      <c r="F4" s="47" t="s">
        <v>90</v>
      </c>
      <c r="G4" s="47" t="s">
        <v>53</v>
      </c>
      <c r="H4" s="47">
        <v>2</v>
      </c>
      <c r="I4" s="47" t="s">
        <v>90</v>
      </c>
      <c r="J4" s="48">
        <f t="shared" si="1"/>
        <v>100</v>
      </c>
    </row>
    <row r="5" spans="1:11" ht="21" customHeight="1" x14ac:dyDescent="0.15">
      <c r="A5" s="111">
        <v>30050004</v>
      </c>
      <c r="B5" s="47">
        <v>0</v>
      </c>
      <c r="C5" s="47">
        <v>100</v>
      </c>
      <c r="D5" s="47">
        <v>100</v>
      </c>
      <c r="E5" s="47" t="s">
        <v>53</v>
      </c>
      <c r="F5" s="47" t="s">
        <v>90</v>
      </c>
      <c r="G5" s="47" t="s">
        <v>53</v>
      </c>
      <c r="H5" s="47">
        <v>1</v>
      </c>
      <c r="I5" s="47" t="s">
        <v>90</v>
      </c>
      <c r="J5" s="48">
        <f t="shared" si="1"/>
        <v>100</v>
      </c>
    </row>
    <row r="6" spans="1:11" ht="21" customHeight="1" x14ac:dyDescent="0.15">
      <c r="A6" s="111">
        <v>30050005</v>
      </c>
      <c r="B6" s="47">
        <v>0</v>
      </c>
      <c r="C6" s="47">
        <v>101</v>
      </c>
      <c r="D6" s="47">
        <v>100</v>
      </c>
      <c r="E6" s="47" t="s">
        <v>53</v>
      </c>
      <c r="F6" s="47" t="s">
        <v>90</v>
      </c>
      <c r="G6" s="47" t="s">
        <v>53</v>
      </c>
      <c r="H6" s="47">
        <v>2</v>
      </c>
      <c r="I6" s="47" t="s">
        <v>90</v>
      </c>
      <c r="J6" s="48">
        <f t="shared" si="1"/>
        <v>100</v>
      </c>
    </row>
    <row r="7" spans="1:11" ht="21" customHeight="1" x14ac:dyDescent="0.15">
      <c r="A7" s="111">
        <v>30050006</v>
      </c>
      <c r="B7" s="47">
        <v>0</v>
      </c>
      <c r="C7" s="47">
        <v>102</v>
      </c>
      <c r="D7" s="47">
        <v>100</v>
      </c>
      <c r="E7" s="47" t="s">
        <v>53</v>
      </c>
      <c r="F7" s="47" t="s">
        <v>90</v>
      </c>
      <c r="G7" s="47" t="s">
        <v>53</v>
      </c>
      <c r="H7" s="47">
        <v>3</v>
      </c>
      <c r="I7" s="47" t="s">
        <v>90</v>
      </c>
      <c r="J7" s="48">
        <f t="shared" si="1"/>
        <v>100</v>
      </c>
    </row>
    <row r="8" spans="1:11" ht="21" customHeight="1" x14ac:dyDescent="0.15">
      <c r="A8" s="111">
        <v>30050007</v>
      </c>
      <c r="B8" s="47">
        <v>0</v>
      </c>
      <c r="C8" s="47">
        <v>500</v>
      </c>
      <c r="D8" s="47">
        <v>100</v>
      </c>
      <c r="E8" s="47">
        <v>50</v>
      </c>
      <c r="F8" s="47" t="s">
        <v>90</v>
      </c>
      <c r="G8" s="47">
        <v>1</v>
      </c>
      <c r="H8" s="47">
        <v>1</v>
      </c>
      <c r="I8" s="47" t="s">
        <v>90</v>
      </c>
      <c r="J8" s="48">
        <f t="shared" si="1"/>
        <v>100</v>
      </c>
    </row>
    <row r="9" spans="1:11" ht="21" customHeight="1" x14ac:dyDescent="0.15">
      <c r="A9" s="110">
        <v>30050008</v>
      </c>
      <c r="B9" s="47">
        <v>1</v>
      </c>
      <c r="C9" s="47" t="s">
        <v>53</v>
      </c>
      <c r="D9" s="47">
        <v>100</v>
      </c>
      <c r="E9" s="47" t="s">
        <v>53</v>
      </c>
      <c r="F9" s="47" t="s">
        <v>90</v>
      </c>
      <c r="G9" s="47">
        <v>1</v>
      </c>
      <c r="H9" s="47" t="s">
        <v>90</v>
      </c>
      <c r="I9" s="47" t="s">
        <v>53</v>
      </c>
      <c r="J9" s="48">
        <f t="shared" si="1"/>
        <v>100</v>
      </c>
    </row>
    <row r="10" spans="1:11" ht="21" customHeight="1" x14ac:dyDescent="0.15">
      <c r="A10" s="110">
        <v>30050011</v>
      </c>
      <c r="B10" s="47">
        <v>0</v>
      </c>
      <c r="C10" s="47">
        <v>100</v>
      </c>
      <c r="D10" s="47">
        <v>100</v>
      </c>
      <c r="E10" s="47" t="s">
        <v>53</v>
      </c>
      <c r="F10" s="47" t="s">
        <v>90</v>
      </c>
      <c r="G10" s="47" t="s">
        <v>53</v>
      </c>
      <c r="H10" s="47">
        <v>1</v>
      </c>
      <c r="I10" s="47" t="s">
        <v>90</v>
      </c>
      <c r="J10" s="48">
        <f t="shared" si="1"/>
        <v>100</v>
      </c>
    </row>
    <row r="11" spans="1:11" ht="21" customHeight="1" x14ac:dyDescent="0.15">
      <c r="A11" s="110">
        <v>30050012</v>
      </c>
      <c r="B11" s="47">
        <v>0</v>
      </c>
      <c r="C11" s="47">
        <v>120</v>
      </c>
      <c r="D11" s="47">
        <v>100</v>
      </c>
      <c r="E11" s="47" t="s">
        <v>53</v>
      </c>
      <c r="F11" s="47" t="s">
        <v>90</v>
      </c>
      <c r="G11" s="47" t="s">
        <v>53</v>
      </c>
      <c r="H11" s="47">
        <v>2</v>
      </c>
      <c r="I11" s="47" t="s">
        <v>90</v>
      </c>
      <c r="J11" s="48">
        <f t="shared" si="1"/>
        <v>100</v>
      </c>
    </row>
    <row r="12" spans="1:11" ht="21" customHeight="1" x14ac:dyDescent="0.15">
      <c r="A12" s="110">
        <v>30050013</v>
      </c>
      <c r="B12" s="47">
        <v>0</v>
      </c>
      <c r="C12" s="47">
        <v>120</v>
      </c>
      <c r="D12" s="47">
        <v>100</v>
      </c>
      <c r="E12" s="47" t="s">
        <v>53</v>
      </c>
      <c r="F12" s="47" t="s">
        <v>90</v>
      </c>
      <c r="G12" s="47" t="s">
        <v>53</v>
      </c>
      <c r="H12" s="47">
        <v>2</v>
      </c>
      <c r="I12" s="47" t="s">
        <v>90</v>
      </c>
      <c r="J12" s="48">
        <f t="shared" si="1"/>
        <v>100</v>
      </c>
    </row>
    <row r="13" spans="1:11" ht="21" customHeight="1" x14ac:dyDescent="0.15">
      <c r="A13" s="110">
        <v>30050014</v>
      </c>
      <c r="B13" s="47">
        <v>0</v>
      </c>
      <c r="C13" s="47">
        <v>500</v>
      </c>
      <c r="D13" s="47">
        <v>100</v>
      </c>
      <c r="E13" s="47" t="s">
        <v>53</v>
      </c>
      <c r="F13" s="47" t="s">
        <v>90</v>
      </c>
      <c r="G13" s="47">
        <v>1</v>
      </c>
      <c r="H13" s="47">
        <v>3</v>
      </c>
      <c r="I13" s="47" t="s">
        <v>90</v>
      </c>
      <c r="J13" s="48">
        <f t="shared" si="1"/>
        <v>100</v>
      </c>
    </row>
    <row r="14" spans="1:11" ht="21" customHeight="1" x14ac:dyDescent="0.15">
      <c r="A14" s="110">
        <v>30050015</v>
      </c>
      <c r="B14" s="47">
        <v>0</v>
      </c>
      <c r="C14" s="47">
        <v>150</v>
      </c>
      <c r="D14" s="47">
        <v>100</v>
      </c>
      <c r="E14" s="47" t="s">
        <v>53</v>
      </c>
      <c r="F14" s="47" t="s">
        <v>90</v>
      </c>
      <c r="G14" s="47" t="s">
        <v>53</v>
      </c>
      <c r="H14" s="47">
        <v>3</v>
      </c>
      <c r="I14" s="47" t="s">
        <v>90</v>
      </c>
      <c r="J14" s="48">
        <f t="shared" si="1"/>
        <v>100</v>
      </c>
    </row>
    <row r="15" spans="1:11" ht="21" customHeight="1" x14ac:dyDescent="0.15">
      <c r="A15" s="111">
        <v>30050016</v>
      </c>
      <c r="B15" s="47">
        <v>1</v>
      </c>
      <c r="C15" s="47" t="s">
        <v>53</v>
      </c>
      <c r="D15" s="47">
        <v>100</v>
      </c>
      <c r="E15" s="47" t="s">
        <v>53</v>
      </c>
      <c r="F15" s="47" t="s">
        <v>90</v>
      </c>
      <c r="G15" s="47">
        <v>1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 x14ac:dyDescent="0.15">
      <c r="A16" s="111">
        <v>30050017</v>
      </c>
      <c r="B16" s="47">
        <v>0</v>
      </c>
      <c r="C16" s="47">
        <v>120</v>
      </c>
      <c r="D16" s="47">
        <v>100</v>
      </c>
      <c r="E16" s="47" t="s">
        <v>53</v>
      </c>
      <c r="F16" s="47" t="s">
        <v>90</v>
      </c>
      <c r="G16" s="47" t="s">
        <v>53</v>
      </c>
      <c r="H16" s="47">
        <v>1</v>
      </c>
      <c r="I16" s="47" t="s">
        <v>90</v>
      </c>
      <c r="J16" s="48">
        <f t="shared" si="1"/>
        <v>100</v>
      </c>
    </row>
    <row r="17" spans="1:10" ht="21" customHeight="1" x14ac:dyDescent="0.15">
      <c r="A17" s="111">
        <v>30050018</v>
      </c>
      <c r="B17" s="47">
        <v>0</v>
      </c>
      <c r="C17" s="47">
        <v>120</v>
      </c>
      <c r="D17" s="47">
        <v>100</v>
      </c>
      <c r="E17" s="47" t="s">
        <v>53</v>
      </c>
      <c r="F17" s="47" t="s">
        <v>90</v>
      </c>
      <c r="G17" s="47" t="s">
        <v>53</v>
      </c>
      <c r="H17" s="47">
        <v>1</v>
      </c>
      <c r="I17" s="47" t="s">
        <v>90</v>
      </c>
      <c r="J17" s="48">
        <f t="shared" si="1"/>
        <v>100</v>
      </c>
    </row>
    <row r="18" spans="1:10" ht="21" customHeight="1" x14ac:dyDescent="0.15">
      <c r="A18" s="111">
        <v>30050019</v>
      </c>
      <c r="B18" s="47">
        <v>0</v>
      </c>
      <c r="C18" s="47">
        <v>300</v>
      </c>
      <c r="D18" s="47">
        <v>100</v>
      </c>
      <c r="E18" s="47" t="s">
        <v>53</v>
      </c>
      <c r="F18" s="47" t="s">
        <v>90</v>
      </c>
      <c r="G18" s="47" t="s">
        <v>53</v>
      </c>
      <c r="H18" s="47">
        <v>2</v>
      </c>
      <c r="I18" s="47" t="s">
        <v>90</v>
      </c>
      <c r="J18" s="48">
        <f t="shared" si="1"/>
        <v>100</v>
      </c>
    </row>
    <row r="19" spans="1:10" ht="21" customHeight="1" x14ac:dyDescent="0.15">
      <c r="A19" s="111">
        <v>30050020</v>
      </c>
      <c r="B19" s="47">
        <v>0</v>
      </c>
      <c r="C19" s="47">
        <v>310</v>
      </c>
      <c r="D19" s="47">
        <v>100</v>
      </c>
      <c r="E19" s="47" t="s">
        <v>53</v>
      </c>
      <c r="F19" s="47" t="s">
        <v>90</v>
      </c>
      <c r="G19" s="47" t="s">
        <v>53</v>
      </c>
      <c r="H19" s="47">
        <v>3</v>
      </c>
      <c r="I19" s="47" t="s">
        <v>90</v>
      </c>
      <c r="J19" s="48">
        <f t="shared" si="1"/>
        <v>100</v>
      </c>
    </row>
    <row r="20" spans="1:10" ht="21" customHeight="1" x14ac:dyDescent="0.15">
      <c r="A20" s="111">
        <v>30050021</v>
      </c>
      <c r="B20" s="47">
        <v>0</v>
      </c>
      <c r="C20" s="47">
        <v>320</v>
      </c>
      <c r="D20" s="47">
        <v>100</v>
      </c>
      <c r="E20" s="47" t="s">
        <v>53</v>
      </c>
      <c r="F20" s="47" t="s">
        <v>90</v>
      </c>
      <c r="G20" s="47" t="s">
        <v>53</v>
      </c>
      <c r="H20" s="47">
        <v>4</v>
      </c>
      <c r="I20" s="47" t="s">
        <v>90</v>
      </c>
      <c r="J20" s="48">
        <f t="shared" si="1"/>
        <v>100</v>
      </c>
    </row>
    <row r="21" spans="1:10" ht="21" customHeight="1" x14ac:dyDescent="0.15">
      <c r="A21" s="111">
        <v>30050022</v>
      </c>
      <c r="B21" s="47">
        <v>0</v>
      </c>
      <c r="C21" s="47" t="s">
        <v>53</v>
      </c>
      <c r="D21" s="47">
        <v>100</v>
      </c>
      <c r="E21" s="47" t="s">
        <v>53</v>
      </c>
      <c r="F21" s="47" t="s">
        <v>90</v>
      </c>
      <c r="G21" s="47">
        <v>0</v>
      </c>
      <c r="H21" s="47" t="s">
        <v>90</v>
      </c>
      <c r="I21" s="47">
        <v>0</v>
      </c>
      <c r="J21" s="48">
        <f t="shared" ref="J21" si="2">D21</f>
        <v>100</v>
      </c>
    </row>
  </sheetData>
  <autoFilter ref="A1:G1"/>
  <phoneticPr fontId="5"/>
  <conditionalFormatting sqref="K22:K1048576 K1:K2">
    <cfRule type="duplicateValues" dxfId="19" priority="24"/>
  </conditionalFormatting>
  <conditionalFormatting sqref="K3">
    <cfRule type="duplicateValues" dxfId="18" priority="23"/>
  </conditionalFormatting>
  <conditionalFormatting sqref="K4">
    <cfRule type="duplicateValues" dxfId="17" priority="22"/>
  </conditionalFormatting>
  <conditionalFormatting sqref="K5">
    <cfRule type="duplicateValues" dxfId="16" priority="21"/>
  </conditionalFormatting>
  <conditionalFormatting sqref="K6">
    <cfRule type="duplicateValues" dxfId="15" priority="20"/>
  </conditionalFormatting>
  <conditionalFormatting sqref="K7">
    <cfRule type="duplicateValues" dxfId="14" priority="19"/>
  </conditionalFormatting>
  <conditionalFormatting sqref="K8">
    <cfRule type="duplicateValues" dxfId="13" priority="18"/>
  </conditionalFormatting>
  <conditionalFormatting sqref="K9">
    <cfRule type="duplicateValues" dxfId="12" priority="17"/>
  </conditionalFormatting>
  <conditionalFormatting sqref="K10">
    <cfRule type="duplicateValues" dxfId="11" priority="16"/>
  </conditionalFormatting>
  <conditionalFormatting sqref="K11">
    <cfRule type="duplicateValues" dxfId="10" priority="15"/>
  </conditionalFormatting>
  <conditionalFormatting sqref="K12">
    <cfRule type="duplicateValues" dxfId="9" priority="14"/>
  </conditionalFormatting>
  <conditionalFormatting sqref="K13">
    <cfRule type="duplicateValues" dxfId="8" priority="13"/>
  </conditionalFormatting>
  <conditionalFormatting sqref="K14">
    <cfRule type="duplicateValues" dxfId="7" priority="12"/>
  </conditionalFormatting>
  <conditionalFormatting sqref="K15">
    <cfRule type="duplicateValues" dxfId="6" priority="11"/>
  </conditionalFormatting>
  <conditionalFormatting sqref="K16">
    <cfRule type="duplicateValues" dxfId="5" priority="10"/>
  </conditionalFormatting>
  <conditionalFormatting sqref="K17">
    <cfRule type="duplicateValues" dxfId="4" priority="9"/>
  </conditionalFormatting>
  <conditionalFormatting sqref="K18">
    <cfRule type="duplicateValues" dxfId="3" priority="8"/>
  </conditionalFormatting>
  <conditionalFormatting sqref="K19">
    <cfRule type="duplicateValues" dxfId="2" priority="7"/>
  </conditionalFormatting>
  <conditionalFormatting sqref="K20">
    <cfRule type="duplicateValues" dxfId="1" priority="6"/>
  </conditionalFormatting>
  <conditionalFormatting sqref="K21">
    <cfRule type="duplicateValues" dxfId="0" priority="5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opLeftCell="E1" workbookViewId="0">
      <selection activeCell="F23" sqref="F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3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30050</v>
      </c>
      <c r="B2" s="57">
        <v>3</v>
      </c>
      <c r="C2" s="72" t="str">
        <f>A2&amp; "_"&amp;B2</f>
        <v>30050_3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6500</v>
      </c>
      <c r="H2" s="57" t="s">
        <v>53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170</v>
      </c>
      <c r="R2" s="57" t="s">
        <v>171</v>
      </c>
    </row>
    <row r="3" spans="1:18" x14ac:dyDescent="0.15">
      <c r="A3" s="57">
        <v>30050</v>
      </c>
      <c r="B3" s="57">
        <v>3</v>
      </c>
      <c r="C3" s="72" t="str">
        <f t="shared" ref="C3:C11" si="0">A3&amp; "_"&amp;B3</f>
        <v>30050_3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293</v>
      </c>
      <c r="G3" s="57">
        <v>25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57" t="s">
        <v>171</v>
      </c>
    </row>
    <row r="4" spans="1:18" x14ac:dyDescent="0.15">
      <c r="A4" s="57">
        <v>30050</v>
      </c>
      <c r="B4" s="57">
        <v>3</v>
      </c>
      <c r="C4" s="72" t="str">
        <f t="shared" si="0"/>
        <v>30050_3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294</v>
      </c>
      <c r="G4" s="57">
        <v>1436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250</v>
      </c>
      <c r="Q4" s="57" t="s">
        <v>170</v>
      </c>
      <c r="R4" s="57" t="s">
        <v>171</v>
      </c>
    </row>
    <row r="5" spans="1:18" x14ac:dyDescent="0.15">
      <c r="A5" s="57">
        <v>30050</v>
      </c>
      <c r="B5" s="57">
        <v>3</v>
      </c>
      <c r="C5" s="72" t="str">
        <f t="shared" si="0"/>
        <v>30050_3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295</v>
      </c>
      <c r="G5" s="57">
        <v>340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28</v>
      </c>
      <c r="Q5" s="57" t="s">
        <v>170</v>
      </c>
      <c r="R5" s="57" t="s">
        <v>171</v>
      </c>
    </row>
    <row r="6" spans="1:18" x14ac:dyDescent="0.15">
      <c r="A6" s="57">
        <v>30050</v>
      </c>
      <c r="B6" s="57">
        <v>3</v>
      </c>
      <c r="C6" s="72" t="str">
        <f t="shared" si="0"/>
        <v>30050_3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295</v>
      </c>
      <c r="G6" s="57">
        <v>341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56</v>
      </c>
      <c r="Q6" s="57" t="s">
        <v>170</v>
      </c>
      <c r="R6" s="57" t="s">
        <v>171</v>
      </c>
    </row>
    <row r="7" spans="1:18" x14ac:dyDescent="0.15">
      <c r="A7" s="57">
        <v>30050</v>
      </c>
      <c r="B7" s="57">
        <v>3</v>
      </c>
      <c r="C7" s="72" t="str">
        <f t="shared" si="0"/>
        <v>30050_3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295</v>
      </c>
      <c r="G7" s="57">
        <v>342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56</v>
      </c>
      <c r="Q7" s="57" t="s">
        <v>170</v>
      </c>
      <c r="R7" s="57" t="s">
        <v>171</v>
      </c>
    </row>
    <row r="8" spans="1:18" x14ac:dyDescent="0.15">
      <c r="A8" s="57">
        <v>30050</v>
      </c>
      <c r="B8" s="57">
        <v>3</v>
      </c>
      <c r="C8" s="72" t="str">
        <f t="shared" si="0"/>
        <v>30050_3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295</v>
      </c>
      <c r="G8" s="57">
        <v>352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150</v>
      </c>
      <c r="Q8" s="57" t="s">
        <v>170</v>
      </c>
      <c r="R8" s="57" t="s">
        <v>171</v>
      </c>
    </row>
    <row r="9" spans="1:18" x14ac:dyDescent="0.15">
      <c r="A9" s="57">
        <v>30050</v>
      </c>
      <c r="B9" s="57">
        <v>3</v>
      </c>
      <c r="C9" s="72" t="str">
        <f t="shared" si="0"/>
        <v>30050_3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295</v>
      </c>
      <c r="G9" s="57">
        <v>121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50</v>
      </c>
      <c r="Q9" s="57" t="s">
        <v>170</v>
      </c>
      <c r="R9" s="57" t="s">
        <v>171</v>
      </c>
    </row>
    <row r="10" spans="1:18" x14ac:dyDescent="0.15">
      <c r="A10" s="57">
        <v>30050</v>
      </c>
      <c r="B10" s="57">
        <v>3</v>
      </c>
      <c r="C10" s="72" t="str">
        <f t="shared" si="0"/>
        <v>30050_3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295</v>
      </c>
      <c r="G10" s="57">
        <v>122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50</v>
      </c>
      <c r="Q10" s="57" t="s">
        <v>170</v>
      </c>
      <c r="R10" s="57" t="s">
        <v>171</v>
      </c>
    </row>
    <row r="11" spans="1:18" x14ac:dyDescent="0.15">
      <c r="A11" s="57">
        <v>30050</v>
      </c>
      <c r="B11" s="57">
        <v>3</v>
      </c>
      <c r="C11" s="72" t="str">
        <f t="shared" si="0"/>
        <v>30050_3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295</v>
      </c>
      <c r="G11" s="57">
        <v>123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50</v>
      </c>
      <c r="Q11" s="57" t="s">
        <v>170</v>
      </c>
      <c r="R11" s="57" t="s">
        <v>171</v>
      </c>
    </row>
    <row r="12" spans="1:18" ht="16" thickBot="1" x14ac:dyDescent="0.2">
      <c r="A12" s="57">
        <v>30050</v>
      </c>
      <c r="B12" s="144">
        <v>3</v>
      </c>
      <c r="C12" s="145" t="str">
        <f>A12&amp; "_"&amp;B12</f>
        <v>30050_3</v>
      </c>
      <c r="D12" s="14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44">
        <v>11</v>
      </c>
      <c r="F12" s="144" t="s">
        <v>294</v>
      </c>
      <c r="G12" s="144">
        <v>125</v>
      </c>
      <c r="H12" s="144">
        <v>1</v>
      </c>
      <c r="I12" s="144">
        <v>1</v>
      </c>
      <c r="J12" s="144">
        <v>1</v>
      </c>
      <c r="K12" s="144">
        <v>0</v>
      </c>
      <c r="L12" s="144">
        <v>0</v>
      </c>
      <c r="M12" s="144">
        <v>0</v>
      </c>
      <c r="N12" s="144">
        <v>0</v>
      </c>
      <c r="O12" s="144">
        <v>1</v>
      </c>
      <c r="P12" s="144">
        <v>10</v>
      </c>
      <c r="Q12" s="144" t="s">
        <v>170</v>
      </c>
      <c r="R12" s="144" t="s">
        <v>171</v>
      </c>
    </row>
    <row r="13" spans="1:18" x14ac:dyDescent="0.15">
      <c r="A13" s="57">
        <v>30050</v>
      </c>
      <c r="B13" s="141">
        <v>2</v>
      </c>
      <c r="C13" s="142" t="str">
        <f t="shared" ref="C13:C22" si="1">A13&amp; "_"&amp;B13</f>
        <v>30050_2</v>
      </c>
      <c r="D13" s="143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41">
        <v>12</v>
      </c>
      <c r="F13" s="141" t="s">
        <v>169</v>
      </c>
      <c r="G13" s="57">
        <v>5000</v>
      </c>
      <c r="H13" s="57" t="s">
        <v>53</v>
      </c>
      <c r="I13" s="141">
        <v>1</v>
      </c>
      <c r="J13" s="141">
        <v>1</v>
      </c>
      <c r="K13" s="141">
        <v>0</v>
      </c>
      <c r="L13" s="141">
        <v>0</v>
      </c>
      <c r="M13" s="141">
        <v>0</v>
      </c>
      <c r="N13" s="141">
        <v>0</v>
      </c>
      <c r="O13" s="141">
        <v>1</v>
      </c>
      <c r="P13" s="141">
        <v>250</v>
      </c>
      <c r="Q13" s="141" t="s">
        <v>170</v>
      </c>
      <c r="R13" s="141" t="s">
        <v>171</v>
      </c>
    </row>
    <row r="14" spans="1:18" x14ac:dyDescent="0.15">
      <c r="A14" s="57">
        <v>30050</v>
      </c>
      <c r="B14" s="57">
        <v>2</v>
      </c>
      <c r="C14" s="72" t="str">
        <f t="shared" si="1"/>
        <v>30050_2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293</v>
      </c>
      <c r="G14" s="57">
        <v>25</v>
      </c>
      <c r="H14" s="57" t="s">
        <v>53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200</v>
      </c>
      <c r="Q14" s="57" t="s">
        <v>170</v>
      </c>
      <c r="R14" s="57" t="s">
        <v>171</v>
      </c>
    </row>
    <row r="15" spans="1:18" x14ac:dyDescent="0.15">
      <c r="A15" s="57">
        <v>30050</v>
      </c>
      <c r="B15" s="57">
        <v>2</v>
      </c>
      <c r="C15" s="72" t="str">
        <f t="shared" si="1"/>
        <v>30050_2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294</v>
      </c>
      <c r="G15" s="57">
        <v>1436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57" t="s">
        <v>171</v>
      </c>
    </row>
    <row r="16" spans="1:18" x14ac:dyDescent="0.15">
      <c r="A16" s="57">
        <v>30050</v>
      </c>
      <c r="B16" s="57">
        <v>2</v>
      </c>
      <c r="C16" s="72" t="str">
        <f t="shared" si="1"/>
        <v>30050_2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295</v>
      </c>
      <c r="G16" s="57">
        <v>340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56</v>
      </c>
      <c r="Q16" s="57" t="s">
        <v>170</v>
      </c>
      <c r="R16" s="57" t="s">
        <v>171</v>
      </c>
    </row>
    <row r="17" spans="1:18" x14ac:dyDescent="0.15">
      <c r="A17" s="57">
        <v>30050</v>
      </c>
      <c r="B17" s="57">
        <v>2</v>
      </c>
      <c r="C17" s="72" t="str">
        <f t="shared" si="1"/>
        <v>30050_2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295</v>
      </c>
      <c r="G17" s="57">
        <v>341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56</v>
      </c>
      <c r="Q17" s="57" t="s">
        <v>170</v>
      </c>
      <c r="R17" s="57" t="s">
        <v>171</v>
      </c>
    </row>
    <row r="18" spans="1:18" x14ac:dyDescent="0.15">
      <c r="A18" s="57">
        <v>30050</v>
      </c>
      <c r="B18" s="57">
        <v>2</v>
      </c>
      <c r="C18" s="72" t="str">
        <f t="shared" si="1"/>
        <v>30050_2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295</v>
      </c>
      <c r="G18" s="57">
        <v>342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28</v>
      </c>
      <c r="Q18" s="57" t="s">
        <v>170</v>
      </c>
      <c r="R18" s="57" t="s">
        <v>171</v>
      </c>
    </row>
    <row r="19" spans="1:18" x14ac:dyDescent="0.15">
      <c r="A19" s="57">
        <v>30050</v>
      </c>
      <c r="B19" s="57">
        <v>2</v>
      </c>
      <c r="C19" s="72" t="str">
        <f t="shared" si="1"/>
        <v>30050_2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295</v>
      </c>
      <c r="G19" s="57">
        <v>352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150</v>
      </c>
      <c r="Q19" s="57" t="s">
        <v>170</v>
      </c>
      <c r="R19" s="57" t="s">
        <v>171</v>
      </c>
    </row>
    <row r="20" spans="1:18" x14ac:dyDescent="0.15">
      <c r="A20" s="57">
        <v>30050</v>
      </c>
      <c r="B20" s="57">
        <v>2</v>
      </c>
      <c r="C20" s="72" t="str">
        <f t="shared" si="1"/>
        <v>30050_2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295</v>
      </c>
      <c r="G20" s="57">
        <v>121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50</v>
      </c>
      <c r="Q20" s="57" t="s">
        <v>170</v>
      </c>
      <c r="R20" s="57" t="s">
        <v>171</v>
      </c>
    </row>
    <row r="21" spans="1:18" x14ac:dyDescent="0.15">
      <c r="A21" s="57">
        <v>30050</v>
      </c>
      <c r="B21" s="57">
        <v>2</v>
      </c>
      <c r="C21" s="72" t="str">
        <f t="shared" si="1"/>
        <v>30050_2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20</v>
      </c>
      <c r="F21" s="57" t="s">
        <v>295</v>
      </c>
      <c r="G21" s="57">
        <v>122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50</v>
      </c>
      <c r="Q21" s="57" t="s">
        <v>170</v>
      </c>
      <c r="R21" s="57" t="s">
        <v>171</v>
      </c>
    </row>
    <row r="22" spans="1:18" x14ac:dyDescent="0.15">
      <c r="A22" s="57">
        <v>30050</v>
      </c>
      <c r="B22" s="57">
        <v>2</v>
      </c>
      <c r="C22" s="72" t="str">
        <f t="shared" si="1"/>
        <v>30050_2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21</v>
      </c>
      <c r="F22" s="57" t="s">
        <v>295</v>
      </c>
      <c r="G22" s="57">
        <v>123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50</v>
      </c>
      <c r="Q22" s="57" t="s">
        <v>170</v>
      </c>
      <c r="R22" s="57" t="s">
        <v>171</v>
      </c>
    </row>
    <row r="23" spans="1:18" ht="16" thickBot="1" x14ac:dyDescent="0.2">
      <c r="A23" s="57">
        <v>30050</v>
      </c>
      <c r="B23" s="144">
        <v>2</v>
      </c>
      <c r="C23" s="145" t="str">
        <f>A23&amp; "_"&amp;B23</f>
        <v>30050_2</v>
      </c>
      <c r="D23" s="146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44">
        <v>22</v>
      </c>
      <c r="F23" s="144" t="s">
        <v>294</v>
      </c>
      <c r="G23" s="144">
        <v>125</v>
      </c>
      <c r="H23" s="144">
        <v>1</v>
      </c>
      <c r="I23" s="144">
        <v>1</v>
      </c>
      <c r="J23" s="144">
        <v>1</v>
      </c>
      <c r="K23" s="144">
        <v>0</v>
      </c>
      <c r="L23" s="144">
        <v>0</v>
      </c>
      <c r="M23" s="144">
        <v>0</v>
      </c>
      <c r="N23" s="144">
        <v>0</v>
      </c>
      <c r="O23" s="144">
        <v>1</v>
      </c>
      <c r="P23" s="144">
        <v>10</v>
      </c>
      <c r="Q23" s="144" t="s">
        <v>170</v>
      </c>
      <c r="R23" s="144" t="s">
        <v>171</v>
      </c>
    </row>
    <row r="24" spans="1:18" x14ac:dyDescent="0.15">
      <c r="A24" s="57">
        <v>30050</v>
      </c>
      <c r="B24" s="141">
        <v>1</v>
      </c>
      <c r="C24" s="142" t="str">
        <f t="shared" ref="C24:C32" si="2">A24&amp; "_"&amp;B24</f>
        <v>30050_1</v>
      </c>
      <c r="D24" s="143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41">
        <v>23</v>
      </c>
      <c r="F24" s="141" t="s">
        <v>169</v>
      </c>
      <c r="G24" s="57">
        <v>3200</v>
      </c>
      <c r="H24" s="57" t="s">
        <v>53</v>
      </c>
      <c r="I24" s="141">
        <v>1</v>
      </c>
      <c r="J24" s="141">
        <v>1</v>
      </c>
      <c r="K24" s="141">
        <v>0</v>
      </c>
      <c r="L24" s="141">
        <v>0</v>
      </c>
      <c r="M24" s="141">
        <v>0</v>
      </c>
      <c r="N24" s="141">
        <v>0</v>
      </c>
      <c r="O24" s="141">
        <v>1</v>
      </c>
      <c r="P24" s="141">
        <v>250</v>
      </c>
      <c r="Q24" s="141" t="s">
        <v>170</v>
      </c>
      <c r="R24" s="141" t="s">
        <v>171</v>
      </c>
    </row>
    <row r="25" spans="1:18" x14ac:dyDescent="0.15">
      <c r="A25" s="57">
        <v>30050</v>
      </c>
      <c r="B25" s="57">
        <v>1</v>
      </c>
      <c r="C25" s="72" t="str">
        <f t="shared" si="2"/>
        <v>30050_1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293</v>
      </c>
      <c r="G25" s="57">
        <v>20</v>
      </c>
      <c r="H25" s="57" t="s">
        <v>53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250</v>
      </c>
      <c r="Q25" s="57" t="s">
        <v>170</v>
      </c>
      <c r="R25" s="57" t="s">
        <v>171</v>
      </c>
    </row>
    <row r="26" spans="1:18" x14ac:dyDescent="0.15">
      <c r="A26" s="57">
        <v>30050</v>
      </c>
      <c r="B26" s="57">
        <v>1</v>
      </c>
      <c r="C26" s="72" t="str">
        <f t="shared" si="2"/>
        <v>30050_1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294</v>
      </c>
      <c r="G26" s="57">
        <v>1436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50</v>
      </c>
      <c r="Q26" s="57" t="s">
        <v>170</v>
      </c>
      <c r="R26" s="57" t="s">
        <v>171</v>
      </c>
    </row>
    <row r="27" spans="1:18" x14ac:dyDescent="0.15">
      <c r="A27" s="57">
        <v>30050</v>
      </c>
      <c r="B27" s="57">
        <v>1</v>
      </c>
      <c r="C27" s="72" t="str">
        <f t="shared" si="2"/>
        <v>30050_1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295</v>
      </c>
      <c r="G27" s="57">
        <v>340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70</v>
      </c>
      <c r="Q27" s="57" t="s">
        <v>170</v>
      </c>
      <c r="R27" s="57" t="s">
        <v>171</v>
      </c>
    </row>
    <row r="28" spans="1:18" x14ac:dyDescent="0.15">
      <c r="A28" s="57">
        <v>30050</v>
      </c>
      <c r="B28" s="57">
        <v>1</v>
      </c>
      <c r="C28" s="72" t="str">
        <f t="shared" si="2"/>
        <v>30050_1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295</v>
      </c>
      <c r="G28" s="57">
        <v>341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70</v>
      </c>
      <c r="Q28" s="57" t="s">
        <v>170</v>
      </c>
      <c r="R28" s="57" t="s">
        <v>171</v>
      </c>
    </row>
    <row r="29" spans="1:18" x14ac:dyDescent="0.15">
      <c r="A29" s="57">
        <v>30050</v>
      </c>
      <c r="B29" s="57">
        <v>1</v>
      </c>
      <c r="C29" s="72" t="str">
        <f t="shared" si="2"/>
        <v>30050_1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29</v>
      </c>
      <c r="F29" s="57" t="s">
        <v>295</v>
      </c>
      <c r="G29" s="57">
        <v>352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150</v>
      </c>
      <c r="Q29" s="57" t="s">
        <v>170</v>
      </c>
      <c r="R29" s="57" t="s">
        <v>171</v>
      </c>
    </row>
    <row r="30" spans="1:18" x14ac:dyDescent="0.15">
      <c r="A30" s="57">
        <v>30050</v>
      </c>
      <c r="B30" s="57">
        <v>1</v>
      </c>
      <c r="C30" s="72" t="str">
        <f t="shared" si="2"/>
        <v>30050_1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30</v>
      </c>
      <c r="F30" s="57" t="s">
        <v>295</v>
      </c>
      <c r="G30" s="57">
        <v>121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170</v>
      </c>
      <c r="R30" s="57" t="s">
        <v>171</v>
      </c>
    </row>
    <row r="31" spans="1:18" x14ac:dyDescent="0.15">
      <c r="A31" s="57">
        <v>30050</v>
      </c>
      <c r="B31" s="57">
        <v>1</v>
      </c>
      <c r="C31" s="72" t="str">
        <f t="shared" si="2"/>
        <v>30050_1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31</v>
      </c>
      <c r="F31" s="57" t="s">
        <v>295</v>
      </c>
      <c r="G31" s="57">
        <v>122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50</v>
      </c>
      <c r="Q31" s="57" t="s">
        <v>170</v>
      </c>
      <c r="R31" s="57" t="s">
        <v>171</v>
      </c>
    </row>
    <row r="32" spans="1:18" x14ac:dyDescent="0.15">
      <c r="A32" s="57">
        <v>30050</v>
      </c>
      <c r="B32" s="57">
        <v>1</v>
      </c>
      <c r="C32" s="72" t="str">
        <f t="shared" si="2"/>
        <v>30050_1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32</v>
      </c>
      <c r="F32" s="57" t="s">
        <v>295</v>
      </c>
      <c r="G32" s="57">
        <v>123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50</v>
      </c>
      <c r="Q32" s="57" t="s">
        <v>170</v>
      </c>
      <c r="R32" s="57" t="s">
        <v>171</v>
      </c>
    </row>
    <row r="33" spans="1:18" x14ac:dyDescent="0.15">
      <c r="A33" s="57">
        <v>30050</v>
      </c>
      <c r="B33" s="57">
        <v>1</v>
      </c>
      <c r="C33" s="72" t="str">
        <f t="shared" ref="C33" si="3">A33&amp; "_"&amp;B33</f>
        <v>30050_1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33</v>
      </c>
      <c r="F33" s="57" t="s">
        <v>295</v>
      </c>
      <c r="G33" s="57">
        <v>125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</v>
      </c>
      <c r="Q33" s="57" t="s">
        <v>170</v>
      </c>
      <c r="R33" s="57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46" activePane="bottomLeft" state="frozen"/>
      <selection pane="bottomLeft" activeCell="E2" sqref="E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4" t="s">
        <v>189</v>
      </c>
      <c r="C1" s="78" t="s">
        <v>190</v>
      </c>
      <c r="D1" s="78" t="s">
        <v>33</v>
      </c>
      <c r="E1" s="74" t="s">
        <v>191</v>
      </c>
      <c r="F1" s="78" t="s">
        <v>192</v>
      </c>
      <c r="G1" s="78" t="s">
        <v>33</v>
      </c>
      <c r="H1" s="74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  <row r="2" spans="1:13" x14ac:dyDescent="0.15">
      <c r="A2" s="82" t="s">
        <v>296</v>
      </c>
      <c r="B2" s="83">
        <f>floors!$C$2</f>
        <v>30050</v>
      </c>
      <c r="C2" s="84" t="str">
        <f ca="1">VLOOKUP($B2,OFFSET([2]quests!$A$1,0,0,COUNTA([2]quests!$A:$A),MATCH(C$1,[2]quests!$1:$1,0)-MATCH($B$1,[2]quests!$1:$1,0)+1),MATCH(C$1,[2]quests!$1:$1,0)-MATCH($B$1,[2]quests!$1:$1,0)+1,FALSE)</f>
        <v>忍耐と服従</v>
      </c>
      <c r="D2" s="84" t="str">
        <f ca="1">VLOOKUP($B2,OFFSET([2]quests!$A$1,0,0,COUNTA([2]quests!$A:$A),MATCH(D$1,[2]quests!$1:$1,0)-MATCH($B$1,[2]quests!$1:$1,0)+1),MATCH(D$1,[2]quests!$1:$1,0)-MATCH($B$1,[2]quests!$1:$1,0)+1,FALSE)</f>
        <v>英傑シリーズ　超級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【中級】忍耐と服従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英傑シリーズ　超級</v>
      </c>
      <c r="H2" s="86">
        <v>0</v>
      </c>
      <c r="I2">
        <v>3</v>
      </c>
      <c r="J2" s="85" t="s">
        <v>198</v>
      </c>
      <c r="K2" s="94" t="str">
        <f>VLOOKUP(I2,[7]stage_hints!$A:$C,3,FALSE)</f>
        <v>ターゲット</v>
      </c>
      <c r="L2" s="95" t="str">
        <f>VLOOKUP(I2,[7]stage_hints!$A:$D,4,FALSE)</f>
        <v>敵ユニットをタップすると_x000D_その敵を狙い撃ちできます</v>
      </c>
      <c r="M2" s="57" t="s">
        <v>199</v>
      </c>
    </row>
    <row r="3" spans="1:13" x14ac:dyDescent="0.15">
      <c r="A3" s="82" t="s">
        <v>200</v>
      </c>
      <c r="B3" s="83">
        <f>floors!$C$2</f>
        <v>30050</v>
      </c>
      <c r="C3" s="84" t="str">
        <f ca="1">VLOOKUP($B3,OFFSET([2]quests!$A$1,0,0,COUNTA([2]quests!$A:$A),MATCH(C$1,[2]quests!$1:$1,0)-MATCH($B$1,[2]quests!$1:$1,0)+1),MATCH(C$1,[2]quests!$1:$1,0)-MATCH($B$1,[2]quests!$1:$1,0)+1,FALSE)</f>
        <v>忍耐と服従</v>
      </c>
      <c r="D3" s="84" t="str">
        <f ca="1">VLOOKUP($B3,OFFSET([2]quests!$A$1,0,0,COUNTA([2]quests!$A:$A),MATCH(D$1,[2]quests!$1:$1,0)-MATCH($B$1,[2]quests!$1:$1,0)+1),MATCH(D$1,[2]quests!$1:$1,0)-MATCH($B$1,[2]quests!$1:$1,0)+1,FALSE)</f>
        <v>英傑シリーズ　超級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【中級】忍耐と服従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英傑シリーズ　超級</v>
      </c>
      <c r="H3" s="86">
        <v>0</v>
      </c>
      <c r="I3">
        <v>6</v>
      </c>
      <c r="J3" s="85" t="s">
        <v>198</v>
      </c>
      <c r="K3" s="94" t="str">
        <f>VLOOKUP(I3,[7]stage_hints!$A:$C,3,FALSE)</f>
        <v>ユニット強化の属性ボーナス</v>
      </c>
      <c r="L3" s="95" t="str">
        <f>VLOOKUP(I3,[7]stage_hints!$A:$D,4,FALSE)</f>
        <v>同属性ユニットを強化素材にすると_x000D_経験値が多くもらえます</v>
      </c>
      <c r="M3" s="57" t="s">
        <v>199</v>
      </c>
    </row>
    <row r="4" spans="1:13" x14ac:dyDescent="0.15">
      <c r="A4" s="82" t="s">
        <v>200</v>
      </c>
      <c r="B4" s="83">
        <f>floors!$C$2</f>
        <v>30050</v>
      </c>
      <c r="C4" s="84" t="str">
        <f ca="1">VLOOKUP($B4,OFFSET([2]quests!$A$1,0,0,COUNTA([2]quests!$A:$A),MATCH(C$1,[2]quests!$1:$1,0)-MATCH($B$1,[2]quests!$1:$1,0)+1),MATCH(C$1,[2]quests!$1:$1,0)-MATCH($B$1,[2]quests!$1:$1,0)+1,FALSE)</f>
        <v>忍耐と服従</v>
      </c>
      <c r="D4" s="84" t="str">
        <f ca="1">VLOOKUP($B4,OFFSET([2]quests!$A$1,0,0,COUNTA([2]quests!$A:$A),MATCH(D$1,[2]quests!$1:$1,0)-MATCH($B$1,[2]quests!$1:$1,0)+1),MATCH(D$1,[2]quests!$1:$1,0)-MATCH($B$1,[2]quests!$1:$1,0)+1,FALSE)</f>
        <v>英傑シリーズ　超級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【中級】忍耐と服従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英傑シリーズ　超級</v>
      </c>
      <c r="H4" s="86">
        <v>0</v>
      </c>
      <c r="I4">
        <v>7</v>
      </c>
      <c r="J4" s="85" t="s">
        <v>198</v>
      </c>
      <c r="K4" s="94" t="str">
        <f>VLOOKUP(I4,[7]stage_hints!$A:$C,3,FALSE)</f>
        <v>メタルダックで経験値を獲得</v>
      </c>
      <c r="L4" s="95" t="str">
        <f>VLOOKUP(I4,[7]stage_hints!$A:$D,4,FALSE)</f>
        <v>「メタルなアヒル」を強化素材にすると_x000D_大量の経験値がもらえます</v>
      </c>
      <c r="M4" s="57" t="s">
        <v>199</v>
      </c>
    </row>
    <row r="5" spans="1:13" x14ac:dyDescent="0.15">
      <c r="A5" s="82" t="s">
        <v>200</v>
      </c>
      <c r="B5" s="83">
        <f>floors!$C$2</f>
        <v>30050</v>
      </c>
      <c r="C5" s="84" t="str">
        <f ca="1">VLOOKUP($B5,OFFSET([2]quests!$A$1,0,0,COUNTA([2]quests!$A:$A),MATCH(C$1,[2]quests!$1:$1,0)-MATCH($B$1,[2]quests!$1:$1,0)+1),MATCH(C$1,[2]quests!$1:$1,0)-MATCH($B$1,[2]quests!$1:$1,0)+1,FALSE)</f>
        <v>忍耐と服従</v>
      </c>
      <c r="D5" s="84" t="str">
        <f ca="1">VLOOKUP($B5,OFFSET([2]quests!$A$1,0,0,COUNTA([2]quests!$A:$A),MATCH(D$1,[2]quests!$1:$1,0)-MATCH($B$1,[2]quests!$1:$1,0)+1),MATCH(D$1,[2]quests!$1:$1,0)-MATCH($B$1,[2]quests!$1:$1,0)+1,FALSE)</f>
        <v>英傑シリーズ　超級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【中級】忍耐と服従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英傑シリーズ　超級</v>
      </c>
      <c r="H5" s="86">
        <v>0</v>
      </c>
      <c r="I5">
        <v>8</v>
      </c>
      <c r="J5" s="85" t="s">
        <v>198</v>
      </c>
      <c r="K5" s="94" t="str">
        <f>VLOOKUP(I5,[7]stage_hints!$A:$C,3,FALSE)</f>
        <v>ゲリラクエストは要チェック</v>
      </c>
      <c r="L5" s="95" t="str">
        <f>VLOOKUP(I5,[7]stage_hints!$A:$D,4,FALSE)</f>
        <v>時間限定の「アヒル捕獲作戦」では_x000D_経験値素材ユニットが多く手に入ります</v>
      </c>
      <c r="M5" s="57" t="s">
        <v>199</v>
      </c>
    </row>
    <row r="6" spans="1:13" x14ac:dyDescent="0.15">
      <c r="A6" s="82" t="s">
        <v>200</v>
      </c>
      <c r="B6" s="83">
        <f>floors!$C$2</f>
        <v>30050</v>
      </c>
      <c r="C6" s="84" t="str">
        <f ca="1">VLOOKUP($B6,OFFSET([2]quests!$A$1,0,0,COUNTA([2]quests!$A:$A),MATCH(C$1,[2]quests!$1:$1,0)-MATCH($B$1,[2]quests!$1:$1,0)+1),MATCH(C$1,[2]quests!$1:$1,0)-MATCH($B$1,[2]quests!$1:$1,0)+1,FALSE)</f>
        <v>忍耐と服従</v>
      </c>
      <c r="D6" s="84" t="str">
        <f ca="1">VLOOKUP($B6,OFFSET([2]quests!$A$1,0,0,COUNTA([2]quests!$A:$A),MATCH(D$1,[2]quests!$1:$1,0)-MATCH($B$1,[2]quests!$1:$1,0)+1),MATCH(D$1,[2]quests!$1:$1,0)-MATCH($B$1,[2]quests!$1:$1,0)+1,FALSE)</f>
        <v>英傑シリーズ　超級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【中級】忍耐と服従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英傑シリーズ　超級</v>
      </c>
      <c r="H6" s="86">
        <v>0</v>
      </c>
      <c r="I6">
        <v>9</v>
      </c>
      <c r="J6" s="85" t="s">
        <v>198</v>
      </c>
      <c r="K6" s="94" t="str">
        <f>VLOOKUP(I6,[7]stage_hints!$A:$C,3,FALSE)</f>
        <v>ゴールドダックでビットを獲得</v>
      </c>
      <c r="L6" s="95" t="str">
        <f>VLOOKUP(I6,[7]stage_hints!$A:$D,4,FALSE)</f>
        <v>「ゴールドなアヒル」を売却すると_x000D_大量のビットがもらえます</v>
      </c>
      <c r="M6" s="57" t="s">
        <v>199</v>
      </c>
    </row>
    <row r="7" spans="1:13" x14ac:dyDescent="0.15">
      <c r="A7" s="82" t="s">
        <v>200</v>
      </c>
      <c r="B7" s="83">
        <f>floors!$C$2</f>
        <v>30050</v>
      </c>
      <c r="C7" s="84" t="str">
        <f ca="1">VLOOKUP($B7,OFFSET([2]quests!$A$1,0,0,COUNTA([2]quests!$A:$A),MATCH(C$1,[2]quests!$1:$1,0)-MATCH($B$1,[2]quests!$1:$1,0)+1),MATCH(C$1,[2]quests!$1:$1,0)-MATCH($B$1,[2]quests!$1:$1,0)+1,FALSE)</f>
        <v>忍耐と服従</v>
      </c>
      <c r="D7" s="84" t="str">
        <f ca="1">VLOOKUP($B7,OFFSET([2]quests!$A$1,0,0,COUNTA([2]quests!$A:$A),MATCH(D$1,[2]quests!$1:$1,0)-MATCH($B$1,[2]quests!$1:$1,0)+1),MATCH(D$1,[2]quests!$1:$1,0)-MATCH($B$1,[2]quests!$1:$1,0)+1,FALSE)</f>
        <v>英傑シリーズ　超級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【中級】忍耐と服従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英傑シリーズ　超級</v>
      </c>
      <c r="H7" s="86">
        <v>0</v>
      </c>
      <c r="I7">
        <v>10</v>
      </c>
      <c r="J7" s="85" t="s">
        <v>198</v>
      </c>
      <c r="K7" s="94" t="str">
        <f>VLOOKUP(I7,[7]stage_hints!$A:$C,3,FALSE)</f>
        <v>土日に大量のビットを獲得</v>
      </c>
      <c r="L7" s="95" t="str">
        <f>VLOOKUP(I7,[7]stage_hints!$A:$D,4,FALSE)</f>
        <v>土日限定の「ゴールドカジノ」では_x000D_売却素材ユニットが多く手に入ります</v>
      </c>
      <c r="M7" s="57" t="s">
        <v>199</v>
      </c>
    </row>
    <row r="8" spans="1:13" x14ac:dyDescent="0.15">
      <c r="A8" s="82" t="s">
        <v>200</v>
      </c>
      <c r="B8" s="83">
        <f>floors!$C$2</f>
        <v>30050</v>
      </c>
      <c r="C8" s="84" t="str">
        <f ca="1">VLOOKUP($B8,OFFSET([2]quests!$A$1,0,0,COUNTA([2]quests!$A:$A),MATCH(C$1,[2]quests!$1:$1,0)-MATCH($B$1,[2]quests!$1:$1,0)+1),MATCH(C$1,[2]quests!$1:$1,0)-MATCH($B$1,[2]quests!$1:$1,0)+1,FALSE)</f>
        <v>忍耐と服従</v>
      </c>
      <c r="D8" s="84" t="str">
        <f ca="1">VLOOKUP($B8,OFFSET([2]quests!$A$1,0,0,COUNTA([2]quests!$A:$A),MATCH(D$1,[2]quests!$1:$1,0)-MATCH($B$1,[2]quests!$1:$1,0)+1),MATCH(D$1,[2]quests!$1:$1,0)-MATCH($B$1,[2]quests!$1:$1,0)+1,FALSE)</f>
        <v>英傑シリーズ　超級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【中級】忍耐と服従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英傑シリーズ　超級</v>
      </c>
      <c r="H8" s="86">
        <v>0</v>
      </c>
      <c r="I8">
        <v>11</v>
      </c>
      <c r="J8" s="85" t="s">
        <v>198</v>
      </c>
      <c r="K8" s="94" t="str">
        <f>VLOOKUP(I8,[7]stage_hints!$A:$C,3,FALSE)</f>
        <v>ゲリラクエストは要チェック</v>
      </c>
      <c r="L8" s="95" t="str">
        <f>VLOOKUP(I8,[7]stage_hints!$A:$D,4,FALSE)</f>
        <v>時間限定の「アヒル捕獲作戦」では_x000D_経験値素材ユニットが多く手に入ります</v>
      </c>
      <c r="M8" s="57" t="s">
        <v>199</v>
      </c>
    </row>
    <row r="9" spans="1:13" x14ac:dyDescent="0.15">
      <c r="A9" s="82" t="s">
        <v>200</v>
      </c>
      <c r="B9" s="83">
        <f>floors!$C$2</f>
        <v>30050</v>
      </c>
      <c r="C9" s="84" t="str">
        <f ca="1">VLOOKUP($B9,OFFSET([2]quests!$A$1,0,0,COUNTA([2]quests!$A:$A),MATCH(C$1,[2]quests!$1:$1,0)-MATCH($B$1,[2]quests!$1:$1,0)+1),MATCH(C$1,[2]quests!$1:$1,0)-MATCH($B$1,[2]quests!$1:$1,0)+1,FALSE)</f>
        <v>忍耐と服従</v>
      </c>
      <c r="D9" s="84" t="str">
        <f ca="1">VLOOKUP($B9,OFFSET([2]quests!$A$1,0,0,COUNTA([2]quests!$A:$A),MATCH(D$1,[2]quests!$1:$1,0)-MATCH($B$1,[2]quests!$1:$1,0)+1),MATCH(D$1,[2]quests!$1:$1,0)-MATCH($B$1,[2]quests!$1:$1,0)+1,FALSE)</f>
        <v>英傑シリーズ　超級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【中級】忍耐と服従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英傑シリーズ　超級</v>
      </c>
      <c r="H9" s="86">
        <v>0</v>
      </c>
      <c r="I9">
        <v>12</v>
      </c>
      <c r="J9" s="85" t="s">
        <v>198</v>
      </c>
      <c r="K9" s="94" t="str">
        <f>VLOOKUP(I9,[7]stage_hints!$A:$C,3,FALSE)</f>
        <v>ユニットのお気に入り登録</v>
      </c>
      <c r="L9" s="95" t="str">
        <f>VLOOKUP(I9,[7]stage_hints!$A:$D,4,FALSE)</f>
        <v>大事なユニットを誤って消さないように_x000D_フォルダから「お気に入り登録」しましょう</v>
      </c>
      <c r="M9" s="57" t="s">
        <v>199</v>
      </c>
    </row>
    <row r="10" spans="1:13" x14ac:dyDescent="0.15">
      <c r="A10" s="82" t="s">
        <v>200</v>
      </c>
      <c r="B10" s="83">
        <f>floors!$C$2</f>
        <v>30050</v>
      </c>
      <c r="C10" s="84" t="str">
        <f ca="1">VLOOKUP($B10,OFFSET([2]quests!$A$1,0,0,COUNTA([2]quests!$A:$A),MATCH(C$1,[2]quests!$1:$1,0)-MATCH($B$1,[2]quests!$1:$1,0)+1),MATCH(C$1,[2]quests!$1:$1,0)-MATCH($B$1,[2]quests!$1:$1,0)+1,FALSE)</f>
        <v>忍耐と服従</v>
      </c>
      <c r="D10" s="84" t="str">
        <f ca="1">VLOOKUP($B10,OFFSET([2]quests!$A$1,0,0,COUNTA([2]quests!$A:$A),MATCH(D$1,[2]quests!$1:$1,0)-MATCH($B$1,[2]quests!$1:$1,0)+1),MATCH(D$1,[2]quests!$1:$1,0)-MATCH($B$1,[2]quests!$1:$1,0)+1,FALSE)</f>
        <v>英傑シリーズ　超級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【中級】忍耐と服従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英傑シリーズ　超級</v>
      </c>
      <c r="H10" s="86">
        <v>0</v>
      </c>
      <c r="I10">
        <v>13</v>
      </c>
      <c r="J10" s="85" t="s">
        <v>198</v>
      </c>
      <c r="K10" s="94" t="str">
        <f>VLOOKUP(I10,[7]stage_hints!$A:$C,3,FALSE)</f>
        <v>ユニットの覚醒</v>
      </c>
      <c r="L10" s="95" t="str">
        <f>VLOOKUP(I10,[7]stage_hints!$A:$D,4,FALSE)</f>
        <v>ユニットを覚醒させると_x000D_比べものにならない強さが手に入ります</v>
      </c>
      <c r="M10" s="57" t="s">
        <v>199</v>
      </c>
    </row>
    <row r="11" spans="1:13" x14ac:dyDescent="0.15">
      <c r="A11" s="82" t="s">
        <v>200</v>
      </c>
      <c r="B11" s="83">
        <f>floors!$C$2</f>
        <v>30050</v>
      </c>
      <c r="C11" s="84" t="str">
        <f ca="1">VLOOKUP($B11,OFFSET([2]quests!$A$1,0,0,COUNTA([2]quests!$A:$A),MATCH(C$1,[2]quests!$1:$1,0)-MATCH($B$1,[2]quests!$1:$1,0)+1),MATCH(C$1,[2]quests!$1:$1,0)-MATCH($B$1,[2]quests!$1:$1,0)+1,FALSE)</f>
        <v>忍耐と服従</v>
      </c>
      <c r="D11" s="84" t="str">
        <f ca="1">VLOOKUP($B11,OFFSET([2]quests!$A$1,0,0,COUNTA([2]quests!$A:$A),MATCH(D$1,[2]quests!$1:$1,0)-MATCH($B$1,[2]quests!$1:$1,0)+1),MATCH(D$1,[2]quests!$1:$1,0)-MATCH($B$1,[2]quests!$1:$1,0)+1,FALSE)</f>
        <v>英傑シリーズ　超級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【中級】忍耐と服従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英傑シリーズ　超級</v>
      </c>
      <c r="H11" s="86">
        <v>0</v>
      </c>
      <c r="I11">
        <v>14</v>
      </c>
      <c r="J11" s="85" t="s">
        <v>198</v>
      </c>
      <c r="K11" s="94" t="str">
        <f>VLOOKUP(I11,[7]stage_hints!$A:$C,3,FALSE)</f>
        <v>覚醒するにはレベルを最大に</v>
      </c>
      <c r="L11" s="95" t="str">
        <f>VLOOKUP(I11,[7]stage_hints!$A:$D,4,FALSE)</f>
        <v>覚醒するにはユニットのレベルを_x000D_最大まで上げる必要があります</v>
      </c>
      <c r="M11" s="57" t="s">
        <v>199</v>
      </c>
    </row>
    <row r="12" spans="1:13" x14ac:dyDescent="0.15">
      <c r="A12" s="82" t="s">
        <v>200</v>
      </c>
      <c r="B12" s="83">
        <f>floors!$C$2</f>
        <v>30050</v>
      </c>
      <c r="C12" s="84" t="str">
        <f ca="1">VLOOKUP($B12,OFFSET([2]quests!$A$1,0,0,COUNTA([2]quests!$A:$A),MATCH(C$1,[2]quests!$1:$1,0)-MATCH($B$1,[2]quests!$1:$1,0)+1),MATCH(C$1,[2]quests!$1:$1,0)-MATCH($B$1,[2]quests!$1:$1,0)+1,FALSE)</f>
        <v>忍耐と服従</v>
      </c>
      <c r="D12" s="84" t="str">
        <f ca="1">VLOOKUP($B12,OFFSET([2]quests!$A$1,0,0,COUNTA([2]quests!$A:$A),MATCH(D$1,[2]quests!$1:$1,0)-MATCH($B$1,[2]quests!$1:$1,0)+1),MATCH(D$1,[2]quests!$1:$1,0)-MATCH($B$1,[2]quests!$1:$1,0)+1,FALSE)</f>
        <v>英傑シリーズ　超級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【中級】忍耐と服従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英傑シリーズ　超級</v>
      </c>
      <c r="H12" s="86">
        <v>0</v>
      </c>
      <c r="I12">
        <v>15</v>
      </c>
      <c r="J12" s="85" t="s">
        <v>198</v>
      </c>
      <c r="K12" s="94" t="str">
        <f>VLOOKUP(I12,[7]stage_hints!$A:$C,3,FALSE)</f>
        <v>覚醒素材を獲得</v>
      </c>
      <c r="L12" s="95" t="str">
        <f>VLOOKUP(I12,[7]stage_hints!$A:$D,4,FALSE)</f>
        <v>「曜日クエスト」では_x000D_ユニットの覚醒に必要な素材が手に入ります</v>
      </c>
      <c r="M12" s="57" t="s">
        <v>199</v>
      </c>
    </row>
    <row r="13" spans="1:13" x14ac:dyDescent="0.15">
      <c r="A13" s="82" t="s">
        <v>200</v>
      </c>
      <c r="B13" s="83">
        <f>floors!$C$2</f>
        <v>30050</v>
      </c>
      <c r="C13" s="84" t="str">
        <f ca="1">VLOOKUP($B13,OFFSET([2]quests!$A$1,0,0,COUNTA([2]quests!$A:$A),MATCH(C$1,[2]quests!$1:$1,0)-MATCH($B$1,[2]quests!$1:$1,0)+1),MATCH(C$1,[2]quests!$1:$1,0)-MATCH($B$1,[2]quests!$1:$1,0)+1,FALSE)</f>
        <v>忍耐と服従</v>
      </c>
      <c r="D13" s="84" t="str">
        <f ca="1">VLOOKUP($B13,OFFSET([2]quests!$A$1,0,0,COUNTA([2]quests!$A:$A),MATCH(D$1,[2]quests!$1:$1,0)-MATCH($B$1,[2]quests!$1:$1,0)+1),MATCH(D$1,[2]quests!$1:$1,0)-MATCH($B$1,[2]quests!$1:$1,0)+1,FALSE)</f>
        <v>英傑シリーズ　超級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【中級】忍耐と服従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英傑シリーズ　超級</v>
      </c>
      <c r="H13" s="86">
        <v>0</v>
      </c>
      <c r="I13">
        <v>16</v>
      </c>
      <c r="J13" s="85" t="s">
        <v>198</v>
      </c>
      <c r="K13" s="94" t="str">
        <f>VLOOKUP(I13,[7]stage_hints!$A:$C,3,FALSE)</f>
        <v>マルチプレイのメリット（その1）</v>
      </c>
      <c r="L13" s="95" t="str">
        <f>VLOOKUP(I13,[7]stage_hints!$A:$D,4,FALSE)</f>
        <v>他のプレイヤーとマルチプレイで遊ぶと_x000D_ポリゴンがもらえます（100人まで）</v>
      </c>
      <c r="M13" s="57" t="s">
        <v>199</v>
      </c>
    </row>
    <row r="14" spans="1:13" x14ac:dyDescent="0.15">
      <c r="A14" s="82" t="s">
        <v>200</v>
      </c>
      <c r="B14" s="83">
        <f>floors!$C$2</f>
        <v>30050</v>
      </c>
      <c r="C14" s="84" t="str">
        <f ca="1">VLOOKUP($B14,OFFSET([2]quests!$A$1,0,0,COUNTA([2]quests!$A:$A),MATCH(C$1,[2]quests!$1:$1,0)-MATCH($B$1,[2]quests!$1:$1,0)+1),MATCH(C$1,[2]quests!$1:$1,0)-MATCH($B$1,[2]quests!$1:$1,0)+1,FALSE)</f>
        <v>忍耐と服従</v>
      </c>
      <c r="D14" s="84" t="str">
        <f ca="1">VLOOKUP($B14,OFFSET([2]quests!$A$1,0,0,COUNTA([2]quests!$A:$A),MATCH(D$1,[2]quests!$1:$1,0)-MATCH($B$1,[2]quests!$1:$1,0)+1),MATCH(D$1,[2]quests!$1:$1,0)-MATCH($B$1,[2]quests!$1:$1,0)+1,FALSE)</f>
        <v>英傑シリーズ　超級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【中級】忍耐と服従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英傑シリーズ　超級</v>
      </c>
      <c r="H14" s="86">
        <v>0</v>
      </c>
      <c r="I14">
        <v>17</v>
      </c>
      <c r="J14" s="85" t="s">
        <v>198</v>
      </c>
      <c r="K14" s="94" t="str">
        <f>VLOOKUP(I14,[7]stage_hints!$A:$C,3,FALSE)</f>
        <v>リンクガチャ</v>
      </c>
      <c r="L14" s="95" t="str">
        <f>VLOOKUP(I14,[7]stage_hints!$A:$D,4,FALSE)</f>
        <v>無料のリンクガチャを回して_x000D_経験値素材や売却素材を獲得しましょう</v>
      </c>
      <c r="M14" s="57" t="s">
        <v>199</v>
      </c>
    </row>
    <row r="15" spans="1:13" x14ac:dyDescent="0.15">
      <c r="A15" s="82" t="s">
        <v>200</v>
      </c>
      <c r="B15" s="83">
        <f>floors!$C$2</f>
        <v>30050</v>
      </c>
      <c r="C15" s="84" t="str">
        <f ca="1">VLOOKUP($B15,OFFSET([2]quests!$A$1,0,0,COUNTA([2]quests!$A:$A),MATCH(C$1,[2]quests!$1:$1,0)-MATCH($B$1,[2]quests!$1:$1,0)+1),MATCH(C$1,[2]quests!$1:$1,0)-MATCH($B$1,[2]quests!$1:$1,0)+1,FALSE)</f>
        <v>忍耐と服従</v>
      </c>
      <c r="D15" s="84" t="str">
        <f ca="1">VLOOKUP($B15,OFFSET([2]quests!$A$1,0,0,COUNTA([2]quests!$A:$A),MATCH(D$1,[2]quests!$1:$1,0)-MATCH($B$1,[2]quests!$1:$1,0)+1),MATCH(D$1,[2]quests!$1:$1,0)-MATCH($B$1,[2]quests!$1:$1,0)+1,FALSE)</f>
        <v>英傑シリーズ　超級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【中級】忍耐と服従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英傑シリーズ　超級</v>
      </c>
      <c r="H15" s="86">
        <v>0</v>
      </c>
      <c r="I15">
        <v>18</v>
      </c>
      <c r="J15" s="85" t="s">
        <v>198</v>
      </c>
      <c r="K15" s="94" t="str">
        <f>VLOOKUP(I15,[7]stage_hints!$A:$C,3,FALSE)</f>
        <v>マルチプレイのメリット（その2）</v>
      </c>
      <c r="L15" s="95" t="str">
        <f>VLOOKUP(I15,[7]stage_hints!$A:$D,4,FALSE)</f>
        <v>マルチプレイならリンクが2倍もらえます_x000D_リンクガチャをたくさん回しましょう</v>
      </c>
      <c r="M15" s="57" t="s">
        <v>199</v>
      </c>
    </row>
    <row r="16" spans="1:13" x14ac:dyDescent="0.15">
      <c r="A16" s="82" t="s">
        <v>200</v>
      </c>
      <c r="B16" s="83">
        <f>floors!$C$2</f>
        <v>30050</v>
      </c>
      <c r="C16" s="84" t="str">
        <f ca="1">VLOOKUP($B16,OFFSET([2]quests!$A$1,0,0,COUNTA([2]quests!$A:$A),MATCH(C$1,[2]quests!$1:$1,0)-MATCH($B$1,[2]quests!$1:$1,0)+1),MATCH(C$1,[2]quests!$1:$1,0)-MATCH($B$1,[2]quests!$1:$1,0)+1,FALSE)</f>
        <v>忍耐と服従</v>
      </c>
      <c r="D16" s="84" t="str">
        <f ca="1">VLOOKUP($B16,OFFSET([2]quests!$A$1,0,0,COUNTA([2]quests!$A:$A),MATCH(D$1,[2]quests!$1:$1,0)-MATCH($B$1,[2]quests!$1:$1,0)+1),MATCH(D$1,[2]quests!$1:$1,0)-MATCH($B$1,[2]quests!$1:$1,0)+1,FALSE)</f>
        <v>英傑シリーズ　超級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【中級】忍耐と服従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英傑シリーズ　超級</v>
      </c>
      <c r="H16" s="86">
        <v>0</v>
      </c>
      <c r="I16">
        <v>19</v>
      </c>
      <c r="J16" s="85" t="s">
        <v>198</v>
      </c>
      <c r="K16" s="94" t="str">
        <f>VLOOKUP(I16,[7]stage_hints!$A:$C,3,FALSE)</f>
        <v>ソロ専用タワーオブザクイーン</v>
      </c>
      <c r="L16" s="95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199</v>
      </c>
    </row>
    <row r="17" spans="1:13" x14ac:dyDescent="0.15">
      <c r="A17" s="82" t="s">
        <v>200</v>
      </c>
      <c r="B17" s="83">
        <f>floors!$C$2</f>
        <v>30050</v>
      </c>
      <c r="C17" s="84" t="str">
        <f ca="1">VLOOKUP($B17,OFFSET([2]quests!$A$1,0,0,COUNTA([2]quests!$A:$A),MATCH(C$1,[2]quests!$1:$1,0)-MATCH($B$1,[2]quests!$1:$1,0)+1),MATCH(C$1,[2]quests!$1:$1,0)-MATCH($B$1,[2]quests!$1:$1,0)+1,FALSE)</f>
        <v>忍耐と服従</v>
      </c>
      <c r="D17" s="84" t="str">
        <f ca="1">VLOOKUP($B17,OFFSET([2]quests!$A$1,0,0,COUNTA([2]quests!$A:$A),MATCH(D$1,[2]quests!$1:$1,0)-MATCH($B$1,[2]quests!$1:$1,0)+1),MATCH(D$1,[2]quests!$1:$1,0)-MATCH($B$1,[2]quests!$1:$1,0)+1,FALSE)</f>
        <v>英傑シリーズ　超級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【中級】忍耐と服従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英傑シリーズ　超級</v>
      </c>
      <c r="H17" s="86">
        <v>0</v>
      </c>
      <c r="I17">
        <v>20</v>
      </c>
      <c r="J17" s="85" t="s">
        <v>198</v>
      </c>
      <c r="K17" s="94" t="str">
        <f>VLOOKUP(I17,[7]stage_hints!$A:$C,3,FALSE)</f>
        <v>マルチプレイのメリット（その3）</v>
      </c>
      <c r="L17" s="95" t="str">
        <f>VLOOKUP(I17,[7]stage_hints!$A:$D,4,FALSE)</f>
        <v>マルチプレイへの参加はエナジー消費ゼロ_x000D_いつでも好きなだけ遊ぶことができます</v>
      </c>
      <c r="M17" s="57" t="s">
        <v>199</v>
      </c>
    </row>
    <row r="18" spans="1:13" x14ac:dyDescent="0.15">
      <c r="A18" s="82" t="s">
        <v>200</v>
      </c>
      <c r="B18" s="83">
        <f>floors!$C$2</f>
        <v>30050</v>
      </c>
      <c r="C18" s="84" t="str">
        <f ca="1">VLOOKUP($B18,OFFSET([2]quests!$A$1,0,0,COUNTA([2]quests!$A:$A),MATCH(C$1,[2]quests!$1:$1,0)-MATCH($B$1,[2]quests!$1:$1,0)+1),MATCH(C$1,[2]quests!$1:$1,0)-MATCH($B$1,[2]quests!$1:$1,0)+1,FALSE)</f>
        <v>忍耐と服従</v>
      </c>
      <c r="D18" s="84" t="str">
        <f ca="1">VLOOKUP($B18,OFFSET([2]quests!$A$1,0,0,COUNTA([2]quests!$A:$A),MATCH(D$1,[2]quests!$1:$1,0)-MATCH($B$1,[2]quests!$1:$1,0)+1),MATCH(D$1,[2]quests!$1:$1,0)-MATCH($B$1,[2]quests!$1:$1,0)+1,FALSE)</f>
        <v>英傑シリーズ　超級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【中級】忍耐と服従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英傑シリーズ　超級</v>
      </c>
      <c r="H18" s="86">
        <v>0</v>
      </c>
      <c r="I18">
        <v>21</v>
      </c>
      <c r="J18" s="85" t="s">
        <v>198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199</v>
      </c>
    </row>
    <row r="19" spans="1:13" x14ac:dyDescent="0.15">
      <c r="A19" s="82" t="s">
        <v>200</v>
      </c>
      <c r="B19" s="83">
        <f>floors!$C$2</f>
        <v>30050</v>
      </c>
      <c r="C19" s="84" t="str">
        <f ca="1">VLOOKUP($B19,OFFSET([2]quests!$A$1,0,0,COUNTA([2]quests!$A:$A),MATCH(C$1,[2]quests!$1:$1,0)-MATCH($B$1,[2]quests!$1:$1,0)+1),MATCH(C$1,[2]quests!$1:$1,0)-MATCH($B$1,[2]quests!$1:$1,0)+1,FALSE)</f>
        <v>忍耐と服従</v>
      </c>
      <c r="D19" s="84" t="str">
        <f ca="1">VLOOKUP($B19,OFFSET([2]quests!$A$1,0,0,COUNTA([2]quests!$A:$A),MATCH(D$1,[2]quests!$1:$1,0)-MATCH($B$1,[2]quests!$1:$1,0)+1),MATCH(D$1,[2]quests!$1:$1,0)-MATCH($B$1,[2]quests!$1:$1,0)+1,FALSE)</f>
        <v>英傑シリーズ　超級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【中級】忍耐と服従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英傑シリーズ　超級</v>
      </c>
      <c r="H19" s="86">
        <v>0</v>
      </c>
      <c r="I19">
        <v>22</v>
      </c>
      <c r="J19" s="85" t="s">
        <v>198</v>
      </c>
      <c r="K19" s="94" t="str">
        <f>VLOOKUP(I19,[7]stage_hints!$A:$C,3,FALSE)</f>
        <v>フィーバーで一発逆転（その1）</v>
      </c>
      <c r="L19" s="95" t="str">
        <f>VLOOKUP(I19,[7]stage_hints!$A:$D,4,FALSE)</f>
        <v>フィーバーは攻撃と回復を兼ね備えます_x000D_ピンチからの一発逆転を狙いましょう</v>
      </c>
      <c r="M19" s="57" t="s">
        <v>199</v>
      </c>
    </row>
    <row r="20" spans="1:13" x14ac:dyDescent="0.15">
      <c r="A20" s="82" t="s">
        <v>200</v>
      </c>
      <c r="B20" s="83">
        <f>floors!$C$2</f>
        <v>30050</v>
      </c>
      <c r="C20" s="84" t="str">
        <f ca="1">VLOOKUP($B20,OFFSET([2]quests!$A$1,0,0,COUNTA([2]quests!$A:$A),MATCH(C$1,[2]quests!$1:$1,0)-MATCH($B$1,[2]quests!$1:$1,0)+1),MATCH(C$1,[2]quests!$1:$1,0)-MATCH($B$1,[2]quests!$1:$1,0)+1,FALSE)</f>
        <v>忍耐と服従</v>
      </c>
      <c r="D20" s="84" t="str">
        <f ca="1">VLOOKUP($B20,OFFSET([2]quests!$A$1,0,0,COUNTA([2]quests!$A:$A),MATCH(D$1,[2]quests!$1:$1,0)-MATCH($B$1,[2]quests!$1:$1,0)+1),MATCH(D$1,[2]quests!$1:$1,0)-MATCH($B$1,[2]quests!$1:$1,0)+1,FALSE)</f>
        <v>英傑シリーズ　超級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【中級】忍耐と服従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英傑シリーズ　超級</v>
      </c>
      <c r="H20" s="86">
        <v>0</v>
      </c>
      <c r="I20">
        <v>23</v>
      </c>
      <c r="J20" s="85" t="s">
        <v>198</v>
      </c>
      <c r="K20" s="94" t="str">
        <f>VLOOKUP(I20,[7]stage_hints!$A:$C,3,FALSE)</f>
        <v>フィーバーで一発逆転（その2）</v>
      </c>
      <c r="L20" s="95" t="str">
        <f>VLOOKUP(I20,[7]stage_hints!$A:$D,4,FALSE)</f>
        <v>フィーバー中は虹色のボムパネルを狙って_x000D_画面上のパネルを一気に破壊しましょう</v>
      </c>
      <c r="M20" s="57" t="s">
        <v>199</v>
      </c>
    </row>
    <row r="21" spans="1:13" x14ac:dyDescent="0.15">
      <c r="A21" s="82" t="s">
        <v>200</v>
      </c>
      <c r="B21" s="83">
        <f>floors!$C$2</f>
        <v>30050</v>
      </c>
      <c r="C21" s="84" t="str">
        <f ca="1">VLOOKUP($B21,OFFSET([2]quests!$A$1,0,0,COUNTA([2]quests!$A:$A),MATCH(C$1,[2]quests!$1:$1,0)-MATCH($B$1,[2]quests!$1:$1,0)+1),MATCH(C$1,[2]quests!$1:$1,0)-MATCH($B$1,[2]quests!$1:$1,0)+1,FALSE)</f>
        <v>忍耐と服従</v>
      </c>
      <c r="D21" s="84" t="str">
        <f ca="1">VLOOKUP($B21,OFFSET([2]quests!$A$1,0,0,COUNTA([2]quests!$A:$A),MATCH(D$1,[2]quests!$1:$1,0)-MATCH($B$1,[2]quests!$1:$1,0)+1),MATCH(D$1,[2]quests!$1:$1,0)-MATCH($B$1,[2]quests!$1:$1,0)+1,FALSE)</f>
        <v>英傑シリーズ　超級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【中級】忍耐と服従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英傑シリーズ　超級</v>
      </c>
      <c r="H21" s="86">
        <v>0</v>
      </c>
      <c r="I21">
        <v>24</v>
      </c>
      <c r="J21" s="85" t="s">
        <v>198</v>
      </c>
      <c r="K21" s="94" t="str">
        <f>VLOOKUP(I21,[7]stage_hints!$A:$C,3,FALSE)</f>
        <v>果実を使って限界突破</v>
      </c>
      <c r="L21" s="95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199</v>
      </c>
    </row>
    <row r="22" spans="1:13" x14ac:dyDescent="0.15">
      <c r="A22" s="82" t="s">
        <v>200</v>
      </c>
      <c r="B22" s="83">
        <f>floors!$C$2</f>
        <v>30050</v>
      </c>
      <c r="C22" s="84" t="str">
        <f ca="1">VLOOKUP($B22,OFFSET([2]quests!$A$1,0,0,COUNTA([2]quests!$A:$A),MATCH(C$1,[2]quests!$1:$1,0)-MATCH($B$1,[2]quests!$1:$1,0)+1),MATCH(C$1,[2]quests!$1:$1,0)-MATCH($B$1,[2]quests!$1:$1,0)+1,FALSE)</f>
        <v>忍耐と服従</v>
      </c>
      <c r="D22" s="84" t="str">
        <f ca="1">VLOOKUP($B22,OFFSET([2]quests!$A$1,0,0,COUNTA([2]quests!$A:$A),MATCH(D$1,[2]quests!$1:$1,0)-MATCH($B$1,[2]quests!$1:$1,0)+1),MATCH(D$1,[2]quests!$1:$1,0)-MATCH($B$1,[2]quests!$1:$1,0)+1,FALSE)</f>
        <v>英傑シリーズ　超級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【中級】忍耐と服従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英傑シリーズ　超級</v>
      </c>
      <c r="H22" s="86">
        <v>0</v>
      </c>
      <c r="I22">
        <v>25</v>
      </c>
      <c r="J22" s="85" t="s">
        <v>198</v>
      </c>
      <c r="K22" s="94" t="str">
        <f>VLOOKUP(I22,[7]stage_hints!$A:$C,3,FALSE)</f>
        <v>スキルレベルアップ</v>
      </c>
      <c r="L22" s="95" t="str">
        <f>VLOOKUP(I22,[7]stage_hints!$A:$D,4,FALSE)</f>
        <v>「秘術の果実」を強化に使うと_x000D_スキルレベルを上げることができます</v>
      </c>
      <c r="M22" s="57" t="s">
        <v>199</v>
      </c>
    </row>
    <row r="23" spans="1:13" x14ac:dyDescent="0.15">
      <c r="A23" s="82" t="s">
        <v>200</v>
      </c>
      <c r="B23" s="83">
        <f>floors!$C$2</f>
        <v>30050</v>
      </c>
      <c r="C23" s="84" t="str">
        <f ca="1">VLOOKUP($B23,OFFSET([2]quests!$A$1,0,0,COUNTA([2]quests!$A:$A),MATCH(C$1,[2]quests!$1:$1,0)-MATCH($B$1,[2]quests!$1:$1,0)+1),MATCH(C$1,[2]quests!$1:$1,0)-MATCH($B$1,[2]quests!$1:$1,0)+1,FALSE)</f>
        <v>忍耐と服従</v>
      </c>
      <c r="D23" s="84" t="str">
        <f ca="1">VLOOKUP($B23,OFFSET([2]quests!$A$1,0,0,COUNTA([2]quests!$A:$A),MATCH(D$1,[2]quests!$1:$1,0)-MATCH($B$1,[2]quests!$1:$1,0)+1),MATCH(D$1,[2]quests!$1:$1,0)-MATCH($B$1,[2]quests!$1:$1,0)+1,FALSE)</f>
        <v>英傑シリーズ　超級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【中級】忍耐と服従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英傑シリーズ　超級</v>
      </c>
      <c r="H23" s="86">
        <v>0</v>
      </c>
      <c r="I23">
        <v>26</v>
      </c>
      <c r="J23" s="85" t="s">
        <v>198</v>
      </c>
      <c r="K23" s="94" t="str">
        <f>VLOOKUP(I23,[7]stage_hints!$A:$C,3,FALSE)</f>
        <v>スキルレベルの効果</v>
      </c>
      <c r="L23" s="95" t="str">
        <f>VLOOKUP(I23,[7]stage_hints!$A:$D,4,FALSE)</f>
        <v>スキルレベルが上がると_x000D_短いターンでスキルを使うことができます</v>
      </c>
      <c r="M23" s="57" t="s">
        <v>199</v>
      </c>
    </row>
    <row r="24" spans="1:13" x14ac:dyDescent="0.15">
      <c r="A24" s="82" t="s">
        <v>200</v>
      </c>
      <c r="B24" s="83">
        <f>floors!$C$2</f>
        <v>30050</v>
      </c>
      <c r="C24" s="84" t="str">
        <f ca="1">VLOOKUP($B24,OFFSET([2]quests!$A$1,0,0,COUNTA([2]quests!$A:$A),MATCH(C$1,[2]quests!$1:$1,0)-MATCH($B$1,[2]quests!$1:$1,0)+1),MATCH(C$1,[2]quests!$1:$1,0)-MATCH($B$1,[2]quests!$1:$1,0)+1,FALSE)</f>
        <v>忍耐と服従</v>
      </c>
      <c r="D24" s="84" t="str">
        <f ca="1">VLOOKUP($B24,OFFSET([2]quests!$A$1,0,0,COUNTA([2]quests!$A:$A),MATCH(D$1,[2]quests!$1:$1,0)-MATCH($B$1,[2]quests!$1:$1,0)+1),MATCH(D$1,[2]quests!$1:$1,0)-MATCH($B$1,[2]quests!$1:$1,0)+1,FALSE)</f>
        <v>英傑シリーズ　超級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【中級】忍耐と服従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英傑シリーズ　超級</v>
      </c>
      <c r="H24" s="86">
        <v>0</v>
      </c>
      <c r="I24">
        <v>27</v>
      </c>
      <c r="J24" s="85" t="s">
        <v>198</v>
      </c>
      <c r="K24" s="94" t="str">
        <f>VLOOKUP(I24,[7]stage_hints!$A:$C,3,FALSE)</f>
        <v>ホーム画面からデッキを編成</v>
      </c>
      <c r="L24" s="95" t="str">
        <f>VLOOKUP(I24,[7]stage_hints!$A:$D,4,FALSE)</f>
        <v>ホーム画面でユニットを長押しすると_x000D_すぐにパーティ編成に移動できます</v>
      </c>
      <c r="M24" s="57" t="s">
        <v>199</v>
      </c>
    </row>
    <row r="25" spans="1:13" x14ac:dyDescent="0.15">
      <c r="A25" s="82" t="s">
        <v>200</v>
      </c>
      <c r="B25" s="83">
        <f>floors!$C$2</f>
        <v>30050</v>
      </c>
      <c r="C25" s="84" t="str">
        <f ca="1">VLOOKUP($B25,OFFSET([2]quests!$A$1,0,0,COUNTA([2]quests!$A:$A),MATCH(C$1,[2]quests!$1:$1,0)-MATCH($B$1,[2]quests!$1:$1,0)+1),MATCH(C$1,[2]quests!$1:$1,0)-MATCH($B$1,[2]quests!$1:$1,0)+1,FALSE)</f>
        <v>忍耐と服従</v>
      </c>
      <c r="D25" s="84" t="str">
        <f ca="1">VLOOKUP($B25,OFFSET([2]quests!$A$1,0,0,COUNTA([2]quests!$A:$A),MATCH(D$1,[2]quests!$1:$1,0)-MATCH($B$1,[2]quests!$1:$1,0)+1),MATCH(D$1,[2]quests!$1:$1,0)-MATCH($B$1,[2]quests!$1:$1,0)+1,FALSE)</f>
        <v>英傑シリーズ　超級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【中級】忍耐と服従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英傑シリーズ　超級</v>
      </c>
      <c r="H25" s="86">
        <v>0</v>
      </c>
      <c r="I25">
        <v>28</v>
      </c>
      <c r="J25" s="85" t="s">
        <v>198</v>
      </c>
      <c r="K25" s="94" t="str">
        <f>VLOOKUP(I25,[7]stage_hints!$A:$C,3,FALSE)</f>
        <v>ステータス情報は長押しで</v>
      </c>
      <c r="L25" s="95" t="str">
        <f>VLOOKUP(I25,[7]stage_hints!$A:$D,4,FALSE)</f>
        <v>ユニットのアイコンを長押しすると_x000D_ステータス情報を確認することができます</v>
      </c>
      <c r="M25" s="57" t="s">
        <v>199</v>
      </c>
    </row>
    <row r="26" spans="1:13" x14ac:dyDescent="0.15">
      <c r="A26" s="82" t="s">
        <v>200</v>
      </c>
      <c r="B26" s="83">
        <f>floors!$C$2</f>
        <v>30050</v>
      </c>
      <c r="C26" s="84" t="str">
        <f ca="1">VLOOKUP($B26,OFFSET([2]quests!$A$1,0,0,COUNTA([2]quests!$A:$A),MATCH(C$1,[2]quests!$1:$1,0)-MATCH($B$1,[2]quests!$1:$1,0)+1),MATCH(C$1,[2]quests!$1:$1,0)-MATCH($B$1,[2]quests!$1:$1,0)+1,FALSE)</f>
        <v>忍耐と服従</v>
      </c>
      <c r="D26" s="84" t="str">
        <f ca="1">VLOOKUP($B26,OFFSET([2]quests!$A$1,0,0,COUNTA([2]quests!$A:$A),MATCH(D$1,[2]quests!$1:$1,0)-MATCH($B$1,[2]quests!$1:$1,0)+1),MATCH(D$1,[2]quests!$1:$1,0)-MATCH($B$1,[2]quests!$1:$1,0)+1,FALSE)</f>
        <v>英傑シリーズ　超級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【中級】忍耐と服従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英傑シリーズ　超級</v>
      </c>
      <c r="H26" s="86">
        <v>0</v>
      </c>
      <c r="I26">
        <v>29</v>
      </c>
      <c r="J26" s="85" t="s">
        <v>198</v>
      </c>
      <c r="K26" s="94" t="str">
        <f>VLOOKUP(I26,[7]stage_hints!$A:$C,3,FALSE)</f>
        <v>「バグ」のメリット</v>
      </c>
      <c r="L26" s="95" t="str">
        <f>VLOOKUP(I26,[7]stage_hints!$A:$D,4,FALSE)</f>
        <v>ユニットの「バグ」を増やすと_x000D_報酬をもらえる確率がアップします</v>
      </c>
      <c r="M26" s="57" t="s">
        <v>199</v>
      </c>
    </row>
    <row r="27" spans="1:13" x14ac:dyDescent="0.15">
      <c r="A27" s="82" t="s">
        <v>200</v>
      </c>
      <c r="B27" s="83">
        <f>floors!$C$2</f>
        <v>30050</v>
      </c>
      <c r="C27" s="84" t="str">
        <f ca="1">VLOOKUP($B27,OFFSET([2]quests!$A$1,0,0,COUNTA([2]quests!$A:$A),MATCH(C$1,[2]quests!$1:$1,0)-MATCH($B$1,[2]quests!$1:$1,0)+1),MATCH(C$1,[2]quests!$1:$1,0)-MATCH($B$1,[2]quests!$1:$1,0)+1,FALSE)</f>
        <v>忍耐と服従</v>
      </c>
      <c r="D27" s="84" t="str">
        <f ca="1">VLOOKUP($B27,OFFSET([2]quests!$A$1,0,0,COUNTA([2]quests!$A:$A),MATCH(D$1,[2]quests!$1:$1,0)-MATCH($B$1,[2]quests!$1:$1,0)+1),MATCH(D$1,[2]quests!$1:$1,0)-MATCH($B$1,[2]quests!$1:$1,0)+1,FALSE)</f>
        <v>英傑シリーズ　超級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【中級】忍耐と服従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英傑シリーズ　超級</v>
      </c>
      <c r="H27" s="86">
        <v>0</v>
      </c>
      <c r="I27">
        <v>30</v>
      </c>
      <c r="J27" s="85" t="s">
        <v>198</v>
      </c>
      <c r="K27" s="94" t="str">
        <f>VLOOKUP(I27,[7]stage_hints!$A:$C,3,FALSE)</f>
        <v>「バグ」の増やし方</v>
      </c>
      <c r="L27" s="95" t="str">
        <f>VLOOKUP(I27,[7]stage_hints!$A:$D,4,FALSE)</f>
        <v>同じユニット同士を強化で合成すると_x000D_「バグ」を増やすことができます</v>
      </c>
      <c r="M27" s="57" t="s">
        <v>199</v>
      </c>
    </row>
    <row r="28" spans="1:13" x14ac:dyDescent="0.15">
      <c r="A28" s="82" t="s">
        <v>200</v>
      </c>
      <c r="B28" s="83">
        <f>floors!$C$2</f>
        <v>30050</v>
      </c>
      <c r="C28" s="84" t="str">
        <f ca="1">VLOOKUP($B28,OFFSET([2]quests!$A$1,0,0,COUNTA([2]quests!$A:$A),MATCH(C$1,[2]quests!$1:$1,0)-MATCH($B$1,[2]quests!$1:$1,0)+1),MATCH(C$1,[2]quests!$1:$1,0)-MATCH($B$1,[2]quests!$1:$1,0)+1,FALSE)</f>
        <v>忍耐と服従</v>
      </c>
      <c r="D28" s="84" t="str">
        <f ca="1">VLOOKUP($B28,OFFSET([2]quests!$A$1,0,0,COUNTA([2]quests!$A:$A),MATCH(D$1,[2]quests!$1:$1,0)-MATCH($B$1,[2]quests!$1:$1,0)+1),MATCH(D$1,[2]quests!$1:$1,0)-MATCH($B$1,[2]quests!$1:$1,0)+1,FALSE)</f>
        <v>英傑シリーズ　超級</v>
      </c>
      <c r="E28" s="88">
        <v>1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【中級】忍耐と服従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英傑シリーズ　超級</v>
      </c>
      <c r="H28" s="86">
        <v>0</v>
      </c>
      <c r="I28">
        <v>31</v>
      </c>
      <c r="J28" s="85" t="s">
        <v>198</v>
      </c>
      <c r="K28" s="94" t="str">
        <f>VLOOKUP(I28,[7]stage_hints!$A:$C,3,FALSE)</f>
        <v>イベントはお知らせでチェック</v>
      </c>
      <c r="L28" s="95" t="str">
        <f>VLOOKUP(I28,[7]stage_hints!$A:$D,4,FALSE)</f>
        <v>イベント限定ユニットを取り忘れないように_x000D_お知らせをこまめにチェックしましょう</v>
      </c>
      <c r="M28" s="57" t="s">
        <v>199</v>
      </c>
    </row>
    <row r="29" spans="1:13" x14ac:dyDescent="0.15">
      <c r="A29" s="82" t="s">
        <v>200</v>
      </c>
      <c r="B29" s="83">
        <f>floors!$C$2</f>
        <v>30050</v>
      </c>
      <c r="C29" s="84" t="str">
        <f ca="1">VLOOKUP($B29,OFFSET([2]quests!$A$1,0,0,COUNTA([2]quests!$A:$A),MATCH(C$1,[2]quests!$1:$1,0)-MATCH($B$1,[2]quests!$1:$1,0)+1),MATCH(C$1,[2]quests!$1:$1,0)-MATCH($B$1,[2]quests!$1:$1,0)+1,FALSE)</f>
        <v>忍耐と服従</v>
      </c>
      <c r="D29" s="84" t="str">
        <f ca="1">VLOOKUP($B29,OFFSET([2]quests!$A$1,0,0,COUNTA([2]quests!$A:$A),MATCH(D$1,[2]quests!$1:$1,0)-MATCH($B$1,[2]quests!$1:$1,0)+1),MATCH(D$1,[2]quests!$1:$1,0)-MATCH($B$1,[2]quests!$1:$1,0)+1,FALSE)</f>
        <v>英傑シリーズ　超級</v>
      </c>
      <c r="E29" s="88">
        <v>1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【中級】忍耐と服従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英傑シリーズ　超級</v>
      </c>
      <c r="H29" s="86">
        <v>0</v>
      </c>
      <c r="I29">
        <v>32</v>
      </c>
      <c r="J29" s="85" t="s">
        <v>198</v>
      </c>
      <c r="K29" s="94" t="str">
        <f>VLOOKUP(I29,[7]stage_hints!$A:$C,3,FALSE)</f>
        <v>敵の連続攻撃には</v>
      </c>
      <c r="L29" s="95" t="str">
        <f>VLOOKUP(I29,[7]stage_hints!$A:$D,4,FALSE)</f>
        <v>カウンタースキルを持つユニットがいれば_x000D_ダメージ回数分の反撃ができます</v>
      </c>
      <c r="M29" s="57" t="s">
        <v>199</v>
      </c>
    </row>
    <row r="30" spans="1:13" x14ac:dyDescent="0.15">
      <c r="A30" s="82" t="s">
        <v>200</v>
      </c>
      <c r="B30" s="83">
        <f>floors!$C$2</f>
        <v>30050</v>
      </c>
      <c r="C30" s="84" t="str">
        <f ca="1">VLOOKUP($B30,OFFSET([2]quests!$A$1,0,0,COUNTA([2]quests!$A:$A),MATCH(C$1,[2]quests!$1:$1,0)-MATCH($B$1,[2]quests!$1:$1,0)+1),MATCH(C$1,[2]quests!$1:$1,0)-MATCH($B$1,[2]quests!$1:$1,0)+1,FALSE)</f>
        <v>忍耐と服従</v>
      </c>
      <c r="D30" s="84" t="str">
        <f ca="1">VLOOKUP($B30,OFFSET([2]quests!$A$1,0,0,COUNTA([2]quests!$A:$A),MATCH(D$1,[2]quests!$1:$1,0)-MATCH($B$1,[2]quests!$1:$1,0)+1),MATCH(D$1,[2]quests!$1:$1,0)-MATCH($B$1,[2]quests!$1:$1,0)+1,FALSE)</f>
        <v>英傑シリーズ　超級</v>
      </c>
      <c r="E30" s="88">
        <v>1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【中級】忍耐と服従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英傑シリーズ　超級</v>
      </c>
      <c r="H30" s="86">
        <v>0</v>
      </c>
      <c r="I30">
        <v>33</v>
      </c>
      <c r="J30" s="85" t="s">
        <v>198</v>
      </c>
      <c r="K30" s="94" t="str">
        <f>VLOOKUP(I30,[7]stage_hints!$A:$C,3,FALSE)</f>
        <v>敵のカウンター攻撃には</v>
      </c>
      <c r="L30" s="95" t="str">
        <f>VLOOKUP(I30,[7]stage_hints!$A:$D,4,FALSE)</f>
        <v>カウンターブレイクスキルを持っていれば_x000D_敵のカウンターを解除して攻撃ができます</v>
      </c>
      <c r="M30" s="57" t="s">
        <v>199</v>
      </c>
    </row>
    <row r="31" spans="1:13" x14ac:dyDescent="0.15">
      <c r="A31" s="82" t="s">
        <v>200</v>
      </c>
      <c r="B31" s="83">
        <f>floors!$C$2</f>
        <v>30050</v>
      </c>
      <c r="C31" s="84" t="str">
        <f ca="1">VLOOKUP($B31,OFFSET([2]quests!$A$1,0,0,COUNTA([2]quests!$A:$A),MATCH(C$1,[2]quests!$1:$1,0)-MATCH($B$1,[2]quests!$1:$1,0)+1),MATCH(C$1,[2]quests!$1:$1,0)-MATCH($B$1,[2]quests!$1:$1,0)+1,FALSE)</f>
        <v>忍耐と服従</v>
      </c>
      <c r="D31" s="84" t="str">
        <f ca="1">VLOOKUP($B31,OFFSET([2]quests!$A$1,0,0,COUNTA([2]quests!$A:$A),MATCH(D$1,[2]quests!$1:$1,0)-MATCH($B$1,[2]quests!$1:$1,0)+1),MATCH(D$1,[2]quests!$1:$1,0)-MATCH($B$1,[2]quests!$1:$1,0)+1,FALSE)</f>
        <v>英傑シリーズ　超級</v>
      </c>
      <c r="E31" s="88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【中級】忍耐と服従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英傑シリーズ　超級</v>
      </c>
      <c r="H31" s="86">
        <v>0</v>
      </c>
      <c r="I31">
        <v>34</v>
      </c>
      <c r="J31" s="85" t="s">
        <v>198</v>
      </c>
      <c r="K31" s="94" t="str">
        <f>VLOOKUP(I31,[7]stage_hints!$A:$C,3,FALSE)</f>
        <v>ステータスをスキルで下げられたら</v>
      </c>
      <c r="L31" s="95" t="str">
        <f>VLOOKUP(I31,[7]stage_hints!$A:$D,4,FALSE)</f>
        <v>ステータスダウンのスキルを受けたら_x000D_ステータスアップスキルで上書きしましょう</v>
      </c>
      <c r="M31" s="57" t="s">
        <v>199</v>
      </c>
    </row>
    <row r="32" spans="1:13" x14ac:dyDescent="0.15">
      <c r="A32" s="82" t="s">
        <v>200</v>
      </c>
      <c r="B32" s="83">
        <f>floors!$C$2</f>
        <v>30050</v>
      </c>
      <c r="C32" s="84" t="str">
        <f ca="1">VLOOKUP($B32,OFFSET([2]quests!$A$1,0,0,COUNTA([2]quests!$A:$A),MATCH(C$1,[2]quests!$1:$1,0)-MATCH($B$1,[2]quests!$1:$1,0)+1),MATCH(C$1,[2]quests!$1:$1,0)-MATCH($B$1,[2]quests!$1:$1,0)+1,FALSE)</f>
        <v>忍耐と服従</v>
      </c>
      <c r="D32" s="84" t="str">
        <f ca="1">VLOOKUP($B32,OFFSET([2]quests!$A$1,0,0,COUNTA([2]quests!$A:$A),MATCH(D$1,[2]quests!$1:$1,0)-MATCH($B$1,[2]quests!$1:$1,0)+1),MATCH(D$1,[2]quests!$1:$1,0)-MATCH($B$1,[2]quests!$1:$1,0)+1,FALSE)</f>
        <v>英傑シリーズ　超級</v>
      </c>
      <c r="E32" s="88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【中級】忍耐と服従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英傑シリーズ　超級</v>
      </c>
      <c r="H32" s="86">
        <v>0</v>
      </c>
      <c r="I32">
        <v>35</v>
      </c>
      <c r="J32" s="85" t="s">
        <v>198</v>
      </c>
      <c r="K32" s="94" t="str">
        <f>VLOOKUP(I32,[7]stage_hints!$A:$C,3,FALSE)</f>
        <v>敵のステータスがスキルで上がったら</v>
      </c>
      <c r="L32" s="95" t="str">
        <f>VLOOKUP(I32,[7]stage_hints!$A:$D,4,FALSE)</f>
        <v>敵のステータスがスキルでアップしたときは_x000D_ステータスダウンスキルで上書きしましょう</v>
      </c>
      <c r="M32" s="57" t="s">
        <v>199</v>
      </c>
    </row>
    <row r="33" spans="1:13" x14ac:dyDescent="0.15">
      <c r="A33" s="82" t="s">
        <v>200</v>
      </c>
      <c r="B33" s="83">
        <f>floors!$C$2</f>
        <v>30050</v>
      </c>
      <c r="C33" s="84" t="str">
        <f ca="1">VLOOKUP($B33,OFFSET([2]quests!$A$1,0,0,COUNTA([2]quests!$A:$A),MATCH(C$1,[2]quests!$1:$1,0)-MATCH($B$1,[2]quests!$1:$1,0)+1),MATCH(C$1,[2]quests!$1:$1,0)-MATCH($B$1,[2]quests!$1:$1,0)+1,FALSE)</f>
        <v>忍耐と服従</v>
      </c>
      <c r="D33" s="84" t="str">
        <f ca="1">VLOOKUP($B33,OFFSET([2]quests!$A$1,0,0,COUNTA([2]quests!$A:$A),MATCH(D$1,[2]quests!$1:$1,0)-MATCH($B$1,[2]quests!$1:$1,0)+1),MATCH(D$1,[2]quests!$1:$1,0)-MATCH($B$1,[2]quests!$1:$1,0)+1,FALSE)</f>
        <v>英傑シリーズ　超級</v>
      </c>
      <c r="E33" s="88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【中級】忍耐と服従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英傑シリーズ　超級</v>
      </c>
      <c r="H33" s="86">
        <v>0</v>
      </c>
      <c r="I33">
        <v>39</v>
      </c>
      <c r="J33" s="85" t="s">
        <v>198</v>
      </c>
      <c r="K33" s="94" t="str">
        <f>VLOOKUP(I33,[7]stage_hints!$A:$C,3,FALSE)</f>
        <v>システム適合者を確認</v>
      </c>
      <c r="L33" s="95" t="str">
        <f>VLOOKUP(I33,[7]stage_hints!$A:$D,4,FALSE)</f>
        <v>ALICEが 「アナタ」を呼んでいます</v>
      </c>
      <c r="M33" s="57" t="s">
        <v>199</v>
      </c>
    </row>
    <row r="34" spans="1:13" x14ac:dyDescent="0.15">
      <c r="A34" s="82" t="s">
        <v>200</v>
      </c>
      <c r="B34" s="83">
        <f>floors!$C$2</f>
        <v>30050</v>
      </c>
      <c r="C34" s="84" t="str">
        <f ca="1">VLOOKUP($B34,OFFSET([2]quests!$A$1,0,0,COUNTA([2]quests!$A:$A),MATCH(C$1,[2]quests!$1:$1,0)-MATCH($B$1,[2]quests!$1:$1,0)+1),MATCH(C$1,[2]quests!$1:$1,0)-MATCH($B$1,[2]quests!$1:$1,0)+1,FALSE)</f>
        <v>忍耐と服従</v>
      </c>
      <c r="D34" s="84" t="str">
        <f ca="1">VLOOKUP($B34,OFFSET([2]quests!$A$1,0,0,COUNTA([2]quests!$A:$A),MATCH(D$1,[2]quests!$1:$1,0)-MATCH($B$1,[2]quests!$1:$1,0)+1),MATCH(D$1,[2]quests!$1:$1,0)-MATCH($B$1,[2]quests!$1:$1,0)+1,FALSE)</f>
        <v>英傑シリーズ　超級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【上級】忍耐と服従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英傑シリーズ　超級</v>
      </c>
      <c r="H34" s="86">
        <v>0</v>
      </c>
      <c r="I34" s="97">
        <v>3</v>
      </c>
      <c r="J34" s="85" t="s">
        <v>198</v>
      </c>
      <c r="K34" s="94" t="str">
        <f>VLOOKUP(I34,[7]stage_hints!$A:$C,3,FALSE)</f>
        <v>ターゲット</v>
      </c>
      <c r="L34" s="95" t="str">
        <f>VLOOKUP(I34,[7]stage_hints!$A:$D,4,FALSE)</f>
        <v>敵ユニットをタップすると_x000D_その敵を狙い撃ちできます</v>
      </c>
      <c r="M34" s="57" t="s">
        <v>199</v>
      </c>
    </row>
    <row r="35" spans="1:13" x14ac:dyDescent="0.15">
      <c r="A35" s="82" t="s">
        <v>200</v>
      </c>
      <c r="B35" s="83">
        <f>floors!$C$2</f>
        <v>30050</v>
      </c>
      <c r="C35" s="84" t="str">
        <f ca="1">VLOOKUP($B35,OFFSET([2]quests!$A$1,0,0,COUNTA([2]quests!$A:$A),MATCH(C$1,[2]quests!$1:$1,0)-MATCH($B$1,[2]quests!$1:$1,0)+1),MATCH(C$1,[2]quests!$1:$1,0)-MATCH($B$1,[2]quests!$1:$1,0)+1,FALSE)</f>
        <v>忍耐と服従</v>
      </c>
      <c r="D35" s="84" t="str">
        <f ca="1">VLOOKUP($B35,OFFSET([2]quests!$A$1,0,0,COUNTA([2]quests!$A:$A),MATCH(D$1,[2]quests!$1:$1,0)-MATCH($B$1,[2]quests!$1:$1,0)+1),MATCH(D$1,[2]quests!$1:$1,0)-MATCH($B$1,[2]quests!$1:$1,0)+1,FALSE)</f>
        <v>英傑シリーズ　超級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【上級】忍耐と服従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英傑シリーズ　超級</v>
      </c>
      <c r="H35" s="86">
        <v>0</v>
      </c>
      <c r="I35" s="97">
        <v>6</v>
      </c>
      <c r="J35" s="85" t="s">
        <v>198</v>
      </c>
      <c r="K35" s="94" t="str">
        <f>VLOOKUP(I35,[7]stage_hints!$A:$C,3,FALSE)</f>
        <v>ユニット強化の属性ボーナス</v>
      </c>
      <c r="L35" s="95" t="str">
        <f>VLOOKUP(I35,[7]stage_hints!$A:$D,4,FALSE)</f>
        <v>同属性ユニットを強化素材にすると_x000D_経験値が多くもらえます</v>
      </c>
      <c r="M35" s="57" t="s">
        <v>199</v>
      </c>
    </row>
    <row r="36" spans="1:13" x14ac:dyDescent="0.15">
      <c r="A36" s="82" t="s">
        <v>200</v>
      </c>
      <c r="B36" s="83">
        <f>floors!$C$2</f>
        <v>30050</v>
      </c>
      <c r="C36" s="84" t="str">
        <f ca="1">VLOOKUP($B36,OFFSET([2]quests!$A$1,0,0,COUNTA([2]quests!$A:$A),MATCH(C$1,[2]quests!$1:$1,0)-MATCH($B$1,[2]quests!$1:$1,0)+1),MATCH(C$1,[2]quests!$1:$1,0)-MATCH($B$1,[2]quests!$1:$1,0)+1,FALSE)</f>
        <v>忍耐と服従</v>
      </c>
      <c r="D36" s="84" t="str">
        <f ca="1">VLOOKUP($B36,OFFSET([2]quests!$A$1,0,0,COUNTA([2]quests!$A:$A),MATCH(D$1,[2]quests!$1:$1,0)-MATCH($B$1,[2]quests!$1:$1,0)+1),MATCH(D$1,[2]quests!$1:$1,0)-MATCH($B$1,[2]quests!$1:$1,0)+1,FALSE)</f>
        <v>英傑シリーズ　超級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【上級】忍耐と服従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英傑シリーズ　超級</v>
      </c>
      <c r="H36" s="86">
        <v>0</v>
      </c>
      <c r="I36" s="97">
        <v>7</v>
      </c>
      <c r="J36" s="85" t="s">
        <v>198</v>
      </c>
      <c r="K36" s="94" t="str">
        <f>VLOOKUP(I36,[7]stage_hints!$A:$C,3,FALSE)</f>
        <v>メタルダックで経験値を獲得</v>
      </c>
      <c r="L36" s="95" t="str">
        <f>VLOOKUP(I36,[7]stage_hints!$A:$D,4,FALSE)</f>
        <v>「メタルなアヒル」を強化素材にすると_x000D_大量の経験値がもらえます</v>
      </c>
      <c r="M36" s="57" t="s">
        <v>199</v>
      </c>
    </row>
    <row r="37" spans="1:13" x14ac:dyDescent="0.15">
      <c r="A37" s="82" t="s">
        <v>200</v>
      </c>
      <c r="B37" s="83">
        <f>floors!$C$2</f>
        <v>30050</v>
      </c>
      <c r="C37" s="84" t="str">
        <f ca="1">VLOOKUP($B37,OFFSET([2]quests!$A$1,0,0,COUNTA([2]quests!$A:$A),MATCH(C$1,[2]quests!$1:$1,0)-MATCH($B$1,[2]quests!$1:$1,0)+1),MATCH(C$1,[2]quests!$1:$1,0)-MATCH($B$1,[2]quests!$1:$1,0)+1,FALSE)</f>
        <v>忍耐と服従</v>
      </c>
      <c r="D37" s="84" t="str">
        <f ca="1">VLOOKUP($B37,OFFSET([2]quests!$A$1,0,0,COUNTA([2]quests!$A:$A),MATCH(D$1,[2]quests!$1:$1,0)-MATCH($B$1,[2]quests!$1:$1,0)+1),MATCH(D$1,[2]quests!$1:$1,0)-MATCH($B$1,[2]quests!$1:$1,0)+1,FALSE)</f>
        <v>英傑シリーズ　超級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【上級】忍耐と服従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英傑シリーズ　超級</v>
      </c>
      <c r="H37" s="86">
        <v>0</v>
      </c>
      <c r="I37" s="97">
        <v>8</v>
      </c>
      <c r="J37" s="85" t="s">
        <v>198</v>
      </c>
      <c r="K37" s="94" t="str">
        <f>VLOOKUP(I37,[7]stage_hints!$A:$C,3,FALSE)</f>
        <v>ゲリラクエストは要チェック</v>
      </c>
      <c r="L37" s="95" t="str">
        <f>VLOOKUP(I37,[7]stage_hints!$A:$D,4,FALSE)</f>
        <v>時間限定の「アヒル捕獲作戦」では_x000D_経験値素材ユニットが多く手に入ります</v>
      </c>
      <c r="M37" s="57" t="s">
        <v>199</v>
      </c>
    </row>
    <row r="38" spans="1:13" x14ac:dyDescent="0.15">
      <c r="A38" s="82" t="s">
        <v>200</v>
      </c>
      <c r="B38" s="83">
        <f>floors!$C$2</f>
        <v>30050</v>
      </c>
      <c r="C38" s="84" t="str">
        <f ca="1">VLOOKUP($B38,OFFSET([2]quests!$A$1,0,0,COUNTA([2]quests!$A:$A),MATCH(C$1,[2]quests!$1:$1,0)-MATCH($B$1,[2]quests!$1:$1,0)+1),MATCH(C$1,[2]quests!$1:$1,0)-MATCH($B$1,[2]quests!$1:$1,0)+1,FALSE)</f>
        <v>忍耐と服従</v>
      </c>
      <c r="D38" s="84" t="str">
        <f ca="1">VLOOKUP($B38,OFFSET([2]quests!$A$1,0,0,COUNTA([2]quests!$A:$A),MATCH(D$1,[2]quests!$1:$1,0)-MATCH($B$1,[2]quests!$1:$1,0)+1),MATCH(D$1,[2]quests!$1:$1,0)-MATCH($B$1,[2]quests!$1:$1,0)+1,FALSE)</f>
        <v>英傑シリーズ　超級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【上級】忍耐と服従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英傑シリーズ　超級</v>
      </c>
      <c r="H38" s="86">
        <v>0</v>
      </c>
      <c r="I38" s="97">
        <v>9</v>
      </c>
      <c r="J38" s="85" t="s">
        <v>198</v>
      </c>
      <c r="K38" s="94" t="str">
        <f>VLOOKUP(I38,[7]stage_hints!$A:$C,3,FALSE)</f>
        <v>ゴールドダックでビットを獲得</v>
      </c>
      <c r="L38" s="95" t="str">
        <f>VLOOKUP(I38,[7]stage_hints!$A:$D,4,FALSE)</f>
        <v>「ゴールドなアヒル」を売却すると_x000D_大量のビットがもらえます</v>
      </c>
      <c r="M38" s="57" t="s">
        <v>199</v>
      </c>
    </row>
    <row r="39" spans="1:13" x14ac:dyDescent="0.15">
      <c r="A39" s="82" t="s">
        <v>200</v>
      </c>
      <c r="B39" s="83">
        <f>floors!$C$2</f>
        <v>30050</v>
      </c>
      <c r="C39" s="84" t="str">
        <f ca="1">VLOOKUP($B39,OFFSET([2]quests!$A$1,0,0,COUNTA([2]quests!$A:$A),MATCH(C$1,[2]quests!$1:$1,0)-MATCH($B$1,[2]quests!$1:$1,0)+1),MATCH(C$1,[2]quests!$1:$1,0)-MATCH($B$1,[2]quests!$1:$1,0)+1,FALSE)</f>
        <v>忍耐と服従</v>
      </c>
      <c r="D39" s="84" t="str">
        <f ca="1">VLOOKUP($B39,OFFSET([2]quests!$A$1,0,0,COUNTA([2]quests!$A:$A),MATCH(D$1,[2]quests!$1:$1,0)-MATCH($B$1,[2]quests!$1:$1,0)+1),MATCH(D$1,[2]quests!$1:$1,0)-MATCH($B$1,[2]quests!$1:$1,0)+1,FALSE)</f>
        <v>英傑シリーズ　超級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【上級】忍耐と服従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英傑シリーズ　超級</v>
      </c>
      <c r="H39" s="86">
        <v>0</v>
      </c>
      <c r="I39" s="97">
        <v>10</v>
      </c>
      <c r="J39" s="85" t="s">
        <v>198</v>
      </c>
      <c r="K39" s="94" t="str">
        <f>VLOOKUP(I39,[7]stage_hints!$A:$C,3,FALSE)</f>
        <v>土日に大量のビットを獲得</v>
      </c>
      <c r="L39" s="95" t="str">
        <f>VLOOKUP(I39,[7]stage_hints!$A:$D,4,FALSE)</f>
        <v>土日限定の「ゴールドカジノ」では_x000D_売却素材ユニットが多く手に入ります</v>
      </c>
      <c r="M39" s="57" t="s">
        <v>199</v>
      </c>
    </row>
    <row r="40" spans="1:13" x14ac:dyDescent="0.15">
      <c r="A40" s="82" t="s">
        <v>200</v>
      </c>
      <c r="B40" s="83">
        <f>floors!$C$2</f>
        <v>30050</v>
      </c>
      <c r="C40" s="84" t="str">
        <f ca="1">VLOOKUP($B40,OFFSET([2]quests!$A$1,0,0,COUNTA([2]quests!$A:$A),MATCH(C$1,[2]quests!$1:$1,0)-MATCH($B$1,[2]quests!$1:$1,0)+1),MATCH(C$1,[2]quests!$1:$1,0)-MATCH($B$1,[2]quests!$1:$1,0)+1,FALSE)</f>
        <v>忍耐と服従</v>
      </c>
      <c r="D40" s="84" t="str">
        <f ca="1">VLOOKUP($B40,OFFSET([2]quests!$A$1,0,0,COUNTA([2]quests!$A:$A),MATCH(D$1,[2]quests!$1:$1,0)-MATCH($B$1,[2]quests!$1:$1,0)+1),MATCH(D$1,[2]quests!$1:$1,0)-MATCH($B$1,[2]quests!$1:$1,0)+1,FALSE)</f>
        <v>英傑シリーズ　超級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【上級】忍耐と服従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英傑シリーズ　超級</v>
      </c>
      <c r="H40" s="86">
        <v>0</v>
      </c>
      <c r="I40" s="97">
        <v>11</v>
      </c>
      <c r="J40" s="85" t="s">
        <v>198</v>
      </c>
      <c r="K40" s="94" t="str">
        <f>VLOOKUP(I40,[7]stage_hints!$A:$C,3,FALSE)</f>
        <v>ゲリラクエストは要チェック</v>
      </c>
      <c r="L40" s="95" t="str">
        <f>VLOOKUP(I40,[7]stage_hints!$A:$D,4,FALSE)</f>
        <v>時間限定の「アヒル捕獲作戦」では_x000D_経験値素材ユニットが多く手に入ります</v>
      </c>
      <c r="M40" s="57" t="s">
        <v>199</v>
      </c>
    </row>
    <row r="41" spans="1:13" x14ac:dyDescent="0.15">
      <c r="A41" s="82" t="s">
        <v>200</v>
      </c>
      <c r="B41" s="83">
        <f>floors!$C$2</f>
        <v>30050</v>
      </c>
      <c r="C41" s="84" t="str">
        <f ca="1">VLOOKUP($B41,OFFSET([2]quests!$A$1,0,0,COUNTA([2]quests!$A:$A),MATCH(C$1,[2]quests!$1:$1,0)-MATCH($B$1,[2]quests!$1:$1,0)+1),MATCH(C$1,[2]quests!$1:$1,0)-MATCH($B$1,[2]quests!$1:$1,0)+1,FALSE)</f>
        <v>忍耐と服従</v>
      </c>
      <c r="D41" s="84" t="str">
        <f ca="1">VLOOKUP($B41,OFFSET([2]quests!$A$1,0,0,COUNTA([2]quests!$A:$A),MATCH(D$1,[2]quests!$1:$1,0)-MATCH($B$1,[2]quests!$1:$1,0)+1),MATCH(D$1,[2]quests!$1:$1,0)-MATCH($B$1,[2]quests!$1:$1,0)+1,FALSE)</f>
        <v>英傑シリーズ　超級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【上級】忍耐と服従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英傑シリーズ　超級</v>
      </c>
      <c r="H41" s="86">
        <v>0</v>
      </c>
      <c r="I41" s="97">
        <v>12</v>
      </c>
      <c r="J41" s="85" t="s">
        <v>198</v>
      </c>
      <c r="K41" s="94" t="str">
        <f>VLOOKUP(I41,[7]stage_hints!$A:$C,3,FALSE)</f>
        <v>ユニットのお気に入り登録</v>
      </c>
      <c r="L41" s="95" t="str">
        <f>VLOOKUP(I41,[7]stage_hints!$A:$D,4,FALSE)</f>
        <v>大事なユニットを誤って消さないように_x000D_フォルダから「お気に入り登録」しましょう</v>
      </c>
      <c r="M41" s="57" t="s">
        <v>199</v>
      </c>
    </row>
    <row r="42" spans="1:13" x14ac:dyDescent="0.15">
      <c r="A42" s="82" t="s">
        <v>200</v>
      </c>
      <c r="B42" s="83">
        <f>floors!$C$2</f>
        <v>30050</v>
      </c>
      <c r="C42" s="84" t="str">
        <f ca="1">VLOOKUP($B42,OFFSET([2]quests!$A$1,0,0,COUNTA([2]quests!$A:$A),MATCH(C$1,[2]quests!$1:$1,0)-MATCH($B$1,[2]quests!$1:$1,0)+1),MATCH(C$1,[2]quests!$1:$1,0)-MATCH($B$1,[2]quests!$1:$1,0)+1,FALSE)</f>
        <v>忍耐と服従</v>
      </c>
      <c r="D42" s="84" t="str">
        <f ca="1">VLOOKUP($B42,OFFSET([2]quests!$A$1,0,0,COUNTA([2]quests!$A:$A),MATCH(D$1,[2]quests!$1:$1,0)-MATCH($B$1,[2]quests!$1:$1,0)+1),MATCH(D$1,[2]quests!$1:$1,0)-MATCH($B$1,[2]quests!$1:$1,0)+1,FALSE)</f>
        <v>英傑シリーズ　超級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【上級】忍耐と服従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英傑シリーズ　超級</v>
      </c>
      <c r="H42" s="86">
        <v>0</v>
      </c>
      <c r="I42" s="97">
        <v>13</v>
      </c>
      <c r="J42" s="85" t="s">
        <v>198</v>
      </c>
      <c r="K42" s="94" t="str">
        <f>VLOOKUP(I42,[7]stage_hints!$A:$C,3,FALSE)</f>
        <v>ユニットの覚醒</v>
      </c>
      <c r="L42" s="95" t="str">
        <f>VLOOKUP(I42,[7]stage_hints!$A:$D,4,FALSE)</f>
        <v>ユニットを覚醒させると_x000D_比べものにならない強さが手に入ります</v>
      </c>
      <c r="M42" s="57" t="s">
        <v>199</v>
      </c>
    </row>
    <row r="43" spans="1:13" x14ac:dyDescent="0.15">
      <c r="A43" s="82" t="s">
        <v>200</v>
      </c>
      <c r="B43" s="83">
        <f>floors!$C$2</f>
        <v>30050</v>
      </c>
      <c r="C43" s="84" t="str">
        <f ca="1">VLOOKUP($B43,OFFSET([2]quests!$A$1,0,0,COUNTA([2]quests!$A:$A),MATCH(C$1,[2]quests!$1:$1,0)-MATCH($B$1,[2]quests!$1:$1,0)+1),MATCH(C$1,[2]quests!$1:$1,0)-MATCH($B$1,[2]quests!$1:$1,0)+1,FALSE)</f>
        <v>忍耐と服従</v>
      </c>
      <c r="D43" s="84" t="str">
        <f ca="1">VLOOKUP($B43,OFFSET([2]quests!$A$1,0,0,COUNTA([2]quests!$A:$A),MATCH(D$1,[2]quests!$1:$1,0)-MATCH($B$1,[2]quests!$1:$1,0)+1),MATCH(D$1,[2]quests!$1:$1,0)-MATCH($B$1,[2]quests!$1:$1,0)+1,FALSE)</f>
        <v>英傑シリーズ　超級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【上級】忍耐と服従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英傑シリーズ　超級</v>
      </c>
      <c r="H43" s="86">
        <v>0</v>
      </c>
      <c r="I43" s="97">
        <v>14</v>
      </c>
      <c r="J43" s="85" t="s">
        <v>198</v>
      </c>
      <c r="K43" s="94" t="str">
        <f>VLOOKUP(I43,[7]stage_hints!$A:$C,3,FALSE)</f>
        <v>覚醒するにはレベルを最大に</v>
      </c>
      <c r="L43" s="95" t="str">
        <f>VLOOKUP(I43,[7]stage_hints!$A:$D,4,FALSE)</f>
        <v>覚醒するにはユニットのレベルを_x000D_最大まで上げる必要があります</v>
      </c>
      <c r="M43" s="57" t="s">
        <v>199</v>
      </c>
    </row>
    <row r="44" spans="1:13" x14ac:dyDescent="0.15">
      <c r="A44" s="82" t="s">
        <v>200</v>
      </c>
      <c r="B44" s="83">
        <f>floors!$C$2</f>
        <v>30050</v>
      </c>
      <c r="C44" s="84" t="str">
        <f ca="1">VLOOKUP($B44,OFFSET([2]quests!$A$1,0,0,COUNTA([2]quests!$A:$A),MATCH(C$1,[2]quests!$1:$1,0)-MATCH($B$1,[2]quests!$1:$1,0)+1),MATCH(C$1,[2]quests!$1:$1,0)-MATCH($B$1,[2]quests!$1:$1,0)+1,FALSE)</f>
        <v>忍耐と服従</v>
      </c>
      <c r="D44" s="84" t="str">
        <f ca="1">VLOOKUP($B44,OFFSET([2]quests!$A$1,0,0,COUNTA([2]quests!$A:$A),MATCH(D$1,[2]quests!$1:$1,0)-MATCH($B$1,[2]quests!$1:$1,0)+1),MATCH(D$1,[2]quests!$1:$1,0)-MATCH($B$1,[2]quests!$1:$1,0)+1,FALSE)</f>
        <v>英傑シリーズ　超級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【上級】忍耐と服従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英傑シリーズ　超級</v>
      </c>
      <c r="H44" s="86">
        <v>0</v>
      </c>
      <c r="I44" s="97">
        <v>15</v>
      </c>
      <c r="J44" s="85" t="s">
        <v>198</v>
      </c>
      <c r="K44" s="94" t="str">
        <f>VLOOKUP(I44,[7]stage_hints!$A:$C,3,FALSE)</f>
        <v>覚醒素材を獲得</v>
      </c>
      <c r="L44" s="95" t="str">
        <f>VLOOKUP(I44,[7]stage_hints!$A:$D,4,FALSE)</f>
        <v>「曜日クエスト」では_x000D_ユニットの覚醒に必要な素材が手に入ります</v>
      </c>
      <c r="M44" s="57" t="s">
        <v>199</v>
      </c>
    </row>
    <row r="45" spans="1:13" x14ac:dyDescent="0.15">
      <c r="A45" s="82" t="s">
        <v>200</v>
      </c>
      <c r="B45" s="83">
        <f>floors!$C$2</f>
        <v>30050</v>
      </c>
      <c r="C45" s="84" t="str">
        <f ca="1">VLOOKUP($B45,OFFSET([2]quests!$A$1,0,0,COUNTA([2]quests!$A:$A),MATCH(C$1,[2]quests!$1:$1,0)-MATCH($B$1,[2]quests!$1:$1,0)+1),MATCH(C$1,[2]quests!$1:$1,0)-MATCH($B$1,[2]quests!$1:$1,0)+1,FALSE)</f>
        <v>忍耐と服従</v>
      </c>
      <c r="D45" s="84" t="str">
        <f ca="1">VLOOKUP($B45,OFFSET([2]quests!$A$1,0,0,COUNTA([2]quests!$A:$A),MATCH(D$1,[2]quests!$1:$1,0)-MATCH($B$1,[2]quests!$1:$1,0)+1),MATCH(D$1,[2]quests!$1:$1,0)-MATCH($B$1,[2]quests!$1:$1,0)+1,FALSE)</f>
        <v>英傑シリーズ　超級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【上級】忍耐と服従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英傑シリーズ　超級</v>
      </c>
      <c r="H45" s="86">
        <v>0</v>
      </c>
      <c r="I45" s="97">
        <v>16</v>
      </c>
      <c r="J45" s="85" t="s">
        <v>198</v>
      </c>
      <c r="K45" s="94" t="str">
        <f>VLOOKUP(I45,[7]stage_hints!$A:$C,3,FALSE)</f>
        <v>マルチプレイのメリット（その1）</v>
      </c>
      <c r="L45" s="95" t="str">
        <f>VLOOKUP(I45,[7]stage_hints!$A:$D,4,FALSE)</f>
        <v>他のプレイヤーとマルチプレイで遊ぶと_x000D_ポリゴンがもらえます（100人まで）</v>
      </c>
      <c r="M45" s="57" t="s">
        <v>199</v>
      </c>
    </row>
    <row r="46" spans="1:13" x14ac:dyDescent="0.15">
      <c r="A46" s="82" t="s">
        <v>200</v>
      </c>
      <c r="B46" s="83">
        <f>floors!$C$2</f>
        <v>30050</v>
      </c>
      <c r="C46" s="84" t="str">
        <f ca="1">VLOOKUP($B46,OFFSET([2]quests!$A$1,0,0,COUNTA([2]quests!$A:$A),MATCH(C$1,[2]quests!$1:$1,0)-MATCH($B$1,[2]quests!$1:$1,0)+1),MATCH(C$1,[2]quests!$1:$1,0)-MATCH($B$1,[2]quests!$1:$1,0)+1,FALSE)</f>
        <v>忍耐と服従</v>
      </c>
      <c r="D46" s="84" t="str">
        <f ca="1">VLOOKUP($B46,OFFSET([2]quests!$A$1,0,0,COUNTA([2]quests!$A:$A),MATCH(D$1,[2]quests!$1:$1,0)-MATCH($B$1,[2]quests!$1:$1,0)+1),MATCH(D$1,[2]quests!$1:$1,0)-MATCH($B$1,[2]quests!$1:$1,0)+1,FALSE)</f>
        <v>英傑シリーズ　超級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【上級】忍耐と服従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英傑シリーズ　超級</v>
      </c>
      <c r="H46" s="86">
        <v>0</v>
      </c>
      <c r="I46" s="97">
        <v>17</v>
      </c>
      <c r="J46" s="85" t="s">
        <v>198</v>
      </c>
      <c r="K46" s="94" t="str">
        <f>VLOOKUP(I46,[7]stage_hints!$A:$C,3,FALSE)</f>
        <v>リンクガチャ</v>
      </c>
      <c r="L46" s="95" t="str">
        <f>VLOOKUP(I46,[7]stage_hints!$A:$D,4,FALSE)</f>
        <v>無料のリンクガチャを回して_x000D_経験値素材や売却素材を獲得しましょう</v>
      </c>
      <c r="M46" s="57" t="s">
        <v>199</v>
      </c>
    </row>
    <row r="47" spans="1:13" x14ac:dyDescent="0.15">
      <c r="A47" s="82" t="s">
        <v>200</v>
      </c>
      <c r="B47" s="83">
        <f>floors!$C$2</f>
        <v>30050</v>
      </c>
      <c r="C47" s="84" t="str">
        <f ca="1">VLOOKUP($B47,OFFSET([2]quests!$A$1,0,0,COUNTA([2]quests!$A:$A),MATCH(C$1,[2]quests!$1:$1,0)-MATCH($B$1,[2]quests!$1:$1,0)+1),MATCH(C$1,[2]quests!$1:$1,0)-MATCH($B$1,[2]quests!$1:$1,0)+1,FALSE)</f>
        <v>忍耐と服従</v>
      </c>
      <c r="D47" s="84" t="str">
        <f ca="1">VLOOKUP($B47,OFFSET([2]quests!$A$1,0,0,COUNTA([2]quests!$A:$A),MATCH(D$1,[2]quests!$1:$1,0)-MATCH($B$1,[2]quests!$1:$1,0)+1),MATCH(D$1,[2]quests!$1:$1,0)-MATCH($B$1,[2]quests!$1:$1,0)+1,FALSE)</f>
        <v>英傑シリーズ　超級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【上級】忍耐と服従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英傑シリーズ　超級</v>
      </c>
      <c r="H47" s="86">
        <v>0</v>
      </c>
      <c r="I47" s="97">
        <v>18</v>
      </c>
      <c r="J47" s="85" t="s">
        <v>198</v>
      </c>
      <c r="K47" s="94" t="str">
        <f>VLOOKUP(I47,[7]stage_hints!$A:$C,3,FALSE)</f>
        <v>マルチプレイのメリット（その2）</v>
      </c>
      <c r="L47" s="95" t="str">
        <f>VLOOKUP(I47,[7]stage_hints!$A:$D,4,FALSE)</f>
        <v>マルチプレイならリンクが2倍もらえます_x000D_リンクガチャをたくさん回しましょう</v>
      </c>
      <c r="M47" s="57" t="s">
        <v>199</v>
      </c>
    </row>
    <row r="48" spans="1:13" x14ac:dyDescent="0.15">
      <c r="A48" s="82" t="s">
        <v>200</v>
      </c>
      <c r="B48" s="83">
        <f>floors!$C$2</f>
        <v>30050</v>
      </c>
      <c r="C48" s="84" t="str">
        <f ca="1">VLOOKUP($B48,OFFSET([2]quests!$A$1,0,0,COUNTA([2]quests!$A:$A),MATCH(C$1,[2]quests!$1:$1,0)-MATCH($B$1,[2]quests!$1:$1,0)+1),MATCH(C$1,[2]quests!$1:$1,0)-MATCH($B$1,[2]quests!$1:$1,0)+1,FALSE)</f>
        <v>忍耐と服従</v>
      </c>
      <c r="D48" s="84" t="str">
        <f ca="1">VLOOKUP($B48,OFFSET([2]quests!$A$1,0,0,COUNTA([2]quests!$A:$A),MATCH(D$1,[2]quests!$1:$1,0)-MATCH($B$1,[2]quests!$1:$1,0)+1),MATCH(D$1,[2]quests!$1:$1,0)-MATCH($B$1,[2]quests!$1:$1,0)+1,FALSE)</f>
        <v>英傑シリーズ　超級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【上級】忍耐と服従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英傑シリーズ　超級</v>
      </c>
      <c r="H48" s="86">
        <v>0</v>
      </c>
      <c r="I48" s="97">
        <v>19</v>
      </c>
      <c r="J48" s="85" t="s">
        <v>198</v>
      </c>
      <c r="K48" s="94" t="str">
        <f>VLOOKUP(I48,[7]stage_hints!$A:$C,3,FALSE)</f>
        <v>ソロ専用タワーオブザクイーン</v>
      </c>
      <c r="L48" s="95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199</v>
      </c>
    </row>
    <row r="49" spans="1:13" x14ac:dyDescent="0.15">
      <c r="A49" s="82" t="s">
        <v>200</v>
      </c>
      <c r="B49" s="83">
        <f>floors!$C$2</f>
        <v>30050</v>
      </c>
      <c r="C49" s="84" t="str">
        <f ca="1">VLOOKUP($B49,OFFSET([2]quests!$A$1,0,0,COUNTA([2]quests!$A:$A),MATCH(C$1,[2]quests!$1:$1,0)-MATCH($B$1,[2]quests!$1:$1,0)+1),MATCH(C$1,[2]quests!$1:$1,0)-MATCH($B$1,[2]quests!$1:$1,0)+1,FALSE)</f>
        <v>忍耐と服従</v>
      </c>
      <c r="D49" s="84" t="str">
        <f ca="1">VLOOKUP($B49,OFFSET([2]quests!$A$1,0,0,COUNTA([2]quests!$A:$A),MATCH(D$1,[2]quests!$1:$1,0)-MATCH($B$1,[2]quests!$1:$1,0)+1),MATCH(D$1,[2]quests!$1:$1,0)-MATCH($B$1,[2]quests!$1:$1,0)+1,FALSE)</f>
        <v>英傑シリーズ　超級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【上級】忍耐と服従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英傑シリーズ　超級</v>
      </c>
      <c r="H49" s="86">
        <v>0</v>
      </c>
      <c r="I49" s="97">
        <v>20</v>
      </c>
      <c r="J49" s="85" t="s">
        <v>198</v>
      </c>
      <c r="K49" s="94" t="str">
        <f>VLOOKUP(I49,[7]stage_hints!$A:$C,3,FALSE)</f>
        <v>マルチプレイのメリット（その3）</v>
      </c>
      <c r="L49" s="95" t="str">
        <f>VLOOKUP(I49,[7]stage_hints!$A:$D,4,FALSE)</f>
        <v>マルチプレイへの参加はエナジー消費ゼロ_x000D_いつでも好きなだけ遊ぶことができます</v>
      </c>
      <c r="M49" s="57" t="s">
        <v>199</v>
      </c>
    </row>
    <row r="50" spans="1:13" x14ac:dyDescent="0.15">
      <c r="A50" s="82" t="s">
        <v>200</v>
      </c>
      <c r="B50" s="83">
        <f>floors!$C$2</f>
        <v>30050</v>
      </c>
      <c r="C50" s="84" t="str">
        <f ca="1">VLOOKUP($B50,OFFSET([2]quests!$A$1,0,0,COUNTA([2]quests!$A:$A),MATCH(C$1,[2]quests!$1:$1,0)-MATCH($B$1,[2]quests!$1:$1,0)+1),MATCH(C$1,[2]quests!$1:$1,0)-MATCH($B$1,[2]quests!$1:$1,0)+1,FALSE)</f>
        <v>忍耐と服従</v>
      </c>
      <c r="D50" s="84" t="str">
        <f ca="1">VLOOKUP($B50,OFFSET([2]quests!$A$1,0,0,COUNTA([2]quests!$A:$A),MATCH(D$1,[2]quests!$1:$1,0)-MATCH($B$1,[2]quests!$1:$1,0)+1),MATCH(D$1,[2]quests!$1:$1,0)-MATCH($B$1,[2]quests!$1:$1,0)+1,FALSE)</f>
        <v>英傑シリーズ　超級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【上級】忍耐と服従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英傑シリーズ　超級</v>
      </c>
      <c r="H50" s="86">
        <v>0</v>
      </c>
      <c r="I50" s="97">
        <v>21</v>
      </c>
      <c r="J50" s="85" t="s">
        <v>198</v>
      </c>
      <c r="K50" s="94" t="str">
        <f>VLOOKUP(I50,[7]stage_hints!$A:$C,3,FALSE)</f>
        <v>スキルを有効に</v>
      </c>
      <c r="L50" s="95" t="str">
        <f>VLOOKUP(I50,[7]stage_hints!$A:$D,4,FALSE)</f>
        <v>ターン経過でユニットのスキルが使えます_x000D_強力スキルでバトルを有利に進めましょう</v>
      </c>
      <c r="M50" s="57" t="s">
        <v>199</v>
      </c>
    </row>
    <row r="51" spans="1:13" x14ac:dyDescent="0.15">
      <c r="A51" s="82" t="s">
        <v>200</v>
      </c>
      <c r="B51" s="83">
        <f>floors!$C$2</f>
        <v>30050</v>
      </c>
      <c r="C51" s="84" t="str">
        <f ca="1">VLOOKUP($B51,OFFSET([2]quests!$A$1,0,0,COUNTA([2]quests!$A:$A),MATCH(C$1,[2]quests!$1:$1,0)-MATCH($B$1,[2]quests!$1:$1,0)+1),MATCH(C$1,[2]quests!$1:$1,0)-MATCH($B$1,[2]quests!$1:$1,0)+1,FALSE)</f>
        <v>忍耐と服従</v>
      </c>
      <c r="D51" s="84" t="str">
        <f ca="1">VLOOKUP($B51,OFFSET([2]quests!$A$1,0,0,COUNTA([2]quests!$A:$A),MATCH(D$1,[2]quests!$1:$1,0)-MATCH($B$1,[2]quests!$1:$1,0)+1),MATCH(D$1,[2]quests!$1:$1,0)-MATCH($B$1,[2]quests!$1:$1,0)+1,FALSE)</f>
        <v>英傑シリーズ　超級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【上級】忍耐と服従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英傑シリーズ　超級</v>
      </c>
      <c r="H51" s="86">
        <v>0</v>
      </c>
      <c r="I51" s="97">
        <v>22</v>
      </c>
      <c r="J51" s="85" t="s">
        <v>198</v>
      </c>
      <c r="K51" s="94" t="str">
        <f>VLOOKUP(I51,[7]stage_hints!$A:$C,3,FALSE)</f>
        <v>フィーバーで一発逆転（その1）</v>
      </c>
      <c r="L51" s="95" t="str">
        <f>VLOOKUP(I51,[7]stage_hints!$A:$D,4,FALSE)</f>
        <v>フィーバーは攻撃と回復を兼ね備えます_x000D_ピンチからの一発逆転を狙いましょう</v>
      </c>
      <c r="M51" s="57" t="s">
        <v>199</v>
      </c>
    </row>
    <row r="52" spans="1:13" x14ac:dyDescent="0.15">
      <c r="A52" s="82" t="s">
        <v>200</v>
      </c>
      <c r="B52" s="83">
        <f>floors!$C$2</f>
        <v>30050</v>
      </c>
      <c r="C52" s="84" t="str">
        <f ca="1">VLOOKUP($B52,OFFSET([2]quests!$A$1,0,0,COUNTA([2]quests!$A:$A),MATCH(C$1,[2]quests!$1:$1,0)-MATCH($B$1,[2]quests!$1:$1,0)+1),MATCH(C$1,[2]quests!$1:$1,0)-MATCH($B$1,[2]quests!$1:$1,0)+1,FALSE)</f>
        <v>忍耐と服従</v>
      </c>
      <c r="D52" s="84" t="str">
        <f ca="1">VLOOKUP($B52,OFFSET([2]quests!$A$1,0,0,COUNTA([2]quests!$A:$A),MATCH(D$1,[2]quests!$1:$1,0)-MATCH($B$1,[2]quests!$1:$1,0)+1),MATCH(D$1,[2]quests!$1:$1,0)-MATCH($B$1,[2]quests!$1:$1,0)+1,FALSE)</f>
        <v>英傑シリーズ　超級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【上級】忍耐と服従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英傑シリーズ　超級</v>
      </c>
      <c r="H52" s="86">
        <v>0</v>
      </c>
      <c r="I52" s="97">
        <v>23</v>
      </c>
      <c r="J52" s="85" t="s">
        <v>198</v>
      </c>
      <c r="K52" s="94" t="str">
        <f>VLOOKUP(I52,[7]stage_hints!$A:$C,3,FALSE)</f>
        <v>フィーバーで一発逆転（その2）</v>
      </c>
      <c r="L52" s="95" t="str">
        <f>VLOOKUP(I52,[7]stage_hints!$A:$D,4,FALSE)</f>
        <v>フィーバー中は虹色のボムパネルを狙って_x000D_画面上のパネルを一気に破壊しましょう</v>
      </c>
      <c r="M52" s="57" t="s">
        <v>199</v>
      </c>
    </row>
    <row r="53" spans="1:13" x14ac:dyDescent="0.15">
      <c r="A53" s="82" t="s">
        <v>200</v>
      </c>
      <c r="B53" s="83">
        <f>floors!$C$2</f>
        <v>30050</v>
      </c>
      <c r="C53" s="84" t="str">
        <f ca="1">VLOOKUP($B53,OFFSET([2]quests!$A$1,0,0,COUNTA([2]quests!$A:$A),MATCH(C$1,[2]quests!$1:$1,0)-MATCH($B$1,[2]quests!$1:$1,0)+1),MATCH(C$1,[2]quests!$1:$1,0)-MATCH($B$1,[2]quests!$1:$1,0)+1,FALSE)</f>
        <v>忍耐と服従</v>
      </c>
      <c r="D53" s="84" t="str">
        <f ca="1">VLOOKUP($B53,OFFSET([2]quests!$A$1,0,0,COUNTA([2]quests!$A:$A),MATCH(D$1,[2]quests!$1:$1,0)-MATCH($B$1,[2]quests!$1:$1,0)+1),MATCH(D$1,[2]quests!$1:$1,0)-MATCH($B$1,[2]quests!$1:$1,0)+1,FALSE)</f>
        <v>英傑シリーズ　超級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【上級】忍耐と服従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英傑シリーズ　超級</v>
      </c>
      <c r="H53" s="86">
        <v>0</v>
      </c>
      <c r="I53" s="97">
        <v>24</v>
      </c>
      <c r="J53" s="85" t="s">
        <v>198</v>
      </c>
      <c r="K53" s="94" t="str">
        <f>VLOOKUP(I53,[7]stage_hints!$A:$C,3,FALSE)</f>
        <v>果実を使って限界突破</v>
      </c>
      <c r="L53" s="95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199</v>
      </c>
    </row>
    <row r="54" spans="1:13" x14ac:dyDescent="0.15">
      <c r="A54" s="82" t="s">
        <v>200</v>
      </c>
      <c r="B54" s="83">
        <f>floors!$C$2</f>
        <v>30050</v>
      </c>
      <c r="C54" s="84" t="str">
        <f ca="1">VLOOKUP($B54,OFFSET([2]quests!$A$1,0,0,COUNTA([2]quests!$A:$A),MATCH(C$1,[2]quests!$1:$1,0)-MATCH($B$1,[2]quests!$1:$1,0)+1),MATCH(C$1,[2]quests!$1:$1,0)-MATCH($B$1,[2]quests!$1:$1,0)+1,FALSE)</f>
        <v>忍耐と服従</v>
      </c>
      <c r="D54" s="84" t="str">
        <f ca="1">VLOOKUP($B54,OFFSET([2]quests!$A$1,0,0,COUNTA([2]quests!$A:$A),MATCH(D$1,[2]quests!$1:$1,0)-MATCH($B$1,[2]quests!$1:$1,0)+1),MATCH(D$1,[2]quests!$1:$1,0)-MATCH($B$1,[2]quests!$1:$1,0)+1,FALSE)</f>
        <v>英傑シリーズ　超級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【上級】忍耐と服従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英傑シリーズ　超級</v>
      </c>
      <c r="H54" s="86">
        <v>0</v>
      </c>
      <c r="I54" s="97">
        <v>25</v>
      </c>
      <c r="J54" s="85" t="s">
        <v>198</v>
      </c>
      <c r="K54" s="94" t="str">
        <f>VLOOKUP(I54,[7]stage_hints!$A:$C,3,FALSE)</f>
        <v>スキルレベルアップ</v>
      </c>
      <c r="L54" s="95" t="str">
        <f>VLOOKUP(I54,[7]stage_hints!$A:$D,4,FALSE)</f>
        <v>「秘術の果実」を強化に使うと_x000D_スキルレベルを上げることができます</v>
      </c>
      <c r="M54" s="57" t="s">
        <v>199</v>
      </c>
    </row>
    <row r="55" spans="1:13" x14ac:dyDescent="0.15">
      <c r="A55" s="82" t="s">
        <v>200</v>
      </c>
      <c r="B55" s="83">
        <f>floors!$C$2</f>
        <v>30050</v>
      </c>
      <c r="C55" s="84" t="str">
        <f ca="1">VLOOKUP($B55,OFFSET([2]quests!$A$1,0,0,COUNTA([2]quests!$A:$A),MATCH(C$1,[2]quests!$1:$1,0)-MATCH($B$1,[2]quests!$1:$1,0)+1),MATCH(C$1,[2]quests!$1:$1,0)-MATCH($B$1,[2]quests!$1:$1,0)+1,FALSE)</f>
        <v>忍耐と服従</v>
      </c>
      <c r="D55" s="84" t="str">
        <f ca="1">VLOOKUP($B55,OFFSET([2]quests!$A$1,0,0,COUNTA([2]quests!$A:$A),MATCH(D$1,[2]quests!$1:$1,0)-MATCH($B$1,[2]quests!$1:$1,0)+1),MATCH(D$1,[2]quests!$1:$1,0)-MATCH($B$1,[2]quests!$1:$1,0)+1,FALSE)</f>
        <v>英傑シリーズ　超級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【上級】忍耐と服従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英傑シリーズ　超級</v>
      </c>
      <c r="H55" s="86">
        <v>0</v>
      </c>
      <c r="I55" s="97">
        <v>26</v>
      </c>
      <c r="J55" s="85" t="s">
        <v>198</v>
      </c>
      <c r="K55" s="94" t="str">
        <f>VLOOKUP(I55,[7]stage_hints!$A:$C,3,FALSE)</f>
        <v>スキルレベルの効果</v>
      </c>
      <c r="L55" s="95" t="str">
        <f>VLOOKUP(I55,[7]stage_hints!$A:$D,4,FALSE)</f>
        <v>スキルレベルが上がると_x000D_短いターンでスキルを使うことができます</v>
      </c>
      <c r="M55" s="57" t="s">
        <v>199</v>
      </c>
    </row>
    <row r="56" spans="1:13" x14ac:dyDescent="0.15">
      <c r="A56" s="82" t="s">
        <v>200</v>
      </c>
      <c r="B56" s="83">
        <f>floors!$C$2</f>
        <v>30050</v>
      </c>
      <c r="C56" s="84" t="str">
        <f ca="1">VLOOKUP($B56,OFFSET([2]quests!$A$1,0,0,COUNTA([2]quests!$A:$A),MATCH(C$1,[2]quests!$1:$1,0)-MATCH($B$1,[2]quests!$1:$1,0)+1),MATCH(C$1,[2]quests!$1:$1,0)-MATCH($B$1,[2]quests!$1:$1,0)+1,FALSE)</f>
        <v>忍耐と服従</v>
      </c>
      <c r="D56" s="84" t="str">
        <f ca="1">VLOOKUP($B56,OFFSET([2]quests!$A$1,0,0,COUNTA([2]quests!$A:$A),MATCH(D$1,[2]quests!$1:$1,0)-MATCH($B$1,[2]quests!$1:$1,0)+1),MATCH(D$1,[2]quests!$1:$1,0)-MATCH($B$1,[2]quests!$1:$1,0)+1,FALSE)</f>
        <v>英傑シリーズ　超級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【上級】忍耐と服従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英傑シリーズ　超級</v>
      </c>
      <c r="H56" s="86">
        <v>0</v>
      </c>
      <c r="I56" s="97">
        <v>27</v>
      </c>
      <c r="J56" s="85" t="s">
        <v>198</v>
      </c>
      <c r="K56" s="94" t="str">
        <f>VLOOKUP(I56,[7]stage_hints!$A:$C,3,FALSE)</f>
        <v>ホーム画面からデッキを編成</v>
      </c>
      <c r="L56" s="95" t="str">
        <f>VLOOKUP(I56,[7]stage_hints!$A:$D,4,FALSE)</f>
        <v>ホーム画面でユニットを長押しすると_x000D_すぐにパーティ編成に移動できます</v>
      </c>
      <c r="M56" s="57" t="s">
        <v>199</v>
      </c>
    </row>
    <row r="57" spans="1:13" x14ac:dyDescent="0.15">
      <c r="A57" s="82" t="s">
        <v>200</v>
      </c>
      <c r="B57" s="83">
        <f>floors!$C$2</f>
        <v>30050</v>
      </c>
      <c r="C57" s="84" t="str">
        <f ca="1">VLOOKUP($B57,OFFSET([2]quests!$A$1,0,0,COUNTA([2]quests!$A:$A),MATCH(C$1,[2]quests!$1:$1,0)-MATCH($B$1,[2]quests!$1:$1,0)+1),MATCH(C$1,[2]quests!$1:$1,0)-MATCH($B$1,[2]quests!$1:$1,0)+1,FALSE)</f>
        <v>忍耐と服従</v>
      </c>
      <c r="D57" s="84" t="str">
        <f ca="1">VLOOKUP($B57,OFFSET([2]quests!$A$1,0,0,COUNTA([2]quests!$A:$A),MATCH(D$1,[2]quests!$1:$1,0)-MATCH($B$1,[2]quests!$1:$1,0)+1),MATCH(D$1,[2]quests!$1:$1,0)-MATCH($B$1,[2]quests!$1:$1,0)+1,FALSE)</f>
        <v>英傑シリーズ　超級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【上級】忍耐と服従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英傑シリーズ　超級</v>
      </c>
      <c r="H57" s="86">
        <v>0</v>
      </c>
      <c r="I57" s="97">
        <v>28</v>
      </c>
      <c r="J57" s="85" t="s">
        <v>198</v>
      </c>
      <c r="K57" s="94" t="str">
        <f>VLOOKUP(I57,[7]stage_hints!$A:$C,3,FALSE)</f>
        <v>ステータス情報は長押しで</v>
      </c>
      <c r="L57" s="95" t="str">
        <f>VLOOKUP(I57,[7]stage_hints!$A:$D,4,FALSE)</f>
        <v>ユニットのアイコンを長押しすると_x000D_ステータス情報を確認することができます</v>
      </c>
      <c r="M57" s="57" t="s">
        <v>199</v>
      </c>
    </row>
    <row r="58" spans="1:13" x14ac:dyDescent="0.15">
      <c r="A58" s="82" t="s">
        <v>200</v>
      </c>
      <c r="B58" s="83">
        <f>floors!$C$2</f>
        <v>30050</v>
      </c>
      <c r="C58" s="84" t="str">
        <f ca="1">VLOOKUP($B58,OFFSET([2]quests!$A$1,0,0,COUNTA([2]quests!$A:$A),MATCH(C$1,[2]quests!$1:$1,0)-MATCH($B$1,[2]quests!$1:$1,0)+1),MATCH(C$1,[2]quests!$1:$1,0)-MATCH($B$1,[2]quests!$1:$1,0)+1,FALSE)</f>
        <v>忍耐と服従</v>
      </c>
      <c r="D58" s="84" t="str">
        <f ca="1">VLOOKUP($B58,OFFSET([2]quests!$A$1,0,0,COUNTA([2]quests!$A:$A),MATCH(D$1,[2]quests!$1:$1,0)-MATCH($B$1,[2]quests!$1:$1,0)+1),MATCH(D$1,[2]quests!$1:$1,0)-MATCH($B$1,[2]quests!$1:$1,0)+1,FALSE)</f>
        <v>英傑シリーズ　超級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【上級】忍耐と服従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英傑シリーズ　超級</v>
      </c>
      <c r="H58" s="86">
        <v>0</v>
      </c>
      <c r="I58" s="97">
        <v>29</v>
      </c>
      <c r="J58" s="85" t="s">
        <v>198</v>
      </c>
      <c r="K58" s="94" t="str">
        <f>VLOOKUP(I58,[7]stage_hints!$A:$C,3,FALSE)</f>
        <v>「バグ」のメリット</v>
      </c>
      <c r="L58" s="95" t="str">
        <f>VLOOKUP(I58,[7]stage_hints!$A:$D,4,FALSE)</f>
        <v>ユニットの「バグ」を増やすと_x000D_報酬をもらえる確率がアップします</v>
      </c>
      <c r="M58" s="57" t="s">
        <v>199</v>
      </c>
    </row>
    <row r="59" spans="1:13" x14ac:dyDescent="0.15">
      <c r="A59" s="82" t="s">
        <v>200</v>
      </c>
      <c r="B59" s="83">
        <f>floors!$C$2</f>
        <v>30050</v>
      </c>
      <c r="C59" s="84" t="str">
        <f ca="1">VLOOKUP($B59,OFFSET([2]quests!$A$1,0,0,COUNTA([2]quests!$A:$A),MATCH(C$1,[2]quests!$1:$1,0)-MATCH($B$1,[2]quests!$1:$1,0)+1),MATCH(C$1,[2]quests!$1:$1,0)-MATCH($B$1,[2]quests!$1:$1,0)+1,FALSE)</f>
        <v>忍耐と服従</v>
      </c>
      <c r="D59" s="84" t="str">
        <f ca="1">VLOOKUP($B59,OFFSET([2]quests!$A$1,0,0,COUNTA([2]quests!$A:$A),MATCH(D$1,[2]quests!$1:$1,0)-MATCH($B$1,[2]quests!$1:$1,0)+1),MATCH(D$1,[2]quests!$1:$1,0)-MATCH($B$1,[2]quests!$1:$1,0)+1,FALSE)</f>
        <v>英傑シリーズ　超級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【上級】忍耐と服従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英傑シリーズ　超級</v>
      </c>
      <c r="H59" s="86">
        <v>0</v>
      </c>
      <c r="I59" s="97">
        <v>30</v>
      </c>
      <c r="J59" s="85" t="s">
        <v>198</v>
      </c>
      <c r="K59" s="94" t="str">
        <f>VLOOKUP(I59,[7]stage_hints!$A:$C,3,FALSE)</f>
        <v>「バグ」の増やし方</v>
      </c>
      <c r="L59" s="95" t="str">
        <f>VLOOKUP(I59,[7]stage_hints!$A:$D,4,FALSE)</f>
        <v>同じユニット同士を強化で合成すると_x000D_「バグ」を増やすことができます</v>
      </c>
      <c r="M59" s="57" t="s">
        <v>199</v>
      </c>
    </row>
    <row r="60" spans="1:13" x14ac:dyDescent="0.15">
      <c r="A60" s="82" t="s">
        <v>200</v>
      </c>
      <c r="B60" s="83">
        <f>floors!$C$2</f>
        <v>30050</v>
      </c>
      <c r="C60" s="84" t="str">
        <f ca="1">VLOOKUP($B60,OFFSET([2]quests!$A$1,0,0,COUNTA([2]quests!$A:$A),MATCH(C$1,[2]quests!$1:$1,0)-MATCH($B$1,[2]quests!$1:$1,0)+1),MATCH(C$1,[2]quests!$1:$1,0)-MATCH($B$1,[2]quests!$1:$1,0)+1,FALSE)</f>
        <v>忍耐と服従</v>
      </c>
      <c r="D60" s="84" t="str">
        <f ca="1">VLOOKUP($B60,OFFSET([2]quests!$A$1,0,0,COUNTA([2]quests!$A:$A),MATCH(D$1,[2]quests!$1:$1,0)-MATCH($B$1,[2]quests!$1:$1,0)+1),MATCH(D$1,[2]quests!$1:$1,0)-MATCH($B$1,[2]quests!$1:$1,0)+1,FALSE)</f>
        <v>英傑シリーズ　超級</v>
      </c>
      <c r="E60" s="88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【上級】忍耐と服従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英傑シリーズ　超級</v>
      </c>
      <c r="H60" s="86">
        <v>0</v>
      </c>
      <c r="I60" s="97">
        <v>31</v>
      </c>
      <c r="J60" s="85" t="s">
        <v>198</v>
      </c>
      <c r="K60" s="94" t="str">
        <f>VLOOKUP(I60,[7]stage_hints!$A:$C,3,FALSE)</f>
        <v>イベントはお知らせでチェック</v>
      </c>
      <c r="L60" s="95" t="str">
        <f>VLOOKUP(I60,[7]stage_hints!$A:$D,4,FALSE)</f>
        <v>イベント限定ユニットを取り忘れないように_x000D_お知らせをこまめにチェックしましょう</v>
      </c>
      <c r="M60" s="57" t="s">
        <v>199</v>
      </c>
    </row>
    <row r="61" spans="1:13" x14ac:dyDescent="0.15">
      <c r="A61" s="82" t="s">
        <v>200</v>
      </c>
      <c r="B61" s="83">
        <f>floors!$C$2</f>
        <v>30050</v>
      </c>
      <c r="C61" s="84" t="str">
        <f ca="1">VLOOKUP($B61,OFFSET([2]quests!$A$1,0,0,COUNTA([2]quests!$A:$A),MATCH(C$1,[2]quests!$1:$1,0)-MATCH($B$1,[2]quests!$1:$1,0)+1),MATCH(C$1,[2]quests!$1:$1,0)-MATCH($B$1,[2]quests!$1:$1,0)+1,FALSE)</f>
        <v>忍耐と服従</v>
      </c>
      <c r="D61" s="84" t="str">
        <f ca="1">VLOOKUP($B61,OFFSET([2]quests!$A$1,0,0,COUNTA([2]quests!$A:$A),MATCH(D$1,[2]quests!$1:$1,0)-MATCH($B$1,[2]quests!$1:$1,0)+1),MATCH(D$1,[2]quests!$1:$1,0)-MATCH($B$1,[2]quests!$1:$1,0)+1,FALSE)</f>
        <v>英傑シリーズ　超級</v>
      </c>
      <c r="E61" s="88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【上級】忍耐と服従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英傑シリーズ　超級</v>
      </c>
      <c r="H61" s="86">
        <v>0</v>
      </c>
      <c r="I61" s="97">
        <v>32</v>
      </c>
      <c r="J61" s="85" t="s">
        <v>198</v>
      </c>
      <c r="K61" s="94" t="str">
        <f>VLOOKUP(I61,[7]stage_hints!$A:$C,3,FALSE)</f>
        <v>敵の連続攻撃には</v>
      </c>
      <c r="L61" s="95" t="str">
        <f>VLOOKUP(I61,[7]stage_hints!$A:$D,4,FALSE)</f>
        <v>カウンタースキルを持つユニットがいれば_x000D_ダメージ回数分の反撃ができます</v>
      </c>
      <c r="M61" s="57" t="s">
        <v>199</v>
      </c>
    </row>
    <row r="62" spans="1:13" x14ac:dyDescent="0.15">
      <c r="A62" s="82" t="s">
        <v>200</v>
      </c>
      <c r="B62" s="83">
        <f>floors!$C$2</f>
        <v>30050</v>
      </c>
      <c r="C62" s="84" t="str">
        <f ca="1">VLOOKUP($B62,OFFSET([2]quests!$A$1,0,0,COUNTA([2]quests!$A:$A),MATCH(C$1,[2]quests!$1:$1,0)-MATCH($B$1,[2]quests!$1:$1,0)+1),MATCH(C$1,[2]quests!$1:$1,0)-MATCH($B$1,[2]quests!$1:$1,0)+1,FALSE)</f>
        <v>忍耐と服従</v>
      </c>
      <c r="D62" s="84" t="str">
        <f ca="1">VLOOKUP($B62,OFFSET([2]quests!$A$1,0,0,COUNTA([2]quests!$A:$A),MATCH(D$1,[2]quests!$1:$1,0)-MATCH($B$1,[2]quests!$1:$1,0)+1),MATCH(D$1,[2]quests!$1:$1,0)-MATCH($B$1,[2]quests!$1:$1,0)+1,FALSE)</f>
        <v>英傑シリーズ　超級</v>
      </c>
      <c r="E62" s="88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【上級】忍耐と服従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英傑シリーズ　超級</v>
      </c>
      <c r="H62" s="86">
        <v>0</v>
      </c>
      <c r="I62" s="97">
        <v>33</v>
      </c>
      <c r="J62" s="85" t="s">
        <v>198</v>
      </c>
      <c r="K62" s="94" t="str">
        <f>VLOOKUP(I62,[7]stage_hints!$A:$C,3,FALSE)</f>
        <v>敵のカウンター攻撃には</v>
      </c>
      <c r="L62" s="95" t="str">
        <f>VLOOKUP(I62,[7]stage_hints!$A:$D,4,FALSE)</f>
        <v>カウンターブレイクスキルを持っていれば_x000D_敵のカウンターを解除して攻撃ができます</v>
      </c>
      <c r="M62" s="57" t="s">
        <v>199</v>
      </c>
    </row>
    <row r="63" spans="1:13" x14ac:dyDescent="0.15">
      <c r="A63" s="82" t="s">
        <v>200</v>
      </c>
      <c r="B63" s="83">
        <f>floors!$C$2</f>
        <v>30050</v>
      </c>
      <c r="C63" s="84" t="str">
        <f ca="1">VLOOKUP($B63,OFFSET([2]quests!$A$1,0,0,COUNTA([2]quests!$A:$A),MATCH(C$1,[2]quests!$1:$1,0)-MATCH($B$1,[2]quests!$1:$1,0)+1),MATCH(C$1,[2]quests!$1:$1,0)-MATCH($B$1,[2]quests!$1:$1,0)+1,FALSE)</f>
        <v>忍耐と服従</v>
      </c>
      <c r="D63" s="84" t="str">
        <f ca="1">VLOOKUP($B63,OFFSET([2]quests!$A$1,0,0,COUNTA([2]quests!$A:$A),MATCH(D$1,[2]quests!$1:$1,0)-MATCH($B$1,[2]quests!$1:$1,0)+1),MATCH(D$1,[2]quests!$1:$1,0)-MATCH($B$1,[2]quests!$1:$1,0)+1,FALSE)</f>
        <v>英傑シリーズ　超級</v>
      </c>
      <c r="E63" s="88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【上級】忍耐と服従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英傑シリーズ　超級</v>
      </c>
      <c r="H63" s="86">
        <v>0</v>
      </c>
      <c r="I63" s="97">
        <v>34</v>
      </c>
      <c r="J63" s="85" t="s">
        <v>198</v>
      </c>
      <c r="K63" s="94" t="str">
        <f>VLOOKUP(I63,[7]stage_hints!$A:$C,3,FALSE)</f>
        <v>ステータスをスキルで下げられたら</v>
      </c>
      <c r="L63" s="95" t="str">
        <f>VLOOKUP(I63,[7]stage_hints!$A:$D,4,FALSE)</f>
        <v>ステータスダウンのスキルを受けたら_x000D_ステータスアップスキルで上書きしましょう</v>
      </c>
      <c r="M63" s="57" t="s">
        <v>199</v>
      </c>
    </row>
    <row r="64" spans="1:13" x14ac:dyDescent="0.15">
      <c r="A64" s="82" t="s">
        <v>200</v>
      </c>
      <c r="B64" s="83">
        <f>floors!$C$2</f>
        <v>30050</v>
      </c>
      <c r="C64" s="84" t="str">
        <f ca="1">VLOOKUP($B64,OFFSET([2]quests!$A$1,0,0,COUNTA([2]quests!$A:$A),MATCH(C$1,[2]quests!$1:$1,0)-MATCH($B$1,[2]quests!$1:$1,0)+1),MATCH(C$1,[2]quests!$1:$1,0)-MATCH($B$1,[2]quests!$1:$1,0)+1,FALSE)</f>
        <v>忍耐と服従</v>
      </c>
      <c r="D64" s="84" t="str">
        <f ca="1">VLOOKUP($B64,OFFSET([2]quests!$A$1,0,0,COUNTA([2]quests!$A:$A),MATCH(D$1,[2]quests!$1:$1,0)-MATCH($B$1,[2]quests!$1:$1,0)+1),MATCH(D$1,[2]quests!$1:$1,0)-MATCH($B$1,[2]quests!$1:$1,0)+1,FALSE)</f>
        <v>英傑シリーズ　超級</v>
      </c>
      <c r="E64" s="88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【上級】忍耐と服従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英傑シリーズ　超級</v>
      </c>
      <c r="H64" s="86">
        <v>0</v>
      </c>
      <c r="I64" s="97">
        <v>35</v>
      </c>
      <c r="J64" s="85" t="s">
        <v>198</v>
      </c>
      <c r="K64" s="94" t="str">
        <f>VLOOKUP(I64,[7]stage_hints!$A:$C,3,FALSE)</f>
        <v>敵のステータスがスキルで上がったら</v>
      </c>
      <c r="L64" s="95" t="str">
        <f>VLOOKUP(I64,[7]stage_hints!$A:$D,4,FALSE)</f>
        <v>敵のステータスがスキルでアップしたときは_x000D_ステータスダウンスキルで上書きしましょう</v>
      </c>
      <c r="M64" s="57" t="s">
        <v>199</v>
      </c>
    </row>
    <row r="65" spans="1:13" x14ac:dyDescent="0.15">
      <c r="A65" s="82" t="s">
        <v>200</v>
      </c>
      <c r="B65" s="83">
        <f>floors!$C$2</f>
        <v>30050</v>
      </c>
      <c r="C65" s="84" t="str">
        <f ca="1">VLOOKUP($B65,OFFSET([2]quests!$A$1,0,0,COUNTA([2]quests!$A:$A),MATCH(C$1,[2]quests!$1:$1,0)-MATCH($B$1,[2]quests!$1:$1,0)+1),MATCH(C$1,[2]quests!$1:$1,0)-MATCH($B$1,[2]quests!$1:$1,0)+1,FALSE)</f>
        <v>忍耐と服従</v>
      </c>
      <c r="D65" s="84" t="str">
        <f ca="1">VLOOKUP($B65,OFFSET([2]quests!$A$1,0,0,COUNTA([2]quests!$A:$A),MATCH(D$1,[2]quests!$1:$1,0)-MATCH($B$1,[2]quests!$1:$1,0)+1),MATCH(D$1,[2]quests!$1:$1,0)-MATCH($B$1,[2]quests!$1:$1,0)+1,FALSE)</f>
        <v>英傑シリーズ　超級</v>
      </c>
      <c r="E65" s="88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【上級】忍耐と服従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英傑シリーズ　超級</v>
      </c>
      <c r="H65" s="86">
        <v>0</v>
      </c>
      <c r="I65" s="97">
        <v>36</v>
      </c>
      <c r="J65" s="85" t="s">
        <v>198</v>
      </c>
      <c r="K65" s="94" t="str">
        <f>VLOOKUP(I65,[7]stage_hints!$A:$C,3,FALSE)</f>
        <v>タワーオブザクイーンのボス</v>
      </c>
      <c r="L65" s="95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199</v>
      </c>
    </row>
    <row r="66" spans="1:13" x14ac:dyDescent="0.15">
      <c r="A66" s="82" t="s">
        <v>200</v>
      </c>
      <c r="B66" s="83">
        <f>floors!$C$2</f>
        <v>30050</v>
      </c>
      <c r="C66" s="84" t="str">
        <f ca="1">VLOOKUP($B66,OFFSET([2]quests!$A$1,0,0,COUNTA([2]quests!$A:$A),MATCH(C$1,[2]quests!$1:$1,0)-MATCH($B$1,[2]quests!$1:$1,0)+1),MATCH(C$1,[2]quests!$1:$1,0)-MATCH($B$1,[2]quests!$1:$1,0)+1,FALSE)</f>
        <v>忍耐と服従</v>
      </c>
      <c r="D66" s="84" t="str">
        <f ca="1">VLOOKUP($B66,OFFSET([2]quests!$A$1,0,0,COUNTA([2]quests!$A:$A),MATCH(D$1,[2]quests!$1:$1,0)-MATCH($B$1,[2]quests!$1:$1,0)+1),MATCH(D$1,[2]quests!$1:$1,0)-MATCH($B$1,[2]quests!$1:$1,0)+1,FALSE)</f>
        <v>英傑シリーズ　超級</v>
      </c>
      <c r="E66" s="88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【上級】忍耐と服従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英傑シリーズ　超級</v>
      </c>
      <c r="H66" s="86">
        <v>0</v>
      </c>
      <c r="I66" s="97">
        <v>37</v>
      </c>
      <c r="J66" s="85" t="s">
        <v>198</v>
      </c>
      <c r="K66" s="94" t="str">
        <f>VLOOKUP(I66,[7]stage_hints!$A:$C,3,FALSE)</f>
        <v>限界突破値の引き継ぎ</v>
      </c>
      <c r="L66" s="95" t="str">
        <f>VLOOKUP(I66,[7]stage_hints!$A:$D,4,FALSE)</f>
        <v>同じユニットを強化で合成すると_x000D_限界突破値を引き継げます（覚醒前後も可）</v>
      </c>
      <c r="M66" s="57" t="s">
        <v>199</v>
      </c>
    </row>
    <row r="67" spans="1:13" x14ac:dyDescent="0.15">
      <c r="A67" s="82" t="s">
        <v>200</v>
      </c>
      <c r="B67" s="83">
        <f>floors!$C$2</f>
        <v>30050</v>
      </c>
      <c r="C67" s="84" t="str">
        <f ca="1">VLOOKUP($B67,OFFSET([2]quests!$A$1,0,0,COUNTA([2]quests!$A:$A),MATCH(C$1,[2]quests!$1:$1,0)-MATCH($B$1,[2]quests!$1:$1,0)+1),MATCH(C$1,[2]quests!$1:$1,0)-MATCH($B$1,[2]quests!$1:$1,0)+1,FALSE)</f>
        <v>忍耐と服従</v>
      </c>
      <c r="D67" s="84" t="str">
        <f ca="1">VLOOKUP($B67,OFFSET([2]quests!$A$1,0,0,COUNTA([2]quests!$A:$A),MATCH(D$1,[2]quests!$1:$1,0)-MATCH($B$1,[2]quests!$1:$1,0)+1),MATCH(D$1,[2]quests!$1:$1,0)-MATCH($B$1,[2]quests!$1:$1,0)+1,FALSE)</f>
        <v>英傑シリーズ　超級</v>
      </c>
      <c r="E67" s="88">
        <v>2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【上級】忍耐と服従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英傑シリーズ　超級</v>
      </c>
      <c r="H67" s="86">
        <v>0</v>
      </c>
      <c r="I67" s="97">
        <v>39</v>
      </c>
      <c r="J67" s="85" t="s">
        <v>198</v>
      </c>
      <c r="K67" s="94" t="str">
        <f>VLOOKUP(I67,[7]stage_hints!$A:$C,3,FALSE)</f>
        <v>システム適合者を確認</v>
      </c>
      <c r="L67" s="95" t="str">
        <f>VLOOKUP(I67,[7]stage_hints!$A:$D,4,FALSE)</f>
        <v>ALICEが 「アナタ」を呼んでいます</v>
      </c>
      <c r="M67" s="57" t="s">
        <v>199</v>
      </c>
    </row>
    <row r="68" spans="1:13" x14ac:dyDescent="0.15">
      <c r="A68" s="82" t="s">
        <v>200</v>
      </c>
      <c r="B68" s="83">
        <f>floors!$C$2</f>
        <v>30050</v>
      </c>
      <c r="C68" s="84" t="str">
        <f ca="1">VLOOKUP($B68,OFFSET([2]quests!$A$1,0,0,COUNTA([2]quests!$A:$A),MATCH(C$1,[2]quests!$1:$1,0)-MATCH($B$1,[2]quests!$1:$1,0)+1),MATCH(C$1,[2]quests!$1:$1,0)-MATCH($B$1,[2]quests!$1:$1,0)+1,FALSE)</f>
        <v>忍耐と服従</v>
      </c>
      <c r="D68" s="84" t="str">
        <f ca="1">VLOOKUP($B68,OFFSET([2]quests!$A$1,0,0,COUNTA([2]quests!$A:$A),MATCH(D$1,[2]quests!$1:$1,0)-MATCH($B$1,[2]quests!$1:$1,0)+1),MATCH(D$1,[2]quests!$1:$1,0)-MATCH($B$1,[2]quests!$1:$1,0)+1,FALSE)</f>
        <v>英傑シリーズ　超級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【超級】忍耐と服従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英傑シリーズ　超級</v>
      </c>
      <c r="H68" s="86">
        <v>0</v>
      </c>
      <c r="I68">
        <v>12</v>
      </c>
      <c r="J68" s="85" t="s">
        <v>198</v>
      </c>
      <c r="K68" s="94" t="str">
        <f>VLOOKUP(I68,[7]stage_hints!$A:$C,3,FALSE)</f>
        <v>ユニットのお気に入り登録</v>
      </c>
      <c r="L68" s="95" t="str">
        <f>VLOOKUP(I68,[7]stage_hints!$A:$D,4,FALSE)</f>
        <v>大事なユニットを誤って消さないように_x000D_フォルダから「お気に入り登録」しましょう</v>
      </c>
      <c r="M68" s="57" t="s">
        <v>199</v>
      </c>
    </row>
    <row r="69" spans="1:13" x14ac:dyDescent="0.15">
      <c r="A69" s="82" t="s">
        <v>200</v>
      </c>
      <c r="B69" s="83">
        <f>floors!$C$2</f>
        <v>30050</v>
      </c>
      <c r="C69" s="84" t="str">
        <f ca="1">VLOOKUP($B69,OFFSET([2]quests!$A$1,0,0,COUNTA([2]quests!$A:$A),MATCH(C$1,[2]quests!$1:$1,0)-MATCH($B$1,[2]quests!$1:$1,0)+1),MATCH(C$1,[2]quests!$1:$1,0)-MATCH($B$1,[2]quests!$1:$1,0)+1,FALSE)</f>
        <v>忍耐と服従</v>
      </c>
      <c r="D69" s="84" t="str">
        <f ca="1">VLOOKUP($B69,OFFSET([2]quests!$A$1,0,0,COUNTA([2]quests!$A:$A),MATCH(D$1,[2]quests!$1:$1,0)-MATCH($B$1,[2]quests!$1:$1,0)+1),MATCH(D$1,[2]quests!$1:$1,0)-MATCH($B$1,[2]quests!$1:$1,0)+1,FALSE)</f>
        <v>英傑シリーズ　超級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【超級】忍耐と服従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英傑シリーズ　超級</v>
      </c>
      <c r="H69" s="86">
        <v>0</v>
      </c>
      <c r="I69">
        <v>17</v>
      </c>
      <c r="J69" s="85" t="s">
        <v>198</v>
      </c>
      <c r="K69" s="94" t="str">
        <f>VLOOKUP(I69,[7]stage_hints!$A:$C,3,FALSE)</f>
        <v>リンクガチャ</v>
      </c>
      <c r="L69" s="95" t="str">
        <f>VLOOKUP(I69,[7]stage_hints!$A:$D,4,FALSE)</f>
        <v>無料のリンクガチャを回して_x000D_経験値素材や売却素材を獲得しましょう</v>
      </c>
      <c r="M69" s="57" t="s">
        <v>199</v>
      </c>
    </row>
    <row r="70" spans="1:13" x14ac:dyDescent="0.15">
      <c r="A70" s="82" t="s">
        <v>200</v>
      </c>
      <c r="B70" s="83">
        <f>floors!$C$2</f>
        <v>30050</v>
      </c>
      <c r="C70" s="84" t="str">
        <f ca="1">VLOOKUP($B70,OFFSET([2]quests!$A$1,0,0,COUNTA([2]quests!$A:$A),MATCH(C$1,[2]quests!$1:$1,0)-MATCH($B$1,[2]quests!$1:$1,0)+1),MATCH(C$1,[2]quests!$1:$1,0)-MATCH($B$1,[2]quests!$1:$1,0)+1,FALSE)</f>
        <v>忍耐と服従</v>
      </c>
      <c r="D70" s="84" t="str">
        <f ca="1">VLOOKUP($B70,OFFSET([2]quests!$A$1,0,0,COUNTA([2]quests!$A:$A),MATCH(D$1,[2]quests!$1:$1,0)-MATCH($B$1,[2]quests!$1:$1,0)+1),MATCH(D$1,[2]quests!$1:$1,0)-MATCH($B$1,[2]quests!$1:$1,0)+1,FALSE)</f>
        <v>英傑シリーズ　超級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【超級】忍耐と服従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英傑シリーズ　超級</v>
      </c>
      <c r="H70" s="86">
        <v>0</v>
      </c>
      <c r="I70">
        <v>19</v>
      </c>
      <c r="J70" s="85" t="s">
        <v>198</v>
      </c>
      <c r="K70" s="94" t="str">
        <f>VLOOKUP(I70,[7]stage_hints!$A:$C,3,FALSE)</f>
        <v>ソロ専用タワーオブザクイーン</v>
      </c>
      <c r="L70" s="95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199</v>
      </c>
    </row>
    <row r="71" spans="1:13" x14ac:dyDescent="0.15">
      <c r="A71" s="82" t="s">
        <v>200</v>
      </c>
      <c r="B71" s="83">
        <f>floors!$C$2</f>
        <v>30050</v>
      </c>
      <c r="C71" s="84" t="str">
        <f ca="1">VLOOKUP($B71,OFFSET([2]quests!$A$1,0,0,COUNTA([2]quests!$A:$A),MATCH(C$1,[2]quests!$1:$1,0)-MATCH($B$1,[2]quests!$1:$1,0)+1),MATCH(C$1,[2]quests!$1:$1,0)-MATCH($B$1,[2]quests!$1:$1,0)+1,FALSE)</f>
        <v>忍耐と服従</v>
      </c>
      <c r="D71" s="84" t="str">
        <f ca="1">VLOOKUP($B71,OFFSET([2]quests!$A$1,0,0,COUNTA([2]quests!$A:$A),MATCH(D$1,[2]quests!$1:$1,0)-MATCH($B$1,[2]quests!$1:$1,0)+1),MATCH(D$1,[2]quests!$1:$1,0)-MATCH($B$1,[2]quests!$1:$1,0)+1,FALSE)</f>
        <v>英傑シリーズ　超級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【超級】忍耐と服従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英傑シリーズ　超級</v>
      </c>
      <c r="H71" s="86">
        <v>0</v>
      </c>
      <c r="I71">
        <v>21</v>
      </c>
      <c r="J71" s="85" t="s">
        <v>198</v>
      </c>
      <c r="K71" s="94" t="str">
        <f>VLOOKUP(I71,[7]stage_hints!$A:$C,3,FALSE)</f>
        <v>スキルを有効に</v>
      </c>
      <c r="L71" s="95" t="str">
        <f>VLOOKUP(I71,[7]stage_hints!$A:$D,4,FALSE)</f>
        <v>ターン経過でユニットのスキルが使えます_x000D_強力スキルでバトルを有利に進めましょう</v>
      </c>
      <c r="M71" s="57" t="s">
        <v>199</v>
      </c>
    </row>
    <row r="72" spans="1:13" x14ac:dyDescent="0.15">
      <c r="A72" s="82" t="s">
        <v>200</v>
      </c>
      <c r="B72" s="83">
        <f>floors!$C$2</f>
        <v>30050</v>
      </c>
      <c r="C72" s="84" t="str">
        <f ca="1">VLOOKUP($B72,OFFSET([2]quests!$A$1,0,0,COUNTA([2]quests!$A:$A),MATCH(C$1,[2]quests!$1:$1,0)-MATCH($B$1,[2]quests!$1:$1,0)+1),MATCH(C$1,[2]quests!$1:$1,0)-MATCH($B$1,[2]quests!$1:$1,0)+1,FALSE)</f>
        <v>忍耐と服従</v>
      </c>
      <c r="D72" s="84" t="str">
        <f ca="1">VLOOKUP($B72,OFFSET([2]quests!$A$1,0,0,COUNTA([2]quests!$A:$A),MATCH(D$1,[2]quests!$1:$1,0)-MATCH($B$1,[2]quests!$1:$1,0)+1),MATCH(D$1,[2]quests!$1:$1,0)-MATCH($B$1,[2]quests!$1:$1,0)+1,FALSE)</f>
        <v>英傑シリーズ　超級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【超級】忍耐と服従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英傑シリーズ　超級</v>
      </c>
      <c r="H72" s="86">
        <v>0</v>
      </c>
      <c r="I72">
        <v>27</v>
      </c>
      <c r="J72" s="85" t="s">
        <v>198</v>
      </c>
      <c r="K72" s="94" t="str">
        <f>VLOOKUP(I72,[7]stage_hints!$A:$C,3,FALSE)</f>
        <v>ホーム画面からデッキを編成</v>
      </c>
      <c r="L72" s="95" t="str">
        <f>VLOOKUP(I72,[7]stage_hints!$A:$D,4,FALSE)</f>
        <v>ホーム画面でユニットを長押しすると_x000D_すぐにパーティ編成に移動できます</v>
      </c>
      <c r="M72" s="57" t="s">
        <v>199</v>
      </c>
    </row>
    <row r="73" spans="1:13" x14ac:dyDescent="0.15">
      <c r="A73" s="82" t="s">
        <v>200</v>
      </c>
      <c r="B73" s="83">
        <f>floors!$C$2</f>
        <v>30050</v>
      </c>
      <c r="C73" s="84" t="str">
        <f ca="1">VLOOKUP($B73,OFFSET([2]quests!$A$1,0,0,COUNTA([2]quests!$A:$A),MATCH(C$1,[2]quests!$1:$1,0)-MATCH($B$1,[2]quests!$1:$1,0)+1),MATCH(C$1,[2]quests!$1:$1,0)-MATCH($B$1,[2]quests!$1:$1,0)+1,FALSE)</f>
        <v>忍耐と服従</v>
      </c>
      <c r="D73" s="84" t="str">
        <f ca="1">VLOOKUP($B73,OFFSET([2]quests!$A$1,0,0,COUNTA([2]quests!$A:$A),MATCH(D$1,[2]quests!$1:$1,0)-MATCH($B$1,[2]quests!$1:$1,0)+1),MATCH(D$1,[2]quests!$1:$1,0)-MATCH($B$1,[2]quests!$1:$1,0)+1,FALSE)</f>
        <v>英傑シリーズ　超級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【超級】忍耐と服従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英傑シリーズ　超級</v>
      </c>
      <c r="H73" s="86">
        <v>0</v>
      </c>
      <c r="I73">
        <v>28</v>
      </c>
      <c r="J73" s="85" t="s">
        <v>198</v>
      </c>
      <c r="K73" s="94" t="str">
        <f>VLOOKUP(I73,[7]stage_hints!$A:$C,3,FALSE)</f>
        <v>ステータス情報は長押しで</v>
      </c>
      <c r="L73" s="95" t="str">
        <f>VLOOKUP(I73,[7]stage_hints!$A:$D,4,FALSE)</f>
        <v>ユニットのアイコンを長押しすると_x000D_ステータス情報を確認することができます</v>
      </c>
      <c r="M73" s="57" t="s">
        <v>199</v>
      </c>
    </row>
    <row r="74" spans="1:13" x14ac:dyDescent="0.15">
      <c r="A74" s="82" t="s">
        <v>200</v>
      </c>
      <c r="B74" s="83">
        <f>floors!$C$2</f>
        <v>30050</v>
      </c>
      <c r="C74" s="84" t="str">
        <f ca="1">VLOOKUP($B74,OFFSET([2]quests!$A$1,0,0,COUNTA([2]quests!$A:$A),MATCH(C$1,[2]quests!$1:$1,0)-MATCH($B$1,[2]quests!$1:$1,0)+1),MATCH(C$1,[2]quests!$1:$1,0)-MATCH($B$1,[2]quests!$1:$1,0)+1,FALSE)</f>
        <v>忍耐と服従</v>
      </c>
      <c r="D74" s="84" t="str">
        <f ca="1">VLOOKUP($B74,OFFSET([2]quests!$A$1,0,0,COUNTA([2]quests!$A:$A),MATCH(D$1,[2]quests!$1:$1,0)-MATCH($B$1,[2]quests!$1:$1,0)+1),MATCH(D$1,[2]quests!$1:$1,0)-MATCH($B$1,[2]quests!$1:$1,0)+1,FALSE)</f>
        <v>英傑シリーズ　超級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【超級】忍耐と服従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英傑シリーズ　超級</v>
      </c>
      <c r="H74" s="86">
        <v>0</v>
      </c>
      <c r="I74">
        <v>29</v>
      </c>
      <c r="J74" s="85" t="s">
        <v>198</v>
      </c>
      <c r="K74" s="94" t="str">
        <f>VLOOKUP(I74,[7]stage_hints!$A:$C,3,FALSE)</f>
        <v>「バグ」のメリット</v>
      </c>
      <c r="L74" s="95" t="str">
        <f>VLOOKUP(I74,[7]stage_hints!$A:$D,4,FALSE)</f>
        <v>ユニットの「バグ」を増やすと_x000D_報酬をもらえる確率がアップします</v>
      </c>
      <c r="M74" s="57" t="s">
        <v>199</v>
      </c>
    </row>
    <row r="75" spans="1:13" x14ac:dyDescent="0.15">
      <c r="A75" s="82" t="s">
        <v>200</v>
      </c>
      <c r="B75" s="83">
        <f>floors!$C$2</f>
        <v>30050</v>
      </c>
      <c r="C75" s="84" t="str">
        <f ca="1">VLOOKUP($B75,OFFSET([2]quests!$A$1,0,0,COUNTA([2]quests!$A:$A),MATCH(C$1,[2]quests!$1:$1,0)-MATCH($B$1,[2]quests!$1:$1,0)+1),MATCH(C$1,[2]quests!$1:$1,0)-MATCH($B$1,[2]quests!$1:$1,0)+1,FALSE)</f>
        <v>忍耐と服従</v>
      </c>
      <c r="D75" s="84" t="str">
        <f ca="1">VLOOKUP($B75,OFFSET([2]quests!$A$1,0,0,COUNTA([2]quests!$A:$A),MATCH(D$1,[2]quests!$1:$1,0)-MATCH($B$1,[2]quests!$1:$1,0)+1),MATCH(D$1,[2]quests!$1:$1,0)-MATCH($B$1,[2]quests!$1:$1,0)+1,FALSE)</f>
        <v>英傑シリーズ　超級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【超級】忍耐と服従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英傑シリーズ　超級</v>
      </c>
      <c r="H75" s="86">
        <v>0</v>
      </c>
      <c r="I75">
        <v>30</v>
      </c>
      <c r="J75" s="85" t="s">
        <v>198</v>
      </c>
      <c r="K75" s="94" t="str">
        <f>VLOOKUP(I75,[7]stage_hints!$A:$C,3,FALSE)</f>
        <v>「バグ」の増やし方</v>
      </c>
      <c r="L75" s="95" t="str">
        <f>VLOOKUP(I75,[7]stage_hints!$A:$D,4,FALSE)</f>
        <v>同じユニット同士を強化で合成すると_x000D_「バグ」を増やすことができます</v>
      </c>
      <c r="M75" s="57" t="s">
        <v>199</v>
      </c>
    </row>
    <row r="76" spans="1:13" x14ac:dyDescent="0.15">
      <c r="A76" s="82" t="s">
        <v>200</v>
      </c>
      <c r="B76" s="83">
        <f>floors!$C$2</f>
        <v>30050</v>
      </c>
      <c r="C76" s="84" t="str">
        <f ca="1">VLOOKUP($B76,OFFSET([2]quests!$A$1,0,0,COUNTA([2]quests!$A:$A),MATCH(C$1,[2]quests!$1:$1,0)-MATCH($B$1,[2]quests!$1:$1,0)+1),MATCH(C$1,[2]quests!$1:$1,0)-MATCH($B$1,[2]quests!$1:$1,0)+1,FALSE)</f>
        <v>忍耐と服従</v>
      </c>
      <c r="D76" s="84" t="str">
        <f ca="1">VLOOKUP($B76,OFFSET([2]quests!$A$1,0,0,COUNTA([2]quests!$A:$A),MATCH(D$1,[2]quests!$1:$1,0)-MATCH($B$1,[2]quests!$1:$1,0)+1),MATCH(D$1,[2]quests!$1:$1,0)-MATCH($B$1,[2]quests!$1:$1,0)+1,FALSE)</f>
        <v>英傑シリーズ　超級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【超級】忍耐と服従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英傑シリーズ　超級</v>
      </c>
      <c r="H76" s="86">
        <v>0</v>
      </c>
      <c r="I76">
        <v>32</v>
      </c>
      <c r="J76" s="85" t="s">
        <v>198</v>
      </c>
      <c r="K76" s="94" t="str">
        <f>VLOOKUP(I76,[7]stage_hints!$A:$C,3,FALSE)</f>
        <v>敵の連続攻撃には</v>
      </c>
      <c r="L76" s="95" t="str">
        <f>VLOOKUP(I76,[7]stage_hints!$A:$D,4,FALSE)</f>
        <v>カウンタースキルを持つユニットがいれば_x000D_ダメージ回数分の反撃ができます</v>
      </c>
      <c r="M76" s="57" t="s">
        <v>199</v>
      </c>
    </row>
    <row r="77" spans="1:13" x14ac:dyDescent="0.15">
      <c r="A77" s="82" t="s">
        <v>200</v>
      </c>
      <c r="B77" s="83">
        <f>floors!$C$2</f>
        <v>30050</v>
      </c>
      <c r="C77" s="84" t="str">
        <f ca="1">VLOOKUP($B77,OFFSET([2]quests!$A$1,0,0,COUNTA([2]quests!$A:$A),MATCH(C$1,[2]quests!$1:$1,0)-MATCH($B$1,[2]quests!$1:$1,0)+1),MATCH(C$1,[2]quests!$1:$1,0)-MATCH($B$1,[2]quests!$1:$1,0)+1,FALSE)</f>
        <v>忍耐と服従</v>
      </c>
      <c r="D77" s="84" t="str">
        <f ca="1">VLOOKUP($B77,OFFSET([2]quests!$A$1,0,0,COUNTA([2]quests!$A:$A),MATCH(D$1,[2]quests!$1:$1,0)-MATCH($B$1,[2]quests!$1:$1,0)+1),MATCH(D$1,[2]quests!$1:$1,0)-MATCH($B$1,[2]quests!$1:$1,0)+1,FALSE)</f>
        <v>英傑シリーズ　超級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【超級】忍耐と服従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英傑シリーズ　超級</v>
      </c>
      <c r="H77" s="86">
        <v>0</v>
      </c>
      <c r="I77">
        <v>33</v>
      </c>
      <c r="J77" s="85" t="s">
        <v>198</v>
      </c>
      <c r="K77" s="94" t="str">
        <f>VLOOKUP(I77,[7]stage_hints!$A:$C,3,FALSE)</f>
        <v>敵のカウンター攻撃には</v>
      </c>
      <c r="L77" s="95" t="str">
        <f>VLOOKUP(I77,[7]stage_hints!$A:$D,4,FALSE)</f>
        <v>カウンターブレイクスキルを持っていれば_x000D_敵のカウンターを解除して攻撃ができます</v>
      </c>
      <c r="M77" s="57" t="s">
        <v>199</v>
      </c>
    </row>
    <row r="78" spans="1:13" x14ac:dyDescent="0.15">
      <c r="A78" s="82" t="s">
        <v>200</v>
      </c>
      <c r="B78" s="83">
        <f>floors!$C$2</f>
        <v>30050</v>
      </c>
      <c r="C78" s="84" t="str">
        <f ca="1">VLOOKUP($B78,OFFSET([2]quests!$A$1,0,0,COUNTA([2]quests!$A:$A),MATCH(C$1,[2]quests!$1:$1,0)-MATCH($B$1,[2]quests!$1:$1,0)+1),MATCH(C$1,[2]quests!$1:$1,0)-MATCH($B$1,[2]quests!$1:$1,0)+1,FALSE)</f>
        <v>忍耐と服従</v>
      </c>
      <c r="D78" s="84" t="str">
        <f ca="1">VLOOKUP($B78,OFFSET([2]quests!$A$1,0,0,COUNTA([2]quests!$A:$A),MATCH(D$1,[2]quests!$1:$1,0)-MATCH($B$1,[2]quests!$1:$1,0)+1),MATCH(D$1,[2]quests!$1:$1,0)-MATCH($B$1,[2]quests!$1:$1,0)+1,FALSE)</f>
        <v>英傑シリーズ　超級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【超級】忍耐と服従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英傑シリーズ　超級</v>
      </c>
      <c r="H78" s="86">
        <v>0</v>
      </c>
      <c r="I78">
        <v>34</v>
      </c>
      <c r="J78" s="85" t="s">
        <v>198</v>
      </c>
      <c r="K78" s="94" t="str">
        <f>VLOOKUP(I78,[7]stage_hints!$A:$C,3,FALSE)</f>
        <v>ステータスをスキルで下げられたら</v>
      </c>
      <c r="L78" s="95" t="str">
        <f>VLOOKUP(I78,[7]stage_hints!$A:$D,4,FALSE)</f>
        <v>ステータスダウンのスキルを受けたら_x000D_ステータスアップスキルで上書きしましょう</v>
      </c>
      <c r="M78" s="57" t="s">
        <v>199</v>
      </c>
    </row>
    <row r="79" spans="1:13" x14ac:dyDescent="0.15">
      <c r="A79" s="82" t="s">
        <v>200</v>
      </c>
      <c r="B79" s="83">
        <f>floors!$C$2</f>
        <v>30050</v>
      </c>
      <c r="C79" s="84" t="str">
        <f ca="1">VLOOKUP($B79,OFFSET([2]quests!$A$1,0,0,COUNTA([2]quests!$A:$A),MATCH(C$1,[2]quests!$1:$1,0)-MATCH($B$1,[2]quests!$1:$1,0)+1),MATCH(C$1,[2]quests!$1:$1,0)-MATCH($B$1,[2]quests!$1:$1,0)+1,FALSE)</f>
        <v>忍耐と服従</v>
      </c>
      <c r="D79" s="84" t="str">
        <f ca="1">VLOOKUP($B79,OFFSET([2]quests!$A$1,0,0,COUNTA([2]quests!$A:$A),MATCH(D$1,[2]quests!$1:$1,0)-MATCH($B$1,[2]quests!$1:$1,0)+1),MATCH(D$1,[2]quests!$1:$1,0)-MATCH($B$1,[2]quests!$1:$1,0)+1,FALSE)</f>
        <v>英傑シリーズ　超級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【超級】忍耐と服従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英傑シリーズ　超級</v>
      </c>
      <c r="H79" s="86">
        <v>0</v>
      </c>
      <c r="I79">
        <v>35</v>
      </c>
      <c r="J79" s="85" t="s">
        <v>198</v>
      </c>
      <c r="K79" s="94" t="str">
        <f>VLOOKUP(I79,[7]stage_hints!$A:$C,3,FALSE)</f>
        <v>敵のステータスがスキルで上がったら</v>
      </c>
      <c r="L79" s="95" t="str">
        <f>VLOOKUP(I79,[7]stage_hints!$A:$D,4,FALSE)</f>
        <v>敵のステータスがスキルでアップしたときは_x000D_ステータスダウンスキルで上書きしましょう</v>
      </c>
      <c r="M79" s="57" t="s">
        <v>199</v>
      </c>
    </row>
    <row r="80" spans="1:13" x14ac:dyDescent="0.15">
      <c r="A80" s="82" t="s">
        <v>200</v>
      </c>
      <c r="B80" s="83">
        <f>floors!$C$2</f>
        <v>30050</v>
      </c>
      <c r="C80" s="84" t="str">
        <f ca="1">VLOOKUP($B80,OFFSET([2]quests!$A$1,0,0,COUNTA([2]quests!$A:$A),MATCH(C$1,[2]quests!$1:$1,0)-MATCH($B$1,[2]quests!$1:$1,0)+1),MATCH(C$1,[2]quests!$1:$1,0)-MATCH($B$1,[2]quests!$1:$1,0)+1,FALSE)</f>
        <v>忍耐と服従</v>
      </c>
      <c r="D80" s="84" t="str">
        <f ca="1">VLOOKUP($B80,OFFSET([2]quests!$A$1,0,0,COUNTA([2]quests!$A:$A),MATCH(D$1,[2]quests!$1:$1,0)-MATCH($B$1,[2]quests!$1:$1,0)+1),MATCH(D$1,[2]quests!$1:$1,0)-MATCH($B$1,[2]quests!$1:$1,0)+1,FALSE)</f>
        <v>英傑シリーズ　超級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【超級】忍耐と服従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英傑シリーズ　超級</v>
      </c>
      <c r="H80" s="86">
        <v>0</v>
      </c>
      <c r="I80">
        <v>36</v>
      </c>
      <c r="J80" s="85" t="s">
        <v>198</v>
      </c>
      <c r="K80" s="94" t="str">
        <f>VLOOKUP(I80,[7]stage_hints!$A:$C,3,FALSE)</f>
        <v>タワーオブザクイーンのボス</v>
      </c>
      <c r="L80" s="95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199</v>
      </c>
    </row>
    <row r="81" spans="1:13" x14ac:dyDescent="0.15">
      <c r="A81" s="121" t="s">
        <v>200</v>
      </c>
      <c r="B81" s="122">
        <f>floors!$C$2</f>
        <v>30050</v>
      </c>
      <c r="C81" s="123" t="str">
        <f ca="1">VLOOKUP($B81,OFFSET([2]quests!$A$1,0,0,COUNTA([2]quests!$A:$A),MATCH(C$1,[2]quests!$1:$1,0)-MATCH($B$1,[2]quests!$1:$1,0)+1),MATCH(C$1,[2]quests!$1:$1,0)-MATCH($B$1,[2]quests!$1:$1,0)+1,FALSE)</f>
        <v>忍耐と服従</v>
      </c>
      <c r="D81" s="123" t="str">
        <f ca="1">VLOOKUP($B81,OFFSET([2]quests!$A$1,0,0,COUNTA([2]quests!$A:$A),MATCH(D$1,[2]quests!$1:$1,0)-MATCH($B$1,[2]quests!$1:$1,0)+1),MATCH(D$1,[2]quests!$1:$1,0)-MATCH($B$1,[2]quests!$1:$1,0)+1,FALSE)</f>
        <v>英傑シリーズ　超級</v>
      </c>
      <c r="E81" s="88">
        <v>3</v>
      </c>
      <c r="F81" s="123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【超級】忍耐と服従</v>
      </c>
      <c r="G81" s="123" t="str">
        <f ca="1">VLOOKUP($B81&amp;"_"&amp;$E81,OFFSET([2]stages!$A$1,0,0,COUNTA([2]stages!$A:$A),MATCH(G$1,[2]stages!$2:$2,0)-MATCH("temp_stage",[2]stages!$2:$2,0)+1),MATCH(G$1,[2]stages!$2:$2,0)-MATCH("temp_stage",[2]stages!$2:$2,0)+1,FALSE)</f>
        <v>英傑シリーズ　超級</v>
      </c>
      <c r="H81" s="124">
        <v>0</v>
      </c>
      <c r="I81">
        <v>37</v>
      </c>
      <c r="J81" s="125" t="s">
        <v>198</v>
      </c>
      <c r="K81" s="126" t="str">
        <f>VLOOKUP(I81,[7]stage_hints!$A:$C,3,FALSE)</f>
        <v>限界突破値の引き継ぎ</v>
      </c>
      <c r="L81" s="127" t="str">
        <f>VLOOKUP(I81,[7]stage_hints!$A:$D,4,FALSE)</f>
        <v>同じユニットを強化で合成すると_x000D_限界突破値を引き継げます（覚醒前後も可）</v>
      </c>
      <c r="M81" s="128" t="s">
        <v>199</v>
      </c>
    </row>
    <row r="82" spans="1:13" x14ac:dyDescent="0.15">
      <c r="A82" s="82" t="s">
        <v>200</v>
      </c>
      <c r="B82" s="83">
        <f>floors!$C$2</f>
        <v>30050</v>
      </c>
      <c r="C82" s="139" t="str">
        <f ca="1">VLOOKUP($B82,OFFSET([2]quests!$A$1,0,0,COUNTA([2]quests!$A:$A),MATCH(C$1,[2]quests!$1:$1,0)-MATCH($B$1,[2]quests!$1:$1,0)+1),MATCH(C$1,[2]quests!$1:$1,0)-MATCH($B$1,[2]quests!$1:$1,0)+1,FALSE)</f>
        <v>忍耐と服従</v>
      </c>
      <c r="D82" s="139" t="str">
        <f ca="1">VLOOKUP($B82,OFFSET([2]quests!$A$1,0,0,COUNTA([2]quests!$A:$A),MATCH(D$1,[2]quests!$1:$1,0)-MATCH($B$1,[2]quests!$1:$1,0)+1),MATCH(D$1,[2]quests!$1:$1,0)-MATCH($B$1,[2]quests!$1:$1,0)+1,FALSE)</f>
        <v>英傑シリーズ　超級</v>
      </c>
      <c r="E82" s="88">
        <v>3</v>
      </c>
      <c r="F82" s="139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【超級】忍耐と服従</v>
      </c>
      <c r="G82" s="139" t="str">
        <f ca="1">VLOOKUP($B82&amp;"_"&amp;$E82,OFFSET([2]stages!$A$1,0,0,COUNTA([2]stages!$A:$A),MATCH(G$1,[2]stages!$2:$2,0)-MATCH("temp_stage",[2]stages!$2:$2,0)+1),MATCH(G$1,[2]stages!$2:$2,0)-MATCH("temp_stage",[2]stages!$2:$2,0)+1,FALSE)</f>
        <v>英傑シリーズ　超級</v>
      </c>
      <c r="H82" s="140">
        <v>0</v>
      </c>
      <c r="I82" s="57">
        <v>39</v>
      </c>
      <c r="J82" s="85" t="s">
        <v>198</v>
      </c>
      <c r="K82" s="94" t="str">
        <f>VLOOKUP(I82,[7]stage_hints!$A:$C,3,FALSE)</f>
        <v>システム適合者を確認</v>
      </c>
      <c r="L82" s="95" t="str">
        <f>VLOOKUP(I82,[7]stage_hints!$A:$D,4,FALSE)</f>
        <v>ALICEが 「アナタ」を呼んでいます</v>
      </c>
      <c r="M82" s="57" t="s">
        <v>199</v>
      </c>
    </row>
    <row r="83" spans="1:13" x14ac:dyDescent="0.15">
      <c r="A83" s="129"/>
      <c r="B83" s="130"/>
      <c r="C83" s="131"/>
      <c r="D83" s="131"/>
      <c r="E83" s="132"/>
      <c r="F83" s="131"/>
      <c r="G83" s="131"/>
      <c r="H83" s="133"/>
      <c r="I83" s="134"/>
      <c r="J83" s="135"/>
      <c r="K83" s="137"/>
      <c r="L83" s="138"/>
      <c r="M83" s="136"/>
    </row>
    <row r="84" spans="1:13" x14ac:dyDescent="0.15">
      <c r="A84" s="129"/>
      <c r="B84" s="130"/>
      <c r="C84" s="131"/>
      <c r="D84" s="131"/>
      <c r="E84" s="132"/>
      <c r="F84" s="131"/>
      <c r="G84" s="131"/>
      <c r="H84" s="133"/>
      <c r="I84" s="134"/>
      <c r="J84" s="135"/>
      <c r="K84" s="137"/>
      <c r="L84" s="138"/>
      <c r="M84" s="136"/>
    </row>
    <row r="85" spans="1:13" x14ac:dyDescent="0.15">
      <c r="A85" s="129"/>
      <c r="B85" s="130"/>
      <c r="C85" s="131"/>
      <c r="D85" s="131"/>
      <c r="E85" s="132"/>
      <c r="F85" s="131"/>
      <c r="G85" s="131"/>
      <c r="H85" s="133"/>
      <c r="I85" s="134"/>
      <c r="J85" s="135"/>
      <c r="K85" s="137"/>
      <c r="L85" s="138"/>
      <c r="M85" s="136"/>
    </row>
    <row r="86" spans="1:13" x14ac:dyDescent="0.15">
      <c r="A86" s="129"/>
      <c r="B86" s="130"/>
      <c r="C86" s="131"/>
      <c r="D86" s="131"/>
      <c r="E86" s="132"/>
      <c r="F86" s="131"/>
      <c r="G86" s="131"/>
      <c r="H86" s="133"/>
      <c r="I86" s="134"/>
      <c r="J86" s="135"/>
      <c r="K86" s="137"/>
      <c r="L86" s="138"/>
      <c r="M86" s="136"/>
    </row>
    <row r="87" spans="1:13" x14ac:dyDescent="0.15">
      <c r="A87" s="129"/>
      <c r="B87" s="130"/>
      <c r="C87" s="131"/>
      <c r="D87" s="131"/>
      <c r="E87" s="132"/>
      <c r="F87" s="131"/>
      <c r="G87" s="131"/>
      <c r="H87" s="133"/>
      <c r="I87" s="134"/>
      <c r="J87" s="135"/>
      <c r="K87" s="137"/>
      <c r="L87" s="138"/>
      <c r="M87" s="136"/>
    </row>
    <row r="88" spans="1:13" x14ac:dyDescent="0.15">
      <c r="A88" s="129"/>
      <c r="B88" s="130"/>
      <c r="C88" s="131"/>
      <c r="D88" s="131"/>
      <c r="E88" s="132"/>
      <c r="F88" s="131"/>
      <c r="G88" s="131"/>
      <c r="H88" s="133"/>
      <c r="I88" s="134"/>
      <c r="J88" s="135"/>
      <c r="K88" s="137"/>
      <c r="L88" s="138"/>
      <c r="M88" s="136"/>
    </row>
    <row r="89" spans="1:13" x14ac:dyDescent="0.15">
      <c r="A89" s="129"/>
      <c r="B89" s="130"/>
      <c r="C89" s="131"/>
      <c r="D89" s="131"/>
      <c r="E89" s="132"/>
      <c r="F89" s="131"/>
      <c r="G89" s="131"/>
      <c r="H89" s="133"/>
      <c r="I89" s="134"/>
      <c r="J89" s="135"/>
      <c r="K89" s="137"/>
      <c r="L89" s="138"/>
      <c r="M89" s="136"/>
    </row>
    <row r="90" spans="1:13" x14ac:dyDescent="0.15">
      <c r="A90" s="129"/>
      <c r="B90" s="130"/>
      <c r="C90" s="131"/>
      <c r="D90" s="131"/>
      <c r="E90" s="132"/>
      <c r="F90" s="131"/>
      <c r="G90" s="131"/>
      <c r="H90" s="133"/>
      <c r="I90" s="134"/>
      <c r="J90" s="135"/>
      <c r="K90" s="137"/>
      <c r="L90" s="138"/>
      <c r="M90" s="136"/>
    </row>
    <row r="91" spans="1:13" x14ac:dyDescent="0.15">
      <c r="A91" s="129"/>
      <c r="B91" s="130"/>
      <c r="C91" s="131"/>
      <c r="D91" s="131"/>
      <c r="E91" s="132"/>
      <c r="F91" s="131"/>
      <c r="G91" s="131"/>
      <c r="H91" s="133"/>
      <c r="I91" s="134"/>
      <c r="J91" s="135"/>
      <c r="K91" s="137"/>
      <c r="L91" s="138"/>
      <c r="M91" s="136"/>
    </row>
    <row r="92" spans="1:13" x14ac:dyDescent="0.15">
      <c r="A92" s="129"/>
      <c r="B92" s="130"/>
      <c r="C92" s="131"/>
      <c r="D92" s="131"/>
      <c r="E92" s="132"/>
      <c r="F92" s="131"/>
      <c r="G92" s="131"/>
      <c r="H92" s="133"/>
      <c r="I92" s="134"/>
      <c r="J92" s="135"/>
      <c r="K92" s="137"/>
      <c r="L92" s="138"/>
      <c r="M92" s="136"/>
    </row>
    <row r="93" spans="1:13" x14ac:dyDescent="0.15">
      <c r="A93" s="129"/>
      <c r="B93" s="130"/>
      <c r="C93" s="131"/>
      <c r="D93" s="131"/>
      <c r="E93" s="132"/>
      <c r="F93" s="131"/>
      <c r="G93" s="131"/>
      <c r="H93" s="133"/>
      <c r="I93" s="134"/>
      <c r="J93" s="135"/>
      <c r="K93" s="137"/>
      <c r="L93" s="138"/>
      <c r="M93" s="136"/>
    </row>
    <row r="94" spans="1:13" x14ac:dyDescent="0.15">
      <c r="A94" s="129"/>
      <c r="B94" s="130"/>
      <c r="C94" s="131"/>
      <c r="D94" s="131"/>
      <c r="E94" s="132"/>
      <c r="F94" s="131"/>
      <c r="G94" s="131"/>
      <c r="H94" s="133"/>
      <c r="I94" s="136"/>
      <c r="J94" s="135"/>
      <c r="K94" s="137"/>
      <c r="L94" s="138"/>
      <c r="M94" s="136"/>
    </row>
    <row r="95" spans="1:13" x14ac:dyDescent="0.15">
      <c r="A95" s="129"/>
      <c r="B95" s="130"/>
      <c r="C95" s="131"/>
      <c r="D95" s="131"/>
      <c r="E95" s="132"/>
      <c r="F95" s="131"/>
      <c r="G95" s="131"/>
      <c r="H95" s="133"/>
      <c r="I95" s="136"/>
      <c r="J95" s="135"/>
      <c r="K95" s="137"/>
      <c r="L95" s="138"/>
      <c r="M95" s="136"/>
    </row>
    <row r="96" spans="1:13" x14ac:dyDescent="0.15">
      <c r="A96" s="129"/>
      <c r="B96" s="130"/>
      <c r="C96" s="131"/>
      <c r="D96" s="131"/>
      <c r="E96" s="132"/>
      <c r="F96" s="131"/>
      <c r="G96" s="131"/>
      <c r="H96" s="133"/>
      <c r="I96" s="136"/>
      <c r="J96" s="135"/>
      <c r="K96" s="137"/>
      <c r="L96" s="138"/>
      <c r="M96" s="136"/>
    </row>
    <row r="97" spans="1:13" x14ac:dyDescent="0.15">
      <c r="A97" s="129"/>
      <c r="B97" s="130"/>
      <c r="C97" s="131"/>
      <c r="D97" s="131"/>
      <c r="E97" s="132"/>
      <c r="F97" s="131"/>
      <c r="G97" s="131"/>
      <c r="H97" s="133"/>
      <c r="I97" s="136"/>
      <c r="J97" s="135"/>
      <c r="K97" s="137"/>
      <c r="L97" s="138"/>
      <c r="M97" s="136"/>
    </row>
    <row r="98" spans="1:13" x14ac:dyDescent="0.15">
      <c r="A98" s="129"/>
      <c r="B98" s="130"/>
      <c r="C98" s="131"/>
      <c r="D98" s="131"/>
      <c r="E98" s="132"/>
      <c r="F98" s="131"/>
      <c r="G98" s="131"/>
      <c r="H98" s="133"/>
      <c r="I98" s="136"/>
      <c r="J98" s="135"/>
      <c r="K98" s="137"/>
      <c r="L98" s="138"/>
      <c r="M98" s="136"/>
    </row>
    <row r="99" spans="1:13" x14ac:dyDescent="0.15">
      <c r="A99" s="129"/>
      <c r="B99" s="130"/>
      <c r="C99" s="131"/>
      <c r="D99" s="131"/>
      <c r="E99" s="132"/>
      <c r="F99" s="131"/>
      <c r="G99" s="131"/>
      <c r="H99" s="133"/>
      <c r="I99" s="136"/>
      <c r="J99" s="135"/>
      <c r="K99" s="137"/>
      <c r="L99" s="138"/>
      <c r="M99" s="136"/>
    </row>
    <row r="100" spans="1:13" x14ac:dyDescent="0.15">
      <c r="A100" s="129"/>
      <c r="B100" s="130"/>
      <c r="C100" s="131"/>
      <c r="D100" s="131"/>
      <c r="E100" s="132"/>
      <c r="F100" s="131"/>
      <c r="G100" s="131"/>
      <c r="H100" s="133"/>
      <c r="I100" s="136"/>
      <c r="J100" s="135"/>
      <c r="K100" s="137"/>
      <c r="L100" s="138"/>
      <c r="M100" s="136"/>
    </row>
    <row r="101" spans="1:13" x14ac:dyDescent="0.15">
      <c r="A101" s="129"/>
      <c r="B101" s="130"/>
      <c r="C101" s="131"/>
      <c r="D101" s="131"/>
      <c r="E101" s="132"/>
      <c r="F101" s="131"/>
      <c r="G101" s="131"/>
      <c r="H101" s="133"/>
      <c r="I101" s="136"/>
      <c r="J101" s="135"/>
      <c r="K101" s="137"/>
      <c r="L101" s="138"/>
      <c r="M101" s="136"/>
    </row>
    <row r="102" spans="1:13" x14ac:dyDescent="0.15">
      <c r="A102" s="129"/>
      <c r="B102" s="130"/>
      <c r="C102" s="131"/>
      <c r="D102" s="131"/>
      <c r="E102" s="132"/>
      <c r="F102" s="131"/>
      <c r="G102" s="131"/>
      <c r="H102" s="133"/>
      <c r="I102" s="136"/>
      <c r="J102" s="135"/>
      <c r="K102" s="137"/>
      <c r="L102" s="138"/>
      <c r="M102" s="136"/>
    </row>
    <row r="103" spans="1:13" x14ac:dyDescent="0.15">
      <c r="A103" s="129"/>
      <c r="B103" s="130"/>
      <c r="C103" s="131"/>
      <c r="D103" s="131"/>
      <c r="E103" s="132"/>
      <c r="F103" s="131"/>
      <c r="G103" s="131"/>
      <c r="H103" s="133"/>
      <c r="I103" s="136"/>
      <c r="J103" s="135"/>
      <c r="K103" s="137"/>
      <c r="L103" s="138"/>
      <c r="M103" s="136"/>
    </row>
    <row r="104" spans="1:13" x14ac:dyDescent="0.15">
      <c r="A104" s="129"/>
      <c r="B104" s="130"/>
      <c r="C104" s="131"/>
      <c r="D104" s="131"/>
      <c r="E104" s="132"/>
      <c r="F104" s="131"/>
      <c r="G104" s="131"/>
      <c r="H104" s="133"/>
      <c r="I104" s="136"/>
      <c r="J104" s="135"/>
      <c r="K104" s="137"/>
      <c r="L104" s="138"/>
      <c r="M104" s="136"/>
    </row>
    <row r="105" spans="1:13" x14ac:dyDescent="0.15">
      <c r="A105" s="129"/>
      <c r="B105" s="130"/>
      <c r="C105" s="131"/>
      <c r="D105" s="131"/>
      <c r="E105" s="132"/>
      <c r="F105" s="131"/>
      <c r="G105" s="131"/>
      <c r="H105" s="133"/>
      <c r="I105" s="136"/>
      <c r="J105" s="135"/>
      <c r="K105" s="137"/>
      <c r="L105" s="138"/>
      <c r="M105" s="136"/>
    </row>
    <row r="106" spans="1:13" x14ac:dyDescent="0.15">
      <c r="A106" s="129"/>
      <c r="B106" s="130"/>
      <c r="C106" s="131"/>
      <c r="D106" s="131"/>
      <c r="E106" s="132"/>
      <c r="F106" s="131"/>
      <c r="G106" s="131"/>
      <c r="H106" s="133"/>
      <c r="I106" s="136"/>
      <c r="J106" s="135"/>
      <c r="K106" s="137"/>
      <c r="L106" s="138"/>
      <c r="M106" s="136"/>
    </row>
    <row r="107" spans="1:13" x14ac:dyDescent="0.15">
      <c r="A107" s="129"/>
      <c r="B107" s="130"/>
      <c r="C107" s="131"/>
      <c r="D107" s="131"/>
      <c r="E107" s="132"/>
      <c r="F107" s="131"/>
      <c r="G107" s="131"/>
      <c r="H107" s="133"/>
      <c r="I107" s="136"/>
      <c r="J107" s="135"/>
      <c r="K107" s="137"/>
      <c r="L107" s="138"/>
      <c r="M107" s="136"/>
    </row>
    <row r="108" spans="1:13" x14ac:dyDescent="0.15">
      <c r="A108" s="129"/>
      <c r="B108" s="130"/>
      <c r="C108" s="131"/>
      <c r="D108" s="131"/>
      <c r="E108" s="132"/>
      <c r="F108" s="131"/>
      <c r="G108" s="131"/>
      <c r="H108" s="133"/>
      <c r="I108" s="136"/>
      <c r="J108" s="135"/>
      <c r="K108" s="137"/>
      <c r="L108" s="138"/>
      <c r="M108" s="136"/>
    </row>
    <row r="109" spans="1:13" x14ac:dyDescent="0.15">
      <c r="A109" s="129"/>
      <c r="B109" s="130"/>
      <c r="C109" s="131"/>
      <c r="D109" s="131"/>
      <c r="E109" s="132"/>
      <c r="F109" s="131"/>
      <c r="G109" s="131"/>
      <c r="H109" s="133"/>
      <c r="I109" s="136"/>
      <c r="J109" s="135"/>
      <c r="K109" s="137"/>
      <c r="L109" s="138"/>
      <c r="M109" s="136"/>
    </row>
    <row r="110" spans="1:13" x14ac:dyDescent="0.15">
      <c r="A110" s="129"/>
      <c r="B110" s="130"/>
      <c r="C110" s="131"/>
      <c r="D110" s="131"/>
      <c r="E110" s="132"/>
      <c r="F110" s="131"/>
      <c r="G110" s="131"/>
      <c r="H110" s="133"/>
      <c r="I110" s="136"/>
      <c r="J110" s="135"/>
      <c r="K110" s="137"/>
      <c r="L110" s="138"/>
      <c r="M110" s="136"/>
    </row>
    <row r="111" spans="1:13" x14ac:dyDescent="0.15">
      <c r="A111" s="129"/>
      <c r="B111" s="130"/>
      <c r="C111" s="131"/>
      <c r="D111" s="131"/>
      <c r="E111" s="132"/>
      <c r="F111" s="131"/>
      <c r="G111" s="131"/>
      <c r="H111" s="133"/>
      <c r="I111" s="136"/>
      <c r="J111" s="135"/>
      <c r="K111" s="137"/>
      <c r="L111" s="138"/>
      <c r="M111" s="136"/>
    </row>
    <row r="112" spans="1:13" x14ac:dyDescent="0.15">
      <c r="A112" s="129"/>
      <c r="B112" s="130"/>
      <c r="C112" s="131"/>
      <c r="D112" s="131"/>
      <c r="E112" s="132"/>
      <c r="F112" s="131"/>
      <c r="G112" s="131"/>
      <c r="H112" s="133"/>
      <c r="I112" s="136"/>
      <c r="J112" s="135"/>
      <c r="K112" s="137"/>
      <c r="L112" s="138"/>
      <c r="M112" s="136"/>
    </row>
    <row r="113" spans="1:13" x14ac:dyDescent="0.15">
      <c r="A113" s="129"/>
      <c r="B113" s="130"/>
      <c r="C113" s="131"/>
      <c r="D113" s="131"/>
      <c r="E113" s="132"/>
      <c r="F113" s="131"/>
      <c r="G113" s="131"/>
      <c r="H113" s="133"/>
      <c r="I113" s="136"/>
      <c r="J113" s="135"/>
      <c r="K113" s="137"/>
      <c r="L113" s="138"/>
      <c r="M113" s="136"/>
    </row>
    <row r="114" spans="1:13" x14ac:dyDescent="0.15">
      <c r="A114" s="129"/>
      <c r="B114" s="130"/>
      <c r="C114" s="131"/>
      <c r="D114" s="131"/>
      <c r="E114" s="132"/>
      <c r="F114" s="131"/>
      <c r="G114" s="131"/>
      <c r="H114" s="133"/>
      <c r="I114" s="136"/>
      <c r="J114" s="135"/>
      <c r="K114" s="137"/>
      <c r="L114" s="138"/>
      <c r="M114" s="136"/>
    </row>
    <row r="115" spans="1:13" x14ac:dyDescent="0.15">
      <c r="A115" s="129"/>
      <c r="B115" s="130"/>
      <c r="C115" s="131"/>
      <c r="D115" s="131"/>
      <c r="E115" s="132"/>
      <c r="F115" s="131"/>
      <c r="G115" s="131"/>
      <c r="H115" s="133"/>
      <c r="I115" s="136"/>
      <c r="J115" s="135"/>
      <c r="K115" s="137"/>
      <c r="L115" s="138"/>
      <c r="M115" s="136"/>
    </row>
    <row r="116" spans="1:13" x14ac:dyDescent="0.15">
      <c r="A116" s="129"/>
      <c r="B116" s="130"/>
      <c r="C116" s="131"/>
      <c r="D116" s="131"/>
      <c r="E116" s="132"/>
      <c r="F116" s="131"/>
      <c r="G116" s="131"/>
      <c r="H116" s="133"/>
      <c r="I116" s="136"/>
      <c r="J116" s="135"/>
      <c r="K116" s="137"/>
      <c r="L116" s="138"/>
      <c r="M116" s="136"/>
    </row>
    <row r="117" spans="1:13" x14ac:dyDescent="0.15">
      <c r="A117" s="129"/>
      <c r="B117" s="130"/>
      <c r="C117" s="131"/>
      <c r="D117" s="131"/>
      <c r="E117" s="132"/>
      <c r="F117" s="131"/>
      <c r="G117" s="131"/>
      <c r="H117" s="133"/>
      <c r="I117" s="136"/>
      <c r="J117" s="135"/>
      <c r="K117" s="137"/>
      <c r="L117" s="138"/>
      <c r="M117" s="136"/>
    </row>
    <row r="118" spans="1:13" x14ac:dyDescent="0.15">
      <c r="A118" s="129"/>
      <c r="B118" s="130"/>
      <c r="C118" s="131"/>
      <c r="D118" s="131"/>
      <c r="E118" s="132"/>
      <c r="F118" s="131"/>
      <c r="G118" s="131"/>
      <c r="H118" s="133"/>
      <c r="I118" s="136"/>
      <c r="J118" s="135"/>
      <c r="K118" s="137"/>
      <c r="L118" s="138"/>
      <c r="M118" s="136"/>
    </row>
    <row r="119" spans="1:13" x14ac:dyDescent="0.15">
      <c r="A119" s="129"/>
      <c r="B119" s="130"/>
      <c r="C119" s="131"/>
      <c r="D119" s="131"/>
      <c r="E119" s="132"/>
      <c r="F119" s="131"/>
      <c r="G119" s="131"/>
      <c r="H119" s="133"/>
      <c r="I119" s="136"/>
      <c r="J119" s="135"/>
      <c r="K119" s="137"/>
      <c r="L119" s="138"/>
      <c r="M119" s="136"/>
    </row>
    <row r="120" spans="1:13" x14ac:dyDescent="0.15">
      <c r="A120" s="129"/>
      <c r="B120" s="130"/>
      <c r="C120" s="131"/>
      <c r="D120" s="131"/>
      <c r="E120" s="132"/>
      <c r="F120" s="131"/>
      <c r="G120" s="131"/>
      <c r="H120" s="133"/>
      <c r="I120" s="136"/>
      <c r="J120" s="135"/>
      <c r="K120" s="137"/>
      <c r="L120" s="138"/>
      <c r="M120" s="136"/>
    </row>
    <row r="121" spans="1:13" x14ac:dyDescent="0.15">
      <c r="A121" s="129"/>
      <c r="B121" s="130"/>
      <c r="C121" s="131"/>
      <c r="D121" s="131"/>
      <c r="E121" s="132"/>
      <c r="F121" s="131"/>
      <c r="G121" s="131"/>
      <c r="H121" s="133"/>
      <c r="I121" s="136"/>
      <c r="J121" s="135"/>
      <c r="K121" s="137"/>
      <c r="L121" s="138"/>
      <c r="M121" s="136"/>
    </row>
    <row r="122" spans="1:13" x14ac:dyDescent="0.15">
      <c r="A122" s="129"/>
      <c r="B122" s="130"/>
      <c r="C122" s="131"/>
      <c r="D122" s="131"/>
      <c r="E122" s="132"/>
      <c r="F122" s="131"/>
      <c r="G122" s="131"/>
      <c r="H122" s="133"/>
      <c r="I122" s="136"/>
      <c r="J122" s="135"/>
      <c r="K122" s="137"/>
      <c r="L122" s="138"/>
      <c r="M122" s="136"/>
    </row>
    <row r="123" spans="1:13" x14ac:dyDescent="0.15">
      <c r="A123" s="129"/>
      <c r="B123" s="130"/>
      <c r="C123" s="131"/>
      <c r="D123" s="131"/>
      <c r="E123" s="132"/>
      <c r="F123" s="131"/>
      <c r="G123" s="131"/>
      <c r="H123" s="133"/>
      <c r="I123" s="136"/>
      <c r="J123" s="135"/>
      <c r="K123" s="137"/>
      <c r="L123" s="138"/>
      <c r="M123" s="136"/>
    </row>
    <row r="124" spans="1:13" x14ac:dyDescent="0.15">
      <c r="A124" s="129"/>
      <c r="B124" s="130"/>
      <c r="C124" s="131"/>
      <c r="D124" s="131"/>
      <c r="E124" s="132"/>
      <c r="F124" s="131"/>
      <c r="G124" s="131"/>
      <c r="H124" s="133"/>
      <c r="I124" s="136"/>
      <c r="J124" s="135"/>
      <c r="K124" s="137"/>
      <c r="L124" s="138"/>
      <c r="M124" s="136"/>
    </row>
    <row r="125" spans="1:13" x14ac:dyDescent="0.15">
      <c r="A125" s="129"/>
      <c r="B125" s="130"/>
      <c r="C125" s="131"/>
      <c r="D125" s="131"/>
      <c r="E125" s="132"/>
      <c r="F125" s="131"/>
      <c r="G125" s="131"/>
      <c r="H125" s="133"/>
      <c r="I125" s="136"/>
      <c r="J125" s="135"/>
      <c r="K125" s="137"/>
      <c r="L125" s="138"/>
      <c r="M125" s="136"/>
    </row>
    <row r="126" spans="1:13" x14ac:dyDescent="0.15">
      <c r="A126" s="129"/>
      <c r="B126" s="130"/>
      <c r="C126" s="131"/>
      <c r="D126" s="131"/>
      <c r="E126" s="132"/>
      <c r="F126" s="131"/>
      <c r="G126" s="131"/>
      <c r="H126" s="133"/>
      <c r="I126" s="136"/>
      <c r="J126" s="135"/>
      <c r="K126" s="137"/>
      <c r="L126" s="138"/>
      <c r="M126" s="136"/>
    </row>
    <row r="127" spans="1:13" x14ac:dyDescent="0.15">
      <c r="A127" s="129"/>
      <c r="B127" s="130"/>
      <c r="C127" s="131"/>
      <c r="D127" s="131"/>
      <c r="E127" s="132"/>
      <c r="F127" s="131"/>
      <c r="G127" s="131"/>
      <c r="H127" s="133"/>
      <c r="I127" s="136"/>
      <c r="J127" s="135"/>
      <c r="K127" s="137"/>
      <c r="L127" s="138"/>
      <c r="M127" s="136"/>
    </row>
    <row r="128" spans="1:13" x14ac:dyDescent="0.15">
      <c r="A128" s="129"/>
      <c r="B128" s="130"/>
      <c r="C128" s="131"/>
      <c r="D128" s="131"/>
      <c r="E128" s="132"/>
      <c r="F128" s="131"/>
      <c r="G128" s="131"/>
      <c r="H128" s="133"/>
      <c r="I128" s="136"/>
      <c r="J128" s="135"/>
      <c r="K128" s="137"/>
      <c r="L128" s="138"/>
      <c r="M128" s="136"/>
    </row>
    <row r="129" spans="1:13" x14ac:dyDescent="0.15">
      <c r="A129" s="129"/>
      <c r="B129" s="130"/>
      <c r="C129" s="131"/>
      <c r="D129" s="131"/>
      <c r="E129" s="132"/>
      <c r="F129" s="131"/>
      <c r="G129" s="131"/>
      <c r="H129" s="133"/>
      <c r="I129" s="136"/>
      <c r="J129" s="135"/>
      <c r="K129" s="137"/>
      <c r="L129" s="138"/>
      <c r="M129" s="136"/>
    </row>
    <row r="130" spans="1:13" x14ac:dyDescent="0.15">
      <c r="A130" s="129"/>
      <c r="B130" s="130"/>
      <c r="C130" s="131"/>
      <c r="D130" s="131"/>
      <c r="E130" s="132"/>
      <c r="F130" s="131"/>
      <c r="G130" s="131"/>
      <c r="H130" s="133"/>
      <c r="I130" s="136"/>
      <c r="J130" s="135"/>
      <c r="K130" s="137"/>
      <c r="L130" s="138"/>
      <c r="M130" s="136"/>
    </row>
    <row r="131" spans="1:13" x14ac:dyDescent="0.15">
      <c r="A131" s="129"/>
      <c r="B131" s="130"/>
      <c r="C131" s="131"/>
      <c r="D131" s="131"/>
      <c r="E131" s="132"/>
      <c r="F131" s="131"/>
      <c r="G131" s="131"/>
      <c r="H131" s="133"/>
      <c r="I131" s="136"/>
      <c r="J131" s="135"/>
      <c r="K131" s="137"/>
      <c r="L131" s="138"/>
      <c r="M131" s="136"/>
    </row>
    <row r="132" spans="1:13" x14ac:dyDescent="0.15">
      <c r="A132" s="129"/>
      <c r="B132" s="130"/>
      <c r="C132" s="131"/>
      <c r="D132" s="131"/>
      <c r="E132" s="132"/>
      <c r="F132" s="131"/>
      <c r="G132" s="131"/>
      <c r="H132" s="133"/>
      <c r="I132" s="136"/>
      <c r="J132" s="135"/>
      <c r="K132" s="137"/>
      <c r="L132" s="138"/>
      <c r="M132" s="136"/>
    </row>
    <row r="133" spans="1:13" x14ac:dyDescent="0.15">
      <c r="A133" s="129"/>
      <c r="B133" s="130"/>
      <c r="C133" s="131"/>
      <c r="D133" s="131"/>
      <c r="E133" s="132"/>
      <c r="F133" s="131"/>
      <c r="G133" s="131"/>
      <c r="H133" s="133"/>
      <c r="I133" s="136"/>
      <c r="J133" s="135"/>
      <c r="K133" s="137"/>
      <c r="L133" s="138"/>
      <c r="M133" s="136"/>
    </row>
    <row r="134" spans="1:13" x14ac:dyDescent="0.15">
      <c r="A134" s="129"/>
      <c r="B134" s="130"/>
      <c r="C134" s="131"/>
      <c r="D134" s="131"/>
      <c r="E134" s="132"/>
      <c r="F134" s="131"/>
      <c r="G134" s="131"/>
      <c r="H134" s="133"/>
      <c r="I134" s="136"/>
      <c r="J134" s="135"/>
      <c r="K134" s="137"/>
      <c r="L134" s="138"/>
      <c r="M134" s="136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tabSelected="1" topLeftCell="I1" workbookViewId="0">
      <pane ySplit="1" topLeftCell="A3" activePane="bottomLeft" state="frozen"/>
      <selection pane="bottomLeft" activeCell="M15" sqref="M15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7" t="s">
        <v>188</v>
      </c>
      <c r="B1" s="74" t="s">
        <v>151</v>
      </c>
      <c r="C1" s="78" t="s">
        <v>190</v>
      </c>
      <c r="D1" s="78" t="s">
        <v>33</v>
      </c>
      <c r="E1" s="74" t="s">
        <v>191</v>
      </c>
      <c r="F1" s="78" t="s">
        <v>18</v>
      </c>
      <c r="G1" s="78" t="s">
        <v>33</v>
      </c>
      <c r="H1" s="74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5" ht="42" x14ac:dyDescent="0.15">
      <c r="A2" s="82" t="s">
        <v>197</v>
      </c>
      <c r="B2" s="83">
        <v>30050</v>
      </c>
      <c r="C2" s="84" t="str">
        <f ca="1">VLOOKUP($B2,OFFSET([2]quests!$A$1,0,0,COUNTA([2]quests!$A:$A),MATCH(C$1,[2]quests!$1:$1,0)-MATCH($B$1,[2]quests!$1:$1,0)+1),MATCH(C$1,[2]quests!$1:$1,0)-MATCH($B$1,[2]quests!$1:$1,0)+1,FALSE)</f>
        <v>忍耐と服従</v>
      </c>
      <c r="D2" s="84" t="str">
        <f ca="1">VLOOKUP($B2,OFFSET([2]quests!$A$1,0,0,COUNTA([2]quests!$A:$A),MATCH(D$1,[2]quests!$1:$1,0)-MATCH($B$1,[2]quests!$1:$1,0)+1),MATCH(D$1,[2]quests!$1:$1,0)-MATCH($B$1,[2]quests!$1:$1,0)+1,FALSE)</f>
        <v>英傑シリーズ　超級</v>
      </c>
      <c r="E2" s="85">
        <v>3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【超級】忍耐と服従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英傑シリーズ　超級</v>
      </c>
      <c r="H2" s="86">
        <v>1</v>
      </c>
      <c r="I2" s="91">
        <f t="shared" ref="I2:I16" si="0">ROW()-1</f>
        <v>1</v>
      </c>
      <c r="J2" s="87" t="str">
        <f t="shared" ref="J2:J15" si="1">B2&amp;TEXT(I2,"00")</f>
        <v>3005001</v>
      </c>
      <c r="K2" s="85" t="s">
        <v>198</v>
      </c>
      <c r="L2" s="88" t="s">
        <v>255</v>
      </c>
      <c r="M2" s="147" t="s">
        <v>316</v>
      </c>
      <c r="N2" s="57" t="s">
        <v>199</v>
      </c>
      <c r="O2">
        <f>LEN(M2)</f>
        <v>44</v>
      </c>
    </row>
    <row r="3" spans="1:15" ht="56" x14ac:dyDescent="0.15">
      <c r="A3" s="82" t="s">
        <v>197</v>
      </c>
      <c r="B3" s="83">
        <v>30050</v>
      </c>
      <c r="C3" s="84" t="str">
        <f ca="1">VLOOKUP($B3,OFFSET([2]quests!$A$1,0,0,COUNTA([2]quests!$A:$A),MATCH(C$1,[2]quests!$1:$1,0)-MATCH($B$1,[2]quests!$1:$1,0)+1),MATCH(C$1,[2]quests!$1:$1,0)-MATCH($B$1,[2]quests!$1:$1,0)+1,FALSE)</f>
        <v>忍耐と服従</v>
      </c>
      <c r="D3" s="84" t="str">
        <f ca="1">VLOOKUP($B3,OFFSET([2]quests!$A$1,0,0,COUNTA([2]quests!$A:$A),MATCH(D$1,[2]quests!$1:$1,0)-MATCH($B$1,[2]quests!$1:$1,0)+1),MATCH(D$1,[2]quests!$1:$1,0)-MATCH($B$1,[2]quests!$1:$1,0)+1,FALSE)</f>
        <v>英傑シリーズ　超級</v>
      </c>
      <c r="E3" s="85">
        <v>3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【超級】忍耐と服従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英傑シリーズ　超級</v>
      </c>
      <c r="H3" s="86">
        <v>2</v>
      </c>
      <c r="I3" s="91">
        <f t="shared" si="0"/>
        <v>2</v>
      </c>
      <c r="J3" s="87" t="str">
        <f t="shared" si="1"/>
        <v>3005002</v>
      </c>
      <c r="K3" s="85" t="s">
        <v>128</v>
      </c>
      <c r="L3" s="88" t="s">
        <v>255</v>
      </c>
      <c r="M3" s="147" t="s">
        <v>361</v>
      </c>
      <c r="N3" s="57" t="s">
        <v>199</v>
      </c>
      <c r="O3">
        <f t="shared" ref="O3:O15" si="2">LEN(M3)</f>
        <v>59</v>
      </c>
    </row>
    <row r="4" spans="1:15" ht="42" x14ac:dyDescent="0.15">
      <c r="A4" s="82" t="s">
        <v>197</v>
      </c>
      <c r="B4" s="83">
        <v>30050</v>
      </c>
      <c r="C4" s="84" t="str">
        <f ca="1">VLOOKUP($B4,OFFSET([2]quests!$A$1,0,0,COUNTA([2]quests!$A:$A),MATCH(C$1,[2]quests!$1:$1,0)-MATCH($B$1,[2]quests!$1:$1,0)+1),MATCH(C$1,[2]quests!$1:$1,0)-MATCH($B$1,[2]quests!$1:$1,0)+1,FALSE)</f>
        <v>忍耐と服従</v>
      </c>
      <c r="D4" s="84" t="str">
        <f ca="1">VLOOKUP($B4,OFFSET([2]quests!$A$1,0,0,COUNTA([2]quests!$A:$A),MATCH(D$1,[2]quests!$1:$1,0)-MATCH($B$1,[2]quests!$1:$1,0)+1),MATCH(D$1,[2]quests!$1:$1,0)-MATCH($B$1,[2]quests!$1:$1,0)+1,FALSE)</f>
        <v>英傑シリーズ　超級</v>
      </c>
      <c r="E4" s="85">
        <v>3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【超級】忍耐と服従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英傑シリーズ　超級</v>
      </c>
      <c r="H4" s="86">
        <v>3</v>
      </c>
      <c r="I4" s="91">
        <f t="shared" si="0"/>
        <v>3</v>
      </c>
      <c r="J4" s="87" t="str">
        <f t="shared" si="1"/>
        <v>3005003</v>
      </c>
      <c r="K4" s="85" t="s">
        <v>128</v>
      </c>
      <c r="L4" s="88" t="s">
        <v>255</v>
      </c>
      <c r="M4" s="147" t="s">
        <v>362</v>
      </c>
      <c r="N4" s="57" t="s">
        <v>199</v>
      </c>
      <c r="O4">
        <f t="shared" si="2"/>
        <v>41</v>
      </c>
    </row>
    <row r="5" spans="1:15" ht="42" x14ac:dyDescent="0.15">
      <c r="A5" s="82" t="s">
        <v>197</v>
      </c>
      <c r="B5" s="83">
        <v>30050</v>
      </c>
      <c r="C5" s="84" t="str">
        <f ca="1">VLOOKUP($B5,OFFSET([2]quests!$A$1,0,0,COUNTA([2]quests!$A:$A),MATCH(C$1,[2]quests!$1:$1,0)-MATCH($B$1,[2]quests!$1:$1,0)+1),MATCH(C$1,[2]quests!$1:$1,0)-MATCH($B$1,[2]quests!$1:$1,0)+1,FALSE)</f>
        <v>忍耐と服従</v>
      </c>
      <c r="D5" s="84" t="str">
        <f ca="1">VLOOKUP($B5,OFFSET([2]quests!$A$1,0,0,COUNTA([2]quests!$A:$A),MATCH(D$1,[2]quests!$1:$1,0)-MATCH($B$1,[2]quests!$1:$1,0)+1),MATCH(D$1,[2]quests!$1:$1,0)-MATCH($B$1,[2]quests!$1:$1,0)+1,FALSE)</f>
        <v>英傑シリーズ　超級</v>
      </c>
      <c r="E5" s="85">
        <v>3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【超級】忍耐と服従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英傑シリーズ　超級</v>
      </c>
      <c r="H5" s="86">
        <v>3</v>
      </c>
      <c r="I5" s="91">
        <f t="shared" si="0"/>
        <v>4</v>
      </c>
      <c r="J5" s="87" t="str">
        <f t="shared" si="1"/>
        <v>3005004</v>
      </c>
      <c r="K5" s="85" t="s">
        <v>128</v>
      </c>
      <c r="L5" s="88" t="s">
        <v>255</v>
      </c>
      <c r="M5" s="147" t="s">
        <v>317</v>
      </c>
      <c r="N5" s="57" t="s">
        <v>199</v>
      </c>
      <c r="O5">
        <f t="shared" si="2"/>
        <v>47</v>
      </c>
    </row>
    <row r="6" spans="1:15" ht="42" x14ac:dyDescent="0.15">
      <c r="A6" s="82" t="s">
        <v>197</v>
      </c>
      <c r="B6" s="83">
        <v>30050</v>
      </c>
      <c r="C6" s="84" t="str">
        <f ca="1">VLOOKUP($B6,OFFSET([2]quests!$A$1,0,0,COUNTA([2]quests!$A:$A),MATCH(C$1,[2]quests!$1:$1,0)-MATCH($B$1,[2]quests!$1:$1,0)+1),MATCH(C$1,[2]quests!$1:$1,0)-MATCH($B$1,[2]quests!$1:$1,0)+1,FALSE)</f>
        <v>忍耐と服従</v>
      </c>
      <c r="D6" s="84" t="str">
        <f ca="1">VLOOKUP($B6,OFFSET([2]quests!$A$1,0,0,COUNTA([2]quests!$A:$A),MATCH(D$1,[2]quests!$1:$1,0)-MATCH($B$1,[2]quests!$1:$1,0)+1),MATCH(D$1,[2]quests!$1:$1,0)-MATCH($B$1,[2]quests!$1:$1,0)+1,FALSE)</f>
        <v>英傑シリーズ　超級</v>
      </c>
      <c r="E6" s="85">
        <v>3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【超級】忍耐と服従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英傑シリーズ　超級</v>
      </c>
      <c r="H6" s="86">
        <v>3</v>
      </c>
      <c r="I6" s="91">
        <f t="shared" si="0"/>
        <v>5</v>
      </c>
      <c r="J6" s="87" t="str">
        <f t="shared" ref="J6" si="3">B6&amp;TEXT(I6,"00")</f>
        <v>3005005</v>
      </c>
      <c r="K6" s="85" t="s">
        <v>128</v>
      </c>
      <c r="L6" s="88" t="s">
        <v>255</v>
      </c>
      <c r="M6" s="147" t="s">
        <v>328</v>
      </c>
      <c r="N6" s="57" t="s">
        <v>199</v>
      </c>
      <c r="O6">
        <f t="shared" ref="O6" si="4">LEN(M6)</f>
        <v>50</v>
      </c>
    </row>
    <row r="7" spans="1:15" ht="42" x14ac:dyDescent="0.15">
      <c r="A7" s="82" t="s">
        <v>197</v>
      </c>
      <c r="B7" s="83">
        <v>30050</v>
      </c>
      <c r="C7" s="84" t="str">
        <f ca="1">VLOOKUP($B7,OFFSET([2]quests!$A$1,0,0,COUNTA([2]quests!$A:$A),MATCH(C$1,[2]quests!$1:$1,0)-MATCH($B$1,[2]quests!$1:$1,0)+1),MATCH(C$1,[2]quests!$1:$1,0)-MATCH($B$1,[2]quests!$1:$1,0)+1,FALSE)</f>
        <v>忍耐と服従</v>
      </c>
      <c r="D7" s="84" t="str">
        <f ca="1">VLOOKUP($B7,OFFSET([2]quests!$A$1,0,0,COUNTA([2]quests!$A:$A),MATCH(D$1,[2]quests!$1:$1,0)-MATCH($B$1,[2]quests!$1:$1,0)+1),MATCH(D$1,[2]quests!$1:$1,0)-MATCH($B$1,[2]quests!$1:$1,0)+1,FALSE)</f>
        <v>英傑シリーズ　超級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【上級】忍耐と服従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英傑シリーズ　超級</v>
      </c>
      <c r="H7" s="86">
        <v>1</v>
      </c>
      <c r="I7" s="91">
        <f t="shared" si="0"/>
        <v>6</v>
      </c>
      <c r="J7" s="87" t="str">
        <f t="shared" si="1"/>
        <v>3005006</v>
      </c>
      <c r="K7" s="85" t="s">
        <v>128</v>
      </c>
      <c r="L7" s="88" t="s">
        <v>255</v>
      </c>
      <c r="M7" s="147" t="s">
        <v>316</v>
      </c>
      <c r="N7" s="57" t="s">
        <v>199</v>
      </c>
      <c r="O7">
        <f t="shared" si="2"/>
        <v>44</v>
      </c>
    </row>
    <row r="8" spans="1:15" ht="56" x14ac:dyDescent="0.15">
      <c r="A8" s="82" t="s">
        <v>197</v>
      </c>
      <c r="B8" s="83">
        <v>30050</v>
      </c>
      <c r="C8" s="84" t="str">
        <f ca="1">VLOOKUP($B8,OFFSET([2]quests!$A$1,0,0,COUNTA([2]quests!$A:$A),MATCH(C$1,[2]quests!$1:$1,0)-MATCH($B$1,[2]quests!$1:$1,0)+1),MATCH(C$1,[2]quests!$1:$1,0)-MATCH($B$1,[2]quests!$1:$1,0)+1,FALSE)</f>
        <v>忍耐と服従</v>
      </c>
      <c r="D8" s="84" t="str">
        <f ca="1">VLOOKUP($B8,OFFSET([2]quests!$A$1,0,0,COUNTA([2]quests!$A:$A),MATCH(D$1,[2]quests!$1:$1,0)-MATCH($B$1,[2]quests!$1:$1,0)+1),MATCH(D$1,[2]quests!$1:$1,0)-MATCH($B$1,[2]quests!$1:$1,0)+1,FALSE)</f>
        <v>英傑シリーズ　超級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【上級】忍耐と服従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英傑シリーズ　超級</v>
      </c>
      <c r="H8" s="86">
        <v>2</v>
      </c>
      <c r="I8" s="91">
        <f t="shared" si="0"/>
        <v>7</v>
      </c>
      <c r="J8" s="87" t="str">
        <f t="shared" si="1"/>
        <v>3005007</v>
      </c>
      <c r="K8" s="85" t="s">
        <v>128</v>
      </c>
      <c r="L8" s="88" t="s">
        <v>255</v>
      </c>
      <c r="M8" s="147" t="s">
        <v>361</v>
      </c>
      <c r="N8" s="57" t="s">
        <v>199</v>
      </c>
      <c r="O8">
        <f t="shared" si="2"/>
        <v>59</v>
      </c>
    </row>
    <row r="9" spans="1:15" ht="42" x14ac:dyDescent="0.15">
      <c r="A9" s="82" t="s">
        <v>197</v>
      </c>
      <c r="B9" s="83">
        <v>30050</v>
      </c>
      <c r="C9" s="84" t="str">
        <f ca="1">VLOOKUP($B9,OFFSET([2]quests!$A$1,0,0,COUNTA([2]quests!$A:$A),MATCH(C$1,[2]quests!$1:$1,0)-MATCH($B$1,[2]quests!$1:$1,0)+1),MATCH(C$1,[2]quests!$1:$1,0)-MATCH($B$1,[2]quests!$1:$1,0)+1,FALSE)</f>
        <v>忍耐と服従</v>
      </c>
      <c r="D9" s="84" t="str">
        <f ca="1">VLOOKUP($B9,OFFSET([2]quests!$A$1,0,0,COUNTA([2]quests!$A:$A),MATCH(D$1,[2]quests!$1:$1,0)-MATCH($B$1,[2]quests!$1:$1,0)+1),MATCH(D$1,[2]quests!$1:$1,0)-MATCH($B$1,[2]quests!$1:$1,0)+1,FALSE)</f>
        <v>英傑シリーズ　超級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【上級】忍耐と服従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英傑シリーズ　超級</v>
      </c>
      <c r="H9" s="86">
        <v>3</v>
      </c>
      <c r="I9" s="91">
        <f t="shared" si="0"/>
        <v>8</v>
      </c>
      <c r="J9" s="87" t="str">
        <f t="shared" si="1"/>
        <v>3005008</v>
      </c>
      <c r="K9" s="85" t="s">
        <v>128</v>
      </c>
      <c r="L9" s="88" t="s">
        <v>255</v>
      </c>
      <c r="M9" s="147" t="s">
        <v>362</v>
      </c>
      <c r="N9" s="57" t="s">
        <v>199</v>
      </c>
      <c r="O9">
        <f t="shared" si="2"/>
        <v>41</v>
      </c>
    </row>
    <row r="10" spans="1:15" ht="42" x14ac:dyDescent="0.15">
      <c r="A10" s="82" t="s">
        <v>197</v>
      </c>
      <c r="B10" s="83">
        <v>30050</v>
      </c>
      <c r="C10" s="84" t="str">
        <f ca="1">VLOOKUP($B10,OFFSET([2]quests!$A$1,0,0,COUNTA([2]quests!$A:$A),MATCH(C$1,[2]quests!$1:$1,0)-MATCH($B$1,[2]quests!$1:$1,0)+1),MATCH(C$1,[2]quests!$1:$1,0)-MATCH($B$1,[2]quests!$1:$1,0)+1,FALSE)</f>
        <v>忍耐と服従</v>
      </c>
      <c r="D10" s="84" t="str">
        <f ca="1">VLOOKUP($B10,OFFSET([2]quests!$A$1,0,0,COUNTA([2]quests!$A:$A),MATCH(D$1,[2]quests!$1:$1,0)-MATCH($B$1,[2]quests!$1:$1,0)+1),MATCH(D$1,[2]quests!$1:$1,0)-MATCH($B$1,[2]quests!$1:$1,0)+1,FALSE)</f>
        <v>英傑シリーズ　超級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【上級】忍耐と服従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英傑シリーズ　超級</v>
      </c>
      <c r="H10" s="86">
        <v>3</v>
      </c>
      <c r="I10" s="91">
        <f t="shared" si="0"/>
        <v>9</v>
      </c>
      <c r="J10" s="87" t="str">
        <f t="shared" si="1"/>
        <v>3005009</v>
      </c>
      <c r="K10" s="85" t="s">
        <v>128</v>
      </c>
      <c r="L10" s="88" t="s">
        <v>255</v>
      </c>
      <c r="M10" s="147" t="s">
        <v>328</v>
      </c>
      <c r="N10" s="57" t="s">
        <v>199</v>
      </c>
      <c r="O10">
        <f t="shared" si="2"/>
        <v>50</v>
      </c>
    </row>
    <row r="11" spans="1:15" ht="42" x14ac:dyDescent="0.15">
      <c r="A11" s="82" t="s">
        <v>197</v>
      </c>
      <c r="B11" s="83">
        <v>30050</v>
      </c>
      <c r="C11" s="84" t="str">
        <f ca="1">VLOOKUP($B11,OFFSET([2]quests!$A$1,0,0,COUNTA([2]quests!$A:$A),MATCH(C$1,[2]quests!$1:$1,0)-MATCH($B$1,[2]quests!$1:$1,0)+1),MATCH(C$1,[2]quests!$1:$1,0)-MATCH($B$1,[2]quests!$1:$1,0)+1,FALSE)</f>
        <v>忍耐と服従</v>
      </c>
      <c r="D11" s="84" t="str">
        <f ca="1">VLOOKUP($B11,OFFSET([2]quests!$A$1,0,0,COUNTA([2]quests!$A:$A),MATCH(D$1,[2]quests!$1:$1,0)-MATCH($B$1,[2]quests!$1:$1,0)+1),MATCH(D$1,[2]quests!$1:$1,0)-MATCH($B$1,[2]quests!$1:$1,0)+1,FALSE)</f>
        <v>英傑シリーズ　超級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【上級】忍耐と服従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英傑シリーズ　超級</v>
      </c>
      <c r="H11" s="86">
        <v>3</v>
      </c>
      <c r="I11" s="91">
        <f t="shared" si="0"/>
        <v>10</v>
      </c>
      <c r="J11" s="87" t="str">
        <f t="shared" ref="J11" si="5">B11&amp;TEXT(I11,"00")</f>
        <v>3005010</v>
      </c>
      <c r="K11" s="85" t="s">
        <v>128</v>
      </c>
      <c r="L11" s="88" t="s">
        <v>255</v>
      </c>
      <c r="M11" s="147" t="s">
        <v>317</v>
      </c>
      <c r="N11" s="57" t="s">
        <v>199</v>
      </c>
      <c r="O11">
        <f t="shared" ref="O11" si="6">LEN(M11)</f>
        <v>47</v>
      </c>
    </row>
    <row r="12" spans="1:15" ht="42" x14ac:dyDescent="0.15">
      <c r="A12" s="82" t="s">
        <v>197</v>
      </c>
      <c r="B12" s="83">
        <v>30050</v>
      </c>
      <c r="C12" s="84" t="str">
        <f ca="1">VLOOKUP($B12,OFFSET([2]quests!$A$1,0,0,COUNTA([2]quests!$A:$A),MATCH(C$1,[2]quests!$1:$1,0)-MATCH($B$1,[2]quests!$1:$1,0)+1),MATCH(C$1,[2]quests!$1:$1,0)-MATCH($B$1,[2]quests!$1:$1,0)+1,FALSE)</f>
        <v>忍耐と服従</v>
      </c>
      <c r="D12" s="84" t="str">
        <f ca="1">VLOOKUP($B12,OFFSET([2]quests!$A$1,0,0,COUNTA([2]quests!$A:$A),MATCH(D$1,[2]quests!$1:$1,0)-MATCH($B$1,[2]quests!$1:$1,0)+1),MATCH(D$1,[2]quests!$1:$1,0)-MATCH($B$1,[2]quests!$1:$1,0)+1,FALSE)</f>
        <v>英傑シリーズ　超級</v>
      </c>
      <c r="E12" s="85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【中級】忍耐と服従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英傑シリーズ　超級</v>
      </c>
      <c r="H12" s="86">
        <v>1</v>
      </c>
      <c r="I12" s="91">
        <f t="shared" si="0"/>
        <v>11</v>
      </c>
      <c r="J12" s="87" t="str">
        <f t="shared" si="1"/>
        <v>3005011</v>
      </c>
      <c r="K12" s="85" t="s">
        <v>128</v>
      </c>
      <c r="L12" s="88" t="s">
        <v>255</v>
      </c>
      <c r="M12" s="147" t="s">
        <v>316</v>
      </c>
      <c r="N12" s="57" t="s">
        <v>199</v>
      </c>
      <c r="O12">
        <f t="shared" si="2"/>
        <v>44</v>
      </c>
    </row>
    <row r="13" spans="1:15" ht="56" x14ac:dyDescent="0.15">
      <c r="A13" s="82" t="s">
        <v>197</v>
      </c>
      <c r="B13" s="83">
        <v>30050</v>
      </c>
      <c r="C13" s="84" t="str">
        <f ca="1">VLOOKUP($B13,OFFSET([2]quests!$A$1,0,0,COUNTA([2]quests!$A:$A),MATCH(C$1,[2]quests!$1:$1,0)-MATCH($B$1,[2]quests!$1:$1,0)+1),MATCH(C$1,[2]quests!$1:$1,0)-MATCH($B$1,[2]quests!$1:$1,0)+1,FALSE)</f>
        <v>忍耐と服従</v>
      </c>
      <c r="D13" s="84" t="str">
        <f ca="1">VLOOKUP($B13,OFFSET([2]quests!$A$1,0,0,COUNTA([2]quests!$A:$A),MATCH(D$1,[2]quests!$1:$1,0)-MATCH($B$1,[2]quests!$1:$1,0)+1),MATCH(D$1,[2]quests!$1:$1,0)-MATCH($B$1,[2]quests!$1:$1,0)+1,FALSE)</f>
        <v>英傑シリーズ　超級</v>
      </c>
      <c r="E13" s="85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【中級】忍耐と服従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英傑シリーズ　超級</v>
      </c>
      <c r="H13" s="86">
        <v>2</v>
      </c>
      <c r="I13" s="91">
        <f t="shared" si="0"/>
        <v>12</v>
      </c>
      <c r="J13" s="87" t="str">
        <f t="shared" si="1"/>
        <v>3005012</v>
      </c>
      <c r="K13" s="85" t="s">
        <v>128</v>
      </c>
      <c r="L13" s="88" t="s">
        <v>255</v>
      </c>
      <c r="M13" s="147" t="s">
        <v>361</v>
      </c>
      <c r="N13" s="57" t="s">
        <v>199</v>
      </c>
      <c r="O13">
        <f t="shared" si="2"/>
        <v>59</v>
      </c>
    </row>
    <row r="14" spans="1:15" ht="42" x14ac:dyDescent="0.15">
      <c r="A14" s="82" t="s">
        <v>197</v>
      </c>
      <c r="B14" s="83">
        <v>30050</v>
      </c>
      <c r="C14" s="84" t="str">
        <f ca="1">VLOOKUP($B14,OFFSET([2]quests!$A$1,0,0,COUNTA([2]quests!$A:$A),MATCH(C$1,[2]quests!$1:$1,0)-MATCH($B$1,[2]quests!$1:$1,0)+1),MATCH(C$1,[2]quests!$1:$1,0)-MATCH($B$1,[2]quests!$1:$1,0)+1,FALSE)</f>
        <v>忍耐と服従</v>
      </c>
      <c r="D14" s="84" t="str">
        <f ca="1">VLOOKUP($B14,OFFSET([2]quests!$A$1,0,0,COUNTA([2]quests!$A:$A),MATCH(D$1,[2]quests!$1:$1,0)-MATCH($B$1,[2]quests!$1:$1,0)+1),MATCH(D$1,[2]quests!$1:$1,0)-MATCH($B$1,[2]quests!$1:$1,0)+1,FALSE)</f>
        <v>英傑シリーズ　超級</v>
      </c>
      <c r="E14" s="85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【中級】忍耐と服従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英傑シリーズ　超級</v>
      </c>
      <c r="H14" s="86">
        <v>3</v>
      </c>
      <c r="I14" s="91">
        <f t="shared" si="0"/>
        <v>13</v>
      </c>
      <c r="J14" s="87" t="str">
        <f t="shared" si="1"/>
        <v>3005013</v>
      </c>
      <c r="K14" s="85" t="s">
        <v>128</v>
      </c>
      <c r="L14" s="88" t="s">
        <v>255</v>
      </c>
      <c r="M14" s="147" t="s">
        <v>362</v>
      </c>
      <c r="N14" s="57" t="s">
        <v>199</v>
      </c>
      <c r="O14">
        <f t="shared" si="2"/>
        <v>41</v>
      </c>
    </row>
    <row r="15" spans="1:15" ht="42" x14ac:dyDescent="0.15">
      <c r="A15" s="82" t="s">
        <v>197</v>
      </c>
      <c r="B15" s="83">
        <v>30050</v>
      </c>
      <c r="C15" s="84" t="str">
        <f ca="1">VLOOKUP($B15,OFFSET([2]quests!$A$1,0,0,COUNTA([2]quests!$A:$A),MATCH(C$1,[2]quests!$1:$1,0)-MATCH($B$1,[2]quests!$1:$1,0)+1),MATCH(C$1,[2]quests!$1:$1,0)-MATCH($B$1,[2]quests!$1:$1,0)+1,FALSE)</f>
        <v>忍耐と服従</v>
      </c>
      <c r="D15" s="84" t="str">
        <f ca="1">VLOOKUP($B15,OFFSET([2]quests!$A$1,0,0,COUNTA([2]quests!$A:$A),MATCH(D$1,[2]quests!$1:$1,0)-MATCH($B$1,[2]quests!$1:$1,0)+1),MATCH(D$1,[2]quests!$1:$1,0)-MATCH($B$1,[2]quests!$1:$1,0)+1,FALSE)</f>
        <v>英傑シリーズ　超級</v>
      </c>
      <c r="E15" s="85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【中級】忍耐と服従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英傑シリーズ　超級</v>
      </c>
      <c r="H15" s="86">
        <v>3</v>
      </c>
      <c r="I15" s="91">
        <f t="shared" si="0"/>
        <v>14</v>
      </c>
      <c r="J15" s="87" t="str">
        <f t="shared" si="1"/>
        <v>3005014</v>
      </c>
      <c r="K15" s="85" t="s">
        <v>128</v>
      </c>
      <c r="L15" s="88" t="s">
        <v>255</v>
      </c>
      <c r="M15" s="147" t="s">
        <v>317</v>
      </c>
      <c r="N15" s="57" t="s">
        <v>199</v>
      </c>
      <c r="O15">
        <f t="shared" si="2"/>
        <v>47</v>
      </c>
    </row>
    <row r="16" spans="1:15" ht="42" x14ac:dyDescent="0.15">
      <c r="A16" s="82" t="s">
        <v>197</v>
      </c>
      <c r="B16" s="83">
        <v>30050</v>
      </c>
      <c r="C16" s="84" t="str">
        <f ca="1">VLOOKUP($B16,OFFSET([2]quests!$A$1,0,0,COUNTA([2]quests!$A:$A),MATCH(C$1,[2]quests!$1:$1,0)-MATCH($B$1,[2]quests!$1:$1,0)+1),MATCH(C$1,[2]quests!$1:$1,0)-MATCH($B$1,[2]quests!$1:$1,0)+1,FALSE)</f>
        <v>忍耐と服従</v>
      </c>
      <c r="D16" s="84" t="str">
        <f ca="1">VLOOKUP($B16,OFFSET([2]quests!$A$1,0,0,COUNTA([2]quests!$A:$A),MATCH(D$1,[2]quests!$1:$1,0)-MATCH($B$1,[2]quests!$1:$1,0)+1),MATCH(D$1,[2]quests!$1:$1,0)-MATCH($B$1,[2]quests!$1:$1,0)+1,FALSE)</f>
        <v>英傑シリーズ　超級</v>
      </c>
      <c r="E16" s="85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【中級】忍耐と服従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英傑シリーズ　超級</v>
      </c>
      <c r="H16" s="86">
        <v>3</v>
      </c>
      <c r="I16" s="91">
        <f t="shared" si="0"/>
        <v>15</v>
      </c>
      <c r="J16" s="87" t="str">
        <f t="shared" ref="J16" si="7">B16&amp;TEXT(I16,"00")</f>
        <v>3005015</v>
      </c>
      <c r="K16" s="85" t="s">
        <v>128</v>
      </c>
      <c r="L16" s="88" t="s">
        <v>255</v>
      </c>
      <c r="M16" s="147" t="s">
        <v>328</v>
      </c>
      <c r="N16" s="57" t="s">
        <v>199</v>
      </c>
      <c r="O16">
        <f t="shared" ref="O16" si="8">LEN(M16)</f>
        <v>50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4"/>
  <sheetViews>
    <sheetView showGridLines="0" topLeftCell="D1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212</v>
      </c>
      <c r="B1" s="99" t="s">
        <v>213</v>
      </c>
      <c r="C1" s="78" t="s">
        <v>214</v>
      </c>
      <c r="D1" s="78" t="s">
        <v>33</v>
      </c>
      <c r="E1" s="99" t="s">
        <v>215</v>
      </c>
      <c r="F1" s="78" t="s">
        <v>216</v>
      </c>
      <c r="G1" s="78" t="s">
        <v>33</v>
      </c>
      <c r="H1" s="99" t="s">
        <v>217</v>
      </c>
      <c r="I1" s="99" t="s">
        <v>218</v>
      </c>
      <c r="J1" s="99" t="s">
        <v>219</v>
      </c>
      <c r="K1" s="74" t="s">
        <v>220</v>
      </c>
      <c r="L1" s="74" t="s">
        <v>221</v>
      </c>
      <c r="M1" s="74" t="s">
        <v>157</v>
      </c>
      <c r="N1" s="78" t="s">
        <v>16</v>
      </c>
      <c r="O1" s="74" t="s">
        <v>222</v>
      </c>
      <c r="P1" s="74" t="s">
        <v>57</v>
      </c>
      <c r="Q1" s="74" t="s">
        <v>223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224</v>
      </c>
      <c r="X1" s="74" t="s">
        <v>225</v>
      </c>
    </row>
    <row r="2" spans="1:24" x14ac:dyDescent="0.15">
      <c r="A2" s="100" t="str">
        <f>B2&amp;"_"&amp;E2&amp;"_"&amp;H2&amp;"_"&amp;I2&amp;"_"&amp;J2</f>
        <v>30050_3_everyone_clear_1</v>
      </c>
      <c r="B2" s="83">
        <v>30050</v>
      </c>
      <c r="C2" s="84" t="str">
        <f ca="1">VLOOKUP($B2,OFFSET([2]quests!$A$1,0,0,COUNTA([2]quests!$A:$A),MATCH(C$1,[2]quests!$1:$1,0)-MATCH($B$1,[2]quests!$1:$1,0)+1),MATCH(C$1,[2]quests!$1:$1,0)-MATCH($B$1,[2]quests!$1:$1,0)+1,FALSE)</f>
        <v>忍耐と服従</v>
      </c>
      <c r="D2" s="84" t="str">
        <f ca="1">VLOOKUP($B2,OFFSET([2]quests!$A$1,0,0,COUNTA([2]quests!$A:$A),MATCH(D$1,[2]quests!$1:$1,0)-MATCH($B$1,[2]quests!$1:$1,0)+1),MATCH(D$1,[2]quests!$1:$1,0)-MATCH($B$1,[2]quests!$1:$1,0)+1,FALSE)</f>
        <v>英傑シリーズ　超級</v>
      </c>
      <c r="E2" s="85">
        <v>3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【超級】忍耐と服従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英傑シリーズ　超級</v>
      </c>
      <c r="H2" s="86" t="s">
        <v>226</v>
      </c>
      <c r="I2" s="85" t="s">
        <v>227</v>
      </c>
      <c r="J2" s="85">
        <v>1</v>
      </c>
      <c r="K2" s="85">
        <v>610</v>
      </c>
      <c r="L2" s="85" t="s">
        <v>228</v>
      </c>
      <c r="M2" s="85">
        <v>1436</v>
      </c>
      <c r="N2" s="10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スパルタ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2" t="s">
        <v>229</v>
      </c>
      <c r="X2" s="103" t="s">
        <v>230</v>
      </c>
    </row>
    <row r="3" spans="1:24" x14ac:dyDescent="0.15">
      <c r="A3" s="100" t="str">
        <f>B3&amp;"_"&amp;E3&amp;"_"&amp;H3&amp;"_"&amp;I3&amp;"_"&amp;J3</f>
        <v>30050_2_everyone_clear_1</v>
      </c>
      <c r="B3" s="83">
        <v>30050</v>
      </c>
      <c r="C3" s="84" t="str">
        <f ca="1">VLOOKUP($B3,OFFSET([2]quests!$A$1,0,0,COUNTA([2]quests!$A:$A),MATCH(C$1,[2]quests!$1:$1,0)-MATCH($B$1,[2]quests!$1:$1,0)+1),MATCH(C$1,[2]quests!$1:$1,0)-MATCH($B$1,[2]quests!$1:$1,0)+1,FALSE)</f>
        <v>忍耐と服従</v>
      </c>
      <c r="D3" s="84" t="str">
        <f ca="1">VLOOKUP($B3,OFFSET([2]quests!$A$1,0,0,COUNTA([2]quests!$A:$A),MATCH(D$1,[2]quests!$1:$1,0)-MATCH($B$1,[2]quests!$1:$1,0)+1),MATCH(D$1,[2]quests!$1:$1,0)-MATCH($B$1,[2]quests!$1:$1,0)+1,FALSE)</f>
        <v>英傑シリーズ　超級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【上級】忍耐と服従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英傑シリーズ　超級</v>
      </c>
      <c r="H3" s="86" t="s">
        <v>226</v>
      </c>
      <c r="I3" s="85" t="s">
        <v>227</v>
      </c>
      <c r="J3" s="85">
        <v>1</v>
      </c>
      <c r="K3" s="85">
        <v>610</v>
      </c>
      <c r="L3" s="85" t="s">
        <v>228</v>
      </c>
      <c r="M3" s="85">
        <v>1436</v>
      </c>
      <c r="N3" s="101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スパルタ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102" t="s">
        <v>229</v>
      </c>
      <c r="X3" s="103" t="s">
        <v>230</v>
      </c>
    </row>
    <row r="4" spans="1:24" x14ac:dyDescent="0.15">
      <c r="A4" s="100" t="str">
        <f>B4&amp;"_"&amp;E4&amp;"_"&amp;H4&amp;"_"&amp;I4&amp;"_"&amp;J4</f>
        <v>30050_1_everyone_clear_1</v>
      </c>
      <c r="B4" s="83">
        <v>30050</v>
      </c>
      <c r="C4" s="84" t="str">
        <f ca="1">VLOOKUP($B4,OFFSET([2]quests!$A$1,0,0,COUNTA([2]quests!$A:$A),MATCH(C$1,[2]quests!$1:$1,0)-MATCH($B$1,[2]quests!$1:$1,0)+1),MATCH(C$1,[2]quests!$1:$1,0)-MATCH($B$1,[2]quests!$1:$1,0)+1,FALSE)</f>
        <v>忍耐と服従</v>
      </c>
      <c r="D4" s="84" t="str">
        <f ca="1">VLOOKUP($B4,OFFSET([2]quests!$A$1,0,0,COUNTA([2]quests!$A:$A),MATCH(D$1,[2]quests!$1:$1,0)-MATCH($B$1,[2]quests!$1:$1,0)+1),MATCH(D$1,[2]quests!$1:$1,0)-MATCH($B$1,[2]quests!$1:$1,0)+1,FALSE)</f>
        <v>英傑シリーズ　超級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【中級】忍耐と服従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英傑シリーズ　超級</v>
      </c>
      <c r="H4" s="86" t="s">
        <v>226</v>
      </c>
      <c r="I4" s="85" t="s">
        <v>227</v>
      </c>
      <c r="J4" s="85">
        <v>1</v>
      </c>
      <c r="K4" s="85">
        <v>610</v>
      </c>
      <c r="L4" s="85" t="s">
        <v>228</v>
      </c>
      <c r="M4" s="85">
        <v>1436</v>
      </c>
      <c r="N4" s="101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スパルタ</v>
      </c>
      <c r="O4" s="85">
        <v>1</v>
      </c>
      <c r="P4" s="85">
        <v>1</v>
      </c>
      <c r="Q4" s="85">
        <v>1</v>
      </c>
      <c r="R4" s="85">
        <v>0</v>
      </c>
      <c r="S4" s="85">
        <v>0</v>
      </c>
      <c r="T4" s="85">
        <v>0</v>
      </c>
      <c r="U4" s="85">
        <v>0</v>
      </c>
      <c r="V4" s="85">
        <v>1</v>
      </c>
      <c r="W4" s="102" t="s">
        <v>229</v>
      </c>
      <c r="X4" s="103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2017-05-01T05:38:45Z</dcterms:modified>
</cp:coreProperties>
</file>