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000" tabRatio="943" activeTab="4"/>
  </bookViews>
  <sheets>
    <sheet name="output" sheetId="103" r:id="rId1"/>
    <sheet name="gacha_188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gacha_188_base!$A$32:$B$50</definedName>
    <definedName name="_xlnm._FilterDatabase" localSheetId="4" hidden="1">gacha_bonus_tables!$B$1:$G$1</definedName>
    <definedName name="_xlnm._FilterDatabase" localSheetId="2" hidden="1">gacha_select_tables!$A$1:$S$901</definedName>
    <definedName name="_xlnm._FilterDatabase" localSheetId="3" hidden="1">gacha_settle_tables!$A$1:$R$74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72" i="96" l="1"/>
  <c r="L69" i="96"/>
  <c r="L66" i="96"/>
  <c r="L65" i="96"/>
  <c r="L63" i="96"/>
  <c r="L62" i="96"/>
  <c r="L60" i="96"/>
  <c r="L58" i="96"/>
  <c r="L56" i="96"/>
  <c r="L55" i="96"/>
  <c r="L53" i="96"/>
  <c r="L50" i="96"/>
  <c r="L49" i="96"/>
  <c r="L47" i="96"/>
  <c r="L45" i="96"/>
  <c r="L42" i="96"/>
  <c r="L40" i="96"/>
  <c r="L39" i="96"/>
  <c r="L37" i="96"/>
  <c r="L36" i="96"/>
  <c r="L35" i="96"/>
  <c r="L34" i="96"/>
  <c r="G2" i="96"/>
  <c r="G3" i="96"/>
  <c r="G4" i="96"/>
  <c r="G5" i="96"/>
  <c r="G6" i="96"/>
  <c r="G7" i="96"/>
  <c r="G8" i="96"/>
  <c r="G9" i="96"/>
  <c r="G10" i="96"/>
  <c r="G11" i="96"/>
  <c r="G12" i="96"/>
  <c r="G13" i="96"/>
  <c r="G14" i="96"/>
  <c r="G15" i="96"/>
  <c r="G16" i="96"/>
  <c r="G17" i="96"/>
  <c r="G18" i="96"/>
  <c r="G19" i="96"/>
  <c r="G20" i="96"/>
  <c r="G21" i="96"/>
  <c r="G22" i="96"/>
  <c r="G23" i="96"/>
  <c r="G24" i="96"/>
  <c r="G25" i="96"/>
  <c r="G26" i="96"/>
  <c r="G27" i="96"/>
  <c r="G28" i="96"/>
  <c r="G29" i="96"/>
  <c r="G30" i="96"/>
  <c r="G31" i="96"/>
  <c r="G32" i="96"/>
  <c r="G33" i="96"/>
  <c r="G34" i="96"/>
  <c r="G35" i="96"/>
  <c r="G36" i="96"/>
  <c r="G37" i="96"/>
  <c r="G38" i="96"/>
  <c r="G39" i="96"/>
  <c r="G40" i="96"/>
  <c r="G41" i="96"/>
  <c r="G42" i="96"/>
  <c r="G43" i="96"/>
  <c r="G44" i="96"/>
  <c r="G45" i="96"/>
  <c r="G46" i="96"/>
  <c r="G47" i="96"/>
  <c r="G48" i="96"/>
  <c r="G49" i="96"/>
  <c r="G50" i="96"/>
  <c r="G51" i="96"/>
  <c r="G52" i="96"/>
  <c r="G53" i="96"/>
  <c r="G54" i="96"/>
  <c r="G55" i="96"/>
  <c r="G56" i="96"/>
  <c r="G57" i="96"/>
  <c r="G58" i="96"/>
  <c r="G59" i="96"/>
  <c r="G60" i="96"/>
  <c r="G61" i="96"/>
  <c r="G62" i="96"/>
  <c r="G63" i="96"/>
  <c r="G64" i="96"/>
  <c r="G65" i="96"/>
  <c r="G66" i="96"/>
  <c r="G67" i="96"/>
  <c r="G68" i="96"/>
  <c r="G69" i="96"/>
  <c r="G70" i="96"/>
  <c r="G71" i="96"/>
  <c r="G72" i="96"/>
  <c r="G73" i="96"/>
  <c r="L73" i="96"/>
  <c r="L71" i="96"/>
  <c r="L70" i="96"/>
  <c r="L68" i="96"/>
  <c r="L67" i="96"/>
  <c r="L64" i="96"/>
  <c r="L61" i="96"/>
  <c r="L59" i="96"/>
  <c r="L57" i="96"/>
  <c r="L54" i="96"/>
  <c r="L52" i="96"/>
  <c r="L51" i="96"/>
  <c r="L48" i="96"/>
  <c r="L46" i="96"/>
  <c r="L44" i="96"/>
  <c r="L43" i="96"/>
  <c r="L41" i="96"/>
  <c r="L38" i="96"/>
  <c r="L33" i="96"/>
  <c r="L32" i="96"/>
  <c r="L31" i="96"/>
  <c r="L30" i="96"/>
  <c r="L29" i="96"/>
  <c r="L28" i="96"/>
  <c r="L27" i="96"/>
  <c r="L26" i="96"/>
  <c r="L25" i="96"/>
  <c r="L24" i="96"/>
  <c r="L23" i="96"/>
  <c r="L22" i="96"/>
  <c r="L21" i="96"/>
  <c r="L20" i="96"/>
  <c r="L19" i="96"/>
  <c r="L18" i="96"/>
  <c r="L17" i="96"/>
  <c r="L16" i="96"/>
  <c r="L15" i="96"/>
  <c r="L14" i="96"/>
  <c r="L13" i="96"/>
  <c r="L12" i="96"/>
  <c r="L11" i="96"/>
  <c r="L10" i="96"/>
  <c r="L9" i="96"/>
  <c r="L8" i="96"/>
  <c r="L7" i="96"/>
  <c r="L6" i="96"/>
  <c r="L5" i="96"/>
  <c r="L4" i="96"/>
  <c r="L3" i="96"/>
  <c r="L2" i="96"/>
  <c r="L74" i="96"/>
  <c r="H3" i="96"/>
  <c r="C3" i="96"/>
  <c r="H4" i="96"/>
  <c r="C4" i="96"/>
  <c r="H5" i="96"/>
  <c r="C5" i="96"/>
  <c r="H6" i="96"/>
  <c r="C6" i="96"/>
  <c r="H7" i="96"/>
  <c r="C7" i="96"/>
  <c r="H8" i="96"/>
  <c r="C8" i="96"/>
  <c r="H9" i="96"/>
  <c r="C9" i="96"/>
  <c r="H10" i="96"/>
  <c r="C10" i="96"/>
  <c r="H11" i="96"/>
  <c r="C11" i="96"/>
  <c r="H12" i="96"/>
  <c r="C12" i="96"/>
  <c r="H13" i="96"/>
  <c r="C13" i="96"/>
  <c r="H14" i="96"/>
  <c r="C14" i="96"/>
  <c r="H15" i="96"/>
  <c r="C15" i="96"/>
  <c r="H16" i="96"/>
  <c r="C16" i="96"/>
  <c r="H17" i="96"/>
  <c r="C17" i="96"/>
  <c r="H18" i="96"/>
  <c r="C18" i="96"/>
  <c r="H19" i="96"/>
  <c r="C19" i="96"/>
  <c r="H20" i="96"/>
  <c r="C20" i="96"/>
  <c r="H21" i="96"/>
  <c r="C21" i="96"/>
  <c r="H22" i="96"/>
  <c r="C22" i="96"/>
  <c r="H23" i="96"/>
  <c r="C23" i="96"/>
  <c r="H24" i="96"/>
  <c r="C24" i="96"/>
  <c r="H25" i="96"/>
  <c r="C25" i="96"/>
  <c r="H26" i="96"/>
  <c r="C26" i="96"/>
  <c r="H27" i="96"/>
  <c r="C27" i="96"/>
  <c r="H28" i="96"/>
  <c r="C28" i="96"/>
  <c r="H29" i="96"/>
  <c r="C29" i="96"/>
  <c r="H30" i="96"/>
  <c r="C30" i="96"/>
  <c r="H31" i="96"/>
  <c r="C31" i="96"/>
  <c r="H32" i="96"/>
  <c r="C32" i="96"/>
  <c r="H33" i="96"/>
  <c r="C33" i="96"/>
  <c r="H34" i="96"/>
  <c r="C34" i="96"/>
  <c r="H35" i="96"/>
  <c r="C35" i="96"/>
  <c r="H36" i="96"/>
  <c r="C36" i="96"/>
  <c r="H37" i="96"/>
  <c r="C37" i="96"/>
  <c r="H38" i="96"/>
  <c r="C38" i="96"/>
  <c r="H39" i="96"/>
  <c r="C39" i="96"/>
  <c r="H40" i="96"/>
  <c r="C40" i="96"/>
  <c r="H41" i="96"/>
  <c r="C41" i="96"/>
  <c r="H42" i="96"/>
  <c r="C42" i="96"/>
  <c r="H43" i="96"/>
  <c r="C43" i="96"/>
  <c r="H44" i="96"/>
  <c r="C44" i="96"/>
  <c r="H45" i="96"/>
  <c r="C45" i="96"/>
  <c r="H46" i="96"/>
  <c r="C46" i="96"/>
  <c r="H47" i="96"/>
  <c r="C47" i="96"/>
  <c r="H48" i="96"/>
  <c r="C48" i="96"/>
  <c r="H49" i="96"/>
  <c r="C49" i="96"/>
  <c r="H50" i="96"/>
  <c r="C50" i="96"/>
  <c r="H51" i="96"/>
  <c r="C51" i="96"/>
  <c r="H52" i="96"/>
  <c r="C52" i="96"/>
  <c r="H53" i="96"/>
  <c r="C53" i="96"/>
  <c r="H54" i="96"/>
  <c r="C54" i="96"/>
  <c r="H55" i="96"/>
  <c r="C55" i="96"/>
  <c r="H56" i="96"/>
  <c r="C56" i="96"/>
  <c r="H57" i="96"/>
  <c r="C57" i="96"/>
  <c r="H58" i="96"/>
  <c r="C58" i="96"/>
  <c r="H59" i="96"/>
  <c r="C59" i="96"/>
  <c r="H60" i="96"/>
  <c r="C60" i="96"/>
  <c r="H61" i="96"/>
  <c r="C61" i="96"/>
  <c r="H62" i="96"/>
  <c r="C62" i="96"/>
  <c r="H63" i="96"/>
  <c r="C63" i="96"/>
  <c r="H64" i="96"/>
  <c r="C64" i="96"/>
  <c r="H65" i="96"/>
  <c r="C65" i="96"/>
  <c r="H66" i="96"/>
  <c r="C66" i="96"/>
  <c r="H67" i="96"/>
  <c r="C67" i="96"/>
  <c r="H68" i="96"/>
  <c r="C68" i="96"/>
  <c r="H69" i="96"/>
  <c r="C69" i="96"/>
  <c r="H70" i="96"/>
  <c r="C70" i="96"/>
  <c r="H71" i="96"/>
  <c r="C71" i="96"/>
  <c r="H72" i="96"/>
  <c r="C72" i="96"/>
  <c r="H73" i="96"/>
  <c r="C73" i="96"/>
  <c r="G74" i="96"/>
  <c r="H74" i="96"/>
  <c r="C74" i="96"/>
  <c r="F10" i="96"/>
  <c r="I10" i="96"/>
  <c r="J10" i="96"/>
  <c r="K10" i="96"/>
  <c r="M10" i="96"/>
  <c r="N10" i="96"/>
  <c r="O10" i="96"/>
  <c r="P10" i="96"/>
  <c r="Q10" i="96"/>
  <c r="R10" i="96"/>
  <c r="F11" i="96"/>
  <c r="I11" i="96"/>
  <c r="J11" i="96"/>
  <c r="K11" i="96"/>
  <c r="M11" i="96"/>
  <c r="N11" i="96"/>
  <c r="O11" i="96"/>
  <c r="P11" i="96"/>
  <c r="Q11" i="96"/>
  <c r="R11" i="96"/>
  <c r="F12" i="96"/>
  <c r="I12" i="96"/>
  <c r="J12" i="96"/>
  <c r="K12" i="96"/>
  <c r="M12" i="96"/>
  <c r="N12" i="96"/>
  <c r="O12" i="96"/>
  <c r="P12" i="96"/>
  <c r="Q12" i="96"/>
  <c r="R12" i="96"/>
  <c r="F13" i="96"/>
  <c r="I13" i="96"/>
  <c r="J13" i="96"/>
  <c r="K13" i="96"/>
  <c r="M13" i="96"/>
  <c r="N13" i="96"/>
  <c r="O13" i="96"/>
  <c r="P13" i="96"/>
  <c r="Q13" i="96"/>
  <c r="R13" i="96"/>
  <c r="F14" i="96"/>
  <c r="I14" i="96"/>
  <c r="J14" i="96"/>
  <c r="K14" i="96"/>
  <c r="M14" i="96"/>
  <c r="N14" i="96"/>
  <c r="O14" i="96"/>
  <c r="P14" i="96"/>
  <c r="Q14" i="96"/>
  <c r="R14" i="96"/>
  <c r="F15" i="96"/>
  <c r="I15" i="96"/>
  <c r="J15" i="96"/>
  <c r="K15" i="96"/>
  <c r="M15" i="96"/>
  <c r="N15" i="96"/>
  <c r="O15" i="96"/>
  <c r="P15" i="96"/>
  <c r="Q15" i="96"/>
  <c r="R15" i="96"/>
  <c r="F16" i="96"/>
  <c r="I16" i="96"/>
  <c r="J16" i="96"/>
  <c r="K16" i="96"/>
  <c r="M16" i="96"/>
  <c r="N16" i="96"/>
  <c r="O16" i="96"/>
  <c r="P16" i="96"/>
  <c r="Q16" i="96"/>
  <c r="R16" i="96"/>
  <c r="F17" i="96"/>
  <c r="I17" i="96"/>
  <c r="J17" i="96"/>
  <c r="K17" i="96"/>
  <c r="M17" i="96"/>
  <c r="N17" i="96"/>
  <c r="O17" i="96"/>
  <c r="P17" i="96"/>
  <c r="Q17" i="96"/>
  <c r="R17" i="96"/>
  <c r="F18" i="96"/>
  <c r="I18" i="96"/>
  <c r="J18" i="96"/>
  <c r="K18" i="96"/>
  <c r="M18" i="96"/>
  <c r="N18" i="96"/>
  <c r="O18" i="96"/>
  <c r="P18" i="96"/>
  <c r="Q18" i="96"/>
  <c r="R18" i="96"/>
  <c r="F19" i="96"/>
  <c r="I19" i="96"/>
  <c r="J19" i="96"/>
  <c r="K19" i="96"/>
  <c r="M19" i="96"/>
  <c r="N19" i="96"/>
  <c r="O19" i="96"/>
  <c r="P19" i="96"/>
  <c r="Q19" i="96"/>
  <c r="R19" i="96"/>
  <c r="F20" i="96"/>
  <c r="I20" i="96"/>
  <c r="J20" i="96"/>
  <c r="K20" i="96"/>
  <c r="M20" i="96"/>
  <c r="N20" i="96"/>
  <c r="O20" i="96"/>
  <c r="P20" i="96"/>
  <c r="Q20" i="96"/>
  <c r="R20" i="96"/>
  <c r="F21" i="96"/>
  <c r="I21" i="96"/>
  <c r="J21" i="96"/>
  <c r="K21" i="96"/>
  <c r="M21" i="96"/>
  <c r="N21" i="96"/>
  <c r="O21" i="96"/>
  <c r="P21" i="96"/>
  <c r="Q21" i="96"/>
  <c r="R21" i="96"/>
  <c r="F22" i="96"/>
  <c r="I22" i="96"/>
  <c r="J22" i="96"/>
  <c r="K22" i="96"/>
  <c r="M22" i="96"/>
  <c r="N22" i="96"/>
  <c r="O22" i="96"/>
  <c r="P22" i="96"/>
  <c r="Q22" i="96"/>
  <c r="R22" i="96"/>
  <c r="F23" i="96"/>
  <c r="I23" i="96"/>
  <c r="J23" i="96"/>
  <c r="K23" i="96"/>
  <c r="M23" i="96"/>
  <c r="N23" i="96"/>
  <c r="O23" i="96"/>
  <c r="P23" i="96"/>
  <c r="Q23" i="96"/>
  <c r="R23" i="96"/>
  <c r="F24" i="96"/>
  <c r="I24" i="96"/>
  <c r="J24" i="96"/>
  <c r="K24" i="96"/>
  <c r="M24" i="96"/>
  <c r="N24" i="96"/>
  <c r="O24" i="96"/>
  <c r="P24" i="96"/>
  <c r="Q24" i="96"/>
  <c r="R24" i="96"/>
  <c r="F25" i="96"/>
  <c r="I25" i="96"/>
  <c r="J25" i="96"/>
  <c r="K25" i="96"/>
  <c r="M25" i="96"/>
  <c r="N25" i="96"/>
  <c r="O25" i="96"/>
  <c r="P25" i="96"/>
  <c r="Q25" i="96"/>
  <c r="R25" i="96"/>
  <c r="F26" i="96"/>
  <c r="I26" i="96"/>
  <c r="J26" i="96"/>
  <c r="K26" i="96"/>
  <c r="M26" i="96"/>
  <c r="N26" i="96"/>
  <c r="O26" i="96"/>
  <c r="P26" i="96"/>
  <c r="Q26" i="96"/>
  <c r="R26" i="96"/>
  <c r="F27" i="96"/>
  <c r="I27" i="96"/>
  <c r="J27" i="96"/>
  <c r="K27" i="96"/>
  <c r="M27" i="96"/>
  <c r="N27" i="96"/>
  <c r="O27" i="96"/>
  <c r="P27" i="96"/>
  <c r="Q27" i="96"/>
  <c r="R27" i="96"/>
  <c r="F28" i="96"/>
  <c r="I28" i="96"/>
  <c r="J28" i="96"/>
  <c r="K28" i="96"/>
  <c r="M28" i="96"/>
  <c r="N28" i="96"/>
  <c r="O28" i="96"/>
  <c r="P28" i="96"/>
  <c r="Q28" i="96"/>
  <c r="R28" i="96"/>
  <c r="F29" i="96"/>
  <c r="I29" i="96"/>
  <c r="J29" i="96"/>
  <c r="K29" i="96"/>
  <c r="M29" i="96"/>
  <c r="N29" i="96"/>
  <c r="O29" i="96"/>
  <c r="P29" i="96"/>
  <c r="Q29" i="96"/>
  <c r="R29" i="96"/>
  <c r="F30" i="96"/>
  <c r="I30" i="96"/>
  <c r="J30" i="96"/>
  <c r="K30" i="96"/>
  <c r="M30" i="96"/>
  <c r="N30" i="96"/>
  <c r="O30" i="96"/>
  <c r="P30" i="96"/>
  <c r="Q30" i="96"/>
  <c r="R30" i="96"/>
  <c r="F31" i="96"/>
  <c r="I31" i="96"/>
  <c r="J31" i="96"/>
  <c r="K31" i="96"/>
  <c r="M31" i="96"/>
  <c r="N31" i="96"/>
  <c r="O31" i="96"/>
  <c r="P31" i="96"/>
  <c r="Q31" i="96"/>
  <c r="R31" i="96"/>
  <c r="F32" i="96"/>
  <c r="I32" i="96"/>
  <c r="J32" i="96"/>
  <c r="K32" i="96"/>
  <c r="M32" i="96"/>
  <c r="N32" i="96"/>
  <c r="O32" i="96"/>
  <c r="P32" i="96"/>
  <c r="Q32" i="96"/>
  <c r="R32" i="96"/>
  <c r="F33" i="96"/>
  <c r="I33" i="96"/>
  <c r="J33" i="96"/>
  <c r="K33" i="96"/>
  <c r="M33" i="96"/>
  <c r="N33" i="96"/>
  <c r="O33" i="96"/>
  <c r="P33" i="96"/>
  <c r="Q33" i="96"/>
  <c r="R33" i="96"/>
  <c r="F34" i="96"/>
  <c r="I34" i="96"/>
  <c r="J34" i="96"/>
  <c r="K34" i="96"/>
  <c r="M34" i="96"/>
  <c r="N34" i="96"/>
  <c r="O34" i="96"/>
  <c r="P34" i="96"/>
  <c r="Q34" i="96"/>
  <c r="R34" i="96"/>
  <c r="F35" i="96"/>
  <c r="I35" i="96"/>
  <c r="J35" i="96"/>
  <c r="K35" i="96"/>
  <c r="M35" i="96"/>
  <c r="N35" i="96"/>
  <c r="O35" i="96"/>
  <c r="P35" i="96"/>
  <c r="Q35" i="96"/>
  <c r="R35" i="96"/>
  <c r="F36" i="96"/>
  <c r="I36" i="96"/>
  <c r="J36" i="96"/>
  <c r="K36" i="96"/>
  <c r="M36" i="96"/>
  <c r="N36" i="96"/>
  <c r="O36" i="96"/>
  <c r="P36" i="96"/>
  <c r="Q36" i="96"/>
  <c r="R36" i="96"/>
  <c r="F37" i="96"/>
  <c r="I37" i="96"/>
  <c r="J37" i="96"/>
  <c r="K37" i="96"/>
  <c r="M37" i="96"/>
  <c r="N37" i="96"/>
  <c r="O37" i="96"/>
  <c r="P37" i="96"/>
  <c r="Q37" i="96"/>
  <c r="R37" i="96"/>
  <c r="F38" i="96"/>
  <c r="I38" i="96"/>
  <c r="J38" i="96"/>
  <c r="K38" i="96"/>
  <c r="M38" i="96"/>
  <c r="N38" i="96"/>
  <c r="O38" i="96"/>
  <c r="P38" i="96"/>
  <c r="Q38" i="96"/>
  <c r="R38" i="96"/>
  <c r="F39" i="96"/>
  <c r="I39" i="96"/>
  <c r="J39" i="96"/>
  <c r="K39" i="96"/>
  <c r="M39" i="96"/>
  <c r="N39" i="96"/>
  <c r="O39" i="96"/>
  <c r="P39" i="96"/>
  <c r="Q39" i="96"/>
  <c r="R39" i="96"/>
  <c r="F40" i="96"/>
  <c r="I40" i="96"/>
  <c r="J40" i="96"/>
  <c r="K40" i="96"/>
  <c r="M40" i="96"/>
  <c r="N40" i="96"/>
  <c r="O40" i="96"/>
  <c r="P40" i="96"/>
  <c r="Q40" i="96"/>
  <c r="R40" i="96"/>
  <c r="F41" i="96"/>
  <c r="I41" i="96"/>
  <c r="J41" i="96"/>
  <c r="K41" i="96"/>
  <c r="M41" i="96"/>
  <c r="N41" i="96"/>
  <c r="O41" i="96"/>
  <c r="P41" i="96"/>
  <c r="Q41" i="96"/>
  <c r="R41" i="96"/>
  <c r="F42" i="96"/>
  <c r="I42" i="96"/>
  <c r="J42" i="96"/>
  <c r="K42" i="96"/>
  <c r="M42" i="96"/>
  <c r="N42" i="96"/>
  <c r="O42" i="96"/>
  <c r="P42" i="96"/>
  <c r="Q42" i="96"/>
  <c r="R42" i="96"/>
  <c r="F43" i="96"/>
  <c r="I43" i="96"/>
  <c r="J43" i="96"/>
  <c r="K43" i="96"/>
  <c r="M43" i="96"/>
  <c r="N43" i="96"/>
  <c r="O43" i="96"/>
  <c r="P43" i="96"/>
  <c r="Q43" i="96"/>
  <c r="R43" i="96"/>
  <c r="F44" i="96"/>
  <c r="I44" i="96"/>
  <c r="J44" i="96"/>
  <c r="K44" i="96"/>
  <c r="M44" i="96"/>
  <c r="N44" i="96"/>
  <c r="O44" i="96"/>
  <c r="P44" i="96"/>
  <c r="Q44" i="96"/>
  <c r="R44" i="96"/>
  <c r="F45" i="96"/>
  <c r="I45" i="96"/>
  <c r="J45" i="96"/>
  <c r="K45" i="96"/>
  <c r="M45" i="96"/>
  <c r="N45" i="96"/>
  <c r="O45" i="96"/>
  <c r="P45" i="96"/>
  <c r="Q45" i="96"/>
  <c r="R45" i="96"/>
  <c r="F46" i="96"/>
  <c r="I46" i="96"/>
  <c r="J46" i="96"/>
  <c r="K46" i="96"/>
  <c r="M46" i="96"/>
  <c r="N46" i="96"/>
  <c r="O46" i="96"/>
  <c r="P46" i="96"/>
  <c r="Q46" i="96"/>
  <c r="R46" i="96"/>
  <c r="F47" i="96"/>
  <c r="I47" i="96"/>
  <c r="J47" i="96"/>
  <c r="K47" i="96"/>
  <c r="M47" i="96"/>
  <c r="N47" i="96"/>
  <c r="O47" i="96"/>
  <c r="P47" i="96"/>
  <c r="Q47" i="96"/>
  <c r="R47" i="96"/>
  <c r="F48" i="96"/>
  <c r="I48" i="96"/>
  <c r="J48" i="96"/>
  <c r="K48" i="96"/>
  <c r="M48" i="96"/>
  <c r="N48" i="96"/>
  <c r="O48" i="96"/>
  <c r="P48" i="96"/>
  <c r="Q48" i="96"/>
  <c r="R48" i="96"/>
  <c r="F49" i="96"/>
  <c r="I49" i="96"/>
  <c r="J49" i="96"/>
  <c r="K49" i="96"/>
  <c r="M49" i="96"/>
  <c r="N49" i="96"/>
  <c r="O49" i="96"/>
  <c r="P49" i="96"/>
  <c r="Q49" i="96"/>
  <c r="R49" i="96"/>
  <c r="F50" i="96"/>
  <c r="I50" i="96"/>
  <c r="J50" i="96"/>
  <c r="K50" i="96"/>
  <c r="M50" i="96"/>
  <c r="N50" i="96"/>
  <c r="O50" i="96"/>
  <c r="P50" i="96"/>
  <c r="Q50" i="96"/>
  <c r="R50" i="96"/>
  <c r="F51" i="96"/>
  <c r="I51" i="96"/>
  <c r="J51" i="96"/>
  <c r="K51" i="96"/>
  <c r="M51" i="96"/>
  <c r="N51" i="96"/>
  <c r="O51" i="96"/>
  <c r="P51" i="96"/>
  <c r="Q51" i="96"/>
  <c r="R51" i="96"/>
  <c r="F52" i="96"/>
  <c r="I52" i="96"/>
  <c r="J52" i="96"/>
  <c r="K52" i="96"/>
  <c r="M52" i="96"/>
  <c r="N52" i="96"/>
  <c r="O52" i="96"/>
  <c r="P52" i="96"/>
  <c r="Q52" i="96"/>
  <c r="R52" i="96"/>
  <c r="F53" i="96"/>
  <c r="I53" i="96"/>
  <c r="J53" i="96"/>
  <c r="K53" i="96"/>
  <c r="M53" i="96"/>
  <c r="N53" i="96"/>
  <c r="O53" i="96"/>
  <c r="P53" i="96"/>
  <c r="Q53" i="96"/>
  <c r="R53" i="96"/>
  <c r="F54" i="96"/>
  <c r="I54" i="96"/>
  <c r="J54" i="96"/>
  <c r="K54" i="96"/>
  <c r="M54" i="96"/>
  <c r="N54" i="96"/>
  <c r="O54" i="96"/>
  <c r="P54" i="96"/>
  <c r="Q54" i="96"/>
  <c r="R54" i="96"/>
  <c r="F55" i="96"/>
  <c r="I55" i="96"/>
  <c r="J55" i="96"/>
  <c r="K55" i="96"/>
  <c r="M55" i="96"/>
  <c r="N55" i="96"/>
  <c r="O55" i="96"/>
  <c r="P55" i="96"/>
  <c r="Q55" i="96"/>
  <c r="R55" i="96"/>
  <c r="F56" i="96"/>
  <c r="I56" i="96"/>
  <c r="J56" i="96"/>
  <c r="K56" i="96"/>
  <c r="M56" i="96"/>
  <c r="N56" i="96"/>
  <c r="O56" i="96"/>
  <c r="P56" i="96"/>
  <c r="Q56" i="96"/>
  <c r="R56" i="96"/>
  <c r="F57" i="96"/>
  <c r="I57" i="96"/>
  <c r="J57" i="96"/>
  <c r="K57" i="96"/>
  <c r="M57" i="96"/>
  <c r="N57" i="96"/>
  <c r="O57" i="96"/>
  <c r="P57" i="96"/>
  <c r="Q57" i="96"/>
  <c r="R57" i="96"/>
  <c r="F58" i="96"/>
  <c r="I58" i="96"/>
  <c r="J58" i="96"/>
  <c r="K58" i="96"/>
  <c r="M58" i="96"/>
  <c r="N58" i="96"/>
  <c r="O58" i="96"/>
  <c r="P58" i="96"/>
  <c r="Q58" i="96"/>
  <c r="R58" i="96"/>
  <c r="F59" i="96"/>
  <c r="I59" i="96"/>
  <c r="J59" i="96"/>
  <c r="K59" i="96"/>
  <c r="M59" i="96"/>
  <c r="N59" i="96"/>
  <c r="O59" i="96"/>
  <c r="P59" i="96"/>
  <c r="Q59" i="96"/>
  <c r="R59" i="96"/>
  <c r="F60" i="96"/>
  <c r="I60" i="96"/>
  <c r="J60" i="96"/>
  <c r="K60" i="96"/>
  <c r="M60" i="96"/>
  <c r="N60" i="96"/>
  <c r="O60" i="96"/>
  <c r="P60" i="96"/>
  <c r="Q60" i="96"/>
  <c r="R60" i="96"/>
  <c r="F61" i="96"/>
  <c r="I61" i="96"/>
  <c r="J61" i="96"/>
  <c r="K61" i="96"/>
  <c r="M61" i="96"/>
  <c r="N61" i="96"/>
  <c r="O61" i="96"/>
  <c r="P61" i="96"/>
  <c r="Q61" i="96"/>
  <c r="R61" i="96"/>
  <c r="F62" i="96"/>
  <c r="I62" i="96"/>
  <c r="J62" i="96"/>
  <c r="K62" i="96"/>
  <c r="M62" i="96"/>
  <c r="N62" i="96"/>
  <c r="O62" i="96"/>
  <c r="P62" i="96"/>
  <c r="Q62" i="96"/>
  <c r="R62" i="96"/>
  <c r="F63" i="96"/>
  <c r="I63" i="96"/>
  <c r="J63" i="96"/>
  <c r="K63" i="96"/>
  <c r="M63" i="96"/>
  <c r="N63" i="96"/>
  <c r="O63" i="96"/>
  <c r="P63" i="96"/>
  <c r="Q63" i="96"/>
  <c r="R63" i="96"/>
  <c r="F64" i="96"/>
  <c r="I64" i="96"/>
  <c r="J64" i="96"/>
  <c r="K64" i="96"/>
  <c r="M64" i="96"/>
  <c r="N64" i="96"/>
  <c r="O64" i="96"/>
  <c r="P64" i="96"/>
  <c r="Q64" i="96"/>
  <c r="R64" i="96"/>
  <c r="F65" i="96"/>
  <c r="I65" i="96"/>
  <c r="J65" i="96"/>
  <c r="K65" i="96"/>
  <c r="M65" i="96"/>
  <c r="N65" i="96"/>
  <c r="O65" i="96"/>
  <c r="P65" i="96"/>
  <c r="Q65" i="96"/>
  <c r="R65" i="96"/>
  <c r="F66" i="96"/>
  <c r="I66" i="96"/>
  <c r="J66" i="96"/>
  <c r="K66" i="96"/>
  <c r="M66" i="96"/>
  <c r="N66" i="96"/>
  <c r="O66" i="96"/>
  <c r="P66" i="96"/>
  <c r="Q66" i="96"/>
  <c r="R66" i="96"/>
  <c r="F67" i="96"/>
  <c r="I67" i="96"/>
  <c r="J67" i="96"/>
  <c r="K67" i="96"/>
  <c r="M67" i="96"/>
  <c r="N67" i="96"/>
  <c r="O67" i="96"/>
  <c r="P67" i="96"/>
  <c r="Q67" i="96"/>
  <c r="R67" i="96"/>
  <c r="F68" i="96"/>
  <c r="I68" i="96"/>
  <c r="J68" i="96"/>
  <c r="K68" i="96"/>
  <c r="M68" i="96"/>
  <c r="N68" i="96"/>
  <c r="O68" i="96"/>
  <c r="P68" i="96"/>
  <c r="Q68" i="96"/>
  <c r="R68" i="96"/>
  <c r="F69" i="96"/>
  <c r="I69" i="96"/>
  <c r="J69" i="96"/>
  <c r="K69" i="96"/>
  <c r="M69" i="96"/>
  <c r="N69" i="96"/>
  <c r="O69" i="96"/>
  <c r="P69" i="96"/>
  <c r="Q69" i="96"/>
  <c r="R69" i="96"/>
  <c r="F70" i="96"/>
  <c r="I70" i="96"/>
  <c r="J70" i="96"/>
  <c r="K70" i="96"/>
  <c r="M70" i="96"/>
  <c r="N70" i="96"/>
  <c r="O70" i="96"/>
  <c r="P70" i="96"/>
  <c r="Q70" i="96"/>
  <c r="R70" i="96"/>
  <c r="F71" i="96"/>
  <c r="I71" i="96"/>
  <c r="J71" i="96"/>
  <c r="K71" i="96"/>
  <c r="M71" i="96"/>
  <c r="N71" i="96"/>
  <c r="O71" i="96"/>
  <c r="P71" i="96"/>
  <c r="Q71" i="96"/>
  <c r="R71" i="96"/>
  <c r="F72" i="96"/>
  <c r="I72" i="96"/>
  <c r="J72" i="96"/>
  <c r="K72" i="96"/>
  <c r="M72" i="96"/>
  <c r="N72" i="96"/>
  <c r="O72" i="96"/>
  <c r="P72" i="96"/>
  <c r="Q72" i="96"/>
  <c r="R72" i="96"/>
  <c r="F73" i="96"/>
  <c r="I73" i="96"/>
  <c r="J73" i="96"/>
  <c r="K73" i="96"/>
  <c r="M73" i="96"/>
  <c r="N73" i="96"/>
  <c r="O73" i="96"/>
  <c r="P73" i="96"/>
  <c r="Q73" i="96"/>
  <c r="R73" i="96"/>
  <c r="F74" i="96"/>
  <c r="I74" i="96"/>
  <c r="J74" i="96"/>
  <c r="K74" i="96"/>
  <c r="M74" i="96"/>
  <c r="N74" i="96"/>
  <c r="O74" i="96"/>
  <c r="P74" i="96"/>
  <c r="Q74" i="96"/>
  <c r="R74" i="96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363" i="82"/>
  <c r="B364" i="82"/>
  <c r="B365" i="82"/>
  <c r="B366" i="82"/>
  <c r="B367" i="82"/>
  <c r="B368" i="82"/>
  <c r="B369" i="82"/>
  <c r="B370" i="82"/>
  <c r="B371" i="82"/>
  <c r="B372" i="82"/>
  <c r="B373" i="82"/>
  <c r="B374" i="82"/>
  <c r="B375" i="82"/>
  <c r="B376" i="82"/>
  <c r="B377" i="82"/>
  <c r="B378" i="82"/>
  <c r="B379" i="82"/>
  <c r="B380" i="82"/>
  <c r="B381" i="82"/>
  <c r="B382" i="82"/>
  <c r="B383" i="82"/>
  <c r="B384" i="82"/>
  <c r="B385" i="82"/>
  <c r="B386" i="82"/>
  <c r="B387" i="82"/>
  <c r="B388" i="82"/>
  <c r="B389" i="82"/>
  <c r="B390" i="82"/>
  <c r="B391" i="82"/>
  <c r="B392" i="82"/>
  <c r="B393" i="82"/>
  <c r="B394" i="82"/>
  <c r="B395" i="82"/>
  <c r="B396" i="82"/>
  <c r="B397" i="82"/>
  <c r="B398" i="82"/>
  <c r="B399" i="82"/>
  <c r="B400" i="82"/>
  <c r="B401" i="82"/>
  <c r="B402" i="82"/>
  <c r="B403" i="82"/>
  <c r="B404" i="82"/>
  <c r="B405" i="82"/>
  <c r="B406" i="82"/>
  <c r="B407" i="82"/>
  <c r="B408" i="82"/>
  <c r="B409" i="82"/>
  <c r="B410" i="82"/>
  <c r="B411" i="82"/>
  <c r="B412" i="82"/>
  <c r="B413" i="82"/>
  <c r="B414" i="82"/>
  <c r="B415" i="82"/>
  <c r="B416" i="82"/>
  <c r="B417" i="82"/>
  <c r="B418" i="82"/>
  <c r="B419" i="82"/>
  <c r="B420" i="82"/>
  <c r="B421" i="82"/>
  <c r="B422" i="82"/>
  <c r="B423" i="82"/>
  <c r="B424" i="82"/>
  <c r="B425" i="82"/>
  <c r="B426" i="82"/>
  <c r="B427" i="82"/>
  <c r="B428" i="82"/>
  <c r="B429" i="82"/>
  <c r="B430" i="82"/>
  <c r="B431" i="82"/>
  <c r="B432" i="82"/>
  <c r="B433" i="82"/>
  <c r="B434" i="82"/>
  <c r="B435" i="82"/>
  <c r="B436" i="82"/>
  <c r="B437" i="82"/>
  <c r="B438" i="82"/>
  <c r="B439" i="82"/>
  <c r="B440" i="82"/>
  <c r="B441" i="82"/>
  <c r="B442" i="82"/>
  <c r="B443" i="82"/>
  <c r="B444" i="82"/>
  <c r="B445" i="82"/>
  <c r="B446" i="82"/>
  <c r="B447" i="82"/>
  <c r="B448" i="82"/>
  <c r="B449" i="82"/>
  <c r="B450" i="82"/>
  <c r="B451" i="82"/>
  <c r="B452" i="82"/>
  <c r="B453" i="82"/>
  <c r="B454" i="82"/>
  <c r="B455" i="82"/>
  <c r="B456" i="82"/>
  <c r="B457" i="82"/>
  <c r="B458" i="82"/>
  <c r="B459" i="82"/>
  <c r="B460" i="82"/>
  <c r="B461" i="82"/>
  <c r="B462" i="82"/>
  <c r="B463" i="82"/>
  <c r="B464" i="82"/>
  <c r="B465" i="82"/>
  <c r="B466" i="82"/>
  <c r="B467" i="82"/>
  <c r="B468" i="82"/>
  <c r="B469" i="82"/>
  <c r="B470" i="82"/>
  <c r="B471" i="82"/>
  <c r="B472" i="82"/>
  <c r="B473" i="82"/>
  <c r="B474" i="82"/>
  <c r="B475" i="82"/>
  <c r="B476" i="82"/>
  <c r="B477" i="82"/>
  <c r="B478" i="82"/>
  <c r="B479" i="82"/>
  <c r="B480" i="82"/>
  <c r="B481" i="82"/>
  <c r="B482" i="82"/>
  <c r="B483" i="82"/>
  <c r="B484" i="82"/>
  <c r="B485" i="82"/>
  <c r="B486" i="82"/>
  <c r="B487" i="82"/>
  <c r="B488" i="82"/>
  <c r="B489" i="82"/>
  <c r="B490" i="82"/>
  <c r="B491" i="82"/>
  <c r="B492" i="82"/>
  <c r="B493" i="82"/>
  <c r="B494" i="82"/>
  <c r="B495" i="82"/>
  <c r="B496" i="82"/>
  <c r="B497" i="82"/>
  <c r="B498" i="82"/>
  <c r="B499" i="82"/>
  <c r="B500" i="82"/>
  <c r="B501" i="82"/>
  <c r="B502" i="82"/>
  <c r="B503" i="82"/>
  <c r="B504" i="82"/>
  <c r="B505" i="82"/>
  <c r="B506" i="82"/>
  <c r="B507" i="82"/>
  <c r="B508" i="82"/>
  <c r="B509" i="82"/>
  <c r="B510" i="82"/>
  <c r="B511" i="82"/>
  <c r="B512" i="82"/>
  <c r="B513" i="82"/>
  <c r="B514" i="82"/>
  <c r="B515" i="82"/>
  <c r="B516" i="82"/>
  <c r="B517" i="82"/>
  <c r="B518" i="82"/>
  <c r="B519" i="82"/>
  <c r="B520" i="82"/>
  <c r="B521" i="82"/>
  <c r="B522" i="82"/>
  <c r="B523" i="82"/>
  <c r="B524" i="82"/>
  <c r="B525" i="82"/>
  <c r="B526" i="82"/>
  <c r="B527" i="82"/>
  <c r="B528" i="82"/>
  <c r="B529" i="82"/>
  <c r="B530" i="82"/>
  <c r="B531" i="82"/>
  <c r="B532" i="82"/>
  <c r="B533" i="82"/>
  <c r="B534" i="82"/>
  <c r="B535" i="82"/>
  <c r="B536" i="82"/>
  <c r="B537" i="82"/>
  <c r="B538" i="82"/>
  <c r="B539" i="82"/>
  <c r="B540" i="82"/>
  <c r="B541" i="82"/>
  <c r="B542" i="82"/>
  <c r="B543" i="82"/>
  <c r="B544" i="82"/>
  <c r="B545" i="82"/>
  <c r="B546" i="82"/>
  <c r="B547" i="82"/>
  <c r="B548" i="82"/>
  <c r="B549" i="82"/>
  <c r="B550" i="82"/>
  <c r="B551" i="82"/>
  <c r="B552" i="82"/>
  <c r="B553" i="82"/>
  <c r="B554" i="82"/>
  <c r="B555" i="82"/>
  <c r="B556" i="82"/>
  <c r="B557" i="82"/>
  <c r="B558" i="82"/>
  <c r="B559" i="82"/>
  <c r="B560" i="82"/>
  <c r="B561" i="82"/>
  <c r="B562" i="82"/>
  <c r="B563" i="82"/>
  <c r="B564" i="82"/>
  <c r="B565" i="82"/>
  <c r="B566" i="82"/>
  <c r="B567" i="82"/>
  <c r="B568" i="82"/>
  <c r="B569" i="82"/>
  <c r="B570" i="82"/>
  <c r="B571" i="82"/>
  <c r="B572" i="82"/>
  <c r="B573" i="82"/>
  <c r="B574" i="82"/>
  <c r="B575" i="82"/>
  <c r="B576" i="82"/>
  <c r="B577" i="82"/>
  <c r="B578" i="82"/>
  <c r="B579" i="82"/>
  <c r="B580" i="82"/>
  <c r="B581" i="82"/>
  <c r="B582" i="82"/>
  <c r="B583" i="82"/>
  <c r="B584" i="82"/>
  <c r="B585" i="82"/>
  <c r="B586" i="82"/>
  <c r="B587" i="82"/>
  <c r="B588" i="82"/>
  <c r="B589" i="82"/>
  <c r="B590" i="82"/>
  <c r="B591" i="82"/>
  <c r="B592" i="82"/>
  <c r="B593" i="82"/>
  <c r="B594" i="82"/>
  <c r="B595" i="82"/>
  <c r="B596" i="82"/>
  <c r="B597" i="82"/>
  <c r="B598" i="82"/>
  <c r="B599" i="82"/>
  <c r="B600" i="82"/>
  <c r="B601" i="82"/>
  <c r="B602" i="82"/>
  <c r="B603" i="82"/>
  <c r="B604" i="82"/>
  <c r="B605" i="82"/>
  <c r="B606" i="82"/>
  <c r="B607" i="82"/>
  <c r="B608" i="82"/>
  <c r="B609" i="82"/>
  <c r="B610" i="82"/>
  <c r="B611" i="82"/>
  <c r="B612" i="82"/>
  <c r="B613" i="82"/>
  <c r="B614" i="82"/>
  <c r="B615" i="82"/>
  <c r="B616" i="82"/>
  <c r="B617" i="82"/>
  <c r="B618" i="82"/>
  <c r="B619" i="82"/>
  <c r="B620" i="82"/>
  <c r="B621" i="82"/>
  <c r="B622" i="82"/>
  <c r="B623" i="82"/>
  <c r="B624" i="82"/>
  <c r="B625" i="82"/>
  <c r="B626" i="82"/>
  <c r="B627" i="82"/>
  <c r="B628" i="82"/>
  <c r="B629" i="82"/>
  <c r="B630" i="82"/>
  <c r="B631" i="82"/>
  <c r="B632" i="82"/>
  <c r="B633" i="82"/>
  <c r="B634" i="82"/>
  <c r="B635" i="82"/>
  <c r="B636" i="82"/>
  <c r="B637" i="82"/>
  <c r="B638" i="82"/>
  <c r="B639" i="82"/>
  <c r="B640" i="82"/>
  <c r="B641" i="82"/>
  <c r="B642" i="82"/>
  <c r="B643" i="82"/>
  <c r="B644" i="82"/>
  <c r="B645" i="82"/>
  <c r="B646" i="82"/>
  <c r="B647" i="82"/>
  <c r="B648" i="82"/>
  <c r="B649" i="82"/>
  <c r="B650" i="82"/>
  <c r="B651" i="82"/>
  <c r="B652" i="82"/>
  <c r="B653" i="82"/>
  <c r="B654" i="82"/>
  <c r="B655" i="82"/>
  <c r="B656" i="82"/>
  <c r="B657" i="82"/>
  <c r="B658" i="82"/>
  <c r="B659" i="82"/>
  <c r="B660" i="82"/>
  <c r="B661" i="82"/>
  <c r="B662" i="82"/>
  <c r="B663" i="82"/>
  <c r="B664" i="82"/>
  <c r="B665" i="82"/>
  <c r="B666" i="82"/>
  <c r="B667" i="82"/>
  <c r="B668" i="82"/>
  <c r="B669" i="82"/>
  <c r="B670" i="82"/>
  <c r="B671" i="82"/>
  <c r="B672" i="82"/>
  <c r="B673" i="82"/>
  <c r="B674" i="82"/>
  <c r="B675" i="82"/>
  <c r="B676" i="82"/>
  <c r="B677" i="82"/>
  <c r="B678" i="82"/>
  <c r="B679" i="82"/>
  <c r="B680" i="82"/>
  <c r="B681" i="82"/>
  <c r="B682" i="82"/>
  <c r="B683" i="82"/>
  <c r="B684" i="82"/>
  <c r="B685" i="82"/>
  <c r="B686" i="82"/>
  <c r="B687" i="82"/>
  <c r="B688" i="82"/>
  <c r="B689" i="82"/>
  <c r="B690" i="82"/>
  <c r="B691" i="82"/>
  <c r="B692" i="82"/>
  <c r="B693" i="82"/>
  <c r="B694" i="82"/>
  <c r="B695" i="82"/>
  <c r="B696" i="82"/>
  <c r="B697" i="82"/>
  <c r="B698" i="82"/>
  <c r="B699" i="82"/>
  <c r="B700" i="82"/>
  <c r="B701" i="82"/>
  <c r="B702" i="82"/>
  <c r="B703" i="82"/>
  <c r="B704" i="82"/>
  <c r="B705" i="82"/>
  <c r="B706" i="82"/>
  <c r="B707" i="82"/>
  <c r="B708" i="82"/>
  <c r="B709" i="82"/>
  <c r="B710" i="82"/>
  <c r="B711" i="82"/>
  <c r="B712" i="82"/>
  <c r="B713" i="82"/>
  <c r="B714" i="82"/>
  <c r="B715" i="82"/>
  <c r="B716" i="82"/>
  <c r="B717" i="82"/>
  <c r="B718" i="82"/>
  <c r="B719" i="82"/>
  <c r="B720" i="82"/>
  <c r="B721" i="82"/>
  <c r="B722" i="82"/>
  <c r="B723" i="82"/>
  <c r="B724" i="82"/>
  <c r="B725" i="82"/>
  <c r="B726" i="82"/>
  <c r="B727" i="82"/>
  <c r="B728" i="82"/>
  <c r="B729" i="82"/>
  <c r="B730" i="82"/>
  <c r="B731" i="82"/>
  <c r="B732" i="82"/>
  <c r="B733" i="82"/>
  <c r="B734" i="82"/>
  <c r="B735" i="82"/>
  <c r="B736" i="82"/>
  <c r="B737" i="82"/>
  <c r="B738" i="82"/>
  <c r="B739" i="82"/>
  <c r="B740" i="82"/>
  <c r="B741" i="82"/>
  <c r="B742" i="82"/>
  <c r="B743" i="82"/>
  <c r="B744" i="82"/>
  <c r="B745" i="82"/>
  <c r="B746" i="82"/>
  <c r="B747" i="82"/>
  <c r="B748" i="82"/>
  <c r="B749" i="82"/>
  <c r="B750" i="82"/>
  <c r="B751" i="82"/>
  <c r="B752" i="82"/>
  <c r="B753" i="82"/>
  <c r="B754" i="82"/>
  <c r="B755" i="82"/>
  <c r="B756" i="82"/>
  <c r="B757" i="82"/>
  <c r="B758" i="82"/>
  <c r="B759" i="82"/>
  <c r="B760" i="82"/>
  <c r="B761" i="82"/>
  <c r="B762" i="82"/>
  <c r="B763" i="82"/>
  <c r="B764" i="82"/>
  <c r="B765" i="82"/>
  <c r="B766" i="82"/>
  <c r="B767" i="82"/>
  <c r="B768" i="82"/>
  <c r="B769" i="82"/>
  <c r="B770" i="82"/>
  <c r="B771" i="82"/>
  <c r="B772" i="82"/>
  <c r="B773" i="82"/>
  <c r="B774" i="82"/>
  <c r="B775" i="82"/>
  <c r="B776" i="82"/>
  <c r="B777" i="82"/>
  <c r="B778" i="82"/>
  <c r="B779" i="82"/>
  <c r="B780" i="82"/>
  <c r="B781" i="82"/>
  <c r="B782" i="82"/>
  <c r="B783" i="82"/>
  <c r="B784" i="82"/>
  <c r="B785" i="82"/>
  <c r="B786" i="82"/>
  <c r="B787" i="82"/>
  <c r="B788" i="82"/>
  <c r="B789" i="82"/>
  <c r="B790" i="82"/>
  <c r="B791" i="82"/>
  <c r="B792" i="82"/>
  <c r="B793" i="82"/>
  <c r="B794" i="82"/>
  <c r="B795" i="82"/>
  <c r="B796" i="82"/>
  <c r="B797" i="82"/>
  <c r="B798" i="82"/>
  <c r="B799" i="82"/>
  <c r="B800" i="82"/>
  <c r="B801" i="82"/>
  <c r="B802" i="82"/>
  <c r="B803" i="82"/>
  <c r="B804" i="82"/>
  <c r="B805" i="82"/>
  <c r="B806" i="82"/>
  <c r="B807" i="82"/>
  <c r="B808" i="82"/>
  <c r="B809" i="82"/>
  <c r="B810" i="82"/>
  <c r="B811" i="82"/>
  <c r="B812" i="82"/>
  <c r="B813" i="82"/>
  <c r="B814" i="82"/>
  <c r="B815" i="82"/>
  <c r="B816" i="82"/>
  <c r="B817" i="82"/>
  <c r="B818" i="82"/>
  <c r="B819" i="82"/>
  <c r="B820" i="82"/>
  <c r="B821" i="82"/>
  <c r="B822" i="82"/>
  <c r="B823" i="82"/>
  <c r="B824" i="82"/>
  <c r="B825" i="82"/>
  <c r="B826" i="82"/>
  <c r="B827" i="82"/>
  <c r="B828" i="82"/>
  <c r="B829" i="82"/>
  <c r="B830" i="82"/>
  <c r="B831" i="82"/>
  <c r="B832" i="82"/>
  <c r="B833" i="82"/>
  <c r="B834" i="82"/>
  <c r="B835" i="82"/>
  <c r="B836" i="82"/>
  <c r="B837" i="82"/>
  <c r="B838" i="82"/>
  <c r="B839" i="82"/>
  <c r="B840" i="82"/>
  <c r="B841" i="82"/>
  <c r="B842" i="82"/>
  <c r="B843" i="82"/>
  <c r="B844" i="82"/>
  <c r="B845" i="82"/>
  <c r="B846" i="82"/>
  <c r="B847" i="82"/>
  <c r="B848" i="82"/>
  <c r="B849" i="82"/>
  <c r="B850" i="82"/>
  <c r="B851" i="82"/>
  <c r="B852" i="82"/>
  <c r="B853" i="82"/>
  <c r="B854" i="82"/>
  <c r="B855" i="82"/>
  <c r="B856" i="82"/>
  <c r="B857" i="82"/>
  <c r="B858" i="82"/>
  <c r="B859" i="82"/>
  <c r="B860" i="82"/>
  <c r="B861" i="82"/>
  <c r="B862" i="82"/>
  <c r="B863" i="82"/>
  <c r="B864" i="82"/>
  <c r="B865" i="82"/>
  <c r="B866" i="82"/>
  <c r="B867" i="82"/>
  <c r="B868" i="82"/>
  <c r="B869" i="82"/>
  <c r="B870" i="82"/>
  <c r="B871" i="82"/>
  <c r="B872" i="82"/>
  <c r="B873" i="82"/>
  <c r="B874" i="82"/>
  <c r="B875" i="82"/>
  <c r="B876" i="82"/>
  <c r="B877" i="82"/>
  <c r="B878" i="82"/>
  <c r="B879" i="82"/>
  <c r="B880" i="82"/>
  <c r="B881" i="82"/>
  <c r="B882" i="82"/>
  <c r="B883" i="82"/>
  <c r="B884" i="82"/>
  <c r="B885" i="82"/>
  <c r="B886" i="82"/>
  <c r="B887" i="82"/>
  <c r="B888" i="82"/>
  <c r="B889" i="82"/>
  <c r="B890" i="82"/>
  <c r="B891" i="82"/>
  <c r="B892" i="82"/>
  <c r="B893" i="82"/>
  <c r="B894" i="82"/>
  <c r="B895" i="82"/>
  <c r="B896" i="82"/>
  <c r="B897" i="82"/>
  <c r="B898" i="82"/>
  <c r="B899" i="82"/>
  <c r="B900" i="82"/>
  <c r="B901" i="82"/>
  <c r="B2" i="82"/>
  <c r="S901" i="82"/>
  <c r="R901" i="82"/>
  <c r="Q901" i="82"/>
  <c r="P901" i="82"/>
  <c r="O901" i="82"/>
  <c r="N901" i="82"/>
  <c r="H901" i="82"/>
  <c r="I901" i="82"/>
  <c r="D901" i="82"/>
  <c r="M901" i="82"/>
  <c r="L901" i="82"/>
  <c r="K901" i="82"/>
  <c r="J901" i="82"/>
  <c r="G901" i="82"/>
  <c r="C901" i="82"/>
  <c r="A901" i="82"/>
  <c r="S900" i="82"/>
  <c r="R900" i="82"/>
  <c r="Q900" i="82"/>
  <c r="P900" i="82"/>
  <c r="O900" i="82"/>
  <c r="N900" i="82"/>
  <c r="H900" i="82"/>
  <c r="I900" i="82"/>
  <c r="D900" i="82"/>
  <c r="M900" i="82"/>
  <c r="L900" i="82"/>
  <c r="K900" i="82"/>
  <c r="J900" i="82"/>
  <c r="G900" i="82"/>
  <c r="C900" i="82"/>
  <c r="A900" i="82"/>
  <c r="S899" i="82"/>
  <c r="R899" i="82"/>
  <c r="Q899" i="82"/>
  <c r="P899" i="82"/>
  <c r="O899" i="82"/>
  <c r="N899" i="82"/>
  <c r="H899" i="82"/>
  <c r="I899" i="82"/>
  <c r="D899" i="82"/>
  <c r="M899" i="82"/>
  <c r="L899" i="82"/>
  <c r="K899" i="82"/>
  <c r="J899" i="82"/>
  <c r="G899" i="82"/>
  <c r="C899" i="82"/>
  <c r="A899" i="82"/>
  <c r="S898" i="82"/>
  <c r="R898" i="82"/>
  <c r="Q898" i="82"/>
  <c r="P898" i="82"/>
  <c r="O898" i="82"/>
  <c r="N898" i="82"/>
  <c r="H898" i="82"/>
  <c r="I898" i="82"/>
  <c r="D898" i="82"/>
  <c r="M898" i="82"/>
  <c r="L898" i="82"/>
  <c r="K898" i="82"/>
  <c r="J898" i="82"/>
  <c r="G898" i="82"/>
  <c r="C898" i="82"/>
  <c r="A898" i="82"/>
  <c r="S897" i="82"/>
  <c r="R897" i="82"/>
  <c r="Q897" i="82"/>
  <c r="P897" i="82"/>
  <c r="O897" i="82"/>
  <c r="N897" i="82"/>
  <c r="H897" i="82"/>
  <c r="I897" i="82"/>
  <c r="D897" i="82"/>
  <c r="M897" i="82"/>
  <c r="L897" i="82"/>
  <c r="K897" i="82"/>
  <c r="J897" i="82"/>
  <c r="G897" i="82"/>
  <c r="C897" i="82"/>
  <c r="A897" i="82"/>
  <c r="S896" i="82"/>
  <c r="R896" i="82"/>
  <c r="Q896" i="82"/>
  <c r="P896" i="82"/>
  <c r="O896" i="82"/>
  <c r="N896" i="82"/>
  <c r="H896" i="82"/>
  <c r="I896" i="82"/>
  <c r="D896" i="82"/>
  <c r="M896" i="82"/>
  <c r="L896" i="82"/>
  <c r="K896" i="82"/>
  <c r="J896" i="82"/>
  <c r="G896" i="82"/>
  <c r="C896" i="82"/>
  <c r="A896" i="82"/>
  <c r="S895" i="82"/>
  <c r="R895" i="82"/>
  <c r="Q895" i="82"/>
  <c r="P895" i="82"/>
  <c r="O895" i="82"/>
  <c r="N895" i="82"/>
  <c r="H895" i="82"/>
  <c r="I895" i="82"/>
  <c r="D895" i="82"/>
  <c r="M895" i="82"/>
  <c r="L895" i="82"/>
  <c r="K895" i="82"/>
  <c r="J895" i="82"/>
  <c r="G895" i="82"/>
  <c r="C895" i="82"/>
  <c r="A895" i="82"/>
  <c r="S894" i="82"/>
  <c r="R894" i="82"/>
  <c r="Q894" i="82"/>
  <c r="P894" i="82"/>
  <c r="O894" i="82"/>
  <c r="N894" i="82"/>
  <c r="H894" i="82"/>
  <c r="I894" i="82"/>
  <c r="D894" i="82"/>
  <c r="M894" i="82"/>
  <c r="L894" i="82"/>
  <c r="K894" i="82"/>
  <c r="J894" i="82"/>
  <c r="G894" i="82"/>
  <c r="C894" i="82"/>
  <c r="A894" i="82"/>
  <c r="S893" i="82"/>
  <c r="R893" i="82"/>
  <c r="Q893" i="82"/>
  <c r="P893" i="82"/>
  <c r="O893" i="82"/>
  <c r="N893" i="82"/>
  <c r="H893" i="82"/>
  <c r="I893" i="82"/>
  <c r="D893" i="82"/>
  <c r="M893" i="82"/>
  <c r="L893" i="82"/>
  <c r="K893" i="82"/>
  <c r="J893" i="82"/>
  <c r="G893" i="82"/>
  <c r="C893" i="82"/>
  <c r="A893" i="82"/>
  <c r="S892" i="82"/>
  <c r="R892" i="82"/>
  <c r="Q892" i="82"/>
  <c r="P892" i="82"/>
  <c r="O892" i="82"/>
  <c r="N892" i="82"/>
  <c r="H892" i="82"/>
  <c r="I892" i="82"/>
  <c r="D892" i="82"/>
  <c r="M892" i="82"/>
  <c r="L892" i="82"/>
  <c r="K892" i="82"/>
  <c r="J892" i="82"/>
  <c r="G892" i="82"/>
  <c r="C892" i="82"/>
  <c r="A892" i="82"/>
  <c r="S891" i="82"/>
  <c r="R891" i="82"/>
  <c r="Q891" i="82"/>
  <c r="P891" i="82"/>
  <c r="O891" i="82"/>
  <c r="N891" i="82"/>
  <c r="H891" i="82"/>
  <c r="I891" i="82"/>
  <c r="D891" i="82"/>
  <c r="M891" i="82"/>
  <c r="L891" i="82"/>
  <c r="K891" i="82"/>
  <c r="J891" i="82"/>
  <c r="G891" i="82"/>
  <c r="C891" i="82"/>
  <c r="A891" i="82"/>
  <c r="S890" i="82"/>
  <c r="R890" i="82"/>
  <c r="Q890" i="82"/>
  <c r="P890" i="82"/>
  <c r="O890" i="82"/>
  <c r="N890" i="82"/>
  <c r="H890" i="82"/>
  <c r="I890" i="82"/>
  <c r="D890" i="82"/>
  <c r="M890" i="82"/>
  <c r="L890" i="82"/>
  <c r="K890" i="82"/>
  <c r="J890" i="82"/>
  <c r="G890" i="82"/>
  <c r="C890" i="82"/>
  <c r="A890" i="82"/>
  <c r="S889" i="82"/>
  <c r="R889" i="82"/>
  <c r="Q889" i="82"/>
  <c r="P889" i="82"/>
  <c r="O889" i="82"/>
  <c r="N889" i="82"/>
  <c r="H889" i="82"/>
  <c r="I889" i="82"/>
  <c r="D889" i="82"/>
  <c r="M889" i="82"/>
  <c r="L889" i="82"/>
  <c r="K889" i="82"/>
  <c r="J889" i="82"/>
  <c r="G889" i="82"/>
  <c r="C889" i="82"/>
  <c r="A889" i="82"/>
  <c r="S888" i="82"/>
  <c r="R888" i="82"/>
  <c r="Q888" i="82"/>
  <c r="P888" i="82"/>
  <c r="O888" i="82"/>
  <c r="N888" i="82"/>
  <c r="H888" i="82"/>
  <c r="I888" i="82"/>
  <c r="D888" i="82"/>
  <c r="M888" i="82"/>
  <c r="L888" i="82"/>
  <c r="K888" i="82"/>
  <c r="J888" i="82"/>
  <c r="G888" i="82"/>
  <c r="C888" i="82"/>
  <c r="A888" i="82"/>
  <c r="S887" i="82"/>
  <c r="R887" i="82"/>
  <c r="Q887" i="82"/>
  <c r="P887" i="82"/>
  <c r="O887" i="82"/>
  <c r="N887" i="82"/>
  <c r="H887" i="82"/>
  <c r="I887" i="82"/>
  <c r="D887" i="82"/>
  <c r="M887" i="82"/>
  <c r="L887" i="82"/>
  <c r="K887" i="82"/>
  <c r="J887" i="82"/>
  <c r="G887" i="82"/>
  <c r="C887" i="82"/>
  <c r="A887" i="82"/>
  <c r="S886" i="82"/>
  <c r="R886" i="82"/>
  <c r="Q886" i="82"/>
  <c r="P886" i="82"/>
  <c r="O886" i="82"/>
  <c r="N886" i="82"/>
  <c r="H886" i="82"/>
  <c r="I886" i="82"/>
  <c r="D886" i="82"/>
  <c r="M886" i="82"/>
  <c r="L886" i="82"/>
  <c r="K886" i="82"/>
  <c r="J886" i="82"/>
  <c r="G886" i="82"/>
  <c r="C886" i="82"/>
  <c r="A886" i="82"/>
  <c r="S885" i="82"/>
  <c r="R885" i="82"/>
  <c r="Q885" i="82"/>
  <c r="P885" i="82"/>
  <c r="O885" i="82"/>
  <c r="N885" i="82"/>
  <c r="H885" i="82"/>
  <c r="I885" i="82"/>
  <c r="D885" i="82"/>
  <c r="M885" i="82"/>
  <c r="L885" i="82"/>
  <c r="K885" i="82"/>
  <c r="J885" i="82"/>
  <c r="G885" i="82"/>
  <c r="C885" i="82"/>
  <c r="A885" i="82"/>
  <c r="S884" i="82"/>
  <c r="R884" i="82"/>
  <c r="Q884" i="82"/>
  <c r="P884" i="82"/>
  <c r="O884" i="82"/>
  <c r="N884" i="82"/>
  <c r="H884" i="82"/>
  <c r="I884" i="82"/>
  <c r="D884" i="82"/>
  <c r="M884" i="82"/>
  <c r="L884" i="82"/>
  <c r="K884" i="82"/>
  <c r="J884" i="82"/>
  <c r="G884" i="82"/>
  <c r="C884" i="82"/>
  <c r="A884" i="82"/>
  <c r="S883" i="82"/>
  <c r="R883" i="82"/>
  <c r="Q883" i="82"/>
  <c r="P883" i="82"/>
  <c r="O883" i="82"/>
  <c r="N883" i="82"/>
  <c r="H883" i="82"/>
  <c r="I883" i="82"/>
  <c r="D883" i="82"/>
  <c r="M883" i="82"/>
  <c r="L883" i="82"/>
  <c r="K883" i="82"/>
  <c r="J883" i="82"/>
  <c r="G883" i="82"/>
  <c r="C883" i="82"/>
  <c r="A883" i="82"/>
  <c r="S882" i="82"/>
  <c r="R882" i="82"/>
  <c r="Q882" i="82"/>
  <c r="P882" i="82"/>
  <c r="O882" i="82"/>
  <c r="N882" i="82"/>
  <c r="H882" i="82"/>
  <c r="I882" i="82"/>
  <c r="D882" i="82"/>
  <c r="M882" i="82"/>
  <c r="L882" i="82"/>
  <c r="K882" i="82"/>
  <c r="J882" i="82"/>
  <c r="G882" i="82"/>
  <c r="C882" i="82"/>
  <c r="A882" i="82"/>
  <c r="S881" i="82"/>
  <c r="R881" i="82"/>
  <c r="Q881" i="82"/>
  <c r="P881" i="82"/>
  <c r="O881" i="82"/>
  <c r="N881" i="82"/>
  <c r="H881" i="82"/>
  <c r="I881" i="82"/>
  <c r="D881" i="82"/>
  <c r="M881" i="82"/>
  <c r="L881" i="82"/>
  <c r="K881" i="82"/>
  <c r="J881" i="82"/>
  <c r="G881" i="82"/>
  <c r="C881" i="82"/>
  <c r="A881" i="82"/>
  <c r="S880" i="82"/>
  <c r="R880" i="82"/>
  <c r="Q880" i="82"/>
  <c r="P880" i="82"/>
  <c r="O880" i="82"/>
  <c r="N880" i="82"/>
  <c r="H880" i="82"/>
  <c r="I880" i="82"/>
  <c r="D880" i="82"/>
  <c r="M880" i="82"/>
  <c r="L880" i="82"/>
  <c r="K880" i="82"/>
  <c r="J880" i="82"/>
  <c r="G880" i="82"/>
  <c r="C880" i="82"/>
  <c r="A880" i="82"/>
  <c r="S879" i="82"/>
  <c r="R879" i="82"/>
  <c r="Q879" i="82"/>
  <c r="P879" i="82"/>
  <c r="O879" i="82"/>
  <c r="N879" i="82"/>
  <c r="H879" i="82"/>
  <c r="I879" i="82"/>
  <c r="D879" i="82"/>
  <c r="M879" i="82"/>
  <c r="L879" i="82"/>
  <c r="K879" i="82"/>
  <c r="J879" i="82"/>
  <c r="G879" i="82"/>
  <c r="C879" i="82"/>
  <c r="A879" i="82"/>
  <c r="S878" i="82"/>
  <c r="R878" i="82"/>
  <c r="Q878" i="82"/>
  <c r="P878" i="82"/>
  <c r="O878" i="82"/>
  <c r="N878" i="82"/>
  <c r="H878" i="82"/>
  <c r="I878" i="82"/>
  <c r="D878" i="82"/>
  <c r="M878" i="82"/>
  <c r="L878" i="82"/>
  <c r="K878" i="82"/>
  <c r="J878" i="82"/>
  <c r="G878" i="82"/>
  <c r="C878" i="82"/>
  <c r="A878" i="82"/>
  <c r="S877" i="82"/>
  <c r="R877" i="82"/>
  <c r="Q877" i="82"/>
  <c r="P877" i="82"/>
  <c r="O877" i="82"/>
  <c r="N877" i="82"/>
  <c r="H877" i="82"/>
  <c r="I877" i="82"/>
  <c r="D877" i="82"/>
  <c r="M877" i="82"/>
  <c r="L877" i="82"/>
  <c r="K877" i="82"/>
  <c r="J877" i="82"/>
  <c r="G877" i="82"/>
  <c r="C877" i="82"/>
  <c r="A877" i="82"/>
  <c r="S876" i="82"/>
  <c r="R876" i="82"/>
  <c r="Q876" i="82"/>
  <c r="P876" i="82"/>
  <c r="O876" i="82"/>
  <c r="N876" i="82"/>
  <c r="H876" i="82"/>
  <c r="I876" i="82"/>
  <c r="D876" i="82"/>
  <c r="M876" i="82"/>
  <c r="L876" i="82"/>
  <c r="K876" i="82"/>
  <c r="J876" i="82"/>
  <c r="G876" i="82"/>
  <c r="C876" i="82"/>
  <c r="A876" i="82"/>
  <c r="S875" i="82"/>
  <c r="R875" i="82"/>
  <c r="Q875" i="82"/>
  <c r="P875" i="82"/>
  <c r="O875" i="82"/>
  <c r="N875" i="82"/>
  <c r="H875" i="82"/>
  <c r="I875" i="82"/>
  <c r="D875" i="82"/>
  <c r="M875" i="82"/>
  <c r="L875" i="82"/>
  <c r="K875" i="82"/>
  <c r="J875" i="82"/>
  <c r="G875" i="82"/>
  <c r="C875" i="82"/>
  <c r="A875" i="82"/>
  <c r="S874" i="82"/>
  <c r="R874" i="82"/>
  <c r="Q874" i="82"/>
  <c r="P874" i="82"/>
  <c r="O874" i="82"/>
  <c r="N874" i="82"/>
  <c r="H874" i="82"/>
  <c r="I874" i="82"/>
  <c r="D874" i="82"/>
  <c r="M874" i="82"/>
  <c r="L874" i="82"/>
  <c r="K874" i="82"/>
  <c r="J874" i="82"/>
  <c r="G874" i="82"/>
  <c r="C874" i="82"/>
  <c r="A874" i="82"/>
  <c r="S873" i="82"/>
  <c r="R873" i="82"/>
  <c r="Q873" i="82"/>
  <c r="P873" i="82"/>
  <c r="O873" i="82"/>
  <c r="N873" i="82"/>
  <c r="H873" i="82"/>
  <c r="I873" i="82"/>
  <c r="D873" i="82"/>
  <c r="M873" i="82"/>
  <c r="L873" i="82"/>
  <c r="K873" i="82"/>
  <c r="J873" i="82"/>
  <c r="G873" i="82"/>
  <c r="C873" i="82"/>
  <c r="A873" i="82"/>
  <c r="S872" i="82"/>
  <c r="R872" i="82"/>
  <c r="Q872" i="82"/>
  <c r="P872" i="82"/>
  <c r="O872" i="82"/>
  <c r="N872" i="82"/>
  <c r="H872" i="82"/>
  <c r="I872" i="82"/>
  <c r="D872" i="82"/>
  <c r="M872" i="82"/>
  <c r="L872" i="82"/>
  <c r="K872" i="82"/>
  <c r="J872" i="82"/>
  <c r="G872" i="82"/>
  <c r="C872" i="82"/>
  <c r="A872" i="82"/>
  <c r="S871" i="82"/>
  <c r="R871" i="82"/>
  <c r="Q871" i="82"/>
  <c r="P871" i="82"/>
  <c r="O871" i="82"/>
  <c r="N871" i="82"/>
  <c r="H871" i="82"/>
  <c r="I871" i="82"/>
  <c r="D871" i="82"/>
  <c r="M871" i="82"/>
  <c r="L871" i="82"/>
  <c r="K871" i="82"/>
  <c r="J871" i="82"/>
  <c r="G871" i="82"/>
  <c r="C871" i="82"/>
  <c r="A871" i="82"/>
  <c r="S870" i="82"/>
  <c r="R870" i="82"/>
  <c r="Q870" i="82"/>
  <c r="P870" i="82"/>
  <c r="O870" i="82"/>
  <c r="N870" i="82"/>
  <c r="H870" i="82"/>
  <c r="I870" i="82"/>
  <c r="D870" i="82"/>
  <c r="M870" i="82"/>
  <c r="L870" i="82"/>
  <c r="K870" i="82"/>
  <c r="J870" i="82"/>
  <c r="G870" i="82"/>
  <c r="C870" i="82"/>
  <c r="A870" i="82"/>
  <c r="S869" i="82"/>
  <c r="R869" i="82"/>
  <c r="Q869" i="82"/>
  <c r="P869" i="82"/>
  <c r="O869" i="82"/>
  <c r="N869" i="82"/>
  <c r="H869" i="82"/>
  <c r="I869" i="82"/>
  <c r="D869" i="82"/>
  <c r="M869" i="82"/>
  <c r="L869" i="82"/>
  <c r="K869" i="82"/>
  <c r="J869" i="82"/>
  <c r="G869" i="82"/>
  <c r="C869" i="82"/>
  <c r="A869" i="82"/>
  <c r="S868" i="82"/>
  <c r="R868" i="82"/>
  <c r="Q868" i="82"/>
  <c r="P868" i="82"/>
  <c r="O868" i="82"/>
  <c r="N868" i="82"/>
  <c r="H868" i="82"/>
  <c r="I868" i="82"/>
  <c r="D868" i="82"/>
  <c r="M868" i="82"/>
  <c r="L868" i="82"/>
  <c r="K868" i="82"/>
  <c r="J868" i="82"/>
  <c r="G868" i="82"/>
  <c r="C868" i="82"/>
  <c r="A868" i="82"/>
  <c r="S867" i="82"/>
  <c r="R867" i="82"/>
  <c r="Q867" i="82"/>
  <c r="P867" i="82"/>
  <c r="O867" i="82"/>
  <c r="N867" i="82"/>
  <c r="H867" i="82"/>
  <c r="I867" i="82"/>
  <c r="D867" i="82"/>
  <c r="M867" i="82"/>
  <c r="L867" i="82"/>
  <c r="K867" i="82"/>
  <c r="J867" i="82"/>
  <c r="G867" i="82"/>
  <c r="C867" i="82"/>
  <c r="A867" i="82"/>
  <c r="S866" i="82"/>
  <c r="R866" i="82"/>
  <c r="Q866" i="82"/>
  <c r="P866" i="82"/>
  <c r="O866" i="82"/>
  <c r="N866" i="82"/>
  <c r="H866" i="82"/>
  <c r="I866" i="82"/>
  <c r="D866" i="82"/>
  <c r="M866" i="82"/>
  <c r="L866" i="82"/>
  <c r="K866" i="82"/>
  <c r="J866" i="82"/>
  <c r="G866" i="82"/>
  <c r="C866" i="82"/>
  <c r="A866" i="82"/>
  <c r="S865" i="82"/>
  <c r="R865" i="82"/>
  <c r="Q865" i="82"/>
  <c r="P865" i="82"/>
  <c r="O865" i="82"/>
  <c r="N865" i="82"/>
  <c r="H865" i="82"/>
  <c r="I865" i="82"/>
  <c r="D865" i="82"/>
  <c r="M865" i="82"/>
  <c r="L865" i="82"/>
  <c r="K865" i="82"/>
  <c r="J865" i="82"/>
  <c r="G865" i="82"/>
  <c r="C865" i="82"/>
  <c r="A865" i="82"/>
  <c r="S864" i="82"/>
  <c r="R864" i="82"/>
  <c r="Q864" i="82"/>
  <c r="P864" i="82"/>
  <c r="O864" i="82"/>
  <c r="N864" i="82"/>
  <c r="H864" i="82"/>
  <c r="I864" i="82"/>
  <c r="D864" i="82"/>
  <c r="M864" i="82"/>
  <c r="L864" i="82"/>
  <c r="K864" i="82"/>
  <c r="J864" i="82"/>
  <c r="G864" i="82"/>
  <c r="C864" i="82"/>
  <c r="A864" i="82"/>
  <c r="S863" i="82"/>
  <c r="R863" i="82"/>
  <c r="Q863" i="82"/>
  <c r="P863" i="82"/>
  <c r="O863" i="82"/>
  <c r="N863" i="82"/>
  <c r="H863" i="82"/>
  <c r="I863" i="82"/>
  <c r="D863" i="82"/>
  <c r="M863" i="82"/>
  <c r="L863" i="82"/>
  <c r="K863" i="82"/>
  <c r="J863" i="82"/>
  <c r="G863" i="82"/>
  <c r="C863" i="82"/>
  <c r="A863" i="82"/>
  <c r="S862" i="82"/>
  <c r="R862" i="82"/>
  <c r="Q862" i="82"/>
  <c r="P862" i="82"/>
  <c r="O862" i="82"/>
  <c r="N862" i="82"/>
  <c r="H862" i="82"/>
  <c r="I862" i="82"/>
  <c r="D862" i="82"/>
  <c r="M862" i="82"/>
  <c r="L862" i="82"/>
  <c r="K862" i="82"/>
  <c r="J862" i="82"/>
  <c r="G862" i="82"/>
  <c r="C862" i="82"/>
  <c r="A862" i="82"/>
  <c r="S861" i="82"/>
  <c r="R861" i="82"/>
  <c r="Q861" i="82"/>
  <c r="P861" i="82"/>
  <c r="O861" i="82"/>
  <c r="N861" i="82"/>
  <c r="H861" i="82"/>
  <c r="I861" i="82"/>
  <c r="D861" i="82"/>
  <c r="M861" i="82"/>
  <c r="L861" i="82"/>
  <c r="K861" i="82"/>
  <c r="J861" i="82"/>
  <c r="G861" i="82"/>
  <c r="C861" i="82"/>
  <c r="A861" i="82"/>
  <c r="S860" i="82"/>
  <c r="R860" i="82"/>
  <c r="Q860" i="82"/>
  <c r="P860" i="82"/>
  <c r="O860" i="82"/>
  <c r="N860" i="82"/>
  <c r="H860" i="82"/>
  <c r="I860" i="82"/>
  <c r="D860" i="82"/>
  <c r="M860" i="82"/>
  <c r="L860" i="82"/>
  <c r="K860" i="82"/>
  <c r="J860" i="82"/>
  <c r="G860" i="82"/>
  <c r="C860" i="82"/>
  <c r="A860" i="82"/>
  <c r="S859" i="82"/>
  <c r="R859" i="82"/>
  <c r="Q859" i="82"/>
  <c r="P859" i="82"/>
  <c r="O859" i="82"/>
  <c r="N859" i="82"/>
  <c r="H859" i="82"/>
  <c r="I859" i="82"/>
  <c r="D859" i="82"/>
  <c r="M859" i="82"/>
  <c r="L859" i="82"/>
  <c r="K859" i="82"/>
  <c r="J859" i="82"/>
  <c r="G859" i="82"/>
  <c r="C859" i="82"/>
  <c r="A859" i="82"/>
  <c r="S858" i="82"/>
  <c r="R858" i="82"/>
  <c r="Q858" i="82"/>
  <c r="P858" i="82"/>
  <c r="O858" i="82"/>
  <c r="N858" i="82"/>
  <c r="H858" i="82"/>
  <c r="I858" i="82"/>
  <c r="D858" i="82"/>
  <c r="M858" i="82"/>
  <c r="L858" i="82"/>
  <c r="K858" i="82"/>
  <c r="J858" i="82"/>
  <c r="G858" i="82"/>
  <c r="C858" i="82"/>
  <c r="A858" i="82"/>
  <c r="S857" i="82"/>
  <c r="R857" i="82"/>
  <c r="Q857" i="82"/>
  <c r="P857" i="82"/>
  <c r="O857" i="82"/>
  <c r="N857" i="82"/>
  <c r="H857" i="82"/>
  <c r="I857" i="82"/>
  <c r="D857" i="82"/>
  <c r="M857" i="82"/>
  <c r="L857" i="82"/>
  <c r="K857" i="82"/>
  <c r="J857" i="82"/>
  <c r="G857" i="82"/>
  <c r="C857" i="82"/>
  <c r="A857" i="82"/>
  <c r="S856" i="82"/>
  <c r="R856" i="82"/>
  <c r="Q856" i="82"/>
  <c r="P856" i="82"/>
  <c r="O856" i="82"/>
  <c r="N856" i="82"/>
  <c r="H856" i="82"/>
  <c r="I856" i="82"/>
  <c r="D856" i="82"/>
  <c r="M856" i="82"/>
  <c r="L856" i="82"/>
  <c r="K856" i="82"/>
  <c r="J856" i="82"/>
  <c r="G856" i="82"/>
  <c r="C856" i="82"/>
  <c r="A856" i="82"/>
  <c r="S855" i="82"/>
  <c r="R855" i="82"/>
  <c r="Q855" i="82"/>
  <c r="P855" i="82"/>
  <c r="O855" i="82"/>
  <c r="N855" i="82"/>
  <c r="H855" i="82"/>
  <c r="I855" i="82"/>
  <c r="D855" i="82"/>
  <c r="M855" i="82"/>
  <c r="L855" i="82"/>
  <c r="K855" i="82"/>
  <c r="J855" i="82"/>
  <c r="G855" i="82"/>
  <c r="C855" i="82"/>
  <c r="A855" i="82"/>
  <c r="S854" i="82"/>
  <c r="R854" i="82"/>
  <c r="Q854" i="82"/>
  <c r="P854" i="82"/>
  <c r="O854" i="82"/>
  <c r="N854" i="82"/>
  <c r="H854" i="82"/>
  <c r="I854" i="82"/>
  <c r="D854" i="82"/>
  <c r="M854" i="82"/>
  <c r="L854" i="82"/>
  <c r="K854" i="82"/>
  <c r="J854" i="82"/>
  <c r="G854" i="82"/>
  <c r="C854" i="82"/>
  <c r="A854" i="82"/>
  <c r="S853" i="82"/>
  <c r="R853" i="82"/>
  <c r="Q853" i="82"/>
  <c r="P853" i="82"/>
  <c r="O853" i="82"/>
  <c r="N853" i="82"/>
  <c r="H853" i="82"/>
  <c r="I853" i="82"/>
  <c r="D853" i="82"/>
  <c r="M853" i="82"/>
  <c r="L853" i="82"/>
  <c r="K853" i="82"/>
  <c r="J853" i="82"/>
  <c r="G853" i="82"/>
  <c r="C853" i="82"/>
  <c r="A853" i="82"/>
  <c r="S852" i="82"/>
  <c r="R852" i="82"/>
  <c r="Q852" i="82"/>
  <c r="P852" i="82"/>
  <c r="O852" i="82"/>
  <c r="N852" i="82"/>
  <c r="H852" i="82"/>
  <c r="I852" i="82"/>
  <c r="D852" i="82"/>
  <c r="M852" i="82"/>
  <c r="L852" i="82"/>
  <c r="K852" i="82"/>
  <c r="J852" i="82"/>
  <c r="G852" i="82"/>
  <c r="C852" i="82"/>
  <c r="A852" i="82"/>
  <c r="S851" i="82"/>
  <c r="R851" i="82"/>
  <c r="Q851" i="82"/>
  <c r="P851" i="82"/>
  <c r="O851" i="82"/>
  <c r="N851" i="82"/>
  <c r="H851" i="82"/>
  <c r="I851" i="82"/>
  <c r="D851" i="82"/>
  <c r="M851" i="82"/>
  <c r="L851" i="82"/>
  <c r="K851" i="82"/>
  <c r="J851" i="82"/>
  <c r="G851" i="82"/>
  <c r="C851" i="82"/>
  <c r="A851" i="82"/>
  <c r="S850" i="82"/>
  <c r="R850" i="82"/>
  <c r="Q850" i="82"/>
  <c r="P850" i="82"/>
  <c r="O850" i="82"/>
  <c r="N850" i="82"/>
  <c r="H850" i="82"/>
  <c r="I850" i="82"/>
  <c r="D850" i="82"/>
  <c r="M850" i="82"/>
  <c r="L850" i="82"/>
  <c r="K850" i="82"/>
  <c r="J850" i="82"/>
  <c r="G850" i="82"/>
  <c r="C850" i="82"/>
  <c r="A850" i="82"/>
  <c r="S849" i="82"/>
  <c r="R849" i="82"/>
  <c r="Q849" i="82"/>
  <c r="P849" i="82"/>
  <c r="O849" i="82"/>
  <c r="N849" i="82"/>
  <c r="H849" i="82"/>
  <c r="I849" i="82"/>
  <c r="D849" i="82"/>
  <c r="M849" i="82"/>
  <c r="L849" i="82"/>
  <c r="K849" i="82"/>
  <c r="J849" i="82"/>
  <c r="G849" i="82"/>
  <c r="C849" i="82"/>
  <c r="A849" i="82"/>
  <c r="S848" i="82"/>
  <c r="R848" i="82"/>
  <c r="Q848" i="82"/>
  <c r="P848" i="82"/>
  <c r="O848" i="82"/>
  <c r="N848" i="82"/>
  <c r="H848" i="82"/>
  <c r="I848" i="82"/>
  <c r="D848" i="82"/>
  <c r="M848" i="82"/>
  <c r="L848" i="82"/>
  <c r="K848" i="82"/>
  <c r="J848" i="82"/>
  <c r="G848" i="82"/>
  <c r="C848" i="82"/>
  <c r="A848" i="82"/>
  <c r="S847" i="82"/>
  <c r="R847" i="82"/>
  <c r="Q847" i="82"/>
  <c r="P847" i="82"/>
  <c r="O847" i="82"/>
  <c r="N847" i="82"/>
  <c r="H847" i="82"/>
  <c r="I847" i="82"/>
  <c r="D847" i="82"/>
  <c r="M847" i="82"/>
  <c r="L847" i="82"/>
  <c r="K847" i="82"/>
  <c r="J847" i="82"/>
  <c r="G847" i="82"/>
  <c r="C847" i="82"/>
  <c r="A847" i="82"/>
  <c r="S846" i="82"/>
  <c r="R846" i="82"/>
  <c r="Q846" i="82"/>
  <c r="P846" i="82"/>
  <c r="O846" i="82"/>
  <c r="N846" i="82"/>
  <c r="H846" i="82"/>
  <c r="I846" i="82"/>
  <c r="D846" i="82"/>
  <c r="M846" i="82"/>
  <c r="L846" i="82"/>
  <c r="K846" i="82"/>
  <c r="J846" i="82"/>
  <c r="G846" i="82"/>
  <c r="C846" i="82"/>
  <c r="A846" i="82"/>
  <c r="S845" i="82"/>
  <c r="R845" i="82"/>
  <c r="Q845" i="82"/>
  <c r="P845" i="82"/>
  <c r="O845" i="82"/>
  <c r="N845" i="82"/>
  <c r="H845" i="82"/>
  <c r="I845" i="82"/>
  <c r="D845" i="82"/>
  <c r="M845" i="82"/>
  <c r="L845" i="82"/>
  <c r="K845" i="82"/>
  <c r="J845" i="82"/>
  <c r="G845" i="82"/>
  <c r="C845" i="82"/>
  <c r="A845" i="82"/>
  <c r="S844" i="82"/>
  <c r="R844" i="82"/>
  <c r="Q844" i="82"/>
  <c r="P844" i="82"/>
  <c r="O844" i="82"/>
  <c r="N844" i="82"/>
  <c r="H844" i="82"/>
  <c r="I844" i="82"/>
  <c r="D844" i="82"/>
  <c r="M844" i="82"/>
  <c r="L844" i="82"/>
  <c r="K844" i="82"/>
  <c r="J844" i="82"/>
  <c r="G844" i="82"/>
  <c r="C844" i="82"/>
  <c r="A844" i="82"/>
  <c r="S843" i="82"/>
  <c r="R843" i="82"/>
  <c r="Q843" i="82"/>
  <c r="P843" i="82"/>
  <c r="O843" i="82"/>
  <c r="N843" i="82"/>
  <c r="H843" i="82"/>
  <c r="I843" i="82"/>
  <c r="D843" i="82"/>
  <c r="M843" i="82"/>
  <c r="L843" i="82"/>
  <c r="K843" i="82"/>
  <c r="J843" i="82"/>
  <c r="G843" i="82"/>
  <c r="C843" i="82"/>
  <c r="A843" i="82"/>
  <c r="S842" i="82"/>
  <c r="R842" i="82"/>
  <c r="Q842" i="82"/>
  <c r="P842" i="82"/>
  <c r="O842" i="82"/>
  <c r="N842" i="82"/>
  <c r="H842" i="82"/>
  <c r="I842" i="82"/>
  <c r="D842" i="82"/>
  <c r="M842" i="82"/>
  <c r="L842" i="82"/>
  <c r="K842" i="82"/>
  <c r="J842" i="82"/>
  <c r="G842" i="82"/>
  <c r="C842" i="82"/>
  <c r="A842" i="82"/>
  <c r="S841" i="82"/>
  <c r="R841" i="82"/>
  <c r="Q841" i="82"/>
  <c r="P841" i="82"/>
  <c r="O841" i="82"/>
  <c r="N841" i="82"/>
  <c r="H841" i="82"/>
  <c r="I841" i="82"/>
  <c r="D841" i="82"/>
  <c r="M841" i="82"/>
  <c r="L841" i="82"/>
  <c r="K841" i="82"/>
  <c r="J841" i="82"/>
  <c r="G841" i="82"/>
  <c r="C841" i="82"/>
  <c r="A841" i="82"/>
  <c r="S840" i="82"/>
  <c r="R840" i="82"/>
  <c r="Q840" i="82"/>
  <c r="P840" i="82"/>
  <c r="O840" i="82"/>
  <c r="N840" i="82"/>
  <c r="H840" i="82"/>
  <c r="I840" i="82"/>
  <c r="D840" i="82"/>
  <c r="M840" i="82"/>
  <c r="L840" i="82"/>
  <c r="K840" i="82"/>
  <c r="J840" i="82"/>
  <c r="G840" i="82"/>
  <c r="C840" i="82"/>
  <c r="A840" i="82"/>
  <c r="S839" i="82"/>
  <c r="R839" i="82"/>
  <c r="Q839" i="82"/>
  <c r="P839" i="82"/>
  <c r="O839" i="82"/>
  <c r="N839" i="82"/>
  <c r="H839" i="82"/>
  <c r="I839" i="82"/>
  <c r="D839" i="82"/>
  <c r="M839" i="82"/>
  <c r="L839" i="82"/>
  <c r="K839" i="82"/>
  <c r="J839" i="82"/>
  <c r="G839" i="82"/>
  <c r="C839" i="82"/>
  <c r="A839" i="82"/>
  <c r="S838" i="82"/>
  <c r="R838" i="82"/>
  <c r="Q838" i="82"/>
  <c r="P838" i="82"/>
  <c r="O838" i="82"/>
  <c r="N838" i="82"/>
  <c r="H838" i="82"/>
  <c r="I838" i="82"/>
  <c r="D838" i="82"/>
  <c r="M838" i="82"/>
  <c r="L838" i="82"/>
  <c r="K838" i="82"/>
  <c r="J838" i="82"/>
  <c r="G838" i="82"/>
  <c r="C838" i="82"/>
  <c r="A838" i="82"/>
  <c r="S837" i="82"/>
  <c r="R837" i="82"/>
  <c r="Q837" i="82"/>
  <c r="P837" i="82"/>
  <c r="O837" i="82"/>
  <c r="N837" i="82"/>
  <c r="H837" i="82"/>
  <c r="I837" i="82"/>
  <c r="D837" i="82"/>
  <c r="M837" i="82"/>
  <c r="L837" i="82"/>
  <c r="K837" i="82"/>
  <c r="J837" i="82"/>
  <c r="G837" i="82"/>
  <c r="C837" i="82"/>
  <c r="A837" i="82"/>
  <c r="S836" i="82"/>
  <c r="R836" i="82"/>
  <c r="Q836" i="82"/>
  <c r="P836" i="82"/>
  <c r="O836" i="82"/>
  <c r="N836" i="82"/>
  <c r="H836" i="82"/>
  <c r="I836" i="82"/>
  <c r="D836" i="82"/>
  <c r="M836" i="82"/>
  <c r="L836" i="82"/>
  <c r="K836" i="82"/>
  <c r="J836" i="82"/>
  <c r="G836" i="82"/>
  <c r="C836" i="82"/>
  <c r="A836" i="82"/>
  <c r="S835" i="82"/>
  <c r="R835" i="82"/>
  <c r="Q835" i="82"/>
  <c r="P835" i="82"/>
  <c r="O835" i="82"/>
  <c r="N835" i="82"/>
  <c r="H835" i="82"/>
  <c r="I835" i="82"/>
  <c r="D835" i="82"/>
  <c r="M835" i="82"/>
  <c r="L835" i="82"/>
  <c r="K835" i="82"/>
  <c r="J835" i="82"/>
  <c r="G835" i="82"/>
  <c r="C835" i="82"/>
  <c r="A835" i="82"/>
  <c r="S834" i="82"/>
  <c r="R834" i="82"/>
  <c r="Q834" i="82"/>
  <c r="P834" i="82"/>
  <c r="O834" i="82"/>
  <c r="N834" i="82"/>
  <c r="H834" i="82"/>
  <c r="I834" i="82"/>
  <c r="D834" i="82"/>
  <c r="M834" i="82"/>
  <c r="L834" i="82"/>
  <c r="K834" i="82"/>
  <c r="J834" i="82"/>
  <c r="G834" i="82"/>
  <c r="C834" i="82"/>
  <c r="A834" i="82"/>
  <c r="S833" i="82"/>
  <c r="R833" i="82"/>
  <c r="Q833" i="82"/>
  <c r="P833" i="82"/>
  <c r="O833" i="82"/>
  <c r="N833" i="82"/>
  <c r="H833" i="82"/>
  <c r="I833" i="82"/>
  <c r="D833" i="82"/>
  <c r="M833" i="82"/>
  <c r="L833" i="82"/>
  <c r="K833" i="82"/>
  <c r="J833" i="82"/>
  <c r="G833" i="82"/>
  <c r="C833" i="82"/>
  <c r="A833" i="82"/>
  <c r="S832" i="82"/>
  <c r="R832" i="82"/>
  <c r="Q832" i="82"/>
  <c r="P832" i="82"/>
  <c r="O832" i="82"/>
  <c r="N832" i="82"/>
  <c r="H832" i="82"/>
  <c r="I832" i="82"/>
  <c r="D832" i="82"/>
  <c r="M832" i="82"/>
  <c r="L832" i="82"/>
  <c r="K832" i="82"/>
  <c r="J832" i="82"/>
  <c r="G832" i="82"/>
  <c r="C832" i="82"/>
  <c r="A832" i="82"/>
  <c r="S831" i="82"/>
  <c r="R831" i="82"/>
  <c r="Q831" i="82"/>
  <c r="P831" i="82"/>
  <c r="O831" i="82"/>
  <c r="N831" i="82"/>
  <c r="H831" i="82"/>
  <c r="I831" i="82"/>
  <c r="D831" i="82"/>
  <c r="M831" i="82"/>
  <c r="L831" i="82"/>
  <c r="K831" i="82"/>
  <c r="J831" i="82"/>
  <c r="G831" i="82"/>
  <c r="C831" i="82"/>
  <c r="A831" i="82"/>
  <c r="S830" i="82"/>
  <c r="R830" i="82"/>
  <c r="Q830" i="82"/>
  <c r="P830" i="82"/>
  <c r="O830" i="82"/>
  <c r="N830" i="82"/>
  <c r="H830" i="82"/>
  <c r="I830" i="82"/>
  <c r="D830" i="82"/>
  <c r="M830" i="82"/>
  <c r="L830" i="82"/>
  <c r="K830" i="82"/>
  <c r="J830" i="82"/>
  <c r="G830" i="82"/>
  <c r="C830" i="82"/>
  <c r="A830" i="82"/>
  <c r="S829" i="82"/>
  <c r="R829" i="82"/>
  <c r="Q829" i="82"/>
  <c r="P829" i="82"/>
  <c r="O829" i="82"/>
  <c r="N829" i="82"/>
  <c r="H829" i="82"/>
  <c r="I829" i="82"/>
  <c r="D829" i="82"/>
  <c r="M829" i="82"/>
  <c r="L829" i="82"/>
  <c r="K829" i="82"/>
  <c r="J829" i="82"/>
  <c r="G829" i="82"/>
  <c r="C829" i="82"/>
  <c r="A829" i="82"/>
  <c r="S828" i="82"/>
  <c r="R828" i="82"/>
  <c r="Q828" i="82"/>
  <c r="P828" i="82"/>
  <c r="O828" i="82"/>
  <c r="N828" i="82"/>
  <c r="H828" i="82"/>
  <c r="I828" i="82"/>
  <c r="D828" i="82"/>
  <c r="M828" i="82"/>
  <c r="L828" i="82"/>
  <c r="K828" i="82"/>
  <c r="J828" i="82"/>
  <c r="G828" i="82"/>
  <c r="C828" i="82"/>
  <c r="A828" i="82"/>
  <c r="S827" i="82"/>
  <c r="R827" i="82"/>
  <c r="Q827" i="82"/>
  <c r="P827" i="82"/>
  <c r="O827" i="82"/>
  <c r="N827" i="82"/>
  <c r="H827" i="82"/>
  <c r="I827" i="82"/>
  <c r="D827" i="82"/>
  <c r="M827" i="82"/>
  <c r="L827" i="82"/>
  <c r="K827" i="82"/>
  <c r="J827" i="82"/>
  <c r="G827" i="82"/>
  <c r="C827" i="82"/>
  <c r="A827" i="82"/>
  <c r="S826" i="82"/>
  <c r="R826" i="82"/>
  <c r="Q826" i="82"/>
  <c r="P826" i="82"/>
  <c r="O826" i="82"/>
  <c r="N826" i="82"/>
  <c r="H826" i="82"/>
  <c r="I826" i="82"/>
  <c r="D826" i="82"/>
  <c r="M826" i="82"/>
  <c r="L826" i="82"/>
  <c r="K826" i="82"/>
  <c r="J826" i="82"/>
  <c r="G826" i="82"/>
  <c r="C826" i="82"/>
  <c r="A826" i="82"/>
  <c r="S825" i="82"/>
  <c r="R825" i="82"/>
  <c r="Q825" i="82"/>
  <c r="P825" i="82"/>
  <c r="O825" i="82"/>
  <c r="N825" i="82"/>
  <c r="H825" i="82"/>
  <c r="I825" i="82"/>
  <c r="D825" i="82"/>
  <c r="M825" i="82"/>
  <c r="L825" i="82"/>
  <c r="K825" i="82"/>
  <c r="J825" i="82"/>
  <c r="G825" i="82"/>
  <c r="C825" i="82"/>
  <c r="A825" i="82"/>
  <c r="S824" i="82"/>
  <c r="R824" i="82"/>
  <c r="Q824" i="82"/>
  <c r="P824" i="82"/>
  <c r="O824" i="82"/>
  <c r="N824" i="82"/>
  <c r="H824" i="82"/>
  <c r="I824" i="82"/>
  <c r="D824" i="82"/>
  <c r="M824" i="82"/>
  <c r="L824" i="82"/>
  <c r="K824" i="82"/>
  <c r="J824" i="82"/>
  <c r="G824" i="82"/>
  <c r="C824" i="82"/>
  <c r="A824" i="82"/>
  <c r="S823" i="82"/>
  <c r="R823" i="82"/>
  <c r="Q823" i="82"/>
  <c r="P823" i="82"/>
  <c r="O823" i="82"/>
  <c r="N823" i="82"/>
  <c r="H823" i="82"/>
  <c r="I823" i="82"/>
  <c r="D823" i="82"/>
  <c r="M823" i="82"/>
  <c r="L823" i="82"/>
  <c r="K823" i="82"/>
  <c r="J823" i="82"/>
  <c r="G823" i="82"/>
  <c r="C823" i="82"/>
  <c r="A823" i="82"/>
  <c r="S822" i="82"/>
  <c r="R822" i="82"/>
  <c r="Q822" i="82"/>
  <c r="P822" i="82"/>
  <c r="O822" i="82"/>
  <c r="N822" i="82"/>
  <c r="H822" i="82"/>
  <c r="I822" i="82"/>
  <c r="D822" i="82"/>
  <c r="M822" i="82"/>
  <c r="L822" i="82"/>
  <c r="K822" i="82"/>
  <c r="J822" i="82"/>
  <c r="G822" i="82"/>
  <c r="C822" i="82"/>
  <c r="A822" i="82"/>
  <c r="S821" i="82"/>
  <c r="R821" i="82"/>
  <c r="Q821" i="82"/>
  <c r="P821" i="82"/>
  <c r="O821" i="82"/>
  <c r="N821" i="82"/>
  <c r="H821" i="82"/>
  <c r="I821" i="82"/>
  <c r="D821" i="82"/>
  <c r="M821" i="82"/>
  <c r="L821" i="82"/>
  <c r="K821" i="82"/>
  <c r="J821" i="82"/>
  <c r="G821" i="82"/>
  <c r="C821" i="82"/>
  <c r="A821" i="82"/>
  <c r="S820" i="82"/>
  <c r="R820" i="82"/>
  <c r="Q820" i="82"/>
  <c r="P820" i="82"/>
  <c r="O820" i="82"/>
  <c r="N820" i="82"/>
  <c r="H820" i="82"/>
  <c r="I820" i="82"/>
  <c r="D820" i="82"/>
  <c r="M820" i="82"/>
  <c r="L820" i="82"/>
  <c r="K820" i="82"/>
  <c r="J820" i="82"/>
  <c r="G820" i="82"/>
  <c r="C820" i="82"/>
  <c r="A820" i="82"/>
  <c r="S819" i="82"/>
  <c r="R819" i="82"/>
  <c r="Q819" i="82"/>
  <c r="P819" i="82"/>
  <c r="O819" i="82"/>
  <c r="N819" i="82"/>
  <c r="H819" i="82"/>
  <c r="I819" i="82"/>
  <c r="D819" i="82"/>
  <c r="M819" i="82"/>
  <c r="L819" i="82"/>
  <c r="K819" i="82"/>
  <c r="J819" i="82"/>
  <c r="G819" i="82"/>
  <c r="C819" i="82"/>
  <c r="A819" i="82"/>
  <c r="S818" i="82"/>
  <c r="R818" i="82"/>
  <c r="Q818" i="82"/>
  <c r="P818" i="82"/>
  <c r="O818" i="82"/>
  <c r="N818" i="82"/>
  <c r="H818" i="82"/>
  <c r="I818" i="82"/>
  <c r="D818" i="82"/>
  <c r="M818" i="82"/>
  <c r="L818" i="82"/>
  <c r="K818" i="82"/>
  <c r="J818" i="82"/>
  <c r="G818" i="82"/>
  <c r="C818" i="82"/>
  <c r="A818" i="82"/>
  <c r="S817" i="82"/>
  <c r="R817" i="82"/>
  <c r="Q817" i="82"/>
  <c r="P817" i="82"/>
  <c r="O817" i="82"/>
  <c r="N817" i="82"/>
  <c r="H817" i="82"/>
  <c r="I817" i="82"/>
  <c r="D817" i="82"/>
  <c r="M817" i="82"/>
  <c r="L817" i="82"/>
  <c r="K817" i="82"/>
  <c r="J817" i="82"/>
  <c r="G817" i="82"/>
  <c r="C817" i="82"/>
  <c r="A817" i="82"/>
  <c r="S816" i="82"/>
  <c r="R816" i="82"/>
  <c r="Q816" i="82"/>
  <c r="P816" i="82"/>
  <c r="O816" i="82"/>
  <c r="N816" i="82"/>
  <c r="H816" i="82"/>
  <c r="I816" i="82"/>
  <c r="D816" i="82"/>
  <c r="M816" i="82"/>
  <c r="L816" i="82"/>
  <c r="K816" i="82"/>
  <c r="J816" i="82"/>
  <c r="G816" i="82"/>
  <c r="C816" i="82"/>
  <c r="A816" i="82"/>
  <c r="S815" i="82"/>
  <c r="R815" i="82"/>
  <c r="Q815" i="82"/>
  <c r="P815" i="82"/>
  <c r="O815" i="82"/>
  <c r="N815" i="82"/>
  <c r="H815" i="82"/>
  <c r="I815" i="82"/>
  <c r="D815" i="82"/>
  <c r="M815" i="82"/>
  <c r="L815" i="82"/>
  <c r="K815" i="82"/>
  <c r="J815" i="82"/>
  <c r="G815" i="82"/>
  <c r="C815" i="82"/>
  <c r="A815" i="82"/>
  <c r="S814" i="82"/>
  <c r="R814" i="82"/>
  <c r="Q814" i="82"/>
  <c r="P814" i="82"/>
  <c r="O814" i="82"/>
  <c r="N814" i="82"/>
  <c r="H814" i="82"/>
  <c r="I814" i="82"/>
  <c r="D814" i="82"/>
  <c r="M814" i="82"/>
  <c r="L814" i="82"/>
  <c r="K814" i="82"/>
  <c r="J814" i="82"/>
  <c r="G814" i="82"/>
  <c r="C814" i="82"/>
  <c r="A814" i="82"/>
  <c r="S813" i="82"/>
  <c r="R813" i="82"/>
  <c r="Q813" i="82"/>
  <c r="P813" i="82"/>
  <c r="O813" i="82"/>
  <c r="N813" i="82"/>
  <c r="H813" i="82"/>
  <c r="I813" i="82"/>
  <c r="D813" i="82"/>
  <c r="M813" i="82"/>
  <c r="L813" i="82"/>
  <c r="K813" i="82"/>
  <c r="J813" i="82"/>
  <c r="G813" i="82"/>
  <c r="C813" i="82"/>
  <c r="A813" i="82"/>
  <c r="S812" i="82"/>
  <c r="R812" i="82"/>
  <c r="Q812" i="82"/>
  <c r="P812" i="82"/>
  <c r="O812" i="82"/>
  <c r="N812" i="82"/>
  <c r="H812" i="82"/>
  <c r="I812" i="82"/>
  <c r="D812" i="82"/>
  <c r="M812" i="82"/>
  <c r="L812" i="82"/>
  <c r="K812" i="82"/>
  <c r="J812" i="82"/>
  <c r="G812" i="82"/>
  <c r="C812" i="82"/>
  <c r="A812" i="82"/>
  <c r="S811" i="82"/>
  <c r="R811" i="82"/>
  <c r="Q811" i="82"/>
  <c r="P811" i="82"/>
  <c r="O811" i="82"/>
  <c r="N811" i="82"/>
  <c r="H811" i="82"/>
  <c r="I811" i="82"/>
  <c r="D811" i="82"/>
  <c r="M811" i="82"/>
  <c r="L811" i="82"/>
  <c r="K811" i="82"/>
  <c r="J811" i="82"/>
  <c r="G811" i="82"/>
  <c r="C811" i="82"/>
  <c r="A811" i="82"/>
  <c r="S810" i="82"/>
  <c r="R810" i="82"/>
  <c r="Q810" i="82"/>
  <c r="P810" i="82"/>
  <c r="O810" i="82"/>
  <c r="N810" i="82"/>
  <c r="H810" i="82"/>
  <c r="I810" i="82"/>
  <c r="D810" i="82"/>
  <c r="M810" i="82"/>
  <c r="L810" i="82"/>
  <c r="K810" i="82"/>
  <c r="J810" i="82"/>
  <c r="G810" i="82"/>
  <c r="C810" i="82"/>
  <c r="A810" i="82"/>
  <c r="S809" i="82"/>
  <c r="R809" i="82"/>
  <c r="Q809" i="82"/>
  <c r="P809" i="82"/>
  <c r="O809" i="82"/>
  <c r="N809" i="82"/>
  <c r="H809" i="82"/>
  <c r="I809" i="82"/>
  <c r="D809" i="82"/>
  <c r="M809" i="82"/>
  <c r="L809" i="82"/>
  <c r="K809" i="82"/>
  <c r="J809" i="82"/>
  <c r="G809" i="82"/>
  <c r="C809" i="82"/>
  <c r="A809" i="82"/>
  <c r="S808" i="82"/>
  <c r="R808" i="82"/>
  <c r="Q808" i="82"/>
  <c r="P808" i="82"/>
  <c r="O808" i="82"/>
  <c r="N808" i="82"/>
  <c r="H808" i="82"/>
  <c r="I808" i="82"/>
  <c r="D808" i="82"/>
  <c r="M808" i="82"/>
  <c r="L808" i="82"/>
  <c r="K808" i="82"/>
  <c r="J808" i="82"/>
  <c r="G808" i="82"/>
  <c r="C808" i="82"/>
  <c r="A808" i="82"/>
  <c r="S807" i="82"/>
  <c r="R807" i="82"/>
  <c r="Q807" i="82"/>
  <c r="P807" i="82"/>
  <c r="O807" i="82"/>
  <c r="N807" i="82"/>
  <c r="H807" i="82"/>
  <c r="I807" i="82"/>
  <c r="D807" i="82"/>
  <c r="M807" i="82"/>
  <c r="L807" i="82"/>
  <c r="K807" i="82"/>
  <c r="J807" i="82"/>
  <c r="G807" i="82"/>
  <c r="C807" i="82"/>
  <c r="A807" i="82"/>
  <c r="S806" i="82"/>
  <c r="R806" i="82"/>
  <c r="Q806" i="82"/>
  <c r="P806" i="82"/>
  <c r="O806" i="82"/>
  <c r="N806" i="82"/>
  <c r="H806" i="82"/>
  <c r="I806" i="82"/>
  <c r="D806" i="82"/>
  <c r="M806" i="82"/>
  <c r="L806" i="82"/>
  <c r="K806" i="82"/>
  <c r="J806" i="82"/>
  <c r="G806" i="82"/>
  <c r="C806" i="82"/>
  <c r="A806" i="82"/>
  <c r="S805" i="82"/>
  <c r="R805" i="82"/>
  <c r="Q805" i="82"/>
  <c r="P805" i="82"/>
  <c r="O805" i="82"/>
  <c r="N805" i="82"/>
  <c r="H805" i="82"/>
  <c r="I805" i="82"/>
  <c r="D805" i="82"/>
  <c r="M805" i="82"/>
  <c r="L805" i="82"/>
  <c r="K805" i="82"/>
  <c r="J805" i="82"/>
  <c r="G805" i="82"/>
  <c r="C805" i="82"/>
  <c r="A805" i="82"/>
  <c r="S804" i="82"/>
  <c r="R804" i="82"/>
  <c r="Q804" i="82"/>
  <c r="P804" i="82"/>
  <c r="O804" i="82"/>
  <c r="N804" i="82"/>
  <c r="H804" i="82"/>
  <c r="I804" i="82"/>
  <c r="D804" i="82"/>
  <c r="M804" i="82"/>
  <c r="L804" i="82"/>
  <c r="K804" i="82"/>
  <c r="J804" i="82"/>
  <c r="G804" i="82"/>
  <c r="C804" i="82"/>
  <c r="A804" i="82"/>
  <c r="S803" i="82"/>
  <c r="R803" i="82"/>
  <c r="Q803" i="82"/>
  <c r="P803" i="82"/>
  <c r="O803" i="82"/>
  <c r="N803" i="82"/>
  <c r="H803" i="82"/>
  <c r="I803" i="82"/>
  <c r="D803" i="82"/>
  <c r="M803" i="82"/>
  <c r="L803" i="82"/>
  <c r="K803" i="82"/>
  <c r="J803" i="82"/>
  <c r="G803" i="82"/>
  <c r="C803" i="82"/>
  <c r="A803" i="82"/>
  <c r="S802" i="82"/>
  <c r="R802" i="82"/>
  <c r="Q802" i="82"/>
  <c r="P802" i="82"/>
  <c r="O802" i="82"/>
  <c r="N802" i="82"/>
  <c r="H802" i="82"/>
  <c r="I802" i="82"/>
  <c r="D802" i="82"/>
  <c r="M802" i="82"/>
  <c r="L802" i="82"/>
  <c r="K802" i="82"/>
  <c r="J802" i="82"/>
  <c r="G802" i="82"/>
  <c r="C802" i="82"/>
  <c r="A802" i="82"/>
  <c r="S801" i="82"/>
  <c r="R801" i="82"/>
  <c r="Q801" i="82"/>
  <c r="P801" i="82"/>
  <c r="O801" i="82"/>
  <c r="N801" i="82"/>
  <c r="H801" i="82"/>
  <c r="I801" i="82"/>
  <c r="D801" i="82"/>
  <c r="M801" i="82"/>
  <c r="L801" i="82"/>
  <c r="K801" i="82"/>
  <c r="J801" i="82"/>
  <c r="G801" i="82"/>
  <c r="C801" i="82"/>
  <c r="A801" i="82"/>
  <c r="S800" i="82"/>
  <c r="R800" i="82"/>
  <c r="Q800" i="82"/>
  <c r="P800" i="82"/>
  <c r="O800" i="82"/>
  <c r="N800" i="82"/>
  <c r="H800" i="82"/>
  <c r="I800" i="82"/>
  <c r="D800" i="82"/>
  <c r="M800" i="82"/>
  <c r="L800" i="82"/>
  <c r="K800" i="82"/>
  <c r="J800" i="82"/>
  <c r="G800" i="82"/>
  <c r="C800" i="82"/>
  <c r="A800" i="82"/>
  <c r="S799" i="82"/>
  <c r="R799" i="82"/>
  <c r="Q799" i="82"/>
  <c r="P799" i="82"/>
  <c r="O799" i="82"/>
  <c r="N799" i="82"/>
  <c r="H799" i="82"/>
  <c r="I799" i="82"/>
  <c r="D799" i="82"/>
  <c r="M799" i="82"/>
  <c r="L799" i="82"/>
  <c r="K799" i="82"/>
  <c r="J799" i="82"/>
  <c r="G799" i="82"/>
  <c r="C799" i="82"/>
  <c r="A799" i="82"/>
  <c r="S798" i="82"/>
  <c r="R798" i="82"/>
  <c r="Q798" i="82"/>
  <c r="P798" i="82"/>
  <c r="O798" i="82"/>
  <c r="N798" i="82"/>
  <c r="H798" i="82"/>
  <c r="I798" i="82"/>
  <c r="D798" i="82"/>
  <c r="M798" i="82"/>
  <c r="L798" i="82"/>
  <c r="K798" i="82"/>
  <c r="J798" i="82"/>
  <c r="G798" i="82"/>
  <c r="C798" i="82"/>
  <c r="A798" i="82"/>
  <c r="S797" i="82"/>
  <c r="R797" i="82"/>
  <c r="Q797" i="82"/>
  <c r="P797" i="82"/>
  <c r="O797" i="82"/>
  <c r="N797" i="82"/>
  <c r="H797" i="82"/>
  <c r="I797" i="82"/>
  <c r="D797" i="82"/>
  <c r="M797" i="82"/>
  <c r="L797" i="82"/>
  <c r="K797" i="82"/>
  <c r="J797" i="82"/>
  <c r="G797" i="82"/>
  <c r="C797" i="82"/>
  <c r="A797" i="82"/>
  <c r="S796" i="82"/>
  <c r="R796" i="82"/>
  <c r="Q796" i="82"/>
  <c r="P796" i="82"/>
  <c r="O796" i="82"/>
  <c r="N796" i="82"/>
  <c r="H796" i="82"/>
  <c r="I796" i="82"/>
  <c r="D796" i="82"/>
  <c r="M796" i="82"/>
  <c r="L796" i="82"/>
  <c r="K796" i="82"/>
  <c r="J796" i="82"/>
  <c r="G796" i="82"/>
  <c r="C796" i="82"/>
  <c r="A796" i="82"/>
  <c r="S795" i="82"/>
  <c r="R795" i="82"/>
  <c r="Q795" i="82"/>
  <c r="P795" i="82"/>
  <c r="O795" i="82"/>
  <c r="N795" i="82"/>
  <c r="H795" i="82"/>
  <c r="I795" i="82"/>
  <c r="D795" i="82"/>
  <c r="M795" i="82"/>
  <c r="L795" i="82"/>
  <c r="K795" i="82"/>
  <c r="J795" i="82"/>
  <c r="G795" i="82"/>
  <c r="C795" i="82"/>
  <c r="A795" i="82"/>
  <c r="S794" i="82"/>
  <c r="R794" i="82"/>
  <c r="Q794" i="82"/>
  <c r="P794" i="82"/>
  <c r="O794" i="82"/>
  <c r="N794" i="82"/>
  <c r="H794" i="82"/>
  <c r="I794" i="82"/>
  <c r="D794" i="82"/>
  <c r="M794" i="82"/>
  <c r="L794" i="82"/>
  <c r="K794" i="82"/>
  <c r="J794" i="82"/>
  <c r="G794" i="82"/>
  <c r="C794" i="82"/>
  <c r="A794" i="82"/>
  <c r="S793" i="82"/>
  <c r="R793" i="82"/>
  <c r="Q793" i="82"/>
  <c r="P793" i="82"/>
  <c r="O793" i="82"/>
  <c r="N793" i="82"/>
  <c r="H793" i="82"/>
  <c r="I793" i="82"/>
  <c r="D793" i="82"/>
  <c r="M793" i="82"/>
  <c r="L793" i="82"/>
  <c r="K793" i="82"/>
  <c r="J793" i="82"/>
  <c r="G793" i="82"/>
  <c r="C793" i="82"/>
  <c r="A793" i="82"/>
  <c r="S792" i="82"/>
  <c r="R792" i="82"/>
  <c r="Q792" i="82"/>
  <c r="P792" i="82"/>
  <c r="O792" i="82"/>
  <c r="N792" i="82"/>
  <c r="H792" i="82"/>
  <c r="I792" i="82"/>
  <c r="D792" i="82"/>
  <c r="M792" i="82"/>
  <c r="L792" i="82"/>
  <c r="K792" i="82"/>
  <c r="J792" i="82"/>
  <c r="G792" i="82"/>
  <c r="C792" i="82"/>
  <c r="A792" i="82"/>
  <c r="S791" i="82"/>
  <c r="R791" i="82"/>
  <c r="Q791" i="82"/>
  <c r="P791" i="82"/>
  <c r="O791" i="82"/>
  <c r="N791" i="82"/>
  <c r="H791" i="82"/>
  <c r="I791" i="82"/>
  <c r="D791" i="82"/>
  <c r="M791" i="82"/>
  <c r="L791" i="82"/>
  <c r="K791" i="82"/>
  <c r="J791" i="82"/>
  <c r="G791" i="82"/>
  <c r="C791" i="82"/>
  <c r="A791" i="82"/>
  <c r="S790" i="82"/>
  <c r="R790" i="82"/>
  <c r="Q790" i="82"/>
  <c r="P790" i="82"/>
  <c r="O790" i="82"/>
  <c r="N790" i="82"/>
  <c r="H790" i="82"/>
  <c r="I790" i="82"/>
  <c r="D790" i="82"/>
  <c r="M790" i="82"/>
  <c r="L790" i="82"/>
  <c r="K790" i="82"/>
  <c r="J790" i="82"/>
  <c r="G790" i="82"/>
  <c r="C790" i="82"/>
  <c r="A790" i="82"/>
  <c r="S789" i="82"/>
  <c r="R789" i="82"/>
  <c r="Q789" i="82"/>
  <c r="P789" i="82"/>
  <c r="O789" i="82"/>
  <c r="N789" i="82"/>
  <c r="H789" i="82"/>
  <c r="I789" i="82"/>
  <c r="D789" i="82"/>
  <c r="M789" i="82"/>
  <c r="L789" i="82"/>
  <c r="K789" i="82"/>
  <c r="J789" i="82"/>
  <c r="G789" i="82"/>
  <c r="C789" i="82"/>
  <c r="A789" i="82"/>
  <c r="S788" i="82"/>
  <c r="R788" i="82"/>
  <c r="Q788" i="82"/>
  <c r="P788" i="82"/>
  <c r="O788" i="82"/>
  <c r="N788" i="82"/>
  <c r="H788" i="82"/>
  <c r="I788" i="82"/>
  <c r="D788" i="82"/>
  <c r="M788" i="82"/>
  <c r="L788" i="82"/>
  <c r="K788" i="82"/>
  <c r="J788" i="82"/>
  <c r="G788" i="82"/>
  <c r="C788" i="82"/>
  <c r="A788" i="82"/>
  <c r="S787" i="82"/>
  <c r="R787" i="82"/>
  <c r="Q787" i="82"/>
  <c r="P787" i="82"/>
  <c r="O787" i="82"/>
  <c r="N787" i="82"/>
  <c r="H787" i="82"/>
  <c r="I787" i="82"/>
  <c r="D787" i="82"/>
  <c r="M787" i="82"/>
  <c r="L787" i="82"/>
  <c r="K787" i="82"/>
  <c r="J787" i="82"/>
  <c r="G787" i="82"/>
  <c r="C787" i="82"/>
  <c r="A787" i="82"/>
  <c r="S786" i="82"/>
  <c r="R786" i="82"/>
  <c r="Q786" i="82"/>
  <c r="P786" i="82"/>
  <c r="O786" i="82"/>
  <c r="N786" i="82"/>
  <c r="H786" i="82"/>
  <c r="I786" i="82"/>
  <c r="D786" i="82"/>
  <c r="M786" i="82"/>
  <c r="L786" i="82"/>
  <c r="K786" i="82"/>
  <c r="J786" i="82"/>
  <c r="G786" i="82"/>
  <c r="C786" i="82"/>
  <c r="A786" i="82"/>
  <c r="S785" i="82"/>
  <c r="R785" i="82"/>
  <c r="Q785" i="82"/>
  <c r="P785" i="82"/>
  <c r="O785" i="82"/>
  <c r="N785" i="82"/>
  <c r="H785" i="82"/>
  <c r="I785" i="82"/>
  <c r="D785" i="82"/>
  <c r="M785" i="82"/>
  <c r="L785" i="82"/>
  <c r="K785" i="82"/>
  <c r="J785" i="82"/>
  <c r="G785" i="82"/>
  <c r="C785" i="82"/>
  <c r="A785" i="82"/>
  <c r="S784" i="82"/>
  <c r="R784" i="82"/>
  <c r="Q784" i="82"/>
  <c r="P784" i="82"/>
  <c r="O784" i="82"/>
  <c r="N784" i="82"/>
  <c r="H784" i="82"/>
  <c r="I784" i="82"/>
  <c r="D784" i="82"/>
  <c r="M784" i="82"/>
  <c r="L784" i="82"/>
  <c r="K784" i="82"/>
  <c r="J784" i="82"/>
  <c r="G784" i="82"/>
  <c r="C784" i="82"/>
  <c r="A784" i="82"/>
  <c r="S783" i="82"/>
  <c r="R783" i="82"/>
  <c r="Q783" i="82"/>
  <c r="P783" i="82"/>
  <c r="O783" i="82"/>
  <c r="N783" i="82"/>
  <c r="H783" i="82"/>
  <c r="I783" i="82"/>
  <c r="D783" i="82"/>
  <c r="M783" i="82"/>
  <c r="L783" i="82"/>
  <c r="K783" i="82"/>
  <c r="J783" i="82"/>
  <c r="G783" i="82"/>
  <c r="C783" i="82"/>
  <c r="A783" i="82"/>
  <c r="S782" i="82"/>
  <c r="R782" i="82"/>
  <c r="Q782" i="82"/>
  <c r="P782" i="82"/>
  <c r="O782" i="82"/>
  <c r="N782" i="82"/>
  <c r="H782" i="82"/>
  <c r="I782" i="82"/>
  <c r="D782" i="82"/>
  <c r="M782" i="82"/>
  <c r="L782" i="82"/>
  <c r="K782" i="82"/>
  <c r="J782" i="82"/>
  <c r="G782" i="82"/>
  <c r="C782" i="82"/>
  <c r="A782" i="82"/>
  <c r="S781" i="82"/>
  <c r="R781" i="82"/>
  <c r="Q781" i="82"/>
  <c r="P781" i="82"/>
  <c r="O781" i="82"/>
  <c r="N781" i="82"/>
  <c r="H781" i="82"/>
  <c r="I781" i="82"/>
  <c r="D781" i="82"/>
  <c r="M781" i="82"/>
  <c r="L781" i="82"/>
  <c r="K781" i="82"/>
  <c r="J781" i="82"/>
  <c r="G781" i="82"/>
  <c r="C781" i="82"/>
  <c r="A781" i="82"/>
  <c r="S780" i="82"/>
  <c r="R780" i="82"/>
  <c r="Q780" i="82"/>
  <c r="P780" i="82"/>
  <c r="O780" i="82"/>
  <c r="N780" i="82"/>
  <c r="H780" i="82"/>
  <c r="I780" i="82"/>
  <c r="D780" i="82"/>
  <c r="M780" i="82"/>
  <c r="L780" i="82"/>
  <c r="K780" i="82"/>
  <c r="J780" i="82"/>
  <c r="G780" i="82"/>
  <c r="C780" i="82"/>
  <c r="A780" i="82"/>
  <c r="S779" i="82"/>
  <c r="R779" i="82"/>
  <c r="Q779" i="82"/>
  <c r="P779" i="82"/>
  <c r="O779" i="82"/>
  <c r="N779" i="82"/>
  <c r="H779" i="82"/>
  <c r="I779" i="82"/>
  <c r="D779" i="82"/>
  <c r="M779" i="82"/>
  <c r="L779" i="82"/>
  <c r="K779" i="82"/>
  <c r="J779" i="82"/>
  <c r="G779" i="82"/>
  <c r="C779" i="82"/>
  <c r="A779" i="82"/>
  <c r="S778" i="82"/>
  <c r="R778" i="82"/>
  <c r="Q778" i="82"/>
  <c r="P778" i="82"/>
  <c r="O778" i="82"/>
  <c r="N778" i="82"/>
  <c r="H778" i="82"/>
  <c r="I778" i="82"/>
  <c r="D778" i="82"/>
  <c r="M778" i="82"/>
  <c r="L778" i="82"/>
  <c r="K778" i="82"/>
  <c r="J778" i="82"/>
  <c r="G778" i="82"/>
  <c r="C778" i="82"/>
  <c r="A778" i="82"/>
  <c r="S777" i="82"/>
  <c r="R777" i="82"/>
  <c r="Q777" i="82"/>
  <c r="P777" i="82"/>
  <c r="O777" i="82"/>
  <c r="N777" i="82"/>
  <c r="H777" i="82"/>
  <c r="I777" i="82"/>
  <c r="D777" i="82"/>
  <c r="M777" i="82"/>
  <c r="L777" i="82"/>
  <c r="K777" i="82"/>
  <c r="J777" i="82"/>
  <c r="G777" i="82"/>
  <c r="C777" i="82"/>
  <c r="A777" i="82"/>
  <c r="S776" i="82"/>
  <c r="R776" i="82"/>
  <c r="Q776" i="82"/>
  <c r="P776" i="82"/>
  <c r="O776" i="82"/>
  <c r="N776" i="82"/>
  <c r="H776" i="82"/>
  <c r="I776" i="82"/>
  <c r="D776" i="82"/>
  <c r="M776" i="82"/>
  <c r="L776" i="82"/>
  <c r="K776" i="82"/>
  <c r="J776" i="82"/>
  <c r="G776" i="82"/>
  <c r="C776" i="82"/>
  <c r="A776" i="82"/>
  <c r="S775" i="82"/>
  <c r="R775" i="82"/>
  <c r="Q775" i="82"/>
  <c r="P775" i="82"/>
  <c r="O775" i="82"/>
  <c r="N775" i="82"/>
  <c r="H775" i="82"/>
  <c r="I775" i="82"/>
  <c r="D775" i="82"/>
  <c r="M775" i="82"/>
  <c r="L775" i="82"/>
  <c r="K775" i="82"/>
  <c r="J775" i="82"/>
  <c r="G775" i="82"/>
  <c r="C775" i="82"/>
  <c r="A775" i="82"/>
  <c r="S774" i="82"/>
  <c r="R774" i="82"/>
  <c r="Q774" i="82"/>
  <c r="P774" i="82"/>
  <c r="O774" i="82"/>
  <c r="N774" i="82"/>
  <c r="H774" i="82"/>
  <c r="I774" i="82"/>
  <c r="D774" i="82"/>
  <c r="M774" i="82"/>
  <c r="L774" i="82"/>
  <c r="K774" i="82"/>
  <c r="J774" i="82"/>
  <c r="G774" i="82"/>
  <c r="C774" i="82"/>
  <c r="A774" i="82"/>
  <c r="S773" i="82"/>
  <c r="R773" i="82"/>
  <c r="Q773" i="82"/>
  <c r="P773" i="82"/>
  <c r="O773" i="82"/>
  <c r="N773" i="82"/>
  <c r="H773" i="82"/>
  <c r="I773" i="82"/>
  <c r="D773" i="82"/>
  <c r="M773" i="82"/>
  <c r="L773" i="82"/>
  <c r="K773" i="82"/>
  <c r="J773" i="82"/>
  <c r="G773" i="82"/>
  <c r="C773" i="82"/>
  <c r="A773" i="82"/>
  <c r="S772" i="82"/>
  <c r="R772" i="82"/>
  <c r="Q772" i="82"/>
  <c r="P772" i="82"/>
  <c r="O772" i="82"/>
  <c r="N772" i="82"/>
  <c r="H772" i="82"/>
  <c r="I772" i="82"/>
  <c r="D772" i="82"/>
  <c r="M772" i="82"/>
  <c r="L772" i="82"/>
  <c r="K772" i="82"/>
  <c r="J772" i="82"/>
  <c r="G772" i="82"/>
  <c r="C772" i="82"/>
  <c r="A772" i="82"/>
  <c r="S771" i="82"/>
  <c r="R771" i="82"/>
  <c r="Q771" i="82"/>
  <c r="P771" i="82"/>
  <c r="O771" i="82"/>
  <c r="N771" i="82"/>
  <c r="H771" i="82"/>
  <c r="I771" i="82"/>
  <c r="D771" i="82"/>
  <c r="M771" i="82"/>
  <c r="L771" i="82"/>
  <c r="K771" i="82"/>
  <c r="J771" i="82"/>
  <c r="G771" i="82"/>
  <c r="C771" i="82"/>
  <c r="A771" i="82"/>
  <c r="S770" i="82"/>
  <c r="R770" i="82"/>
  <c r="Q770" i="82"/>
  <c r="P770" i="82"/>
  <c r="O770" i="82"/>
  <c r="N770" i="82"/>
  <c r="H770" i="82"/>
  <c r="I770" i="82"/>
  <c r="D770" i="82"/>
  <c r="M770" i="82"/>
  <c r="L770" i="82"/>
  <c r="K770" i="82"/>
  <c r="J770" i="82"/>
  <c r="G770" i="82"/>
  <c r="C770" i="82"/>
  <c r="A770" i="82"/>
  <c r="S769" i="82"/>
  <c r="R769" i="82"/>
  <c r="Q769" i="82"/>
  <c r="P769" i="82"/>
  <c r="O769" i="82"/>
  <c r="N769" i="82"/>
  <c r="H769" i="82"/>
  <c r="I769" i="82"/>
  <c r="D769" i="82"/>
  <c r="M769" i="82"/>
  <c r="L769" i="82"/>
  <c r="K769" i="82"/>
  <c r="J769" i="82"/>
  <c r="G769" i="82"/>
  <c r="C769" i="82"/>
  <c r="A769" i="82"/>
  <c r="S768" i="82"/>
  <c r="R768" i="82"/>
  <c r="Q768" i="82"/>
  <c r="P768" i="82"/>
  <c r="O768" i="82"/>
  <c r="N768" i="82"/>
  <c r="H768" i="82"/>
  <c r="I768" i="82"/>
  <c r="D768" i="82"/>
  <c r="M768" i="82"/>
  <c r="L768" i="82"/>
  <c r="K768" i="82"/>
  <c r="J768" i="82"/>
  <c r="G768" i="82"/>
  <c r="C768" i="82"/>
  <c r="A768" i="82"/>
  <c r="S767" i="82"/>
  <c r="R767" i="82"/>
  <c r="Q767" i="82"/>
  <c r="P767" i="82"/>
  <c r="O767" i="82"/>
  <c r="N767" i="82"/>
  <c r="H767" i="82"/>
  <c r="I767" i="82"/>
  <c r="D767" i="82"/>
  <c r="M767" i="82"/>
  <c r="L767" i="82"/>
  <c r="K767" i="82"/>
  <c r="J767" i="82"/>
  <c r="G767" i="82"/>
  <c r="C767" i="82"/>
  <c r="A767" i="82"/>
  <c r="S766" i="82"/>
  <c r="R766" i="82"/>
  <c r="Q766" i="82"/>
  <c r="P766" i="82"/>
  <c r="O766" i="82"/>
  <c r="N766" i="82"/>
  <c r="H766" i="82"/>
  <c r="I766" i="82"/>
  <c r="D766" i="82"/>
  <c r="M766" i="82"/>
  <c r="L766" i="82"/>
  <c r="K766" i="82"/>
  <c r="J766" i="82"/>
  <c r="G766" i="82"/>
  <c r="C766" i="82"/>
  <c r="A766" i="82"/>
  <c r="S765" i="82"/>
  <c r="R765" i="82"/>
  <c r="Q765" i="82"/>
  <c r="P765" i="82"/>
  <c r="O765" i="82"/>
  <c r="N765" i="82"/>
  <c r="H765" i="82"/>
  <c r="I765" i="82"/>
  <c r="D765" i="82"/>
  <c r="M765" i="82"/>
  <c r="L765" i="82"/>
  <c r="K765" i="82"/>
  <c r="J765" i="82"/>
  <c r="G765" i="82"/>
  <c r="C765" i="82"/>
  <c r="A765" i="82"/>
  <c r="S764" i="82"/>
  <c r="R764" i="82"/>
  <c r="Q764" i="82"/>
  <c r="P764" i="82"/>
  <c r="O764" i="82"/>
  <c r="N764" i="82"/>
  <c r="H764" i="82"/>
  <c r="I764" i="82"/>
  <c r="D764" i="82"/>
  <c r="M764" i="82"/>
  <c r="L764" i="82"/>
  <c r="K764" i="82"/>
  <c r="J764" i="82"/>
  <c r="G764" i="82"/>
  <c r="C764" i="82"/>
  <c r="A764" i="82"/>
  <c r="S763" i="82"/>
  <c r="R763" i="82"/>
  <c r="Q763" i="82"/>
  <c r="P763" i="82"/>
  <c r="O763" i="82"/>
  <c r="N763" i="82"/>
  <c r="H763" i="82"/>
  <c r="I763" i="82"/>
  <c r="D763" i="82"/>
  <c r="M763" i="82"/>
  <c r="L763" i="82"/>
  <c r="K763" i="82"/>
  <c r="J763" i="82"/>
  <c r="G763" i="82"/>
  <c r="C763" i="82"/>
  <c r="A763" i="82"/>
  <c r="S762" i="82"/>
  <c r="R762" i="82"/>
  <c r="Q762" i="82"/>
  <c r="P762" i="82"/>
  <c r="O762" i="82"/>
  <c r="N762" i="82"/>
  <c r="H762" i="82"/>
  <c r="I762" i="82"/>
  <c r="D762" i="82"/>
  <c r="M762" i="82"/>
  <c r="L762" i="82"/>
  <c r="K762" i="82"/>
  <c r="J762" i="82"/>
  <c r="G762" i="82"/>
  <c r="C762" i="82"/>
  <c r="A762" i="82"/>
  <c r="S761" i="82"/>
  <c r="R761" i="82"/>
  <c r="Q761" i="82"/>
  <c r="P761" i="82"/>
  <c r="O761" i="82"/>
  <c r="N761" i="82"/>
  <c r="H761" i="82"/>
  <c r="I761" i="82"/>
  <c r="D761" i="82"/>
  <c r="M761" i="82"/>
  <c r="L761" i="82"/>
  <c r="K761" i="82"/>
  <c r="J761" i="82"/>
  <c r="G761" i="82"/>
  <c r="C761" i="82"/>
  <c r="A761" i="82"/>
  <c r="S760" i="82"/>
  <c r="R760" i="82"/>
  <c r="Q760" i="82"/>
  <c r="P760" i="82"/>
  <c r="O760" i="82"/>
  <c r="N760" i="82"/>
  <c r="H760" i="82"/>
  <c r="I760" i="82"/>
  <c r="D760" i="82"/>
  <c r="M760" i="82"/>
  <c r="L760" i="82"/>
  <c r="K760" i="82"/>
  <c r="J760" i="82"/>
  <c r="G760" i="82"/>
  <c r="C760" i="82"/>
  <c r="A760" i="82"/>
  <c r="S759" i="82"/>
  <c r="R759" i="82"/>
  <c r="Q759" i="82"/>
  <c r="P759" i="82"/>
  <c r="O759" i="82"/>
  <c r="N759" i="82"/>
  <c r="H759" i="82"/>
  <c r="I759" i="82"/>
  <c r="D759" i="82"/>
  <c r="M759" i="82"/>
  <c r="L759" i="82"/>
  <c r="K759" i="82"/>
  <c r="J759" i="82"/>
  <c r="G759" i="82"/>
  <c r="C759" i="82"/>
  <c r="A759" i="82"/>
  <c r="S758" i="82"/>
  <c r="R758" i="82"/>
  <c r="Q758" i="82"/>
  <c r="P758" i="82"/>
  <c r="O758" i="82"/>
  <c r="N758" i="82"/>
  <c r="H758" i="82"/>
  <c r="I758" i="82"/>
  <c r="D758" i="82"/>
  <c r="M758" i="82"/>
  <c r="L758" i="82"/>
  <c r="K758" i="82"/>
  <c r="J758" i="82"/>
  <c r="G758" i="82"/>
  <c r="C758" i="82"/>
  <c r="A758" i="82"/>
  <c r="S757" i="82"/>
  <c r="R757" i="82"/>
  <c r="Q757" i="82"/>
  <c r="P757" i="82"/>
  <c r="O757" i="82"/>
  <c r="N757" i="82"/>
  <c r="H757" i="82"/>
  <c r="I757" i="82"/>
  <c r="D757" i="82"/>
  <c r="M757" i="82"/>
  <c r="L757" i="82"/>
  <c r="K757" i="82"/>
  <c r="J757" i="82"/>
  <c r="G757" i="82"/>
  <c r="C757" i="82"/>
  <c r="A757" i="82"/>
  <c r="S756" i="82"/>
  <c r="R756" i="82"/>
  <c r="Q756" i="82"/>
  <c r="P756" i="82"/>
  <c r="O756" i="82"/>
  <c r="N756" i="82"/>
  <c r="H756" i="82"/>
  <c r="I756" i="82"/>
  <c r="D756" i="82"/>
  <c r="M756" i="82"/>
  <c r="L756" i="82"/>
  <c r="K756" i="82"/>
  <c r="J756" i="82"/>
  <c r="G756" i="82"/>
  <c r="C756" i="82"/>
  <c r="A756" i="82"/>
  <c r="S755" i="82"/>
  <c r="R755" i="82"/>
  <c r="Q755" i="82"/>
  <c r="P755" i="82"/>
  <c r="O755" i="82"/>
  <c r="N755" i="82"/>
  <c r="H755" i="82"/>
  <c r="I755" i="82"/>
  <c r="D755" i="82"/>
  <c r="M755" i="82"/>
  <c r="L755" i="82"/>
  <c r="K755" i="82"/>
  <c r="J755" i="82"/>
  <c r="G755" i="82"/>
  <c r="C755" i="82"/>
  <c r="A755" i="82"/>
  <c r="S754" i="82"/>
  <c r="R754" i="82"/>
  <c r="Q754" i="82"/>
  <c r="P754" i="82"/>
  <c r="O754" i="82"/>
  <c r="N754" i="82"/>
  <c r="H754" i="82"/>
  <c r="I754" i="82"/>
  <c r="D754" i="82"/>
  <c r="M754" i="82"/>
  <c r="L754" i="82"/>
  <c r="K754" i="82"/>
  <c r="J754" i="82"/>
  <c r="G754" i="82"/>
  <c r="C754" i="82"/>
  <c r="A754" i="82"/>
  <c r="S753" i="82"/>
  <c r="R753" i="82"/>
  <c r="Q753" i="82"/>
  <c r="P753" i="82"/>
  <c r="O753" i="82"/>
  <c r="N753" i="82"/>
  <c r="H753" i="82"/>
  <c r="I753" i="82"/>
  <c r="D753" i="82"/>
  <c r="M753" i="82"/>
  <c r="L753" i="82"/>
  <c r="K753" i="82"/>
  <c r="J753" i="82"/>
  <c r="G753" i="82"/>
  <c r="C753" i="82"/>
  <c r="A753" i="82"/>
  <c r="S752" i="82"/>
  <c r="R752" i="82"/>
  <c r="Q752" i="82"/>
  <c r="P752" i="82"/>
  <c r="O752" i="82"/>
  <c r="N752" i="82"/>
  <c r="H752" i="82"/>
  <c r="I752" i="82"/>
  <c r="D752" i="82"/>
  <c r="M752" i="82"/>
  <c r="L752" i="82"/>
  <c r="K752" i="82"/>
  <c r="J752" i="82"/>
  <c r="G752" i="82"/>
  <c r="C752" i="82"/>
  <c r="A752" i="82"/>
  <c r="S751" i="82"/>
  <c r="R751" i="82"/>
  <c r="Q751" i="82"/>
  <c r="P751" i="82"/>
  <c r="O751" i="82"/>
  <c r="N751" i="82"/>
  <c r="H751" i="82"/>
  <c r="I751" i="82"/>
  <c r="D751" i="82"/>
  <c r="M751" i="82"/>
  <c r="L751" i="82"/>
  <c r="K751" i="82"/>
  <c r="J751" i="82"/>
  <c r="G751" i="82"/>
  <c r="C751" i="82"/>
  <c r="A751" i="82"/>
  <c r="S750" i="82"/>
  <c r="R750" i="82"/>
  <c r="Q750" i="82"/>
  <c r="P750" i="82"/>
  <c r="O750" i="82"/>
  <c r="N750" i="82"/>
  <c r="H750" i="82"/>
  <c r="I750" i="82"/>
  <c r="D750" i="82"/>
  <c r="M750" i="82"/>
  <c r="L750" i="82"/>
  <c r="K750" i="82"/>
  <c r="J750" i="82"/>
  <c r="G750" i="82"/>
  <c r="C750" i="82"/>
  <c r="A750" i="82"/>
  <c r="S749" i="82"/>
  <c r="R749" i="82"/>
  <c r="Q749" i="82"/>
  <c r="P749" i="82"/>
  <c r="O749" i="82"/>
  <c r="N749" i="82"/>
  <c r="H749" i="82"/>
  <c r="I749" i="82"/>
  <c r="D749" i="82"/>
  <c r="M749" i="82"/>
  <c r="L749" i="82"/>
  <c r="K749" i="82"/>
  <c r="J749" i="82"/>
  <c r="G749" i="82"/>
  <c r="C749" i="82"/>
  <c r="A749" i="82"/>
  <c r="S748" i="82"/>
  <c r="R748" i="82"/>
  <c r="Q748" i="82"/>
  <c r="P748" i="82"/>
  <c r="O748" i="82"/>
  <c r="N748" i="82"/>
  <c r="H748" i="82"/>
  <c r="I748" i="82"/>
  <c r="D748" i="82"/>
  <c r="M748" i="82"/>
  <c r="L748" i="82"/>
  <c r="K748" i="82"/>
  <c r="J748" i="82"/>
  <c r="G748" i="82"/>
  <c r="C748" i="82"/>
  <c r="A748" i="82"/>
  <c r="S747" i="82"/>
  <c r="R747" i="82"/>
  <c r="Q747" i="82"/>
  <c r="P747" i="82"/>
  <c r="O747" i="82"/>
  <c r="N747" i="82"/>
  <c r="H747" i="82"/>
  <c r="I747" i="82"/>
  <c r="D747" i="82"/>
  <c r="M747" i="82"/>
  <c r="L747" i="82"/>
  <c r="K747" i="82"/>
  <c r="J747" i="82"/>
  <c r="G747" i="82"/>
  <c r="C747" i="82"/>
  <c r="A747" i="82"/>
  <c r="S746" i="82"/>
  <c r="R746" i="82"/>
  <c r="Q746" i="82"/>
  <c r="P746" i="82"/>
  <c r="O746" i="82"/>
  <c r="N746" i="82"/>
  <c r="H746" i="82"/>
  <c r="I746" i="82"/>
  <c r="D746" i="82"/>
  <c r="M746" i="82"/>
  <c r="L746" i="82"/>
  <c r="K746" i="82"/>
  <c r="J746" i="82"/>
  <c r="G746" i="82"/>
  <c r="C746" i="82"/>
  <c r="A746" i="82"/>
  <c r="S745" i="82"/>
  <c r="R745" i="82"/>
  <c r="Q745" i="82"/>
  <c r="P745" i="82"/>
  <c r="O745" i="82"/>
  <c r="N745" i="82"/>
  <c r="H745" i="82"/>
  <c r="I745" i="82"/>
  <c r="D745" i="82"/>
  <c r="M745" i="82"/>
  <c r="L745" i="82"/>
  <c r="K745" i="82"/>
  <c r="J745" i="82"/>
  <c r="G745" i="82"/>
  <c r="C745" i="82"/>
  <c r="A745" i="82"/>
  <c r="S744" i="82"/>
  <c r="R744" i="82"/>
  <c r="Q744" i="82"/>
  <c r="P744" i="82"/>
  <c r="O744" i="82"/>
  <c r="N744" i="82"/>
  <c r="H744" i="82"/>
  <c r="I744" i="82"/>
  <c r="D744" i="82"/>
  <c r="M744" i="82"/>
  <c r="L744" i="82"/>
  <c r="K744" i="82"/>
  <c r="J744" i="82"/>
  <c r="G744" i="82"/>
  <c r="C744" i="82"/>
  <c r="A744" i="82"/>
  <c r="S743" i="82"/>
  <c r="R743" i="82"/>
  <c r="Q743" i="82"/>
  <c r="P743" i="82"/>
  <c r="O743" i="82"/>
  <c r="N743" i="82"/>
  <c r="H743" i="82"/>
  <c r="I743" i="82"/>
  <c r="D743" i="82"/>
  <c r="M743" i="82"/>
  <c r="L743" i="82"/>
  <c r="K743" i="82"/>
  <c r="J743" i="82"/>
  <c r="G743" i="82"/>
  <c r="C743" i="82"/>
  <c r="A743" i="82"/>
  <c r="S742" i="82"/>
  <c r="R742" i="82"/>
  <c r="Q742" i="82"/>
  <c r="P742" i="82"/>
  <c r="O742" i="82"/>
  <c r="N742" i="82"/>
  <c r="H742" i="82"/>
  <c r="I742" i="82"/>
  <c r="D742" i="82"/>
  <c r="M742" i="82"/>
  <c r="L742" i="82"/>
  <c r="K742" i="82"/>
  <c r="J742" i="82"/>
  <c r="G742" i="82"/>
  <c r="C742" i="82"/>
  <c r="A742" i="82"/>
  <c r="S741" i="82"/>
  <c r="R741" i="82"/>
  <c r="Q741" i="82"/>
  <c r="P741" i="82"/>
  <c r="O741" i="82"/>
  <c r="N741" i="82"/>
  <c r="H741" i="82"/>
  <c r="I741" i="82"/>
  <c r="D741" i="82"/>
  <c r="M741" i="82"/>
  <c r="L741" i="82"/>
  <c r="K741" i="82"/>
  <c r="J741" i="82"/>
  <c r="G741" i="82"/>
  <c r="C741" i="82"/>
  <c r="A741" i="82"/>
  <c r="S740" i="82"/>
  <c r="R740" i="82"/>
  <c r="Q740" i="82"/>
  <c r="P740" i="82"/>
  <c r="O740" i="82"/>
  <c r="N740" i="82"/>
  <c r="H740" i="82"/>
  <c r="I740" i="82"/>
  <c r="D740" i="82"/>
  <c r="M740" i="82"/>
  <c r="L740" i="82"/>
  <c r="K740" i="82"/>
  <c r="J740" i="82"/>
  <c r="G740" i="82"/>
  <c r="C740" i="82"/>
  <c r="A740" i="82"/>
  <c r="S739" i="82"/>
  <c r="R739" i="82"/>
  <c r="Q739" i="82"/>
  <c r="P739" i="82"/>
  <c r="O739" i="82"/>
  <c r="N739" i="82"/>
  <c r="H739" i="82"/>
  <c r="I739" i="82"/>
  <c r="D739" i="82"/>
  <c r="M739" i="82"/>
  <c r="L739" i="82"/>
  <c r="K739" i="82"/>
  <c r="J739" i="82"/>
  <c r="G739" i="82"/>
  <c r="C739" i="82"/>
  <c r="A739" i="82"/>
  <c r="S738" i="82"/>
  <c r="R738" i="82"/>
  <c r="Q738" i="82"/>
  <c r="P738" i="82"/>
  <c r="O738" i="82"/>
  <c r="N738" i="82"/>
  <c r="H738" i="82"/>
  <c r="I738" i="82"/>
  <c r="D738" i="82"/>
  <c r="M738" i="82"/>
  <c r="L738" i="82"/>
  <c r="K738" i="82"/>
  <c r="J738" i="82"/>
  <c r="G738" i="82"/>
  <c r="C738" i="82"/>
  <c r="A738" i="82"/>
  <c r="S737" i="82"/>
  <c r="R737" i="82"/>
  <c r="Q737" i="82"/>
  <c r="P737" i="82"/>
  <c r="O737" i="82"/>
  <c r="N737" i="82"/>
  <c r="H737" i="82"/>
  <c r="I737" i="82"/>
  <c r="D737" i="82"/>
  <c r="M737" i="82"/>
  <c r="L737" i="82"/>
  <c r="K737" i="82"/>
  <c r="J737" i="82"/>
  <c r="G737" i="82"/>
  <c r="C737" i="82"/>
  <c r="A737" i="82"/>
  <c r="S736" i="82"/>
  <c r="R736" i="82"/>
  <c r="Q736" i="82"/>
  <c r="P736" i="82"/>
  <c r="O736" i="82"/>
  <c r="N736" i="82"/>
  <c r="H736" i="82"/>
  <c r="I736" i="82"/>
  <c r="D736" i="82"/>
  <c r="M736" i="82"/>
  <c r="L736" i="82"/>
  <c r="K736" i="82"/>
  <c r="J736" i="82"/>
  <c r="G736" i="82"/>
  <c r="C736" i="82"/>
  <c r="A736" i="82"/>
  <c r="S735" i="82"/>
  <c r="R735" i="82"/>
  <c r="Q735" i="82"/>
  <c r="P735" i="82"/>
  <c r="O735" i="82"/>
  <c r="N735" i="82"/>
  <c r="H735" i="82"/>
  <c r="I735" i="82"/>
  <c r="D735" i="82"/>
  <c r="M735" i="82"/>
  <c r="L735" i="82"/>
  <c r="K735" i="82"/>
  <c r="J735" i="82"/>
  <c r="G735" i="82"/>
  <c r="C735" i="82"/>
  <c r="A735" i="82"/>
  <c r="S734" i="82"/>
  <c r="R734" i="82"/>
  <c r="Q734" i="82"/>
  <c r="P734" i="82"/>
  <c r="O734" i="82"/>
  <c r="N734" i="82"/>
  <c r="H734" i="82"/>
  <c r="I734" i="82"/>
  <c r="D734" i="82"/>
  <c r="M734" i="82"/>
  <c r="L734" i="82"/>
  <c r="K734" i="82"/>
  <c r="J734" i="82"/>
  <c r="G734" i="82"/>
  <c r="C734" i="82"/>
  <c r="A734" i="82"/>
  <c r="S733" i="82"/>
  <c r="R733" i="82"/>
  <c r="Q733" i="82"/>
  <c r="P733" i="82"/>
  <c r="O733" i="82"/>
  <c r="N733" i="82"/>
  <c r="H733" i="82"/>
  <c r="I733" i="82"/>
  <c r="D733" i="82"/>
  <c r="M733" i="82"/>
  <c r="L733" i="82"/>
  <c r="K733" i="82"/>
  <c r="J733" i="82"/>
  <c r="G733" i="82"/>
  <c r="C733" i="82"/>
  <c r="A733" i="82"/>
  <c r="S732" i="82"/>
  <c r="R732" i="82"/>
  <c r="Q732" i="82"/>
  <c r="P732" i="82"/>
  <c r="O732" i="82"/>
  <c r="N732" i="82"/>
  <c r="H732" i="82"/>
  <c r="I732" i="82"/>
  <c r="D732" i="82"/>
  <c r="M732" i="82"/>
  <c r="L732" i="82"/>
  <c r="K732" i="82"/>
  <c r="J732" i="82"/>
  <c r="G732" i="82"/>
  <c r="C732" i="82"/>
  <c r="A732" i="82"/>
  <c r="S731" i="82"/>
  <c r="R731" i="82"/>
  <c r="Q731" i="82"/>
  <c r="P731" i="82"/>
  <c r="O731" i="82"/>
  <c r="N731" i="82"/>
  <c r="H731" i="82"/>
  <c r="I731" i="82"/>
  <c r="D731" i="82"/>
  <c r="M731" i="82"/>
  <c r="L731" i="82"/>
  <c r="K731" i="82"/>
  <c r="J731" i="82"/>
  <c r="G731" i="82"/>
  <c r="C731" i="82"/>
  <c r="A731" i="82"/>
  <c r="S730" i="82"/>
  <c r="R730" i="82"/>
  <c r="Q730" i="82"/>
  <c r="P730" i="82"/>
  <c r="O730" i="82"/>
  <c r="N730" i="82"/>
  <c r="H730" i="82"/>
  <c r="I730" i="82"/>
  <c r="D730" i="82"/>
  <c r="M730" i="82"/>
  <c r="L730" i="82"/>
  <c r="K730" i="82"/>
  <c r="J730" i="82"/>
  <c r="G730" i="82"/>
  <c r="C730" i="82"/>
  <c r="A730" i="82"/>
  <c r="S729" i="82"/>
  <c r="R729" i="82"/>
  <c r="Q729" i="82"/>
  <c r="P729" i="82"/>
  <c r="O729" i="82"/>
  <c r="N729" i="82"/>
  <c r="H729" i="82"/>
  <c r="I729" i="82"/>
  <c r="D729" i="82"/>
  <c r="M729" i="82"/>
  <c r="L729" i="82"/>
  <c r="K729" i="82"/>
  <c r="J729" i="82"/>
  <c r="G729" i="82"/>
  <c r="C729" i="82"/>
  <c r="A729" i="82"/>
  <c r="S728" i="82"/>
  <c r="R728" i="82"/>
  <c r="Q728" i="82"/>
  <c r="P728" i="82"/>
  <c r="O728" i="82"/>
  <c r="N728" i="82"/>
  <c r="H728" i="82"/>
  <c r="I728" i="82"/>
  <c r="D728" i="82"/>
  <c r="M728" i="82"/>
  <c r="L728" i="82"/>
  <c r="K728" i="82"/>
  <c r="J728" i="82"/>
  <c r="G728" i="82"/>
  <c r="C728" i="82"/>
  <c r="A728" i="82"/>
  <c r="S727" i="82"/>
  <c r="R727" i="82"/>
  <c r="Q727" i="82"/>
  <c r="P727" i="82"/>
  <c r="O727" i="82"/>
  <c r="N727" i="82"/>
  <c r="H727" i="82"/>
  <c r="I727" i="82"/>
  <c r="D727" i="82"/>
  <c r="M727" i="82"/>
  <c r="L727" i="82"/>
  <c r="K727" i="82"/>
  <c r="J727" i="82"/>
  <c r="G727" i="82"/>
  <c r="C727" i="82"/>
  <c r="A727" i="82"/>
  <c r="S726" i="82"/>
  <c r="R726" i="82"/>
  <c r="Q726" i="82"/>
  <c r="P726" i="82"/>
  <c r="O726" i="82"/>
  <c r="N726" i="82"/>
  <c r="H726" i="82"/>
  <c r="I726" i="82"/>
  <c r="D726" i="82"/>
  <c r="M726" i="82"/>
  <c r="L726" i="82"/>
  <c r="K726" i="82"/>
  <c r="J726" i="82"/>
  <c r="G726" i="82"/>
  <c r="C726" i="82"/>
  <c r="A726" i="82"/>
  <c r="S725" i="82"/>
  <c r="R725" i="82"/>
  <c r="Q725" i="82"/>
  <c r="P725" i="82"/>
  <c r="O725" i="82"/>
  <c r="N725" i="82"/>
  <c r="H725" i="82"/>
  <c r="I725" i="82"/>
  <c r="D725" i="82"/>
  <c r="M725" i="82"/>
  <c r="L725" i="82"/>
  <c r="K725" i="82"/>
  <c r="J725" i="82"/>
  <c r="G725" i="82"/>
  <c r="C725" i="82"/>
  <c r="A725" i="82"/>
  <c r="S724" i="82"/>
  <c r="R724" i="82"/>
  <c r="Q724" i="82"/>
  <c r="P724" i="82"/>
  <c r="O724" i="82"/>
  <c r="N724" i="82"/>
  <c r="H724" i="82"/>
  <c r="I724" i="82"/>
  <c r="D724" i="82"/>
  <c r="M724" i="82"/>
  <c r="L724" i="82"/>
  <c r="K724" i="82"/>
  <c r="J724" i="82"/>
  <c r="G724" i="82"/>
  <c r="C724" i="82"/>
  <c r="A724" i="82"/>
  <c r="S723" i="82"/>
  <c r="R723" i="82"/>
  <c r="Q723" i="82"/>
  <c r="P723" i="82"/>
  <c r="O723" i="82"/>
  <c r="N723" i="82"/>
  <c r="H723" i="82"/>
  <c r="I723" i="82"/>
  <c r="D723" i="82"/>
  <c r="M723" i="82"/>
  <c r="L723" i="82"/>
  <c r="K723" i="82"/>
  <c r="J723" i="82"/>
  <c r="G723" i="82"/>
  <c r="C723" i="82"/>
  <c r="A723" i="82"/>
  <c r="S722" i="82"/>
  <c r="R722" i="82"/>
  <c r="Q722" i="82"/>
  <c r="P722" i="82"/>
  <c r="O722" i="82"/>
  <c r="N722" i="82"/>
  <c r="H722" i="82"/>
  <c r="I722" i="82"/>
  <c r="D722" i="82"/>
  <c r="M722" i="82"/>
  <c r="L722" i="82"/>
  <c r="K722" i="82"/>
  <c r="J722" i="82"/>
  <c r="G722" i="82"/>
  <c r="C722" i="82"/>
  <c r="A722" i="82"/>
  <c r="S721" i="82"/>
  <c r="R721" i="82"/>
  <c r="Q721" i="82"/>
  <c r="P721" i="82"/>
  <c r="O721" i="82"/>
  <c r="N721" i="82"/>
  <c r="H721" i="82"/>
  <c r="I721" i="82"/>
  <c r="D721" i="82"/>
  <c r="M721" i="82"/>
  <c r="L721" i="82"/>
  <c r="K721" i="82"/>
  <c r="J721" i="82"/>
  <c r="G721" i="82"/>
  <c r="C721" i="82"/>
  <c r="A721" i="82"/>
  <c r="S720" i="82"/>
  <c r="R720" i="82"/>
  <c r="Q720" i="82"/>
  <c r="P720" i="82"/>
  <c r="O720" i="82"/>
  <c r="N720" i="82"/>
  <c r="H720" i="82"/>
  <c r="I720" i="82"/>
  <c r="D720" i="82"/>
  <c r="M720" i="82"/>
  <c r="L720" i="82"/>
  <c r="K720" i="82"/>
  <c r="J720" i="82"/>
  <c r="G720" i="82"/>
  <c r="C720" i="82"/>
  <c r="A720" i="82"/>
  <c r="S719" i="82"/>
  <c r="R719" i="82"/>
  <c r="Q719" i="82"/>
  <c r="P719" i="82"/>
  <c r="O719" i="82"/>
  <c r="N719" i="82"/>
  <c r="H719" i="82"/>
  <c r="I719" i="82"/>
  <c r="D719" i="82"/>
  <c r="M719" i="82"/>
  <c r="L719" i="82"/>
  <c r="K719" i="82"/>
  <c r="J719" i="82"/>
  <c r="G719" i="82"/>
  <c r="C719" i="82"/>
  <c r="A719" i="82"/>
  <c r="S718" i="82"/>
  <c r="R718" i="82"/>
  <c r="Q718" i="82"/>
  <c r="P718" i="82"/>
  <c r="O718" i="82"/>
  <c r="N718" i="82"/>
  <c r="H718" i="82"/>
  <c r="I718" i="82"/>
  <c r="D718" i="82"/>
  <c r="M718" i="82"/>
  <c r="L718" i="82"/>
  <c r="K718" i="82"/>
  <c r="J718" i="82"/>
  <c r="G718" i="82"/>
  <c r="C718" i="82"/>
  <c r="A718" i="82"/>
  <c r="S717" i="82"/>
  <c r="R717" i="82"/>
  <c r="Q717" i="82"/>
  <c r="P717" i="82"/>
  <c r="O717" i="82"/>
  <c r="N717" i="82"/>
  <c r="H717" i="82"/>
  <c r="I717" i="82"/>
  <c r="D717" i="82"/>
  <c r="M717" i="82"/>
  <c r="L717" i="82"/>
  <c r="K717" i="82"/>
  <c r="J717" i="82"/>
  <c r="G717" i="82"/>
  <c r="C717" i="82"/>
  <c r="A717" i="82"/>
  <c r="S716" i="82"/>
  <c r="R716" i="82"/>
  <c r="Q716" i="82"/>
  <c r="P716" i="82"/>
  <c r="O716" i="82"/>
  <c r="N716" i="82"/>
  <c r="H716" i="82"/>
  <c r="I716" i="82"/>
  <c r="D716" i="82"/>
  <c r="M716" i="82"/>
  <c r="L716" i="82"/>
  <c r="K716" i="82"/>
  <c r="J716" i="82"/>
  <c r="G716" i="82"/>
  <c r="C716" i="82"/>
  <c r="A716" i="82"/>
  <c r="S715" i="82"/>
  <c r="R715" i="82"/>
  <c r="Q715" i="82"/>
  <c r="P715" i="82"/>
  <c r="O715" i="82"/>
  <c r="N715" i="82"/>
  <c r="H715" i="82"/>
  <c r="I715" i="82"/>
  <c r="D715" i="82"/>
  <c r="M715" i="82"/>
  <c r="L715" i="82"/>
  <c r="K715" i="82"/>
  <c r="J715" i="82"/>
  <c r="G715" i="82"/>
  <c r="C715" i="82"/>
  <c r="A715" i="82"/>
  <c r="S714" i="82"/>
  <c r="R714" i="82"/>
  <c r="Q714" i="82"/>
  <c r="P714" i="82"/>
  <c r="O714" i="82"/>
  <c r="N714" i="82"/>
  <c r="H714" i="82"/>
  <c r="I714" i="82"/>
  <c r="D714" i="82"/>
  <c r="M714" i="82"/>
  <c r="L714" i="82"/>
  <c r="K714" i="82"/>
  <c r="J714" i="82"/>
  <c r="G714" i="82"/>
  <c r="C714" i="82"/>
  <c r="A714" i="82"/>
  <c r="S713" i="82"/>
  <c r="R713" i="82"/>
  <c r="Q713" i="82"/>
  <c r="P713" i="82"/>
  <c r="O713" i="82"/>
  <c r="N713" i="82"/>
  <c r="H713" i="82"/>
  <c r="I713" i="82"/>
  <c r="D713" i="82"/>
  <c r="M713" i="82"/>
  <c r="L713" i="82"/>
  <c r="K713" i="82"/>
  <c r="J713" i="82"/>
  <c r="G713" i="82"/>
  <c r="C713" i="82"/>
  <c r="A713" i="82"/>
  <c r="S712" i="82"/>
  <c r="R712" i="82"/>
  <c r="Q712" i="82"/>
  <c r="P712" i="82"/>
  <c r="O712" i="82"/>
  <c r="N712" i="82"/>
  <c r="H712" i="82"/>
  <c r="I712" i="82"/>
  <c r="D712" i="82"/>
  <c r="M712" i="82"/>
  <c r="L712" i="82"/>
  <c r="K712" i="82"/>
  <c r="J712" i="82"/>
  <c r="G712" i="82"/>
  <c r="C712" i="82"/>
  <c r="A712" i="82"/>
  <c r="S711" i="82"/>
  <c r="R711" i="82"/>
  <c r="Q711" i="82"/>
  <c r="P711" i="82"/>
  <c r="O711" i="82"/>
  <c r="N711" i="82"/>
  <c r="H711" i="82"/>
  <c r="I711" i="82"/>
  <c r="D711" i="82"/>
  <c r="M711" i="82"/>
  <c r="L711" i="82"/>
  <c r="K711" i="82"/>
  <c r="J711" i="82"/>
  <c r="G711" i="82"/>
  <c r="C711" i="82"/>
  <c r="A711" i="82"/>
  <c r="S710" i="82"/>
  <c r="R710" i="82"/>
  <c r="Q710" i="82"/>
  <c r="P710" i="82"/>
  <c r="O710" i="82"/>
  <c r="N710" i="82"/>
  <c r="H710" i="82"/>
  <c r="I710" i="82"/>
  <c r="D710" i="82"/>
  <c r="M710" i="82"/>
  <c r="L710" i="82"/>
  <c r="K710" i="82"/>
  <c r="J710" i="82"/>
  <c r="G710" i="82"/>
  <c r="C710" i="82"/>
  <c r="A710" i="82"/>
  <c r="S709" i="82"/>
  <c r="R709" i="82"/>
  <c r="Q709" i="82"/>
  <c r="P709" i="82"/>
  <c r="O709" i="82"/>
  <c r="N709" i="82"/>
  <c r="H709" i="82"/>
  <c r="I709" i="82"/>
  <c r="D709" i="82"/>
  <c r="M709" i="82"/>
  <c r="L709" i="82"/>
  <c r="K709" i="82"/>
  <c r="J709" i="82"/>
  <c r="G709" i="82"/>
  <c r="C709" i="82"/>
  <c r="A709" i="82"/>
  <c r="S708" i="82"/>
  <c r="R708" i="82"/>
  <c r="Q708" i="82"/>
  <c r="P708" i="82"/>
  <c r="O708" i="82"/>
  <c r="N708" i="82"/>
  <c r="H708" i="82"/>
  <c r="I708" i="82"/>
  <c r="D708" i="82"/>
  <c r="M708" i="82"/>
  <c r="L708" i="82"/>
  <c r="K708" i="82"/>
  <c r="J708" i="82"/>
  <c r="G708" i="82"/>
  <c r="C708" i="82"/>
  <c r="A708" i="82"/>
  <c r="S707" i="82"/>
  <c r="R707" i="82"/>
  <c r="Q707" i="82"/>
  <c r="P707" i="82"/>
  <c r="O707" i="82"/>
  <c r="N707" i="82"/>
  <c r="H707" i="82"/>
  <c r="I707" i="82"/>
  <c r="D707" i="82"/>
  <c r="M707" i="82"/>
  <c r="L707" i="82"/>
  <c r="K707" i="82"/>
  <c r="J707" i="82"/>
  <c r="G707" i="82"/>
  <c r="C707" i="82"/>
  <c r="A707" i="82"/>
  <c r="S706" i="82"/>
  <c r="R706" i="82"/>
  <c r="Q706" i="82"/>
  <c r="P706" i="82"/>
  <c r="O706" i="82"/>
  <c r="N706" i="82"/>
  <c r="H706" i="82"/>
  <c r="I706" i="82"/>
  <c r="D706" i="82"/>
  <c r="M706" i="82"/>
  <c r="L706" i="82"/>
  <c r="K706" i="82"/>
  <c r="J706" i="82"/>
  <c r="G706" i="82"/>
  <c r="C706" i="82"/>
  <c r="A706" i="82"/>
  <c r="S705" i="82"/>
  <c r="R705" i="82"/>
  <c r="Q705" i="82"/>
  <c r="P705" i="82"/>
  <c r="O705" i="82"/>
  <c r="N705" i="82"/>
  <c r="H705" i="82"/>
  <c r="I705" i="82"/>
  <c r="D705" i="82"/>
  <c r="M705" i="82"/>
  <c r="L705" i="82"/>
  <c r="K705" i="82"/>
  <c r="J705" i="82"/>
  <c r="G705" i="82"/>
  <c r="C705" i="82"/>
  <c r="A705" i="82"/>
  <c r="S704" i="82"/>
  <c r="R704" i="82"/>
  <c r="Q704" i="82"/>
  <c r="P704" i="82"/>
  <c r="O704" i="82"/>
  <c r="N704" i="82"/>
  <c r="H704" i="82"/>
  <c r="I704" i="82"/>
  <c r="D704" i="82"/>
  <c r="M704" i="82"/>
  <c r="L704" i="82"/>
  <c r="K704" i="82"/>
  <c r="J704" i="82"/>
  <c r="G704" i="82"/>
  <c r="C704" i="82"/>
  <c r="A704" i="82"/>
  <c r="S703" i="82"/>
  <c r="R703" i="82"/>
  <c r="Q703" i="82"/>
  <c r="P703" i="82"/>
  <c r="O703" i="82"/>
  <c r="N703" i="82"/>
  <c r="H703" i="82"/>
  <c r="I703" i="82"/>
  <c r="D703" i="82"/>
  <c r="M703" i="82"/>
  <c r="L703" i="82"/>
  <c r="K703" i="82"/>
  <c r="J703" i="82"/>
  <c r="G703" i="82"/>
  <c r="C703" i="82"/>
  <c r="A703" i="82"/>
  <c r="S702" i="82"/>
  <c r="R702" i="82"/>
  <c r="Q702" i="82"/>
  <c r="P702" i="82"/>
  <c r="O702" i="82"/>
  <c r="N702" i="82"/>
  <c r="H702" i="82"/>
  <c r="I702" i="82"/>
  <c r="D702" i="82"/>
  <c r="M702" i="82"/>
  <c r="L702" i="82"/>
  <c r="K702" i="82"/>
  <c r="J702" i="82"/>
  <c r="G702" i="82"/>
  <c r="C702" i="82"/>
  <c r="A702" i="82"/>
  <c r="S701" i="82"/>
  <c r="R701" i="82"/>
  <c r="Q701" i="82"/>
  <c r="P701" i="82"/>
  <c r="O701" i="82"/>
  <c r="N701" i="82"/>
  <c r="H701" i="82"/>
  <c r="I701" i="82"/>
  <c r="D701" i="82"/>
  <c r="M701" i="82"/>
  <c r="L701" i="82"/>
  <c r="K701" i="82"/>
  <c r="J701" i="82"/>
  <c r="G701" i="82"/>
  <c r="C701" i="82"/>
  <c r="A701" i="82"/>
  <c r="S700" i="82"/>
  <c r="R700" i="82"/>
  <c r="Q700" i="82"/>
  <c r="P700" i="82"/>
  <c r="O700" i="82"/>
  <c r="N700" i="82"/>
  <c r="H700" i="82"/>
  <c r="I700" i="82"/>
  <c r="D700" i="82"/>
  <c r="M700" i="82"/>
  <c r="L700" i="82"/>
  <c r="K700" i="82"/>
  <c r="J700" i="82"/>
  <c r="G700" i="82"/>
  <c r="C700" i="82"/>
  <c r="A700" i="82"/>
  <c r="S699" i="82"/>
  <c r="R699" i="82"/>
  <c r="Q699" i="82"/>
  <c r="P699" i="82"/>
  <c r="O699" i="82"/>
  <c r="N699" i="82"/>
  <c r="H699" i="82"/>
  <c r="I699" i="82"/>
  <c r="D699" i="82"/>
  <c r="M699" i="82"/>
  <c r="L699" i="82"/>
  <c r="K699" i="82"/>
  <c r="J699" i="82"/>
  <c r="G699" i="82"/>
  <c r="C699" i="82"/>
  <c r="A699" i="82"/>
  <c r="S698" i="82"/>
  <c r="R698" i="82"/>
  <c r="Q698" i="82"/>
  <c r="P698" i="82"/>
  <c r="O698" i="82"/>
  <c r="N698" i="82"/>
  <c r="H698" i="82"/>
  <c r="I698" i="82"/>
  <c r="D698" i="82"/>
  <c r="M698" i="82"/>
  <c r="L698" i="82"/>
  <c r="K698" i="82"/>
  <c r="J698" i="82"/>
  <c r="G698" i="82"/>
  <c r="C698" i="82"/>
  <c r="A698" i="82"/>
  <c r="S697" i="82"/>
  <c r="R697" i="82"/>
  <c r="Q697" i="82"/>
  <c r="P697" i="82"/>
  <c r="O697" i="82"/>
  <c r="N697" i="82"/>
  <c r="H697" i="82"/>
  <c r="I697" i="82"/>
  <c r="D697" i="82"/>
  <c r="M697" i="82"/>
  <c r="L697" i="82"/>
  <c r="K697" i="82"/>
  <c r="J697" i="82"/>
  <c r="G697" i="82"/>
  <c r="C697" i="82"/>
  <c r="A697" i="82"/>
  <c r="S696" i="82"/>
  <c r="R696" i="82"/>
  <c r="Q696" i="82"/>
  <c r="P696" i="82"/>
  <c r="O696" i="82"/>
  <c r="N696" i="82"/>
  <c r="H696" i="82"/>
  <c r="I696" i="82"/>
  <c r="D696" i="82"/>
  <c r="M696" i="82"/>
  <c r="L696" i="82"/>
  <c r="K696" i="82"/>
  <c r="J696" i="82"/>
  <c r="G696" i="82"/>
  <c r="C696" i="82"/>
  <c r="A696" i="82"/>
  <c r="S695" i="82"/>
  <c r="R695" i="82"/>
  <c r="Q695" i="82"/>
  <c r="P695" i="82"/>
  <c r="O695" i="82"/>
  <c r="N695" i="82"/>
  <c r="H695" i="82"/>
  <c r="I695" i="82"/>
  <c r="D695" i="82"/>
  <c r="M695" i="82"/>
  <c r="L695" i="82"/>
  <c r="K695" i="82"/>
  <c r="J695" i="82"/>
  <c r="G695" i="82"/>
  <c r="C695" i="82"/>
  <c r="A695" i="82"/>
  <c r="S694" i="82"/>
  <c r="R694" i="82"/>
  <c r="Q694" i="82"/>
  <c r="P694" i="82"/>
  <c r="O694" i="82"/>
  <c r="N694" i="82"/>
  <c r="H694" i="82"/>
  <c r="I694" i="82"/>
  <c r="D694" i="82"/>
  <c r="M694" i="82"/>
  <c r="L694" i="82"/>
  <c r="K694" i="82"/>
  <c r="J694" i="82"/>
  <c r="G694" i="82"/>
  <c r="C694" i="82"/>
  <c r="A694" i="82"/>
  <c r="S693" i="82"/>
  <c r="R693" i="82"/>
  <c r="Q693" i="82"/>
  <c r="P693" i="82"/>
  <c r="O693" i="82"/>
  <c r="N693" i="82"/>
  <c r="H693" i="82"/>
  <c r="I693" i="82"/>
  <c r="D693" i="82"/>
  <c r="M693" i="82"/>
  <c r="L693" i="82"/>
  <c r="K693" i="82"/>
  <c r="J693" i="82"/>
  <c r="G693" i="82"/>
  <c r="C693" i="82"/>
  <c r="A693" i="82"/>
  <c r="S692" i="82"/>
  <c r="R692" i="82"/>
  <c r="Q692" i="82"/>
  <c r="P692" i="82"/>
  <c r="O692" i="82"/>
  <c r="N692" i="82"/>
  <c r="H692" i="82"/>
  <c r="I692" i="82"/>
  <c r="D692" i="82"/>
  <c r="M692" i="82"/>
  <c r="L692" i="82"/>
  <c r="K692" i="82"/>
  <c r="J692" i="82"/>
  <c r="G692" i="82"/>
  <c r="C692" i="82"/>
  <c r="A692" i="82"/>
  <c r="S691" i="82"/>
  <c r="R691" i="82"/>
  <c r="Q691" i="82"/>
  <c r="P691" i="82"/>
  <c r="O691" i="82"/>
  <c r="N691" i="82"/>
  <c r="H691" i="82"/>
  <c r="I691" i="82"/>
  <c r="D691" i="82"/>
  <c r="M691" i="82"/>
  <c r="L691" i="82"/>
  <c r="K691" i="82"/>
  <c r="J691" i="82"/>
  <c r="G691" i="82"/>
  <c r="C691" i="82"/>
  <c r="A691" i="82"/>
  <c r="S690" i="82"/>
  <c r="R690" i="82"/>
  <c r="Q690" i="82"/>
  <c r="P690" i="82"/>
  <c r="O690" i="82"/>
  <c r="N690" i="82"/>
  <c r="H690" i="82"/>
  <c r="I690" i="82"/>
  <c r="D690" i="82"/>
  <c r="M690" i="82"/>
  <c r="L690" i="82"/>
  <c r="K690" i="82"/>
  <c r="J690" i="82"/>
  <c r="G690" i="82"/>
  <c r="C690" i="82"/>
  <c r="A690" i="82"/>
  <c r="S689" i="82"/>
  <c r="R689" i="82"/>
  <c r="Q689" i="82"/>
  <c r="P689" i="82"/>
  <c r="O689" i="82"/>
  <c r="N689" i="82"/>
  <c r="H689" i="82"/>
  <c r="I689" i="82"/>
  <c r="D689" i="82"/>
  <c r="M689" i="82"/>
  <c r="L689" i="82"/>
  <c r="K689" i="82"/>
  <c r="J689" i="82"/>
  <c r="G689" i="82"/>
  <c r="C689" i="82"/>
  <c r="A689" i="82"/>
  <c r="S688" i="82"/>
  <c r="R688" i="82"/>
  <c r="Q688" i="82"/>
  <c r="P688" i="82"/>
  <c r="O688" i="82"/>
  <c r="N688" i="82"/>
  <c r="H688" i="82"/>
  <c r="I688" i="82"/>
  <c r="D688" i="82"/>
  <c r="M688" i="82"/>
  <c r="L688" i="82"/>
  <c r="K688" i="82"/>
  <c r="J688" i="82"/>
  <c r="G688" i="82"/>
  <c r="C688" i="82"/>
  <c r="A688" i="82"/>
  <c r="S687" i="82"/>
  <c r="R687" i="82"/>
  <c r="Q687" i="82"/>
  <c r="P687" i="82"/>
  <c r="O687" i="82"/>
  <c r="N687" i="82"/>
  <c r="H687" i="82"/>
  <c r="I687" i="82"/>
  <c r="D687" i="82"/>
  <c r="M687" i="82"/>
  <c r="L687" i="82"/>
  <c r="K687" i="82"/>
  <c r="J687" i="82"/>
  <c r="G687" i="82"/>
  <c r="C687" i="82"/>
  <c r="A687" i="82"/>
  <c r="S686" i="82"/>
  <c r="R686" i="82"/>
  <c r="Q686" i="82"/>
  <c r="P686" i="82"/>
  <c r="O686" i="82"/>
  <c r="N686" i="82"/>
  <c r="H686" i="82"/>
  <c r="I686" i="82"/>
  <c r="D686" i="82"/>
  <c r="M686" i="82"/>
  <c r="L686" i="82"/>
  <c r="K686" i="82"/>
  <c r="J686" i="82"/>
  <c r="G686" i="82"/>
  <c r="C686" i="82"/>
  <c r="A686" i="82"/>
  <c r="S685" i="82"/>
  <c r="R685" i="82"/>
  <c r="Q685" i="82"/>
  <c r="P685" i="82"/>
  <c r="O685" i="82"/>
  <c r="N685" i="82"/>
  <c r="H685" i="82"/>
  <c r="I685" i="82"/>
  <c r="D685" i="82"/>
  <c r="M685" i="82"/>
  <c r="L685" i="82"/>
  <c r="K685" i="82"/>
  <c r="J685" i="82"/>
  <c r="G685" i="82"/>
  <c r="C685" i="82"/>
  <c r="A685" i="82"/>
  <c r="S684" i="82"/>
  <c r="R684" i="82"/>
  <c r="Q684" i="82"/>
  <c r="P684" i="82"/>
  <c r="O684" i="82"/>
  <c r="N684" i="82"/>
  <c r="H684" i="82"/>
  <c r="I684" i="82"/>
  <c r="D684" i="82"/>
  <c r="M684" i="82"/>
  <c r="L684" i="82"/>
  <c r="K684" i="82"/>
  <c r="J684" i="82"/>
  <c r="G684" i="82"/>
  <c r="C684" i="82"/>
  <c r="A684" i="82"/>
  <c r="S683" i="82"/>
  <c r="R683" i="82"/>
  <c r="Q683" i="82"/>
  <c r="P683" i="82"/>
  <c r="O683" i="82"/>
  <c r="N683" i="82"/>
  <c r="H683" i="82"/>
  <c r="I683" i="82"/>
  <c r="D683" i="82"/>
  <c r="M683" i="82"/>
  <c r="L683" i="82"/>
  <c r="K683" i="82"/>
  <c r="J683" i="82"/>
  <c r="G683" i="82"/>
  <c r="C683" i="82"/>
  <c r="A683" i="82"/>
  <c r="S682" i="82"/>
  <c r="R682" i="82"/>
  <c r="Q682" i="82"/>
  <c r="P682" i="82"/>
  <c r="O682" i="82"/>
  <c r="N682" i="82"/>
  <c r="H682" i="82"/>
  <c r="I682" i="82"/>
  <c r="D682" i="82"/>
  <c r="M682" i="82"/>
  <c r="L682" i="82"/>
  <c r="K682" i="82"/>
  <c r="J682" i="82"/>
  <c r="G682" i="82"/>
  <c r="C682" i="82"/>
  <c r="A682" i="82"/>
  <c r="S681" i="82"/>
  <c r="R681" i="82"/>
  <c r="Q681" i="82"/>
  <c r="P681" i="82"/>
  <c r="O681" i="82"/>
  <c r="N681" i="82"/>
  <c r="H681" i="82"/>
  <c r="I681" i="82"/>
  <c r="D681" i="82"/>
  <c r="M681" i="82"/>
  <c r="L681" i="82"/>
  <c r="K681" i="82"/>
  <c r="J681" i="82"/>
  <c r="G681" i="82"/>
  <c r="C681" i="82"/>
  <c r="A681" i="82"/>
  <c r="S680" i="82"/>
  <c r="R680" i="82"/>
  <c r="Q680" i="82"/>
  <c r="P680" i="82"/>
  <c r="O680" i="82"/>
  <c r="N680" i="82"/>
  <c r="H680" i="82"/>
  <c r="I680" i="82"/>
  <c r="D680" i="82"/>
  <c r="M680" i="82"/>
  <c r="L680" i="82"/>
  <c r="K680" i="82"/>
  <c r="J680" i="82"/>
  <c r="G680" i="82"/>
  <c r="C680" i="82"/>
  <c r="A680" i="82"/>
  <c r="S679" i="82"/>
  <c r="R679" i="82"/>
  <c r="Q679" i="82"/>
  <c r="P679" i="82"/>
  <c r="O679" i="82"/>
  <c r="N679" i="82"/>
  <c r="H679" i="82"/>
  <c r="I679" i="82"/>
  <c r="D679" i="82"/>
  <c r="M679" i="82"/>
  <c r="L679" i="82"/>
  <c r="K679" i="82"/>
  <c r="J679" i="82"/>
  <c r="G679" i="82"/>
  <c r="C679" i="82"/>
  <c r="A679" i="82"/>
  <c r="S678" i="82"/>
  <c r="R678" i="82"/>
  <c r="Q678" i="82"/>
  <c r="P678" i="82"/>
  <c r="O678" i="82"/>
  <c r="N678" i="82"/>
  <c r="H678" i="82"/>
  <c r="I678" i="82"/>
  <c r="D678" i="82"/>
  <c r="M678" i="82"/>
  <c r="L678" i="82"/>
  <c r="K678" i="82"/>
  <c r="J678" i="82"/>
  <c r="G678" i="82"/>
  <c r="C678" i="82"/>
  <c r="A678" i="82"/>
  <c r="S677" i="82"/>
  <c r="R677" i="82"/>
  <c r="Q677" i="82"/>
  <c r="P677" i="82"/>
  <c r="O677" i="82"/>
  <c r="N677" i="82"/>
  <c r="H677" i="82"/>
  <c r="I677" i="82"/>
  <c r="D677" i="82"/>
  <c r="M677" i="82"/>
  <c r="L677" i="82"/>
  <c r="K677" i="82"/>
  <c r="J677" i="82"/>
  <c r="G677" i="82"/>
  <c r="C677" i="82"/>
  <c r="A677" i="82"/>
  <c r="S676" i="82"/>
  <c r="R676" i="82"/>
  <c r="Q676" i="82"/>
  <c r="P676" i="82"/>
  <c r="O676" i="82"/>
  <c r="N676" i="82"/>
  <c r="H676" i="82"/>
  <c r="I676" i="82"/>
  <c r="D676" i="82"/>
  <c r="M676" i="82"/>
  <c r="L676" i="82"/>
  <c r="K676" i="82"/>
  <c r="J676" i="82"/>
  <c r="G676" i="82"/>
  <c r="C676" i="82"/>
  <c r="A676" i="82"/>
  <c r="S675" i="82"/>
  <c r="R675" i="82"/>
  <c r="Q675" i="82"/>
  <c r="P675" i="82"/>
  <c r="O675" i="82"/>
  <c r="N675" i="82"/>
  <c r="H675" i="82"/>
  <c r="I675" i="82"/>
  <c r="D675" i="82"/>
  <c r="M675" i="82"/>
  <c r="L675" i="82"/>
  <c r="K675" i="82"/>
  <c r="J675" i="82"/>
  <c r="G675" i="82"/>
  <c r="C675" i="82"/>
  <c r="A675" i="82"/>
  <c r="S674" i="82"/>
  <c r="R674" i="82"/>
  <c r="Q674" i="82"/>
  <c r="P674" i="82"/>
  <c r="O674" i="82"/>
  <c r="N674" i="82"/>
  <c r="H674" i="82"/>
  <c r="I674" i="82"/>
  <c r="D674" i="82"/>
  <c r="M674" i="82"/>
  <c r="L674" i="82"/>
  <c r="K674" i="82"/>
  <c r="J674" i="82"/>
  <c r="G674" i="82"/>
  <c r="C674" i="82"/>
  <c r="A674" i="82"/>
  <c r="S673" i="82"/>
  <c r="R673" i="82"/>
  <c r="Q673" i="82"/>
  <c r="P673" i="82"/>
  <c r="O673" i="82"/>
  <c r="N673" i="82"/>
  <c r="H673" i="82"/>
  <c r="I673" i="82"/>
  <c r="D673" i="82"/>
  <c r="M673" i="82"/>
  <c r="L673" i="82"/>
  <c r="K673" i="82"/>
  <c r="J673" i="82"/>
  <c r="G673" i="82"/>
  <c r="C673" i="82"/>
  <c r="A673" i="82"/>
  <c r="S672" i="82"/>
  <c r="R672" i="82"/>
  <c r="Q672" i="82"/>
  <c r="P672" i="82"/>
  <c r="O672" i="82"/>
  <c r="N672" i="82"/>
  <c r="H672" i="82"/>
  <c r="I672" i="82"/>
  <c r="D672" i="82"/>
  <c r="M672" i="82"/>
  <c r="L672" i="82"/>
  <c r="K672" i="82"/>
  <c r="J672" i="82"/>
  <c r="G672" i="82"/>
  <c r="C672" i="82"/>
  <c r="A672" i="82"/>
  <c r="S671" i="82"/>
  <c r="R671" i="82"/>
  <c r="Q671" i="82"/>
  <c r="P671" i="82"/>
  <c r="O671" i="82"/>
  <c r="N671" i="82"/>
  <c r="H671" i="82"/>
  <c r="I671" i="82"/>
  <c r="D671" i="82"/>
  <c r="M671" i="82"/>
  <c r="L671" i="82"/>
  <c r="K671" i="82"/>
  <c r="J671" i="82"/>
  <c r="G671" i="82"/>
  <c r="C671" i="82"/>
  <c r="A671" i="82"/>
  <c r="S670" i="82"/>
  <c r="R670" i="82"/>
  <c r="Q670" i="82"/>
  <c r="P670" i="82"/>
  <c r="O670" i="82"/>
  <c r="N670" i="82"/>
  <c r="H670" i="82"/>
  <c r="I670" i="82"/>
  <c r="D670" i="82"/>
  <c r="M670" i="82"/>
  <c r="L670" i="82"/>
  <c r="K670" i="82"/>
  <c r="J670" i="82"/>
  <c r="G670" i="82"/>
  <c r="C670" i="82"/>
  <c r="A670" i="82"/>
  <c r="S669" i="82"/>
  <c r="R669" i="82"/>
  <c r="Q669" i="82"/>
  <c r="P669" i="82"/>
  <c r="O669" i="82"/>
  <c r="N669" i="82"/>
  <c r="H669" i="82"/>
  <c r="I669" i="82"/>
  <c r="D669" i="82"/>
  <c r="M669" i="82"/>
  <c r="L669" i="82"/>
  <c r="K669" i="82"/>
  <c r="J669" i="82"/>
  <c r="G669" i="82"/>
  <c r="C669" i="82"/>
  <c r="A669" i="82"/>
  <c r="S668" i="82"/>
  <c r="R668" i="82"/>
  <c r="Q668" i="82"/>
  <c r="P668" i="82"/>
  <c r="O668" i="82"/>
  <c r="N668" i="82"/>
  <c r="H668" i="82"/>
  <c r="I668" i="82"/>
  <c r="D668" i="82"/>
  <c r="M668" i="82"/>
  <c r="L668" i="82"/>
  <c r="K668" i="82"/>
  <c r="J668" i="82"/>
  <c r="G668" i="82"/>
  <c r="C668" i="82"/>
  <c r="A668" i="82"/>
  <c r="S667" i="82"/>
  <c r="R667" i="82"/>
  <c r="Q667" i="82"/>
  <c r="P667" i="82"/>
  <c r="O667" i="82"/>
  <c r="N667" i="82"/>
  <c r="H667" i="82"/>
  <c r="I667" i="82"/>
  <c r="D667" i="82"/>
  <c r="M667" i="82"/>
  <c r="L667" i="82"/>
  <c r="K667" i="82"/>
  <c r="J667" i="82"/>
  <c r="G667" i="82"/>
  <c r="C667" i="82"/>
  <c r="A667" i="82"/>
  <c r="S666" i="82"/>
  <c r="R666" i="82"/>
  <c r="Q666" i="82"/>
  <c r="P666" i="82"/>
  <c r="O666" i="82"/>
  <c r="N666" i="82"/>
  <c r="H666" i="82"/>
  <c r="I666" i="82"/>
  <c r="D666" i="82"/>
  <c r="M666" i="82"/>
  <c r="L666" i="82"/>
  <c r="K666" i="82"/>
  <c r="J666" i="82"/>
  <c r="G666" i="82"/>
  <c r="C666" i="82"/>
  <c r="A666" i="82"/>
  <c r="S665" i="82"/>
  <c r="R665" i="82"/>
  <c r="Q665" i="82"/>
  <c r="P665" i="82"/>
  <c r="O665" i="82"/>
  <c r="N665" i="82"/>
  <c r="H665" i="82"/>
  <c r="I665" i="82"/>
  <c r="D665" i="82"/>
  <c r="M665" i="82"/>
  <c r="L665" i="82"/>
  <c r="K665" i="82"/>
  <c r="J665" i="82"/>
  <c r="G665" i="82"/>
  <c r="C665" i="82"/>
  <c r="A665" i="82"/>
  <c r="S664" i="82"/>
  <c r="R664" i="82"/>
  <c r="Q664" i="82"/>
  <c r="P664" i="82"/>
  <c r="O664" i="82"/>
  <c r="N664" i="82"/>
  <c r="H664" i="82"/>
  <c r="I664" i="82"/>
  <c r="D664" i="82"/>
  <c r="M664" i="82"/>
  <c r="L664" i="82"/>
  <c r="K664" i="82"/>
  <c r="J664" i="82"/>
  <c r="G664" i="82"/>
  <c r="C664" i="82"/>
  <c r="A664" i="82"/>
  <c r="S663" i="82"/>
  <c r="R663" i="82"/>
  <c r="Q663" i="82"/>
  <c r="P663" i="82"/>
  <c r="O663" i="82"/>
  <c r="N663" i="82"/>
  <c r="H663" i="82"/>
  <c r="I663" i="82"/>
  <c r="D663" i="82"/>
  <c r="M663" i="82"/>
  <c r="L663" i="82"/>
  <c r="K663" i="82"/>
  <c r="J663" i="82"/>
  <c r="G663" i="82"/>
  <c r="C663" i="82"/>
  <c r="A663" i="82"/>
  <c r="S662" i="82"/>
  <c r="R662" i="82"/>
  <c r="Q662" i="82"/>
  <c r="P662" i="82"/>
  <c r="O662" i="82"/>
  <c r="N662" i="82"/>
  <c r="H662" i="82"/>
  <c r="I662" i="82"/>
  <c r="D662" i="82"/>
  <c r="M662" i="82"/>
  <c r="L662" i="82"/>
  <c r="K662" i="82"/>
  <c r="J662" i="82"/>
  <c r="G662" i="82"/>
  <c r="C662" i="82"/>
  <c r="A662" i="82"/>
  <c r="S661" i="82"/>
  <c r="R661" i="82"/>
  <c r="Q661" i="82"/>
  <c r="P661" i="82"/>
  <c r="O661" i="82"/>
  <c r="N661" i="82"/>
  <c r="H661" i="82"/>
  <c r="I661" i="82"/>
  <c r="D661" i="82"/>
  <c r="M661" i="82"/>
  <c r="L661" i="82"/>
  <c r="K661" i="82"/>
  <c r="J661" i="82"/>
  <c r="G661" i="82"/>
  <c r="C661" i="82"/>
  <c r="A661" i="82"/>
  <c r="S660" i="82"/>
  <c r="R660" i="82"/>
  <c r="Q660" i="82"/>
  <c r="P660" i="82"/>
  <c r="O660" i="82"/>
  <c r="N660" i="82"/>
  <c r="H660" i="82"/>
  <c r="I660" i="82"/>
  <c r="D660" i="82"/>
  <c r="M660" i="82"/>
  <c r="L660" i="82"/>
  <c r="K660" i="82"/>
  <c r="J660" i="82"/>
  <c r="G660" i="82"/>
  <c r="C660" i="82"/>
  <c r="A660" i="82"/>
  <c r="S659" i="82"/>
  <c r="R659" i="82"/>
  <c r="Q659" i="82"/>
  <c r="P659" i="82"/>
  <c r="O659" i="82"/>
  <c r="N659" i="82"/>
  <c r="H659" i="82"/>
  <c r="I659" i="82"/>
  <c r="D659" i="82"/>
  <c r="M659" i="82"/>
  <c r="L659" i="82"/>
  <c r="K659" i="82"/>
  <c r="J659" i="82"/>
  <c r="G659" i="82"/>
  <c r="C659" i="82"/>
  <c r="A659" i="82"/>
  <c r="S658" i="82"/>
  <c r="R658" i="82"/>
  <c r="Q658" i="82"/>
  <c r="P658" i="82"/>
  <c r="O658" i="82"/>
  <c r="N658" i="82"/>
  <c r="H658" i="82"/>
  <c r="I658" i="82"/>
  <c r="D658" i="82"/>
  <c r="M658" i="82"/>
  <c r="L658" i="82"/>
  <c r="K658" i="82"/>
  <c r="J658" i="82"/>
  <c r="G658" i="82"/>
  <c r="C658" i="82"/>
  <c r="A658" i="82"/>
  <c r="S657" i="82"/>
  <c r="R657" i="82"/>
  <c r="Q657" i="82"/>
  <c r="P657" i="82"/>
  <c r="O657" i="82"/>
  <c r="N657" i="82"/>
  <c r="H657" i="82"/>
  <c r="I657" i="82"/>
  <c r="D657" i="82"/>
  <c r="M657" i="82"/>
  <c r="L657" i="82"/>
  <c r="K657" i="82"/>
  <c r="J657" i="82"/>
  <c r="G657" i="82"/>
  <c r="C657" i="82"/>
  <c r="A657" i="82"/>
  <c r="S656" i="82"/>
  <c r="R656" i="82"/>
  <c r="Q656" i="82"/>
  <c r="P656" i="82"/>
  <c r="O656" i="82"/>
  <c r="N656" i="82"/>
  <c r="H656" i="82"/>
  <c r="I656" i="82"/>
  <c r="D656" i="82"/>
  <c r="M656" i="82"/>
  <c r="L656" i="82"/>
  <c r="K656" i="82"/>
  <c r="J656" i="82"/>
  <c r="G656" i="82"/>
  <c r="C656" i="82"/>
  <c r="A656" i="82"/>
  <c r="S655" i="82"/>
  <c r="R655" i="82"/>
  <c r="Q655" i="82"/>
  <c r="P655" i="82"/>
  <c r="O655" i="82"/>
  <c r="N655" i="82"/>
  <c r="H655" i="82"/>
  <c r="I655" i="82"/>
  <c r="D655" i="82"/>
  <c r="M655" i="82"/>
  <c r="L655" i="82"/>
  <c r="K655" i="82"/>
  <c r="J655" i="82"/>
  <c r="G655" i="82"/>
  <c r="C655" i="82"/>
  <c r="A655" i="82"/>
  <c r="S654" i="82"/>
  <c r="R654" i="82"/>
  <c r="Q654" i="82"/>
  <c r="P654" i="82"/>
  <c r="O654" i="82"/>
  <c r="N654" i="82"/>
  <c r="H654" i="82"/>
  <c r="I654" i="82"/>
  <c r="D654" i="82"/>
  <c r="M654" i="82"/>
  <c r="L654" i="82"/>
  <c r="K654" i="82"/>
  <c r="J654" i="82"/>
  <c r="G654" i="82"/>
  <c r="C654" i="82"/>
  <c r="A654" i="82"/>
  <c r="S653" i="82"/>
  <c r="R653" i="82"/>
  <c r="Q653" i="82"/>
  <c r="P653" i="82"/>
  <c r="O653" i="82"/>
  <c r="N653" i="82"/>
  <c r="H653" i="82"/>
  <c r="I653" i="82"/>
  <c r="D653" i="82"/>
  <c r="M653" i="82"/>
  <c r="L653" i="82"/>
  <c r="K653" i="82"/>
  <c r="J653" i="82"/>
  <c r="G653" i="82"/>
  <c r="C653" i="82"/>
  <c r="A653" i="82"/>
  <c r="S652" i="82"/>
  <c r="R652" i="82"/>
  <c r="Q652" i="82"/>
  <c r="P652" i="82"/>
  <c r="O652" i="82"/>
  <c r="N652" i="82"/>
  <c r="H652" i="82"/>
  <c r="I652" i="82"/>
  <c r="D652" i="82"/>
  <c r="M652" i="82"/>
  <c r="L652" i="82"/>
  <c r="K652" i="82"/>
  <c r="J652" i="82"/>
  <c r="G652" i="82"/>
  <c r="C652" i="82"/>
  <c r="A652" i="82"/>
  <c r="S651" i="82"/>
  <c r="R651" i="82"/>
  <c r="Q651" i="82"/>
  <c r="P651" i="82"/>
  <c r="O651" i="82"/>
  <c r="N651" i="82"/>
  <c r="H651" i="82"/>
  <c r="I651" i="82"/>
  <c r="D651" i="82"/>
  <c r="M651" i="82"/>
  <c r="L651" i="82"/>
  <c r="K651" i="82"/>
  <c r="J651" i="82"/>
  <c r="G651" i="82"/>
  <c r="C651" i="82"/>
  <c r="A651" i="82"/>
  <c r="S650" i="82"/>
  <c r="R650" i="82"/>
  <c r="Q650" i="82"/>
  <c r="P650" i="82"/>
  <c r="O650" i="82"/>
  <c r="N650" i="82"/>
  <c r="H650" i="82"/>
  <c r="I650" i="82"/>
  <c r="D650" i="82"/>
  <c r="M650" i="82"/>
  <c r="L650" i="82"/>
  <c r="K650" i="82"/>
  <c r="J650" i="82"/>
  <c r="G650" i="82"/>
  <c r="C650" i="82"/>
  <c r="A650" i="82"/>
  <c r="S649" i="82"/>
  <c r="R649" i="82"/>
  <c r="Q649" i="82"/>
  <c r="P649" i="82"/>
  <c r="O649" i="82"/>
  <c r="N649" i="82"/>
  <c r="H649" i="82"/>
  <c r="I649" i="82"/>
  <c r="D649" i="82"/>
  <c r="M649" i="82"/>
  <c r="L649" i="82"/>
  <c r="K649" i="82"/>
  <c r="J649" i="82"/>
  <c r="G649" i="82"/>
  <c r="C649" i="82"/>
  <c r="A649" i="82"/>
  <c r="S648" i="82"/>
  <c r="R648" i="82"/>
  <c r="Q648" i="82"/>
  <c r="P648" i="82"/>
  <c r="O648" i="82"/>
  <c r="N648" i="82"/>
  <c r="H648" i="82"/>
  <c r="I648" i="82"/>
  <c r="D648" i="82"/>
  <c r="M648" i="82"/>
  <c r="L648" i="82"/>
  <c r="K648" i="82"/>
  <c r="J648" i="82"/>
  <c r="G648" i="82"/>
  <c r="C648" i="82"/>
  <c r="A648" i="82"/>
  <c r="S647" i="82"/>
  <c r="R647" i="82"/>
  <c r="Q647" i="82"/>
  <c r="P647" i="82"/>
  <c r="O647" i="82"/>
  <c r="N647" i="82"/>
  <c r="H647" i="82"/>
  <c r="I647" i="82"/>
  <c r="D647" i="82"/>
  <c r="M647" i="82"/>
  <c r="L647" i="82"/>
  <c r="K647" i="82"/>
  <c r="J647" i="82"/>
  <c r="G647" i="82"/>
  <c r="C647" i="82"/>
  <c r="A647" i="82"/>
  <c r="S646" i="82"/>
  <c r="R646" i="82"/>
  <c r="Q646" i="82"/>
  <c r="P646" i="82"/>
  <c r="O646" i="82"/>
  <c r="N646" i="82"/>
  <c r="H646" i="82"/>
  <c r="I646" i="82"/>
  <c r="D646" i="82"/>
  <c r="M646" i="82"/>
  <c r="L646" i="82"/>
  <c r="K646" i="82"/>
  <c r="J646" i="82"/>
  <c r="G646" i="82"/>
  <c r="C646" i="82"/>
  <c r="A646" i="82"/>
  <c r="S645" i="82"/>
  <c r="R645" i="82"/>
  <c r="Q645" i="82"/>
  <c r="P645" i="82"/>
  <c r="O645" i="82"/>
  <c r="N645" i="82"/>
  <c r="H645" i="82"/>
  <c r="I645" i="82"/>
  <c r="D645" i="82"/>
  <c r="M645" i="82"/>
  <c r="L645" i="82"/>
  <c r="K645" i="82"/>
  <c r="J645" i="82"/>
  <c r="G645" i="82"/>
  <c r="C645" i="82"/>
  <c r="A645" i="82"/>
  <c r="S644" i="82"/>
  <c r="R644" i="82"/>
  <c r="Q644" i="82"/>
  <c r="P644" i="82"/>
  <c r="O644" i="82"/>
  <c r="N644" i="82"/>
  <c r="H644" i="82"/>
  <c r="I644" i="82"/>
  <c r="D644" i="82"/>
  <c r="M644" i="82"/>
  <c r="L644" i="82"/>
  <c r="K644" i="82"/>
  <c r="J644" i="82"/>
  <c r="G644" i="82"/>
  <c r="C644" i="82"/>
  <c r="A644" i="82"/>
  <c r="S643" i="82"/>
  <c r="R643" i="82"/>
  <c r="Q643" i="82"/>
  <c r="P643" i="82"/>
  <c r="O643" i="82"/>
  <c r="N643" i="82"/>
  <c r="H643" i="82"/>
  <c r="I643" i="82"/>
  <c r="D643" i="82"/>
  <c r="M643" i="82"/>
  <c r="L643" i="82"/>
  <c r="K643" i="82"/>
  <c r="J643" i="82"/>
  <c r="G643" i="82"/>
  <c r="C643" i="82"/>
  <c r="A643" i="82"/>
  <c r="S642" i="82"/>
  <c r="R642" i="82"/>
  <c r="Q642" i="82"/>
  <c r="P642" i="82"/>
  <c r="O642" i="82"/>
  <c r="N642" i="82"/>
  <c r="H642" i="82"/>
  <c r="I642" i="82"/>
  <c r="D642" i="82"/>
  <c r="M642" i="82"/>
  <c r="L642" i="82"/>
  <c r="K642" i="82"/>
  <c r="J642" i="82"/>
  <c r="G642" i="82"/>
  <c r="C642" i="82"/>
  <c r="A642" i="82"/>
  <c r="S641" i="82"/>
  <c r="R641" i="82"/>
  <c r="Q641" i="82"/>
  <c r="P641" i="82"/>
  <c r="O641" i="82"/>
  <c r="N641" i="82"/>
  <c r="H641" i="82"/>
  <c r="I641" i="82"/>
  <c r="D641" i="82"/>
  <c r="M641" i="82"/>
  <c r="L641" i="82"/>
  <c r="K641" i="82"/>
  <c r="J641" i="82"/>
  <c r="G641" i="82"/>
  <c r="C641" i="82"/>
  <c r="A641" i="82"/>
  <c r="S640" i="82"/>
  <c r="R640" i="82"/>
  <c r="Q640" i="82"/>
  <c r="P640" i="82"/>
  <c r="O640" i="82"/>
  <c r="N640" i="82"/>
  <c r="H640" i="82"/>
  <c r="I640" i="82"/>
  <c r="D640" i="82"/>
  <c r="M640" i="82"/>
  <c r="L640" i="82"/>
  <c r="K640" i="82"/>
  <c r="J640" i="82"/>
  <c r="G640" i="82"/>
  <c r="C640" i="82"/>
  <c r="A640" i="82"/>
  <c r="S639" i="82"/>
  <c r="R639" i="82"/>
  <c r="Q639" i="82"/>
  <c r="P639" i="82"/>
  <c r="O639" i="82"/>
  <c r="N639" i="82"/>
  <c r="H639" i="82"/>
  <c r="I639" i="82"/>
  <c r="D639" i="82"/>
  <c r="M639" i="82"/>
  <c r="L639" i="82"/>
  <c r="K639" i="82"/>
  <c r="J639" i="82"/>
  <c r="G639" i="82"/>
  <c r="C639" i="82"/>
  <c r="A639" i="82"/>
  <c r="S638" i="82"/>
  <c r="R638" i="82"/>
  <c r="Q638" i="82"/>
  <c r="P638" i="82"/>
  <c r="O638" i="82"/>
  <c r="N638" i="82"/>
  <c r="H638" i="82"/>
  <c r="I638" i="82"/>
  <c r="D638" i="82"/>
  <c r="M638" i="82"/>
  <c r="L638" i="82"/>
  <c r="K638" i="82"/>
  <c r="J638" i="82"/>
  <c r="G638" i="82"/>
  <c r="C638" i="82"/>
  <c r="A638" i="82"/>
  <c r="S637" i="82"/>
  <c r="R637" i="82"/>
  <c r="Q637" i="82"/>
  <c r="P637" i="82"/>
  <c r="O637" i="82"/>
  <c r="N637" i="82"/>
  <c r="H637" i="82"/>
  <c r="I637" i="82"/>
  <c r="D637" i="82"/>
  <c r="M637" i="82"/>
  <c r="L637" i="82"/>
  <c r="K637" i="82"/>
  <c r="J637" i="82"/>
  <c r="G637" i="82"/>
  <c r="C637" i="82"/>
  <c r="A637" i="82"/>
  <c r="S636" i="82"/>
  <c r="R636" i="82"/>
  <c r="Q636" i="82"/>
  <c r="P636" i="82"/>
  <c r="O636" i="82"/>
  <c r="N636" i="82"/>
  <c r="H636" i="82"/>
  <c r="I636" i="82"/>
  <c r="D636" i="82"/>
  <c r="M636" i="82"/>
  <c r="L636" i="82"/>
  <c r="K636" i="82"/>
  <c r="J636" i="82"/>
  <c r="G636" i="82"/>
  <c r="C636" i="82"/>
  <c r="A636" i="82"/>
  <c r="S635" i="82"/>
  <c r="R635" i="82"/>
  <c r="Q635" i="82"/>
  <c r="P635" i="82"/>
  <c r="O635" i="82"/>
  <c r="N635" i="82"/>
  <c r="H635" i="82"/>
  <c r="I635" i="82"/>
  <c r="D635" i="82"/>
  <c r="M635" i="82"/>
  <c r="L635" i="82"/>
  <c r="K635" i="82"/>
  <c r="J635" i="82"/>
  <c r="G635" i="82"/>
  <c r="C635" i="82"/>
  <c r="A635" i="82"/>
  <c r="S634" i="82"/>
  <c r="R634" i="82"/>
  <c r="Q634" i="82"/>
  <c r="P634" i="82"/>
  <c r="O634" i="82"/>
  <c r="N634" i="82"/>
  <c r="H634" i="82"/>
  <c r="I634" i="82"/>
  <c r="D634" i="82"/>
  <c r="M634" i="82"/>
  <c r="L634" i="82"/>
  <c r="K634" i="82"/>
  <c r="J634" i="82"/>
  <c r="G634" i="82"/>
  <c r="C634" i="82"/>
  <c r="A634" i="82"/>
  <c r="S633" i="82"/>
  <c r="R633" i="82"/>
  <c r="Q633" i="82"/>
  <c r="P633" i="82"/>
  <c r="O633" i="82"/>
  <c r="N633" i="82"/>
  <c r="H633" i="82"/>
  <c r="I633" i="82"/>
  <c r="D633" i="82"/>
  <c r="M633" i="82"/>
  <c r="L633" i="82"/>
  <c r="K633" i="82"/>
  <c r="J633" i="82"/>
  <c r="G633" i="82"/>
  <c r="C633" i="82"/>
  <c r="A633" i="82"/>
  <c r="S632" i="82"/>
  <c r="R632" i="82"/>
  <c r="Q632" i="82"/>
  <c r="P632" i="82"/>
  <c r="O632" i="82"/>
  <c r="N632" i="82"/>
  <c r="H632" i="82"/>
  <c r="I632" i="82"/>
  <c r="D632" i="82"/>
  <c r="M632" i="82"/>
  <c r="L632" i="82"/>
  <c r="K632" i="82"/>
  <c r="J632" i="82"/>
  <c r="G632" i="82"/>
  <c r="C632" i="82"/>
  <c r="A632" i="82"/>
  <c r="S631" i="82"/>
  <c r="R631" i="82"/>
  <c r="Q631" i="82"/>
  <c r="P631" i="82"/>
  <c r="O631" i="82"/>
  <c r="N631" i="82"/>
  <c r="H631" i="82"/>
  <c r="I631" i="82"/>
  <c r="D631" i="82"/>
  <c r="M631" i="82"/>
  <c r="L631" i="82"/>
  <c r="K631" i="82"/>
  <c r="J631" i="82"/>
  <c r="G631" i="82"/>
  <c r="C631" i="82"/>
  <c r="A631" i="82"/>
  <c r="S630" i="82"/>
  <c r="R630" i="82"/>
  <c r="Q630" i="82"/>
  <c r="P630" i="82"/>
  <c r="O630" i="82"/>
  <c r="N630" i="82"/>
  <c r="H630" i="82"/>
  <c r="I630" i="82"/>
  <c r="D630" i="82"/>
  <c r="M630" i="82"/>
  <c r="L630" i="82"/>
  <c r="K630" i="82"/>
  <c r="J630" i="82"/>
  <c r="G630" i="82"/>
  <c r="C630" i="82"/>
  <c r="A630" i="82"/>
  <c r="S629" i="82"/>
  <c r="R629" i="82"/>
  <c r="Q629" i="82"/>
  <c r="P629" i="82"/>
  <c r="O629" i="82"/>
  <c r="N629" i="82"/>
  <c r="H629" i="82"/>
  <c r="I629" i="82"/>
  <c r="D629" i="82"/>
  <c r="M629" i="82"/>
  <c r="L629" i="82"/>
  <c r="K629" i="82"/>
  <c r="J629" i="82"/>
  <c r="G629" i="82"/>
  <c r="C629" i="82"/>
  <c r="A629" i="82"/>
  <c r="S628" i="82"/>
  <c r="R628" i="82"/>
  <c r="Q628" i="82"/>
  <c r="P628" i="82"/>
  <c r="O628" i="82"/>
  <c r="N628" i="82"/>
  <c r="H628" i="82"/>
  <c r="I628" i="82"/>
  <c r="D628" i="82"/>
  <c r="M628" i="82"/>
  <c r="L628" i="82"/>
  <c r="K628" i="82"/>
  <c r="J628" i="82"/>
  <c r="G628" i="82"/>
  <c r="C628" i="82"/>
  <c r="A628" i="82"/>
  <c r="S627" i="82"/>
  <c r="R627" i="82"/>
  <c r="Q627" i="82"/>
  <c r="P627" i="82"/>
  <c r="O627" i="82"/>
  <c r="N627" i="82"/>
  <c r="H627" i="82"/>
  <c r="I627" i="82"/>
  <c r="D627" i="82"/>
  <c r="M627" i="82"/>
  <c r="L627" i="82"/>
  <c r="K627" i="82"/>
  <c r="J627" i="82"/>
  <c r="G627" i="82"/>
  <c r="C627" i="82"/>
  <c r="A627" i="82"/>
  <c r="S626" i="82"/>
  <c r="R626" i="82"/>
  <c r="Q626" i="82"/>
  <c r="P626" i="82"/>
  <c r="O626" i="82"/>
  <c r="N626" i="82"/>
  <c r="H626" i="82"/>
  <c r="I626" i="82"/>
  <c r="D626" i="82"/>
  <c r="M626" i="82"/>
  <c r="L626" i="82"/>
  <c r="K626" i="82"/>
  <c r="J626" i="82"/>
  <c r="G626" i="82"/>
  <c r="C626" i="82"/>
  <c r="A626" i="82"/>
  <c r="S625" i="82"/>
  <c r="R625" i="82"/>
  <c r="Q625" i="82"/>
  <c r="P625" i="82"/>
  <c r="O625" i="82"/>
  <c r="N625" i="82"/>
  <c r="H625" i="82"/>
  <c r="I625" i="82"/>
  <c r="D625" i="82"/>
  <c r="M625" i="82"/>
  <c r="L625" i="82"/>
  <c r="K625" i="82"/>
  <c r="J625" i="82"/>
  <c r="G625" i="82"/>
  <c r="C625" i="82"/>
  <c r="A625" i="82"/>
  <c r="S624" i="82"/>
  <c r="R624" i="82"/>
  <c r="Q624" i="82"/>
  <c r="P624" i="82"/>
  <c r="O624" i="82"/>
  <c r="N624" i="82"/>
  <c r="H624" i="82"/>
  <c r="I624" i="82"/>
  <c r="D624" i="82"/>
  <c r="M624" i="82"/>
  <c r="L624" i="82"/>
  <c r="K624" i="82"/>
  <c r="J624" i="82"/>
  <c r="G624" i="82"/>
  <c r="C624" i="82"/>
  <c r="A624" i="82"/>
  <c r="S623" i="82"/>
  <c r="R623" i="82"/>
  <c r="Q623" i="82"/>
  <c r="P623" i="82"/>
  <c r="O623" i="82"/>
  <c r="N623" i="82"/>
  <c r="H623" i="82"/>
  <c r="I623" i="82"/>
  <c r="D623" i="82"/>
  <c r="M623" i="82"/>
  <c r="L623" i="82"/>
  <c r="K623" i="82"/>
  <c r="J623" i="82"/>
  <c r="G623" i="82"/>
  <c r="C623" i="82"/>
  <c r="A623" i="82"/>
  <c r="S622" i="82"/>
  <c r="R622" i="82"/>
  <c r="Q622" i="82"/>
  <c r="P622" i="82"/>
  <c r="O622" i="82"/>
  <c r="N622" i="82"/>
  <c r="H622" i="82"/>
  <c r="I622" i="82"/>
  <c r="D622" i="82"/>
  <c r="M622" i="82"/>
  <c r="L622" i="82"/>
  <c r="K622" i="82"/>
  <c r="J622" i="82"/>
  <c r="G622" i="82"/>
  <c r="C622" i="82"/>
  <c r="A622" i="82"/>
  <c r="S621" i="82"/>
  <c r="R621" i="82"/>
  <c r="Q621" i="82"/>
  <c r="P621" i="82"/>
  <c r="O621" i="82"/>
  <c r="N621" i="82"/>
  <c r="H621" i="82"/>
  <c r="I621" i="82"/>
  <c r="D621" i="82"/>
  <c r="M621" i="82"/>
  <c r="L621" i="82"/>
  <c r="K621" i="82"/>
  <c r="J621" i="82"/>
  <c r="G621" i="82"/>
  <c r="C621" i="82"/>
  <c r="A621" i="82"/>
  <c r="S620" i="82"/>
  <c r="R620" i="82"/>
  <c r="Q620" i="82"/>
  <c r="P620" i="82"/>
  <c r="O620" i="82"/>
  <c r="N620" i="82"/>
  <c r="H620" i="82"/>
  <c r="I620" i="82"/>
  <c r="D620" i="82"/>
  <c r="M620" i="82"/>
  <c r="L620" i="82"/>
  <c r="K620" i="82"/>
  <c r="J620" i="82"/>
  <c r="G620" i="82"/>
  <c r="C620" i="82"/>
  <c r="A620" i="82"/>
  <c r="S619" i="82"/>
  <c r="R619" i="82"/>
  <c r="Q619" i="82"/>
  <c r="P619" i="82"/>
  <c r="O619" i="82"/>
  <c r="N619" i="82"/>
  <c r="H619" i="82"/>
  <c r="I619" i="82"/>
  <c r="D619" i="82"/>
  <c r="M619" i="82"/>
  <c r="L619" i="82"/>
  <c r="K619" i="82"/>
  <c r="J619" i="82"/>
  <c r="G619" i="82"/>
  <c r="C619" i="82"/>
  <c r="A619" i="82"/>
  <c r="S618" i="82"/>
  <c r="R618" i="82"/>
  <c r="Q618" i="82"/>
  <c r="P618" i="82"/>
  <c r="O618" i="82"/>
  <c r="N618" i="82"/>
  <c r="H618" i="82"/>
  <c r="I618" i="82"/>
  <c r="D618" i="82"/>
  <c r="M618" i="82"/>
  <c r="L618" i="82"/>
  <c r="K618" i="82"/>
  <c r="J618" i="82"/>
  <c r="G618" i="82"/>
  <c r="C618" i="82"/>
  <c r="A618" i="82"/>
  <c r="S617" i="82"/>
  <c r="R617" i="82"/>
  <c r="Q617" i="82"/>
  <c r="P617" i="82"/>
  <c r="O617" i="82"/>
  <c r="N617" i="82"/>
  <c r="H617" i="82"/>
  <c r="I617" i="82"/>
  <c r="D617" i="82"/>
  <c r="M617" i="82"/>
  <c r="L617" i="82"/>
  <c r="K617" i="82"/>
  <c r="J617" i="82"/>
  <c r="G617" i="82"/>
  <c r="C617" i="82"/>
  <c r="A617" i="82"/>
  <c r="S616" i="82"/>
  <c r="R616" i="82"/>
  <c r="Q616" i="82"/>
  <c r="P616" i="82"/>
  <c r="O616" i="82"/>
  <c r="N616" i="82"/>
  <c r="H616" i="82"/>
  <c r="I616" i="82"/>
  <c r="D616" i="82"/>
  <c r="M616" i="82"/>
  <c r="L616" i="82"/>
  <c r="K616" i="82"/>
  <c r="J616" i="82"/>
  <c r="G616" i="82"/>
  <c r="C616" i="82"/>
  <c r="A616" i="82"/>
  <c r="S615" i="82"/>
  <c r="R615" i="82"/>
  <c r="Q615" i="82"/>
  <c r="P615" i="82"/>
  <c r="O615" i="82"/>
  <c r="N615" i="82"/>
  <c r="H615" i="82"/>
  <c r="I615" i="82"/>
  <c r="D615" i="82"/>
  <c r="M615" i="82"/>
  <c r="L615" i="82"/>
  <c r="K615" i="82"/>
  <c r="J615" i="82"/>
  <c r="G615" i="82"/>
  <c r="C615" i="82"/>
  <c r="A615" i="82"/>
  <c r="S614" i="82"/>
  <c r="R614" i="82"/>
  <c r="Q614" i="82"/>
  <c r="P614" i="82"/>
  <c r="O614" i="82"/>
  <c r="N614" i="82"/>
  <c r="H614" i="82"/>
  <c r="I614" i="82"/>
  <c r="D614" i="82"/>
  <c r="M614" i="82"/>
  <c r="L614" i="82"/>
  <c r="K614" i="82"/>
  <c r="J614" i="82"/>
  <c r="G614" i="82"/>
  <c r="C614" i="82"/>
  <c r="A614" i="82"/>
  <c r="S613" i="82"/>
  <c r="R613" i="82"/>
  <c r="Q613" i="82"/>
  <c r="P613" i="82"/>
  <c r="O613" i="82"/>
  <c r="N613" i="82"/>
  <c r="H613" i="82"/>
  <c r="I613" i="82"/>
  <c r="D613" i="82"/>
  <c r="M613" i="82"/>
  <c r="L613" i="82"/>
  <c r="K613" i="82"/>
  <c r="J613" i="82"/>
  <c r="G613" i="82"/>
  <c r="C613" i="82"/>
  <c r="A613" i="82"/>
  <c r="S612" i="82"/>
  <c r="R612" i="82"/>
  <c r="Q612" i="82"/>
  <c r="P612" i="82"/>
  <c r="O612" i="82"/>
  <c r="N612" i="82"/>
  <c r="H612" i="82"/>
  <c r="I612" i="82"/>
  <c r="D612" i="82"/>
  <c r="M612" i="82"/>
  <c r="L612" i="82"/>
  <c r="K612" i="82"/>
  <c r="J612" i="82"/>
  <c r="G612" i="82"/>
  <c r="C612" i="82"/>
  <c r="A612" i="82"/>
  <c r="S611" i="82"/>
  <c r="R611" i="82"/>
  <c r="Q611" i="82"/>
  <c r="P611" i="82"/>
  <c r="O611" i="82"/>
  <c r="N611" i="82"/>
  <c r="H611" i="82"/>
  <c r="I611" i="82"/>
  <c r="D611" i="82"/>
  <c r="M611" i="82"/>
  <c r="L611" i="82"/>
  <c r="K611" i="82"/>
  <c r="J611" i="82"/>
  <c r="G611" i="82"/>
  <c r="C611" i="82"/>
  <c r="A611" i="82"/>
  <c r="S610" i="82"/>
  <c r="R610" i="82"/>
  <c r="Q610" i="82"/>
  <c r="P610" i="82"/>
  <c r="O610" i="82"/>
  <c r="N610" i="82"/>
  <c r="H610" i="82"/>
  <c r="I610" i="82"/>
  <c r="D610" i="82"/>
  <c r="M610" i="82"/>
  <c r="L610" i="82"/>
  <c r="K610" i="82"/>
  <c r="J610" i="82"/>
  <c r="G610" i="82"/>
  <c r="C610" i="82"/>
  <c r="A610" i="82"/>
  <c r="S609" i="82"/>
  <c r="R609" i="82"/>
  <c r="Q609" i="82"/>
  <c r="P609" i="82"/>
  <c r="O609" i="82"/>
  <c r="N609" i="82"/>
  <c r="H609" i="82"/>
  <c r="I609" i="82"/>
  <c r="D609" i="82"/>
  <c r="M609" i="82"/>
  <c r="L609" i="82"/>
  <c r="K609" i="82"/>
  <c r="J609" i="82"/>
  <c r="G609" i="82"/>
  <c r="C609" i="82"/>
  <c r="A609" i="82"/>
  <c r="S608" i="82"/>
  <c r="R608" i="82"/>
  <c r="Q608" i="82"/>
  <c r="P608" i="82"/>
  <c r="O608" i="82"/>
  <c r="N608" i="82"/>
  <c r="H608" i="82"/>
  <c r="I608" i="82"/>
  <c r="D608" i="82"/>
  <c r="M608" i="82"/>
  <c r="L608" i="82"/>
  <c r="K608" i="82"/>
  <c r="J608" i="82"/>
  <c r="G608" i="82"/>
  <c r="C608" i="82"/>
  <c r="A608" i="82"/>
  <c r="S607" i="82"/>
  <c r="R607" i="82"/>
  <c r="Q607" i="82"/>
  <c r="P607" i="82"/>
  <c r="O607" i="82"/>
  <c r="N607" i="82"/>
  <c r="H607" i="82"/>
  <c r="I607" i="82"/>
  <c r="D607" i="82"/>
  <c r="M607" i="82"/>
  <c r="L607" i="82"/>
  <c r="K607" i="82"/>
  <c r="J607" i="82"/>
  <c r="G607" i="82"/>
  <c r="C607" i="82"/>
  <c r="A607" i="82"/>
  <c r="S606" i="82"/>
  <c r="R606" i="82"/>
  <c r="Q606" i="82"/>
  <c r="P606" i="82"/>
  <c r="O606" i="82"/>
  <c r="N606" i="82"/>
  <c r="H606" i="82"/>
  <c r="I606" i="82"/>
  <c r="D606" i="82"/>
  <c r="M606" i="82"/>
  <c r="L606" i="82"/>
  <c r="K606" i="82"/>
  <c r="J606" i="82"/>
  <c r="G606" i="82"/>
  <c r="C606" i="82"/>
  <c r="A606" i="82"/>
  <c r="S605" i="82"/>
  <c r="R605" i="82"/>
  <c r="Q605" i="82"/>
  <c r="P605" i="82"/>
  <c r="O605" i="82"/>
  <c r="N605" i="82"/>
  <c r="H605" i="82"/>
  <c r="I605" i="82"/>
  <c r="D605" i="82"/>
  <c r="M605" i="82"/>
  <c r="L605" i="82"/>
  <c r="K605" i="82"/>
  <c r="J605" i="82"/>
  <c r="G605" i="82"/>
  <c r="C605" i="82"/>
  <c r="A605" i="82"/>
  <c r="S604" i="82"/>
  <c r="R604" i="82"/>
  <c r="Q604" i="82"/>
  <c r="P604" i="82"/>
  <c r="O604" i="82"/>
  <c r="N604" i="82"/>
  <c r="H604" i="82"/>
  <c r="I604" i="82"/>
  <c r="D604" i="82"/>
  <c r="M604" i="82"/>
  <c r="L604" i="82"/>
  <c r="K604" i="82"/>
  <c r="J604" i="82"/>
  <c r="G604" i="82"/>
  <c r="C604" i="82"/>
  <c r="A604" i="82"/>
  <c r="S603" i="82"/>
  <c r="R603" i="82"/>
  <c r="Q603" i="82"/>
  <c r="P603" i="82"/>
  <c r="O603" i="82"/>
  <c r="N603" i="82"/>
  <c r="H603" i="82"/>
  <c r="I603" i="82"/>
  <c r="D603" i="82"/>
  <c r="M603" i="82"/>
  <c r="L603" i="82"/>
  <c r="K603" i="82"/>
  <c r="J603" i="82"/>
  <c r="G603" i="82"/>
  <c r="C603" i="82"/>
  <c r="A603" i="82"/>
  <c r="S602" i="82"/>
  <c r="R602" i="82"/>
  <c r="Q602" i="82"/>
  <c r="P602" i="82"/>
  <c r="O602" i="82"/>
  <c r="N602" i="82"/>
  <c r="H602" i="82"/>
  <c r="I602" i="82"/>
  <c r="D602" i="82"/>
  <c r="M602" i="82"/>
  <c r="L602" i="82"/>
  <c r="K602" i="82"/>
  <c r="J602" i="82"/>
  <c r="G602" i="82"/>
  <c r="C602" i="82"/>
  <c r="A602" i="82"/>
  <c r="S601" i="82"/>
  <c r="R601" i="82"/>
  <c r="Q601" i="82"/>
  <c r="P601" i="82"/>
  <c r="O601" i="82"/>
  <c r="N601" i="82"/>
  <c r="H601" i="82"/>
  <c r="I601" i="82"/>
  <c r="D601" i="82"/>
  <c r="M601" i="82"/>
  <c r="L601" i="82"/>
  <c r="K601" i="82"/>
  <c r="J601" i="82"/>
  <c r="G601" i="82"/>
  <c r="C601" i="82"/>
  <c r="A601" i="82"/>
  <c r="S600" i="82"/>
  <c r="R600" i="82"/>
  <c r="Q600" i="82"/>
  <c r="P600" i="82"/>
  <c r="O600" i="82"/>
  <c r="N600" i="82"/>
  <c r="H600" i="82"/>
  <c r="I600" i="82"/>
  <c r="D600" i="82"/>
  <c r="M600" i="82"/>
  <c r="L600" i="82"/>
  <c r="K600" i="82"/>
  <c r="J600" i="82"/>
  <c r="G600" i="82"/>
  <c r="C600" i="82"/>
  <c r="A600" i="82"/>
  <c r="S599" i="82"/>
  <c r="R599" i="82"/>
  <c r="Q599" i="82"/>
  <c r="P599" i="82"/>
  <c r="O599" i="82"/>
  <c r="N599" i="82"/>
  <c r="H599" i="82"/>
  <c r="I599" i="82"/>
  <c r="D599" i="82"/>
  <c r="M599" i="82"/>
  <c r="L599" i="82"/>
  <c r="K599" i="82"/>
  <c r="J599" i="82"/>
  <c r="G599" i="82"/>
  <c r="C599" i="82"/>
  <c r="A599" i="82"/>
  <c r="S598" i="82"/>
  <c r="R598" i="82"/>
  <c r="Q598" i="82"/>
  <c r="P598" i="82"/>
  <c r="O598" i="82"/>
  <c r="N598" i="82"/>
  <c r="H598" i="82"/>
  <c r="I598" i="82"/>
  <c r="D598" i="82"/>
  <c r="M598" i="82"/>
  <c r="L598" i="82"/>
  <c r="K598" i="82"/>
  <c r="J598" i="82"/>
  <c r="G598" i="82"/>
  <c r="C598" i="82"/>
  <c r="A598" i="82"/>
  <c r="S597" i="82"/>
  <c r="R597" i="82"/>
  <c r="Q597" i="82"/>
  <c r="P597" i="82"/>
  <c r="O597" i="82"/>
  <c r="N597" i="82"/>
  <c r="H597" i="82"/>
  <c r="I597" i="82"/>
  <c r="D597" i="82"/>
  <c r="M597" i="82"/>
  <c r="L597" i="82"/>
  <c r="K597" i="82"/>
  <c r="J597" i="82"/>
  <c r="G597" i="82"/>
  <c r="C597" i="82"/>
  <c r="A597" i="82"/>
  <c r="S596" i="82"/>
  <c r="R596" i="82"/>
  <c r="Q596" i="82"/>
  <c r="P596" i="82"/>
  <c r="O596" i="82"/>
  <c r="N596" i="82"/>
  <c r="H596" i="82"/>
  <c r="I596" i="82"/>
  <c r="D596" i="82"/>
  <c r="M596" i="82"/>
  <c r="L596" i="82"/>
  <c r="K596" i="82"/>
  <c r="J596" i="82"/>
  <c r="G596" i="82"/>
  <c r="C596" i="82"/>
  <c r="A596" i="82"/>
  <c r="S595" i="82"/>
  <c r="R595" i="82"/>
  <c r="Q595" i="82"/>
  <c r="P595" i="82"/>
  <c r="O595" i="82"/>
  <c r="N595" i="82"/>
  <c r="H595" i="82"/>
  <c r="I595" i="82"/>
  <c r="D595" i="82"/>
  <c r="M595" i="82"/>
  <c r="L595" i="82"/>
  <c r="K595" i="82"/>
  <c r="J595" i="82"/>
  <c r="G595" i="82"/>
  <c r="C595" i="82"/>
  <c r="A595" i="82"/>
  <c r="S594" i="82"/>
  <c r="R594" i="82"/>
  <c r="Q594" i="82"/>
  <c r="P594" i="82"/>
  <c r="O594" i="82"/>
  <c r="N594" i="82"/>
  <c r="H594" i="82"/>
  <c r="I594" i="82"/>
  <c r="D594" i="82"/>
  <c r="M594" i="82"/>
  <c r="L594" i="82"/>
  <c r="K594" i="82"/>
  <c r="J594" i="82"/>
  <c r="G594" i="82"/>
  <c r="C594" i="82"/>
  <c r="A594" i="82"/>
  <c r="S593" i="82"/>
  <c r="R593" i="82"/>
  <c r="Q593" i="82"/>
  <c r="P593" i="82"/>
  <c r="O593" i="82"/>
  <c r="N593" i="82"/>
  <c r="H593" i="82"/>
  <c r="I593" i="82"/>
  <c r="D593" i="82"/>
  <c r="M593" i="82"/>
  <c r="L593" i="82"/>
  <c r="K593" i="82"/>
  <c r="J593" i="82"/>
  <c r="G593" i="82"/>
  <c r="C593" i="82"/>
  <c r="A593" i="82"/>
  <c r="S592" i="82"/>
  <c r="R592" i="82"/>
  <c r="Q592" i="82"/>
  <c r="P592" i="82"/>
  <c r="O592" i="82"/>
  <c r="N592" i="82"/>
  <c r="H592" i="82"/>
  <c r="I592" i="82"/>
  <c r="D592" i="82"/>
  <c r="M592" i="82"/>
  <c r="L592" i="82"/>
  <c r="K592" i="82"/>
  <c r="J592" i="82"/>
  <c r="G592" i="82"/>
  <c r="C592" i="82"/>
  <c r="A592" i="82"/>
  <c r="S591" i="82"/>
  <c r="R591" i="82"/>
  <c r="Q591" i="82"/>
  <c r="P591" i="82"/>
  <c r="O591" i="82"/>
  <c r="N591" i="82"/>
  <c r="H591" i="82"/>
  <c r="I591" i="82"/>
  <c r="D591" i="82"/>
  <c r="M591" i="82"/>
  <c r="L591" i="82"/>
  <c r="K591" i="82"/>
  <c r="J591" i="82"/>
  <c r="G591" i="82"/>
  <c r="C591" i="82"/>
  <c r="A591" i="82"/>
  <c r="S590" i="82"/>
  <c r="R590" i="82"/>
  <c r="Q590" i="82"/>
  <c r="P590" i="82"/>
  <c r="O590" i="82"/>
  <c r="N590" i="82"/>
  <c r="H590" i="82"/>
  <c r="I590" i="82"/>
  <c r="D590" i="82"/>
  <c r="M590" i="82"/>
  <c r="L590" i="82"/>
  <c r="K590" i="82"/>
  <c r="J590" i="82"/>
  <c r="G590" i="82"/>
  <c r="C590" i="82"/>
  <c r="A590" i="82"/>
  <c r="S589" i="82"/>
  <c r="R589" i="82"/>
  <c r="Q589" i="82"/>
  <c r="P589" i="82"/>
  <c r="O589" i="82"/>
  <c r="N589" i="82"/>
  <c r="H589" i="82"/>
  <c r="I589" i="82"/>
  <c r="D589" i="82"/>
  <c r="M589" i="82"/>
  <c r="L589" i="82"/>
  <c r="K589" i="82"/>
  <c r="J589" i="82"/>
  <c r="G589" i="82"/>
  <c r="C589" i="82"/>
  <c r="A589" i="82"/>
  <c r="S588" i="82"/>
  <c r="R588" i="82"/>
  <c r="Q588" i="82"/>
  <c r="P588" i="82"/>
  <c r="O588" i="82"/>
  <c r="N588" i="82"/>
  <c r="H588" i="82"/>
  <c r="I588" i="82"/>
  <c r="D588" i="82"/>
  <c r="M588" i="82"/>
  <c r="L588" i="82"/>
  <c r="K588" i="82"/>
  <c r="J588" i="82"/>
  <c r="G588" i="82"/>
  <c r="C588" i="82"/>
  <c r="A588" i="82"/>
  <c r="S587" i="82"/>
  <c r="R587" i="82"/>
  <c r="Q587" i="82"/>
  <c r="P587" i="82"/>
  <c r="O587" i="82"/>
  <c r="N587" i="82"/>
  <c r="H587" i="82"/>
  <c r="I587" i="82"/>
  <c r="D587" i="82"/>
  <c r="M587" i="82"/>
  <c r="L587" i="82"/>
  <c r="K587" i="82"/>
  <c r="J587" i="82"/>
  <c r="G587" i="82"/>
  <c r="C587" i="82"/>
  <c r="A587" i="82"/>
  <c r="S586" i="82"/>
  <c r="R586" i="82"/>
  <c r="Q586" i="82"/>
  <c r="P586" i="82"/>
  <c r="O586" i="82"/>
  <c r="N586" i="82"/>
  <c r="H586" i="82"/>
  <c r="I586" i="82"/>
  <c r="D586" i="82"/>
  <c r="M586" i="82"/>
  <c r="L586" i="82"/>
  <c r="K586" i="82"/>
  <c r="J586" i="82"/>
  <c r="G586" i="82"/>
  <c r="C586" i="82"/>
  <c r="A586" i="82"/>
  <c r="S585" i="82"/>
  <c r="R585" i="82"/>
  <c r="Q585" i="82"/>
  <c r="P585" i="82"/>
  <c r="O585" i="82"/>
  <c r="N585" i="82"/>
  <c r="H585" i="82"/>
  <c r="I585" i="82"/>
  <c r="D585" i="82"/>
  <c r="M585" i="82"/>
  <c r="L585" i="82"/>
  <c r="K585" i="82"/>
  <c r="J585" i="82"/>
  <c r="G585" i="82"/>
  <c r="C585" i="82"/>
  <c r="A585" i="82"/>
  <c r="S584" i="82"/>
  <c r="R584" i="82"/>
  <c r="Q584" i="82"/>
  <c r="P584" i="82"/>
  <c r="O584" i="82"/>
  <c r="N584" i="82"/>
  <c r="H584" i="82"/>
  <c r="I584" i="82"/>
  <c r="D584" i="82"/>
  <c r="M584" i="82"/>
  <c r="L584" i="82"/>
  <c r="K584" i="82"/>
  <c r="J584" i="82"/>
  <c r="G584" i="82"/>
  <c r="C584" i="82"/>
  <c r="A584" i="82"/>
  <c r="S583" i="82"/>
  <c r="R583" i="82"/>
  <c r="Q583" i="82"/>
  <c r="P583" i="82"/>
  <c r="O583" i="82"/>
  <c r="N583" i="82"/>
  <c r="H583" i="82"/>
  <c r="I583" i="82"/>
  <c r="D583" i="82"/>
  <c r="M583" i="82"/>
  <c r="L583" i="82"/>
  <c r="K583" i="82"/>
  <c r="J583" i="82"/>
  <c r="G583" i="82"/>
  <c r="C583" i="82"/>
  <c r="A583" i="82"/>
  <c r="S582" i="82"/>
  <c r="R582" i="82"/>
  <c r="Q582" i="82"/>
  <c r="P582" i="82"/>
  <c r="O582" i="82"/>
  <c r="N582" i="82"/>
  <c r="H582" i="82"/>
  <c r="I582" i="82"/>
  <c r="D582" i="82"/>
  <c r="M582" i="82"/>
  <c r="L582" i="82"/>
  <c r="K582" i="82"/>
  <c r="J582" i="82"/>
  <c r="G582" i="82"/>
  <c r="C582" i="82"/>
  <c r="A582" i="82"/>
  <c r="S581" i="82"/>
  <c r="R581" i="82"/>
  <c r="Q581" i="82"/>
  <c r="P581" i="82"/>
  <c r="O581" i="82"/>
  <c r="N581" i="82"/>
  <c r="H581" i="82"/>
  <c r="I581" i="82"/>
  <c r="D581" i="82"/>
  <c r="M581" i="82"/>
  <c r="L581" i="82"/>
  <c r="K581" i="82"/>
  <c r="J581" i="82"/>
  <c r="G581" i="82"/>
  <c r="C581" i="82"/>
  <c r="A581" i="82"/>
  <c r="S580" i="82"/>
  <c r="R580" i="82"/>
  <c r="Q580" i="82"/>
  <c r="P580" i="82"/>
  <c r="O580" i="82"/>
  <c r="N580" i="82"/>
  <c r="H580" i="82"/>
  <c r="I580" i="82"/>
  <c r="D580" i="82"/>
  <c r="M580" i="82"/>
  <c r="L580" i="82"/>
  <c r="K580" i="82"/>
  <c r="J580" i="82"/>
  <c r="G580" i="82"/>
  <c r="C580" i="82"/>
  <c r="A580" i="82"/>
  <c r="S579" i="82"/>
  <c r="R579" i="82"/>
  <c r="Q579" i="82"/>
  <c r="P579" i="82"/>
  <c r="O579" i="82"/>
  <c r="N579" i="82"/>
  <c r="H579" i="82"/>
  <c r="I579" i="82"/>
  <c r="D579" i="82"/>
  <c r="M579" i="82"/>
  <c r="L579" i="82"/>
  <c r="K579" i="82"/>
  <c r="J579" i="82"/>
  <c r="G579" i="82"/>
  <c r="C579" i="82"/>
  <c r="A579" i="82"/>
  <c r="S578" i="82"/>
  <c r="R578" i="82"/>
  <c r="Q578" i="82"/>
  <c r="P578" i="82"/>
  <c r="O578" i="82"/>
  <c r="N578" i="82"/>
  <c r="H578" i="82"/>
  <c r="I578" i="82"/>
  <c r="D578" i="82"/>
  <c r="M578" i="82"/>
  <c r="L578" i="82"/>
  <c r="K578" i="82"/>
  <c r="J578" i="82"/>
  <c r="G578" i="82"/>
  <c r="C578" i="82"/>
  <c r="A578" i="82"/>
  <c r="S577" i="82"/>
  <c r="R577" i="82"/>
  <c r="Q577" i="82"/>
  <c r="P577" i="82"/>
  <c r="O577" i="82"/>
  <c r="N577" i="82"/>
  <c r="H577" i="82"/>
  <c r="I577" i="82"/>
  <c r="D577" i="82"/>
  <c r="M577" i="82"/>
  <c r="L577" i="82"/>
  <c r="K577" i="82"/>
  <c r="J577" i="82"/>
  <c r="G577" i="82"/>
  <c r="C577" i="82"/>
  <c r="A577" i="82"/>
  <c r="S576" i="82"/>
  <c r="R576" i="82"/>
  <c r="Q576" i="82"/>
  <c r="P576" i="82"/>
  <c r="O576" i="82"/>
  <c r="N576" i="82"/>
  <c r="H576" i="82"/>
  <c r="I576" i="82"/>
  <c r="D576" i="82"/>
  <c r="M576" i="82"/>
  <c r="L576" i="82"/>
  <c r="K576" i="82"/>
  <c r="J576" i="82"/>
  <c r="G576" i="82"/>
  <c r="C576" i="82"/>
  <c r="A576" i="82"/>
  <c r="S575" i="82"/>
  <c r="R575" i="82"/>
  <c r="Q575" i="82"/>
  <c r="P575" i="82"/>
  <c r="O575" i="82"/>
  <c r="N575" i="82"/>
  <c r="H575" i="82"/>
  <c r="I575" i="82"/>
  <c r="D575" i="82"/>
  <c r="M575" i="82"/>
  <c r="L575" i="82"/>
  <c r="K575" i="82"/>
  <c r="J575" i="82"/>
  <c r="G575" i="82"/>
  <c r="C575" i="82"/>
  <c r="A575" i="82"/>
  <c r="S574" i="82"/>
  <c r="R574" i="82"/>
  <c r="Q574" i="82"/>
  <c r="P574" i="82"/>
  <c r="O574" i="82"/>
  <c r="N574" i="82"/>
  <c r="H574" i="82"/>
  <c r="I574" i="82"/>
  <c r="D574" i="82"/>
  <c r="M574" i="82"/>
  <c r="L574" i="82"/>
  <c r="K574" i="82"/>
  <c r="J574" i="82"/>
  <c r="G574" i="82"/>
  <c r="C574" i="82"/>
  <c r="A574" i="82"/>
  <c r="S573" i="82"/>
  <c r="R573" i="82"/>
  <c r="Q573" i="82"/>
  <c r="P573" i="82"/>
  <c r="O573" i="82"/>
  <c r="N573" i="82"/>
  <c r="H573" i="82"/>
  <c r="I573" i="82"/>
  <c r="D573" i="82"/>
  <c r="M573" i="82"/>
  <c r="L573" i="82"/>
  <c r="K573" i="82"/>
  <c r="J573" i="82"/>
  <c r="G573" i="82"/>
  <c r="C573" i="82"/>
  <c r="A573" i="82"/>
  <c r="S572" i="82"/>
  <c r="R572" i="82"/>
  <c r="Q572" i="82"/>
  <c r="P572" i="82"/>
  <c r="O572" i="82"/>
  <c r="N572" i="82"/>
  <c r="H572" i="82"/>
  <c r="I572" i="82"/>
  <c r="D572" i="82"/>
  <c r="M572" i="82"/>
  <c r="L572" i="82"/>
  <c r="K572" i="82"/>
  <c r="J572" i="82"/>
  <c r="G572" i="82"/>
  <c r="C572" i="82"/>
  <c r="A572" i="82"/>
  <c r="S571" i="82"/>
  <c r="R571" i="82"/>
  <c r="Q571" i="82"/>
  <c r="P571" i="82"/>
  <c r="O571" i="82"/>
  <c r="N571" i="82"/>
  <c r="H571" i="82"/>
  <c r="I571" i="82"/>
  <c r="D571" i="82"/>
  <c r="M571" i="82"/>
  <c r="L571" i="82"/>
  <c r="K571" i="82"/>
  <c r="J571" i="82"/>
  <c r="G571" i="82"/>
  <c r="C571" i="82"/>
  <c r="A571" i="82"/>
  <c r="S570" i="82"/>
  <c r="R570" i="82"/>
  <c r="Q570" i="82"/>
  <c r="P570" i="82"/>
  <c r="O570" i="82"/>
  <c r="N570" i="82"/>
  <c r="H570" i="82"/>
  <c r="I570" i="82"/>
  <c r="D570" i="82"/>
  <c r="M570" i="82"/>
  <c r="L570" i="82"/>
  <c r="K570" i="82"/>
  <c r="J570" i="82"/>
  <c r="G570" i="82"/>
  <c r="C570" i="82"/>
  <c r="A570" i="82"/>
  <c r="H569" i="82"/>
  <c r="I569" i="82"/>
  <c r="D569" i="82"/>
  <c r="H568" i="82"/>
  <c r="I568" i="82"/>
  <c r="D568" i="82"/>
  <c r="H403" i="82"/>
  <c r="I403" i="82"/>
  <c r="D403" i="82"/>
  <c r="H402" i="82"/>
  <c r="I402" i="82"/>
  <c r="D402" i="82"/>
  <c r="S569" i="82"/>
  <c r="R569" i="82"/>
  <c r="Q569" i="82"/>
  <c r="P569" i="82"/>
  <c r="O569" i="82"/>
  <c r="N569" i="82"/>
  <c r="M569" i="82"/>
  <c r="L569" i="82"/>
  <c r="K569" i="82"/>
  <c r="J569" i="82"/>
  <c r="G569" i="82"/>
  <c r="C569" i="82"/>
  <c r="A569" i="82"/>
  <c r="S568" i="82"/>
  <c r="R568" i="82"/>
  <c r="Q568" i="82"/>
  <c r="P568" i="82"/>
  <c r="O568" i="82"/>
  <c r="N568" i="82"/>
  <c r="M568" i="82"/>
  <c r="L568" i="82"/>
  <c r="K568" i="82"/>
  <c r="J568" i="82"/>
  <c r="G568" i="82"/>
  <c r="C568" i="82"/>
  <c r="A568" i="82"/>
  <c r="S567" i="82"/>
  <c r="R567" i="82"/>
  <c r="Q567" i="82"/>
  <c r="P567" i="82"/>
  <c r="O567" i="82"/>
  <c r="N567" i="82"/>
  <c r="H567" i="82"/>
  <c r="I567" i="82"/>
  <c r="D567" i="82"/>
  <c r="M567" i="82"/>
  <c r="L567" i="82"/>
  <c r="K567" i="82"/>
  <c r="J567" i="82"/>
  <c r="G567" i="82"/>
  <c r="C567" i="82"/>
  <c r="A567" i="82"/>
  <c r="S566" i="82"/>
  <c r="R566" i="82"/>
  <c r="Q566" i="82"/>
  <c r="P566" i="82"/>
  <c r="O566" i="82"/>
  <c r="N566" i="82"/>
  <c r="H566" i="82"/>
  <c r="I566" i="82"/>
  <c r="D566" i="82"/>
  <c r="M566" i="82"/>
  <c r="L566" i="82"/>
  <c r="K566" i="82"/>
  <c r="J566" i="82"/>
  <c r="G566" i="82"/>
  <c r="C566" i="82"/>
  <c r="A566" i="82"/>
  <c r="S565" i="82"/>
  <c r="R565" i="82"/>
  <c r="Q565" i="82"/>
  <c r="P565" i="82"/>
  <c r="O565" i="82"/>
  <c r="N565" i="82"/>
  <c r="H565" i="82"/>
  <c r="I565" i="82"/>
  <c r="D565" i="82"/>
  <c r="M565" i="82"/>
  <c r="L565" i="82"/>
  <c r="K565" i="82"/>
  <c r="J565" i="82"/>
  <c r="G565" i="82"/>
  <c r="C565" i="82"/>
  <c r="A565" i="82"/>
  <c r="S564" i="82"/>
  <c r="R564" i="82"/>
  <c r="Q564" i="82"/>
  <c r="P564" i="82"/>
  <c r="O564" i="82"/>
  <c r="N564" i="82"/>
  <c r="H564" i="82"/>
  <c r="I564" i="82"/>
  <c r="D564" i="82"/>
  <c r="M564" i="82"/>
  <c r="L564" i="82"/>
  <c r="K564" i="82"/>
  <c r="J564" i="82"/>
  <c r="G564" i="82"/>
  <c r="C564" i="82"/>
  <c r="A564" i="82"/>
  <c r="S563" i="82"/>
  <c r="R563" i="82"/>
  <c r="Q563" i="82"/>
  <c r="P563" i="82"/>
  <c r="O563" i="82"/>
  <c r="N563" i="82"/>
  <c r="H563" i="82"/>
  <c r="I563" i="82"/>
  <c r="D563" i="82"/>
  <c r="M563" i="82"/>
  <c r="L563" i="82"/>
  <c r="K563" i="82"/>
  <c r="J563" i="82"/>
  <c r="G563" i="82"/>
  <c r="C563" i="82"/>
  <c r="A563" i="82"/>
  <c r="S562" i="82"/>
  <c r="R562" i="82"/>
  <c r="Q562" i="82"/>
  <c r="P562" i="82"/>
  <c r="O562" i="82"/>
  <c r="N562" i="82"/>
  <c r="H562" i="82"/>
  <c r="I562" i="82"/>
  <c r="D562" i="82"/>
  <c r="M562" i="82"/>
  <c r="L562" i="82"/>
  <c r="K562" i="82"/>
  <c r="J562" i="82"/>
  <c r="G562" i="82"/>
  <c r="C562" i="82"/>
  <c r="A562" i="82"/>
  <c r="S561" i="82"/>
  <c r="R561" i="82"/>
  <c r="Q561" i="82"/>
  <c r="P561" i="82"/>
  <c r="O561" i="82"/>
  <c r="N561" i="82"/>
  <c r="H561" i="82"/>
  <c r="I561" i="82"/>
  <c r="D561" i="82"/>
  <c r="M561" i="82"/>
  <c r="L561" i="82"/>
  <c r="K561" i="82"/>
  <c r="J561" i="82"/>
  <c r="G561" i="82"/>
  <c r="C561" i="82"/>
  <c r="A561" i="82"/>
  <c r="S560" i="82"/>
  <c r="R560" i="82"/>
  <c r="Q560" i="82"/>
  <c r="P560" i="82"/>
  <c r="O560" i="82"/>
  <c r="N560" i="82"/>
  <c r="H560" i="82"/>
  <c r="I560" i="82"/>
  <c r="D560" i="82"/>
  <c r="M560" i="82"/>
  <c r="L560" i="82"/>
  <c r="K560" i="82"/>
  <c r="J560" i="82"/>
  <c r="G560" i="82"/>
  <c r="C560" i="82"/>
  <c r="A560" i="82"/>
  <c r="S559" i="82"/>
  <c r="R559" i="82"/>
  <c r="Q559" i="82"/>
  <c r="P559" i="82"/>
  <c r="O559" i="82"/>
  <c r="N559" i="82"/>
  <c r="H559" i="82"/>
  <c r="I559" i="82"/>
  <c r="D559" i="82"/>
  <c r="M559" i="82"/>
  <c r="L559" i="82"/>
  <c r="K559" i="82"/>
  <c r="J559" i="82"/>
  <c r="G559" i="82"/>
  <c r="C559" i="82"/>
  <c r="A559" i="82"/>
  <c r="S558" i="82"/>
  <c r="R558" i="82"/>
  <c r="Q558" i="82"/>
  <c r="P558" i="82"/>
  <c r="O558" i="82"/>
  <c r="N558" i="82"/>
  <c r="H558" i="82"/>
  <c r="I558" i="82"/>
  <c r="D558" i="82"/>
  <c r="M558" i="82"/>
  <c r="L558" i="82"/>
  <c r="K558" i="82"/>
  <c r="J558" i="82"/>
  <c r="G558" i="82"/>
  <c r="C558" i="82"/>
  <c r="A558" i="82"/>
  <c r="S557" i="82"/>
  <c r="R557" i="82"/>
  <c r="Q557" i="82"/>
  <c r="P557" i="82"/>
  <c r="O557" i="82"/>
  <c r="N557" i="82"/>
  <c r="H557" i="82"/>
  <c r="I557" i="82"/>
  <c r="D557" i="82"/>
  <c r="M557" i="82"/>
  <c r="L557" i="82"/>
  <c r="K557" i="82"/>
  <c r="J557" i="82"/>
  <c r="G557" i="82"/>
  <c r="C557" i="82"/>
  <c r="A557" i="82"/>
  <c r="S556" i="82"/>
  <c r="R556" i="82"/>
  <c r="Q556" i="82"/>
  <c r="P556" i="82"/>
  <c r="O556" i="82"/>
  <c r="N556" i="82"/>
  <c r="H556" i="82"/>
  <c r="I556" i="82"/>
  <c r="D556" i="82"/>
  <c r="M556" i="82"/>
  <c r="L556" i="82"/>
  <c r="K556" i="82"/>
  <c r="J556" i="82"/>
  <c r="G556" i="82"/>
  <c r="C556" i="82"/>
  <c r="A556" i="82"/>
  <c r="S555" i="82"/>
  <c r="R555" i="82"/>
  <c r="Q555" i="82"/>
  <c r="P555" i="82"/>
  <c r="O555" i="82"/>
  <c r="N555" i="82"/>
  <c r="H555" i="82"/>
  <c r="I555" i="82"/>
  <c r="D555" i="82"/>
  <c r="M555" i="82"/>
  <c r="L555" i="82"/>
  <c r="K555" i="82"/>
  <c r="J555" i="82"/>
  <c r="G555" i="82"/>
  <c r="C555" i="82"/>
  <c r="A555" i="82"/>
  <c r="S554" i="82"/>
  <c r="R554" i="82"/>
  <c r="Q554" i="82"/>
  <c r="P554" i="82"/>
  <c r="O554" i="82"/>
  <c r="N554" i="82"/>
  <c r="H554" i="82"/>
  <c r="I554" i="82"/>
  <c r="D554" i="82"/>
  <c r="M554" i="82"/>
  <c r="L554" i="82"/>
  <c r="K554" i="82"/>
  <c r="J554" i="82"/>
  <c r="G554" i="82"/>
  <c r="C554" i="82"/>
  <c r="A554" i="82"/>
  <c r="S553" i="82"/>
  <c r="R553" i="82"/>
  <c r="Q553" i="82"/>
  <c r="P553" i="82"/>
  <c r="O553" i="82"/>
  <c r="N553" i="82"/>
  <c r="H553" i="82"/>
  <c r="I553" i="82"/>
  <c r="D553" i="82"/>
  <c r="M553" i="82"/>
  <c r="L553" i="82"/>
  <c r="K553" i="82"/>
  <c r="J553" i="82"/>
  <c r="G553" i="82"/>
  <c r="C553" i="82"/>
  <c r="A553" i="82"/>
  <c r="S552" i="82"/>
  <c r="R552" i="82"/>
  <c r="Q552" i="82"/>
  <c r="P552" i="82"/>
  <c r="O552" i="82"/>
  <c r="N552" i="82"/>
  <c r="H552" i="82"/>
  <c r="I552" i="82"/>
  <c r="D552" i="82"/>
  <c r="M552" i="82"/>
  <c r="L552" i="82"/>
  <c r="K552" i="82"/>
  <c r="J552" i="82"/>
  <c r="G552" i="82"/>
  <c r="C552" i="82"/>
  <c r="A552" i="82"/>
  <c r="S551" i="82"/>
  <c r="R551" i="82"/>
  <c r="Q551" i="82"/>
  <c r="P551" i="82"/>
  <c r="O551" i="82"/>
  <c r="N551" i="82"/>
  <c r="H551" i="82"/>
  <c r="I551" i="82"/>
  <c r="D551" i="82"/>
  <c r="M551" i="82"/>
  <c r="L551" i="82"/>
  <c r="K551" i="82"/>
  <c r="J551" i="82"/>
  <c r="G551" i="82"/>
  <c r="C551" i="82"/>
  <c r="A551" i="82"/>
  <c r="S550" i="82"/>
  <c r="R550" i="82"/>
  <c r="Q550" i="82"/>
  <c r="P550" i="82"/>
  <c r="O550" i="82"/>
  <c r="N550" i="82"/>
  <c r="H550" i="82"/>
  <c r="I550" i="82"/>
  <c r="D550" i="82"/>
  <c r="M550" i="82"/>
  <c r="L550" i="82"/>
  <c r="K550" i="82"/>
  <c r="J550" i="82"/>
  <c r="G550" i="82"/>
  <c r="C550" i="82"/>
  <c r="A550" i="82"/>
  <c r="S549" i="82"/>
  <c r="R549" i="82"/>
  <c r="Q549" i="82"/>
  <c r="P549" i="82"/>
  <c r="O549" i="82"/>
  <c r="N549" i="82"/>
  <c r="H549" i="82"/>
  <c r="I549" i="82"/>
  <c r="D549" i="82"/>
  <c r="M549" i="82"/>
  <c r="L549" i="82"/>
  <c r="K549" i="82"/>
  <c r="J549" i="82"/>
  <c r="G549" i="82"/>
  <c r="C549" i="82"/>
  <c r="A549" i="82"/>
  <c r="S548" i="82"/>
  <c r="R548" i="82"/>
  <c r="Q548" i="82"/>
  <c r="P548" i="82"/>
  <c r="O548" i="82"/>
  <c r="N548" i="82"/>
  <c r="H548" i="82"/>
  <c r="I548" i="82"/>
  <c r="D548" i="82"/>
  <c r="M548" i="82"/>
  <c r="L548" i="82"/>
  <c r="K548" i="82"/>
  <c r="J548" i="82"/>
  <c r="G548" i="82"/>
  <c r="C548" i="82"/>
  <c r="A548" i="82"/>
  <c r="S547" i="82"/>
  <c r="R547" i="82"/>
  <c r="Q547" i="82"/>
  <c r="P547" i="82"/>
  <c r="O547" i="82"/>
  <c r="N547" i="82"/>
  <c r="H547" i="82"/>
  <c r="I547" i="82"/>
  <c r="D547" i="82"/>
  <c r="M547" i="82"/>
  <c r="L547" i="82"/>
  <c r="K547" i="82"/>
  <c r="J547" i="82"/>
  <c r="G547" i="82"/>
  <c r="C547" i="82"/>
  <c r="A547" i="82"/>
  <c r="S546" i="82"/>
  <c r="R546" i="82"/>
  <c r="Q546" i="82"/>
  <c r="P546" i="82"/>
  <c r="O546" i="82"/>
  <c r="N546" i="82"/>
  <c r="H546" i="82"/>
  <c r="I546" i="82"/>
  <c r="D546" i="82"/>
  <c r="M546" i="82"/>
  <c r="L546" i="82"/>
  <c r="K546" i="82"/>
  <c r="J546" i="82"/>
  <c r="G546" i="82"/>
  <c r="C546" i="82"/>
  <c r="A546" i="82"/>
  <c r="S545" i="82"/>
  <c r="R545" i="82"/>
  <c r="Q545" i="82"/>
  <c r="P545" i="82"/>
  <c r="O545" i="82"/>
  <c r="N545" i="82"/>
  <c r="H545" i="82"/>
  <c r="I545" i="82"/>
  <c r="D545" i="82"/>
  <c r="M545" i="82"/>
  <c r="L545" i="82"/>
  <c r="K545" i="82"/>
  <c r="J545" i="82"/>
  <c r="G545" i="82"/>
  <c r="C545" i="82"/>
  <c r="A545" i="82"/>
  <c r="S544" i="82"/>
  <c r="R544" i="82"/>
  <c r="Q544" i="82"/>
  <c r="P544" i="82"/>
  <c r="O544" i="82"/>
  <c r="N544" i="82"/>
  <c r="H544" i="82"/>
  <c r="I544" i="82"/>
  <c r="D544" i="82"/>
  <c r="M544" i="82"/>
  <c r="L544" i="82"/>
  <c r="K544" i="82"/>
  <c r="J544" i="82"/>
  <c r="G544" i="82"/>
  <c r="C544" i="82"/>
  <c r="A544" i="82"/>
  <c r="S543" i="82"/>
  <c r="R543" i="82"/>
  <c r="Q543" i="82"/>
  <c r="P543" i="82"/>
  <c r="O543" i="82"/>
  <c r="N543" i="82"/>
  <c r="H543" i="82"/>
  <c r="I543" i="82"/>
  <c r="D543" i="82"/>
  <c r="M543" i="82"/>
  <c r="L543" i="82"/>
  <c r="K543" i="82"/>
  <c r="J543" i="82"/>
  <c r="G543" i="82"/>
  <c r="C543" i="82"/>
  <c r="A543" i="82"/>
  <c r="S542" i="82"/>
  <c r="R542" i="82"/>
  <c r="Q542" i="82"/>
  <c r="P542" i="82"/>
  <c r="O542" i="82"/>
  <c r="N542" i="82"/>
  <c r="H542" i="82"/>
  <c r="I542" i="82"/>
  <c r="D542" i="82"/>
  <c r="M542" i="82"/>
  <c r="L542" i="82"/>
  <c r="K542" i="82"/>
  <c r="J542" i="82"/>
  <c r="G542" i="82"/>
  <c r="C542" i="82"/>
  <c r="A542" i="82"/>
  <c r="S541" i="82"/>
  <c r="R541" i="82"/>
  <c r="Q541" i="82"/>
  <c r="P541" i="82"/>
  <c r="O541" i="82"/>
  <c r="N541" i="82"/>
  <c r="H541" i="82"/>
  <c r="I541" i="82"/>
  <c r="D541" i="82"/>
  <c r="M541" i="82"/>
  <c r="L541" i="82"/>
  <c r="K541" i="82"/>
  <c r="J541" i="82"/>
  <c r="G541" i="82"/>
  <c r="C541" i="82"/>
  <c r="A541" i="82"/>
  <c r="S540" i="82"/>
  <c r="R540" i="82"/>
  <c r="Q540" i="82"/>
  <c r="P540" i="82"/>
  <c r="O540" i="82"/>
  <c r="N540" i="82"/>
  <c r="H540" i="82"/>
  <c r="I540" i="82"/>
  <c r="D540" i="82"/>
  <c r="M540" i="82"/>
  <c r="L540" i="82"/>
  <c r="K540" i="82"/>
  <c r="J540" i="82"/>
  <c r="G540" i="82"/>
  <c r="C540" i="82"/>
  <c r="A540" i="82"/>
  <c r="S539" i="82"/>
  <c r="R539" i="82"/>
  <c r="Q539" i="82"/>
  <c r="P539" i="82"/>
  <c r="O539" i="82"/>
  <c r="N539" i="82"/>
  <c r="H539" i="82"/>
  <c r="I539" i="82"/>
  <c r="D539" i="82"/>
  <c r="M539" i="82"/>
  <c r="L539" i="82"/>
  <c r="K539" i="82"/>
  <c r="J539" i="82"/>
  <c r="G539" i="82"/>
  <c r="C539" i="82"/>
  <c r="A539" i="82"/>
  <c r="S538" i="82"/>
  <c r="R538" i="82"/>
  <c r="Q538" i="82"/>
  <c r="P538" i="82"/>
  <c r="O538" i="82"/>
  <c r="N538" i="82"/>
  <c r="H538" i="82"/>
  <c r="I538" i="82"/>
  <c r="D538" i="82"/>
  <c r="M538" i="82"/>
  <c r="L538" i="82"/>
  <c r="K538" i="82"/>
  <c r="J538" i="82"/>
  <c r="G538" i="82"/>
  <c r="C538" i="82"/>
  <c r="A538" i="82"/>
  <c r="S537" i="82"/>
  <c r="R537" i="82"/>
  <c r="Q537" i="82"/>
  <c r="P537" i="82"/>
  <c r="O537" i="82"/>
  <c r="N537" i="82"/>
  <c r="H537" i="82"/>
  <c r="I537" i="82"/>
  <c r="D537" i="82"/>
  <c r="M537" i="82"/>
  <c r="L537" i="82"/>
  <c r="K537" i="82"/>
  <c r="J537" i="82"/>
  <c r="G537" i="82"/>
  <c r="C537" i="82"/>
  <c r="A537" i="82"/>
  <c r="S536" i="82"/>
  <c r="R536" i="82"/>
  <c r="Q536" i="82"/>
  <c r="P536" i="82"/>
  <c r="O536" i="82"/>
  <c r="N536" i="82"/>
  <c r="H536" i="82"/>
  <c r="I536" i="82"/>
  <c r="D536" i="82"/>
  <c r="M536" i="82"/>
  <c r="L536" i="82"/>
  <c r="K536" i="82"/>
  <c r="J536" i="82"/>
  <c r="G536" i="82"/>
  <c r="C536" i="82"/>
  <c r="A536" i="82"/>
  <c r="S535" i="82"/>
  <c r="R535" i="82"/>
  <c r="Q535" i="82"/>
  <c r="P535" i="82"/>
  <c r="O535" i="82"/>
  <c r="N535" i="82"/>
  <c r="H535" i="82"/>
  <c r="I535" i="82"/>
  <c r="D535" i="82"/>
  <c r="M535" i="82"/>
  <c r="L535" i="82"/>
  <c r="K535" i="82"/>
  <c r="J535" i="82"/>
  <c r="G535" i="82"/>
  <c r="C535" i="82"/>
  <c r="A535" i="82"/>
  <c r="S534" i="82"/>
  <c r="R534" i="82"/>
  <c r="Q534" i="82"/>
  <c r="P534" i="82"/>
  <c r="O534" i="82"/>
  <c r="N534" i="82"/>
  <c r="H534" i="82"/>
  <c r="I534" i="82"/>
  <c r="D534" i="82"/>
  <c r="M534" i="82"/>
  <c r="L534" i="82"/>
  <c r="K534" i="82"/>
  <c r="J534" i="82"/>
  <c r="G534" i="82"/>
  <c r="C534" i="82"/>
  <c r="A534" i="82"/>
  <c r="S533" i="82"/>
  <c r="R533" i="82"/>
  <c r="Q533" i="82"/>
  <c r="P533" i="82"/>
  <c r="O533" i="82"/>
  <c r="N533" i="82"/>
  <c r="H533" i="82"/>
  <c r="I533" i="82"/>
  <c r="D533" i="82"/>
  <c r="M533" i="82"/>
  <c r="L533" i="82"/>
  <c r="K533" i="82"/>
  <c r="J533" i="82"/>
  <c r="G533" i="82"/>
  <c r="C533" i="82"/>
  <c r="A533" i="82"/>
  <c r="S532" i="82"/>
  <c r="R532" i="82"/>
  <c r="Q532" i="82"/>
  <c r="P532" i="82"/>
  <c r="O532" i="82"/>
  <c r="N532" i="82"/>
  <c r="H532" i="82"/>
  <c r="I532" i="82"/>
  <c r="D532" i="82"/>
  <c r="M532" i="82"/>
  <c r="L532" i="82"/>
  <c r="K532" i="82"/>
  <c r="J532" i="82"/>
  <c r="G532" i="82"/>
  <c r="C532" i="82"/>
  <c r="A532" i="82"/>
  <c r="S531" i="82"/>
  <c r="R531" i="82"/>
  <c r="Q531" i="82"/>
  <c r="P531" i="82"/>
  <c r="O531" i="82"/>
  <c r="N531" i="82"/>
  <c r="H531" i="82"/>
  <c r="I531" i="82"/>
  <c r="D531" i="82"/>
  <c r="M531" i="82"/>
  <c r="L531" i="82"/>
  <c r="K531" i="82"/>
  <c r="J531" i="82"/>
  <c r="G531" i="82"/>
  <c r="C531" i="82"/>
  <c r="A531" i="82"/>
  <c r="S530" i="82"/>
  <c r="R530" i="82"/>
  <c r="Q530" i="82"/>
  <c r="P530" i="82"/>
  <c r="O530" i="82"/>
  <c r="N530" i="82"/>
  <c r="H530" i="82"/>
  <c r="I530" i="82"/>
  <c r="D530" i="82"/>
  <c r="M530" i="82"/>
  <c r="L530" i="82"/>
  <c r="K530" i="82"/>
  <c r="J530" i="82"/>
  <c r="G530" i="82"/>
  <c r="C530" i="82"/>
  <c r="A530" i="82"/>
  <c r="S529" i="82"/>
  <c r="R529" i="82"/>
  <c r="Q529" i="82"/>
  <c r="P529" i="82"/>
  <c r="O529" i="82"/>
  <c r="N529" i="82"/>
  <c r="H529" i="82"/>
  <c r="I529" i="82"/>
  <c r="D529" i="82"/>
  <c r="M529" i="82"/>
  <c r="L529" i="82"/>
  <c r="K529" i="82"/>
  <c r="J529" i="82"/>
  <c r="G529" i="82"/>
  <c r="C529" i="82"/>
  <c r="A529" i="82"/>
  <c r="S528" i="82"/>
  <c r="R528" i="82"/>
  <c r="Q528" i="82"/>
  <c r="P528" i="82"/>
  <c r="O528" i="82"/>
  <c r="N528" i="82"/>
  <c r="H528" i="82"/>
  <c r="I528" i="82"/>
  <c r="D528" i="82"/>
  <c r="M528" i="82"/>
  <c r="L528" i="82"/>
  <c r="K528" i="82"/>
  <c r="J528" i="82"/>
  <c r="G528" i="82"/>
  <c r="C528" i="82"/>
  <c r="A528" i="82"/>
  <c r="S527" i="82"/>
  <c r="R527" i="82"/>
  <c r="Q527" i="82"/>
  <c r="P527" i="82"/>
  <c r="O527" i="82"/>
  <c r="N527" i="82"/>
  <c r="H527" i="82"/>
  <c r="I527" i="82"/>
  <c r="D527" i="82"/>
  <c r="M527" i="82"/>
  <c r="L527" i="82"/>
  <c r="K527" i="82"/>
  <c r="J527" i="82"/>
  <c r="G527" i="82"/>
  <c r="C527" i="82"/>
  <c r="A527" i="82"/>
  <c r="S526" i="82"/>
  <c r="R526" i="82"/>
  <c r="Q526" i="82"/>
  <c r="P526" i="82"/>
  <c r="O526" i="82"/>
  <c r="N526" i="82"/>
  <c r="H526" i="82"/>
  <c r="I526" i="82"/>
  <c r="D526" i="82"/>
  <c r="M526" i="82"/>
  <c r="L526" i="82"/>
  <c r="K526" i="82"/>
  <c r="J526" i="82"/>
  <c r="G526" i="82"/>
  <c r="C526" i="82"/>
  <c r="A526" i="82"/>
  <c r="S525" i="82"/>
  <c r="R525" i="82"/>
  <c r="Q525" i="82"/>
  <c r="P525" i="82"/>
  <c r="O525" i="82"/>
  <c r="N525" i="82"/>
  <c r="H525" i="82"/>
  <c r="I525" i="82"/>
  <c r="D525" i="82"/>
  <c r="M525" i="82"/>
  <c r="L525" i="82"/>
  <c r="K525" i="82"/>
  <c r="J525" i="82"/>
  <c r="G525" i="82"/>
  <c r="C525" i="82"/>
  <c r="A525" i="82"/>
  <c r="S524" i="82"/>
  <c r="R524" i="82"/>
  <c r="Q524" i="82"/>
  <c r="P524" i="82"/>
  <c r="O524" i="82"/>
  <c r="N524" i="82"/>
  <c r="H524" i="82"/>
  <c r="I524" i="82"/>
  <c r="D524" i="82"/>
  <c r="M524" i="82"/>
  <c r="L524" i="82"/>
  <c r="K524" i="82"/>
  <c r="J524" i="82"/>
  <c r="G524" i="82"/>
  <c r="C524" i="82"/>
  <c r="A524" i="82"/>
  <c r="S523" i="82"/>
  <c r="R523" i="82"/>
  <c r="Q523" i="82"/>
  <c r="P523" i="82"/>
  <c r="O523" i="82"/>
  <c r="N523" i="82"/>
  <c r="H523" i="82"/>
  <c r="I523" i="82"/>
  <c r="D523" i="82"/>
  <c r="M523" i="82"/>
  <c r="L523" i="82"/>
  <c r="K523" i="82"/>
  <c r="J523" i="82"/>
  <c r="G523" i="82"/>
  <c r="C523" i="82"/>
  <c r="A523" i="82"/>
  <c r="S522" i="82"/>
  <c r="R522" i="82"/>
  <c r="Q522" i="82"/>
  <c r="P522" i="82"/>
  <c r="O522" i="82"/>
  <c r="N522" i="82"/>
  <c r="H522" i="82"/>
  <c r="I522" i="82"/>
  <c r="D522" i="82"/>
  <c r="M522" i="82"/>
  <c r="L522" i="82"/>
  <c r="K522" i="82"/>
  <c r="J522" i="82"/>
  <c r="G522" i="82"/>
  <c r="C522" i="82"/>
  <c r="A522" i="82"/>
  <c r="S521" i="82"/>
  <c r="R521" i="82"/>
  <c r="Q521" i="82"/>
  <c r="P521" i="82"/>
  <c r="O521" i="82"/>
  <c r="N521" i="82"/>
  <c r="H521" i="82"/>
  <c r="I521" i="82"/>
  <c r="D521" i="82"/>
  <c r="M521" i="82"/>
  <c r="L521" i="82"/>
  <c r="K521" i="82"/>
  <c r="J521" i="82"/>
  <c r="G521" i="82"/>
  <c r="C521" i="82"/>
  <c r="A521" i="82"/>
  <c r="S520" i="82"/>
  <c r="R520" i="82"/>
  <c r="Q520" i="82"/>
  <c r="P520" i="82"/>
  <c r="O520" i="82"/>
  <c r="N520" i="82"/>
  <c r="H520" i="82"/>
  <c r="I520" i="82"/>
  <c r="D520" i="82"/>
  <c r="M520" i="82"/>
  <c r="L520" i="82"/>
  <c r="K520" i="82"/>
  <c r="J520" i="82"/>
  <c r="G520" i="82"/>
  <c r="C520" i="82"/>
  <c r="A520" i="82"/>
  <c r="S519" i="82"/>
  <c r="R519" i="82"/>
  <c r="Q519" i="82"/>
  <c r="P519" i="82"/>
  <c r="O519" i="82"/>
  <c r="N519" i="82"/>
  <c r="H519" i="82"/>
  <c r="I519" i="82"/>
  <c r="D519" i="82"/>
  <c r="M519" i="82"/>
  <c r="L519" i="82"/>
  <c r="K519" i="82"/>
  <c r="J519" i="82"/>
  <c r="G519" i="82"/>
  <c r="C519" i="82"/>
  <c r="A519" i="82"/>
  <c r="S518" i="82"/>
  <c r="R518" i="82"/>
  <c r="Q518" i="82"/>
  <c r="P518" i="82"/>
  <c r="O518" i="82"/>
  <c r="N518" i="82"/>
  <c r="H518" i="82"/>
  <c r="I518" i="82"/>
  <c r="D518" i="82"/>
  <c r="M518" i="82"/>
  <c r="L518" i="82"/>
  <c r="K518" i="82"/>
  <c r="J518" i="82"/>
  <c r="G518" i="82"/>
  <c r="C518" i="82"/>
  <c r="A518" i="82"/>
  <c r="S517" i="82"/>
  <c r="R517" i="82"/>
  <c r="Q517" i="82"/>
  <c r="P517" i="82"/>
  <c r="O517" i="82"/>
  <c r="N517" i="82"/>
  <c r="H517" i="82"/>
  <c r="I517" i="82"/>
  <c r="D517" i="82"/>
  <c r="M517" i="82"/>
  <c r="L517" i="82"/>
  <c r="K517" i="82"/>
  <c r="J517" i="82"/>
  <c r="G517" i="82"/>
  <c r="C517" i="82"/>
  <c r="A517" i="82"/>
  <c r="S516" i="82"/>
  <c r="R516" i="82"/>
  <c r="Q516" i="82"/>
  <c r="P516" i="82"/>
  <c r="O516" i="82"/>
  <c r="N516" i="82"/>
  <c r="H516" i="82"/>
  <c r="I516" i="82"/>
  <c r="D516" i="82"/>
  <c r="M516" i="82"/>
  <c r="L516" i="82"/>
  <c r="K516" i="82"/>
  <c r="J516" i="82"/>
  <c r="G516" i="82"/>
  <c r="C516" i="82"/>
  <c r="A516" i="82"/>
  <c r="S515" i="82"/>
  <c r="R515" i="82"/>
  <c r="Q515" i="82"/>
  <c r="P515" i="82"/>
  <c r="O515" i="82"/>
  <c r="N515" i="82"/>
  <c r="H515" i="82"/>
  <c r="I515" i="82"/>
  <c r="D515" i="82"/>
  <c r="M515" i="82"/>
  <c r="L515" i="82"/>
  <c r="K515" i="82"/>
  <c r="J515" i="82"/>
  <c r="G515" i="82"/>
  <c r="C515" i="82"/>
  <c r="A515" i="82"/>
  <c r="S514" i="82"/>
  <c r="R514" i="82"/>
  <c r="Q514" i="82"/>
  <c r="P514" i="82"/>
  <c r="O514" i="82"/>
  <c r="N514" i="82"/>
  <c r="H514" i="82"/>
  <c r="I514" i="82"/>
  <c r="D514" i="82"/>
  <c r="M514" i="82"/>
  <c r="L514" i="82"/>
  <c r="K514" i="82"/>
  <c r="J514" i="82"/>
  <c r="G514" i="82"/>
  <c r="C514" i="82"/>
  <c r="A514" i="82"/>
  <c r="S513" i="82"/>
  <c r="R513" i="82"/>
  <c r="Q513" i="82"/>
  <c r="P513" i="82"/>
  <c r="O513" i="82"/>
  <c r="N513" i="82"/>
  <c r="H513" i="82"/>
  <c r="I513" i="82"/>
  <c r="D513" i="82"/>
  <c r="M513" i="82"/>
  <c r="L513" i="82"/>
  <c r="K513" i="82"/>
  <c r="J513" i="82"/>
  <c r="G513" i="82"/>
  <c r="C513" i="82"/>
  <c r="A513" i="82"/>
  <c r="S512" i="82"/>
  <c r="R512" i="82"/>
  <c r="Q512" i="82"/>
  <c r="P512" i="82"/>
  <c r="O512" i="82"/>
  <c r="N512" i="82"/>
  <c r="H512" i="82"/>
  <c r="I512" i="82"/>
  <c r="D512" i="82"/>
  <c r="M512" i="82"/>
  <c r="L512" i="82"/>
  <c r="K512" i="82"/>
  <c r="J512" i="82"/>
  <c r="G512" i="82"/>
  <c r="C512" i="82"/>
  <c r="A512" i="82"/>
  <c r="S511" i="82"/>
  <c r="R511" i="82"/>
  <c r="Q511" i="82"/>
  <c r="P511" i="82"/>
  <c r="O511" i="82"/>
  <c r="N511" i="82"/>
  <c r="H511" i="82"/>
  <c r="I511" i="82"/>
  <c r="D511" i="82"/>
  <c r="M511" i="82"/>
  <c r="L511" i="82"/>
  <c r="K511" i="82"/>
  <c r="J511" i="82"/>
  <c r="G511" i="82"/>
  <c r="C511" i="82"/>
  <c r="A511" i="82"/>
  <c r="S510" i="82"/>
  <c r="R510" i="82"/>
  <c r="Q510" i="82"/>
  <c r="P510" i="82"/>
  <c r="O510" i="82"/>
  <c r="N510" i="82"/>
  <c r="H510" i="82"/>
  <c r="I510" i="82"/>
  <c r="D510" i="82"/>
  <c r="M510" i="82"/>
  <c r="L510" i="82"/>
  <c r="K510" i="82"/>
  <c r="J510" i="82"/>
  <c r="G510" i="82"/>
  <c r="C510" i="82"/>
  <c r="A510" i="82"/>
  <c r="S509" i="82"/>
  <c r="R509" i="82"/>
  <c r="Q509" i="82"/>
  <c r="P509" i="82"/>
  <c r="O509" i="82"/>
  <c r="N509" i="82"/>
  <c r="H509" i="82"/>
  <c r="I509" i="82"/>
  <c r="D509" i="82"/>
  <c r="M509" i="82"/>
  <c r="L509" i="82"/>
  <c r="K509" i="82"/>
  <c r="J509" i="82"/>
  <c r="G509" i="82"/>
  <c r="C509" i="82"/>
  <c r="A509" i="82"/>
  <c r="S508" i="82"/>
  <c r="R508" i="82"/>
  <c r="Q508" i="82"/>
  <c r="P508" i="82"/>
  <c r="O508" i="82"/>
  <c r="N508" i="82"/>
  <c r="H508" i="82"/>
  <c r="I508" i="82"/>
  <c r="D508" i="82"/>
  <c r="M508" i="82"/>
  <c r="L508" i="82"/>
  <c r="K508" i="82"/>
  <c r="J508" i="82"/>
  <c r="G508" i="82"/>
  <c r="C508" i="82"/>
  <c r="A508" i="82"/>
  <c r="S507" i="82"/>
  <c r="R507" i="82"/>
  <c r="Q507" i="82"/>
  <c r="P507" i="82"/>
  <c r="O507" i="82"/>
  <c r="N507" i="82"/>
  <c r="H507" i="82"/>
  <c r="I507" i="82"/>
  <c r="D507" i="82"/>
  <c r="M507" i="82"/>
  <c r="L507" i="82"/>
  <c r="K507" i="82"/>
  <c r="J507" i="82"/>
  <c r="G507" i="82"/>
  <c r="C507" i="82"/>
  <c r="A507" i="82"/>
  <c r="S506" i="82"/>
  <c r="R506" i="82"/>
  <c r="Q506" i="82"/>
  <c r="P506" i="82"/>
  <c r="O506" i="82"/>
  <c r="N506" i="82"/>
  <c r="H506" i="82"/>
  <c r="I506" i="82"/>
  <c r="D506" i="82"/>
  <c r="M506" i="82"/>
  <c r="L506" i="82"/>
  <c r="K506" i="82"/>
  <c r="J506" i="82"/>
  <c r="G506" i="82"/>
  <c r="C506" i="82"/>
  <c r="A506" i="82"/>
  <c r="S505" i="82"/>
  <c r="R505" i="82"/>
  <c r="Q505" i="82"/>
  <c r="P505" i="82"/>
  <c r="O505" i="82"/>
  <c r="N505" i="82"/>
  <c r="H505" i="82"/>
  <c r="I505" i="82"/>
  <c r="D505" i="82"/>
  <c r="M505" i="82"/>
  <c r="L505" i="82"/>
  <c r="K505" i="82"/>
  <c r="J505" i="82"/>
  <c r="G505" i="82"/>
  <c r="C505" i="82"/>
  <c r="A505" i="82"/>
  <c r="S504" i="82"/>
  <c r="R504" i="82"/>
  <c r="Q504" i="82"/>
  <c r="P504" i="82"/>
  <c r="O504" i="82"/>
  <c r="N504" i="82"/>
  <c r="H504" i="82"/>
  <c r="I504" i="82"/>
  <c r="D504" i="82"/>
  <c r="M504" i="82"/>
  <c r="L504" i="82"/>
  <c r="K504" i="82"/>
  <c r="J504" i="82"/>
  <c r="G504" i="82"/>
  <c r="C504" i="82"/>
  <c r="A504" i="82"/>
  <c r="S503" i="82"/>
  <c r="R503" i="82"/>
  <c r="Q503" i="82"/>
  <c r="P503" i="82"/>
  <c r="O503" i="82"/>
  <c r="N503" i="82"/>
  <c r="H503" i="82"/>
  <c r="I503" i="82"/>
  <c r="D503" i="82"/>
  <c r="M503" i="82"/>
  <c r="L503" i="82"/>
  <c r="K503" i="82"/>
  <c r="J503" i="82"/>
  <c r="G503" i="82"/>
  <c r="C503" i="82"/>
  <c r="A503" i="82"/>
  <c r="S502" i="82"/>
  <c r="R502" i="82"/>
  <c r="Q502" i="82"/>
  <c r="P502" i="82"/>
  <c r="O502" i="82"/>
  <c r="N502" i="82"/>
  <c r="H502" i="82"/>
  <c r="I502" i="82"/>
  <c r="D502" i="82"/>
  <c r="M502" i="82"/>
  <c r="L502" i="82"/>
  <c r="K502" i="82"/>
  <c r="J502" i="82"/>
  <c r="G502" i="82"/>
  <c r="C502" i="82"/>
  <c r="A502" i="82"/>
  <c r="S501" i="82"/>
  <c r="R501" i="82"/>
  <c r="Q501" i="82"/>
  <c r="P501" i="82"/>
  <c r="O501" i="82"/>
  <c r="N501" i="82"/>
  <c r="H501" i="82"/>
  <c r="I501" i="82"/>
  <c r="D501" i="82"/>
  <c r="M501" i="82"/>
  <c r="L501" i="82"/>
  <c r="K501" i="82"/>
  <c r="J501" i="82"/>
  <c r="G501" i="82"/>
  <c r="C501" i="82"/>
  <c r="A501" i="82"/>
  <c r="S500" i="82"/>
  <c r="R500" i="82"/>
  <c r="Q500" i="82"/>
  <c r="P500" i="82"/>
  <c r="O500" i="82"/>
  <c r="N500" i="82"/>
  <c r="H500" i="82"/>
  <c r="I500" i="82"/>
  <c r="D500" i="82"/>
  <c r="M500" i="82"/>
  <c r="L500" i="82"/>
  <c r="K500" i="82"/>
  <c r="J500" i="82"/>
  <c r="G500" i="82"/>
  <c r="C500" i="82"/>
  <c r="A500" i="82"/>
  <c r="S499" i="82"/>
  <c r="R499" i="82"/>
  <c r="Q499" i="82"/>
  <c r="P499" i="82"/>
  <c r="O499" i="82"/>
  <c r="N499" i="82"/>
  <c r="H499" i="82"/>
  <c r="I499" i="82"/>
  <c r="D499" i="82"/>
  <c r="M499" i="82"/>
  <c r="L499" i="82"/>
  <c r="K499" i="82"/>
  <c r="J499" i="82"/>
  <c r="G499" i="82"/>
  <c r="C499" i="82"/>
  <c r="A499" i="82"/>
  <c r="S498" i="82"/>
  <c r="R498" i="82"/>
  <c r="Q498" i="82"/>
  <c r="P498" i="82"/>
  <c r="O498" i="82"/>
  <c r="N498" i="82"/>
  <c r="H498" i="82"/>
  <c r="I498" i="82"/>
  <c r="D498" i="82"/>
  <c r="M498" i="82"/>
  <c r="L498" i="82"/>
  <c r="K498" i="82"/>
  <c r="J498" i="82"/>
  <c r="G498" i="82"/>
  <c r="C498" i="82"/>
  <c r="A498" i="82"/>
  <c r="S497" i="82"/>
  <c r="R497" i="82"/>
  <c r="Q497" i="82"/>
  <c r="P497" i="82"/>
  <c r="O497" i="82"/>
  <c r="N497" i="82"/>
  <c r="H497" i="82"/>
  <c r="I497" i="82"/>
  <c r="D497" i="82"/>
  <c r="M497" i="82"/>
  <c r="L497" i="82"/>
  <c r="K497" i="82"/>
  <c r="J497" i="82"/>
  <c r="G497" i="82"/>
  <c r="C497" i="82"/>
  <c r="A497" i="82"/>
  <c r="S496" i="82"/>
  <c r="R496" i="82"/>
  <c r="Q496" i="82"/>
  <c r="P496" i="82"/>
  <c r="O496" i="82"/>
  <c r="N496" i="82"/>
  <c r="H496" i="82"/>
  <c r="I496" i="82"/>
  <c r="D496" i="82"/>
  <c r="M496" i="82"/>
  <c r="L496" i="82"/>
  <c r="K496" i="82"/>
  <c r="J496" i="82"/>
  <c r="G496" i="82"/>
  <c r="C496" i="82"/>
  <c r="A496" i="82"/>
  <c r="S495" i="82"/>
  <c r="R495" i="82"/>
  <c r="Q495" i="82"/>
  <c r="P495" i="82"/>
  <c r="O495" i="82"/>
  <c r="N495" i="82"/>
  <c r="H495" i="82"/>
  <c r="I495" i="82"/>
  <c r="D495" i="82"/>
  <c r="M495" i="82"/>
  <c r="L495" i="82"/>
  <c r="K495" i="82"/>
  <c r="J495" i="82"/>
  <c r="G495" i="82"/>
  <c r="C495" i="82"/>
  <c r="A495" i="82"/>
  <c r="S494" i="82"/>
  <c r="R494" i="82"/>
  <c r="Q494" i="82"/>
  <c r="P494" i="82"/>
  <c r="O494" i="82"/>
  <c r="N494" i="82"/>
  <c r="H494" i="82"/>
  <c r="I494" i="82"/>
  <c r="D494" i="82"/>
  <c r="M494" i="82"/>
  <c r="L494" i="82"/>
  <c r="K494" i="82"/>
  <c r="J494" i="82"/>
  <c r="G494" i="82"/>
  <c r="C494" i="82"/>
  <c r="A494" i="82"/>
  <c r="S493" i="82"/>
  <c r="R493" i="82"/>
  <c r="Q493" i="82"/>
  <c r="P493" i="82"/>
  <c r="O493" i="82"/>
  <c r="N493" i="82"/>
  <c r="H493" i="82"/>
  <c r="I493" i="82"/>
  <c r="D493" i="82"/>
  <c r="M493" i="82"/>
  <c r="L493" i="82"/>
  <c r="K493" i="82"/>
  <c r="J493" i="82"/>
  <c r="G493" i="82"/>
  <c r="C493" i="82"/>
  <c r="A493" i="82"/>
  <c r="S492" i="82"/>
  <c r="R492" i="82"/>
  <c r="Q492" i="82"/>
  <c r="P492" i="82"/>
  <c r="O492" i="82"/>
  <c r="N492" i="82"/>
  <c r="H492" i="82"/>
  <c r="I492" i="82"/>
  <c r="D492" i="82"/>
  <c r="M492" i="82"/>
  <c r="L492" i="82"/>
  <c r="K492" i="82"/>
  <c r="J492" i="82"/>
  <c r="G492" i="82"/>
  <c r="C492" i="82"/>
  <c r="A492" i="82"/>
  <c r="S491" i="82"/>
  <c r="R491" i="82"/>
  <c r="Q491" i="82"/>
  <c r="P491" i="82"/>
  <c r="O491" i="82"/>
  <c r="N491" i="82"/>
  <c r="H491" i="82"/>
  <c r="I491" i="82"/>
  <c r="D491" i="82"/>
  <c r="M491" i="82"/>
  <c r="L491" i="82"/>
  <c r="K491" i="82"/>
  <c r="J491" i="82"/>
  <c r="G491" i="82"/>
  <c r="C491" i="82"/>
  <c r="A491" i="82"/>
  <c r="S490" i="82"/>
  <c r="R490" i="82"/>
  <c r="Q490" i="82"/>
  <c r="P490" i="82"/>
  <c r="O490" i="82"/>
  <c r="N490" i="82"/>
  <c r="H490" i="82"/>
  <c r="I490" i="82"/>
  <c r="D490" i="82"/>
  <c r="M490" i="82"/>
  <c r="L490" i="82"/>
  <c r="K490" i="82"/>
  <c r="J490" i="82"/>
  <c r="G490" i="82"/>
  <c r="C490" i="82"/>
  <c r="A490" i="82"/>
  <c r="S489" i="82"/>
  <c r="R489" i="82"/>
  <c r="Q489" i="82"/>
  <c r="P489" i="82"/>
  <c r="O489" i="82"/>
  <c r="N489" i="82"/>
  <c r="H489" i="82"/>
  <c r="I489" i="82"/>
  <c r="D489" i="82"/>
  <c r="M489" i="82"/>
  <c r="L489" i="82"/>
  <c r="K489" i="82"/>
  <c r="J489" i="82"/>
  <c r="G489" i="82"/>
  <c r="C489" i="82"/>
  <c r="A489" i="82"/>
  <c r="S488" i="82"/>
  <c r="R488" i="82"/>
  <c r="Q488" i="82"/>
  <c r="P488" i="82"/>
  <c r="O488" i="82"/>
  <c r="N488" i="82"/>
  <c r="H488" i="82"/>
  <c r="I488" i="82"/>
  <c r="D488" i="82"/>
  <c r="M488" i="82"/>
  <c r="L488" i="82"/>
  <c r="K488" i="82"/>
  <c r="J488" i="82"/>
  <c r="G488" i="82"/>
  <c r="C488" i="82"/>
  <c r="A488" i="82"/>
  <c r="S487" i="82"/>
  <c r="R487" i="82"/>
  <c r="Q487" i="82"/>
  <c r="P487" i="82"/>
  <c r="O487" i="82"/>
  <c r="N487" i="82"/>
  <c r="H487" i="82"/>
  <c r="I487" i="82"/>
  <c r="D487" i="82"/>
  <c r="M487" i="82"/>
  <c r="L487" i="82"/>
  <c r="K487" i="82"/>
  <c r="J487" i="82"/>
  <c r="G487" i="82"/>
  <c r="C487" i="82"/>
  <c r="A487" i="82"/>
  <c r="S486" i="82"/>
  <c r="R486" i="82"/>
  <c r="Q486" i="82"/>
  <c r="P486" i="82"/>
  <c r="O486" i="82"/>
  <c r="N486" i="82"/>
  <c r="H486" i="82"/>
  <c r="I486" i="82"/>
  <c r="D486" i="82"/>
  <c r="M486" i="82"/>
  <c r="L486" i="82"/>
  <c r="K486" i="82"/>
  <c r="J486" i="82"/>
  <c r="G486" i="82"/>
  <c r="C486" i="82"/>
  <c r="A486" i="82"/>
  <c r="S485" i="82"/>
  <c r="R485" i="82"/>
  <c r="Q485" i="82"/>
  <c r="P485" i="82"/>
  <c r="O485" i="82"/>
  <c r="N485" i="82"/>
  <c r="H485" i="82"/>
  <c r="I485" i="82"/>
  <c r="D485" i="82"/>
  <c r="M485" i="82"/>
  <c r="L485" i="82"/>
  <c r="K485" i="82"/>
  <c r="J485" i="82"/>
  <c r="G485" i="82"/>
  <c r="C485" i="82"/>
  <c r="A485" i="82"/>
  <c r="S484" i="82"/>
  <c r="R484" i="82"/>
  <c r="Q484" i="82"/>
  <c r="P484" i="82"/>
  <c r="O484" i="82"/>
  <c r="N484" i="82"/>
  <c r="H484" i="82"/>
  <c r="I484" i="82"/>
  <c r="D484" i="82"/>
  <c r="M484" i="82"/>
  <c r="L484" i="82"/>
  <c r="K484" i="82"/>
  <c r="J484" i="82"/>
  <c r="G484" i="82"/>
  <c r="C484" i="82"/>
  <c r="A484" i="82"/>
  <c r="S483" i="82"/>
  <c r="R483" i="82"/>
  <c r="Q483" i="82"/>
  <c r="P483" i="82"/>
  <c r="O483" i="82"/>
  <c r="N483" i="82"/>
  <c r="H483" i="82"/>
  <c r="I483" i="82"/>
  <c r="D483" i="82"/>
  <c r="M483" i="82"/>
  <c r="L483" i="82"/>
  <c r="K483" i="82"/>
  <c r="J483" i="82"/>
  <c r="G483" i="82"/>
  <c r="C483" i="82"/>
  <c r="A483" i="82"/>
  <c r="S482" i="82"/>
  <c r="R482" i="82"/>
  <c r="Q482" i="82"/>
  <c r="P482" i="82"/>
  <c r="O482" i="82"/>
  <c r="N482" i="82"/>
  <c r="H482" i="82"/>
  <c r="I482" i="82"/>
  <c r="D482" i="82"/>
  <c r="M482" i="82"/>
  <c r="L482" i="82"/>
  <c r="K482" i="82"/>
  <c r="J482" i="82"/>
  <c r="G482" i="82"/>
  <c r="C482" i="82"/>
  <c r="A482" i="82"/>
  <c r="S481" i="82"/>
  <c r="R481" i="82"/>
  <c r="Q481" i="82"/>
  <c r="P481" i="82"/>
  <c r="O481" i="82"/>
  <c r="N481" i="82"/>
  <c r="H481" i="82"/>
  <c r="I481" i="82"/>
  <c r="D481" i="82"/>
  <c r="M481" i="82"/>
  <c r="L481" i="82"/>
  <c r="K481" i="82"/>
  <c r="J481" i="82"/>
  <c r="G481" i="82"/>
  <c r="C481" i="82"/>
  <c r="A481" i="82"/>
  <c r="S480" i="82"/>
  <c r="R480" i="82"/>
  <c r="Q480" i="82"/>
  <c r="P480" i="82"/>
  <c r="O480" i="82"/>
  <c r="N480" i="82"/>
  <c r="H480" i="82"/>
  <c r="I480" i="82"/>
  <c r="D480" i="82"/>
  <c r="M480" i="82"/>
  <c r="L480" i="82"/>
  <c r="K480" i="82"/>
  <c r="J480" i="82"/>
  <c r="G480" i="82"/>
  <c r="C480" i="82"/>
  <c r="A480" i="82"/>
  <c r="S479" i="82"/>
  <c r="R479" i="82"/>
  <c r="Q479" i="82"/>
  <c r="P479" i="82"/>
  <c r="O479" i="82"/>
  <c r="N479" i="82"/>
  <c r="H479" i="82"/>
  <c r="I479" i="82"/>
  <c r="D479" i="82"/>
  <c r="M479" i="82"/>
  <c r="L479" i="82"/>
  <c r="K479" i="82"/>
  <c r="J479" i="82"/>
  <c r="G479" i="82"/>
  <c r="C479" i="82"/>
  <c r="A479" i="82"/>
  <c r="S478" i="82"/>
  <c r="R478" i="82"/>
  <c r="Q478" i="82"/>
  <c r="P478" i="82"/>
  <c r="O478" i="82"/>
  <c r="N478" i="82"/>
  <c r="H478" i="82"/>
  <c r="I478" i="82"/>
  <c r="D478" i="82"/>
  <c r="M478" i="82"/>
  <c r="L478" i="82"/>
  <c r="K478" i="82"/>
  <c r="J478" i="82"/>
  <c r="G478" i="82"/>
  <c r="C478" i="82"/>
  <c r="A478" i="82"/>
  <c r="S477" i="82"/>
  <c r="R477" i="82"/>
  <c r="Q477" i="82"/>
  <c r="P477" i="82"/>
  <c r="O477" i="82"/>
  <c r="N477" i="82"/>
  <c r="H477" i="82"/>
  <c r="I477" i="82"/>
  <c r="D477" i="82"/>
  <c r="M477" i="82"/>
  <c r="L477" i="82"/>
  <c r="K477" i="82"/>
  <c r="J477" i="82"/>
  <c r="G477" i="82"/>
  <c r="C477" i="82"/>
  <c r="A477" i="82"/>
  <c r="S476" i="82"/>
  <c r="R476" i="82"/>
  <c r="Q476" i="82"/>
  <c r="P476" i="82"/>
  <c r="O476" i="82"/>
  <c r="N476" i="82"/>
  <c r="H476" i="82"/>
  <c r="I476" i="82"/>
  <c r="D476" i="82"/>
  <c r="M476" i="82"/>
  <c r="L476" i="82"/>
  <c r="K476" i="82"/>
  <c r="J476" i="82"/>
  <c r="G476" i="82"/>
  <c r="C476" i="82"/>
  <c r="A476" i="82"/>
  <c r="S475" i="82"/>
  <c r="R475" i="82"/>
  <c r="Q475" i="82"/>
  <c r="P475" i="82"/>
  <c r="O475" i="82"/>
  <c r="N475" i="82"/>
  <c r="H475" i="82"/>
  <c r="I475" i="82"/>
  <c r="D475" i="82"/>
  <c r="M475" i="82"/>
  <c r="L475" i="82"/>
  <c r="K475" i="82"/>
  <c r="J475" i="82"/>
  <c r="G475" i="82"/>
  <c r="C475" i="82"/>
  <c r="A475" i="82"/>
  <c r="S474" i="82"/>
  <c r="R474" i="82"/>
  <c r="Q474" i="82"/>
  <c r="P474" i="82"/>
  <c r="O474" i="82"/>
  <c r="N474" i="82"/>
  <c r="H474" i="82"/>
  <c r="I474" i="82"/>
  <c r="D474" i="82"/>
  <c r="M474" i="82"/>
  <c r="L474" i="82"/>
  <c r="K474" i="82"/>
  <c r="J474" i="82"/>
  <c r="G474" i="82"/>
  <c r="C474" i="82"/>
  <c r="A474" i="82"/>
  <c r="S473" i="82"/>
  <c r="R473" i="82"/>
  <c r="Q473" i="82"/>
  <c r="P473" i="82"/>
  <c r="O473" i="82"/>
  <c r="N473" i="82"/>
  <c r="H473" i="82"/>
  <c r="I473" i="82"/>
  <c r="D473" i="82"/>
  <c r="M473" i="82"/>
  <c r="L473" i="82"/>
  <c r="K473" i="82"/>
  <c r="J473" i="82"/>
  <c r="G473" i="82"/>
  <c r="C473" i="82"/>
  <c r="A473" i="82"/>
  <c r="S472" i="82"/>
  <c r="R472" i="82"/>
  <c r="Q472" i="82"/>
  <c r="P472" i="82"/>
  <c r="O472" i="82"/>
  <c r="N472" i="82"/>
  <c r="H472" i="82"/>
  <c r="I472" i="82"/>
  <c r="D472" i="82"/>
  <c r="M472" i="82"/>
  <c r="L472" i="82"/>
  <c r="K472" i="82"/>
  <c r="J472" i="82"/>
  <c r="G472" i="82"/>
  <c r="C472" i="82"/>
  <c r="A472" i="82"/>
  <c r="S471" i="82"/>
  <c r="R471" i="82"/>
  <c r="Q471" i="82"/>
  <c r="P471" i="82"/>
  <c r="O471" i="82"/>
  <c r="N471" i="82"/>
  <c r="H471" i="82"/>
  <c r="I471" i="82"/>
  <c r="D471" i="82"/>
  <c r="M471" i="82"/>
  <c r="L471" i="82"/>
  <c r="K471" i="82"/>
  <c r="J471" i="82"/>
  <c r="G471" i="82"/>
  <c r="C471" i="82"/>
  <c r="A471" i="82"/>
  <c r="S470" i="82"/>
  <c r="R470" i="82"/>
  <c r="Q470" i="82"/>
  <c r="P470" i="82"/>
  <c r="O470" i="82"/>
  <c r="N470" i="82"/>
  <c r="H470" i="82"/>
  <c r="I470" i="82"/>
  <c r="D470" i="82"/>
  <c r="M470" i="82"/>
  <c r="L470" i="82"/>
  <c r="K470" i="82"/>
  <c r="J470" i="82"/>
  <c r="G470" i="82"/>
  <c r="C470" i="82"/>
  <c r="A470" i="82"/>
  <c r="S469" i="82"/>
  <c r="R469" i="82"/>
  <c r="Q469" i="82"/>
  <c r="P469" i="82"/>
  <c r="O469" i="82"/>
  <c r="N469" i="82"/>
  <c r="H469" i="82"/>
  <c r="I469" i="82"/>
  <c r="D469" i="82"/>
  <c r="M469" i="82"/>
  <c r="L469" i="82"/>
  <c r="K469" i="82"/>
  <c r="J469" i="82"/>
  <c r="G469" i="82"/>
  <c r="C469" i="82"/>
  <c r="A469" i="82"/>
  <c r="S468" i="82"/>
  <c r="R468" i="82"/>
  <c r="Q468" i="82"/>
  <c r="P468" i="82"/>
  <c r="O468" i="82"/>
  <c r="N468" i="82"/>
  <c r="H468" i="82"/>
  <c r="I468" i="82"/>
  <c r="D468" i="82"/>
  <c r="M468" i="82"/>
  <c r="L468" i="82"/>
  <c r="K468" i="82"/>
  <c r="J468" i="82"/>
  <c r="G468" i="82"/>
  <c r="C468" i="82"/>
  <c r="A468" i="82"/>
  <c r="S467" i="82"/>
  <c r="R467" i="82"/>
  <c r="Q467" i="82"/>
  <c r="P467" i="82"/>
  <c r="O467" i="82"/>
  <c r="N467" i="82"/>
  <c r="H467" i="82"/>
  <c r="I467" i="82"/>
  <c r="D467" i="82"/>
  <c r="M467" i="82"/>
  <c r="L467" i="82"/>
  <c r="K467" i="82"/>
  <c r="J467" i="82"/>
  <c r="G467" i="82"/>
  <c r="C467" i="82"/>
  <c r="A467" i="82"/>
  <c r="S466" i="82"/>
  <c r="R466" i="82"/>
  <c r="Q466" i="82"/>
  <c r="P466" i="82"/>
  <c r="O466" i="82"/>
  <c r="N466" i="82"/>
  <c r="H466" i="82"/>
  <c r="I466" i="82"/>
  <c r="D466" i="82"/>
  <c r="M466" i="82"/>
  <c r="L466" i="82"/>
  <c r="K466" i="82"/>
  <c r="J466" i="82"/>
  <c r="G466" i="82"/>
  <c r="C466" i="82"/>
  <c r="A466" i="82"/>
  <c r="S465" i="82"/>
  <c r="R465" i="82"/>
  <c r="Q465" i="82"/>
  <c r="P465" i="82"/>
  <c r="O465" i="82"/>
  <c r="N465" i="82"/>
  <c r="H465" i="82"/>
  <c r="I465" i="82"/>
  <c r="D465" i="82"/>
  <c r="M465" i="82"/>
  <c r="L465" i="82"/>
  <c r="K465" i="82"/>
  <c r="J465" i="82"/>
  <c r="G465" i="82"/>
  <c r="C465" i="82"/>
  <c r="A465" i="82"/>
  <c r="S464" i="82"/>
  <c r="R464" i="82"/>
  <c r="Q464" i="82"/>
  <c r="P464" i="82"/>
  <c r="O464" i="82"/>
  <c r="N464" i="82"/>
  <c r="H464" i="82"/>
  <c r="I464" i="82"/>
  <c r="D464" i="82"/>
  <c r="M464" i="82"/>
  <c r="L464" i="82"/>
  <c r="K464" i="82"/>
  <c r="J464" i="82"/>
  <c r="G464" i="82"/>
  <c r="C464" i="82"/>
  <c r="A464" i="82"/>
  <c r="S463" i="82"/>
  <c r="R463" i="82"/>
  <c r="Q463" i="82"/>
  <c r="P463" i="82"/>
  <c r="O463" i="82"/>
  <c r="N463" i="82"/>
  <c r="H463" i="82"/>
  <c r="I463" i="82"/>
  <c r="D463" i="82"/>
  <c r="M463" i="82"/>
  <c r="L463" i="82"/>
  <c r="K463" i="82"/>
  <c r="J463" i="82"/>
  <c r="G463" i="82"/>
  <c r="C463" i="82"/>
  <c r="A463" i="82"/>
  <c r="S462" i="82"/>
  <c r="R462" i="82"/>
  <c r="Q462" i="82"/>
  <c r="P462" i="82"/>
  <c r="O462" i="82"/>
  <c r="N462" i="82"/>
  <c r="H462" i="82"/>
  <c r="I462" i="82"/>
  <c r="D462" i="82"/>
  <c r="M462" i="82"/>
  <c r="L462" i="82"/>
  <c r="K462" i="82"/>
  <c r="J462" i="82"/>
  <c r="G462" i="82"/>
  <c r="C462" i="82"/>
  <c r="A462" i="82"/>
  <c r="S461" i="82"/>
  <c r="R461" i="82"/>
  <c r="Q461" i="82"/>
  <c r="P461" i="82"/>
  <c r="O461" i="82"/>
  <c r="N461" i="82"/>
  <c r="H461" i="82"/>
  <c r="I461" i="82"/>
  <c r="D461" i="82"/>
  <c r="M461" i="82"/>
  <c r="L461" i="82"/>
  <c r="K461" i="82"/>
  <c r="J461" i="82"/>
  <c r="G461" i="82"/>
  <c r="C461" i="82"/>
  <c r="A461" i="82"/>
  <c r="S460" i="82"/>
  <c r="R460" i="82"/>
  <c r="Q460" i="82"/>
  <c r="P460" i="82"/>
  <c r="O460" i="82"/>
  <c r="N460" i="82"/>
  <c r="H460" i="82"/>
  <c r="I460" i="82"/>
  <c r="D460" i="82"/>
  <c r="M460" i="82"/>
  <c r="L460" i="82"/>
  <c r="K460" i="82"/>
  <c r="J460" i="82"/>
  <c r="G460" i="82"/>
  <c r="C460" i="82"/>
  <c r="A460" i="82"/>
  <c r="S459" i="82"/>
  <c r="R459" i="82"/>
  <c r="Q459" i="82"/>
  <c r="P459" i="82"/>
  <c r="O459" i="82"/>
  <c r="N459" i="82"/>
  <c r="H459" i="82"/>
  <c r="I459" i="82"/>
  <c r="D459" i="82"/>
  <c r="M459" i="82"/>
  <c r="L459" i="82"/>
  <c r="K459" i="82"/>
  <c r="J459" i="82"/>
  <c r="G459" i="82"/>
  <c r="C459" i="82"/>
  <c r="A459" i="82"/>
  <c r="S458" i="82"/>
  <c r="R458" i="82"/>
  <c r="Q458" i="82"/>
  <c r="P458" i="82"/>
  <c r="O458" i="82"/>
  <c r="N458" i="82"/>
  <c r="H458" i="82"/>
  <c r="I458" i="82"/>
  <c r="D458" i="82"/>
  <c r="M458" i="82"/>
  <c r="L458" i="82"/>
  <c r="K458" i="82"/>
  <c r="J458" i="82"/>
  <c r="G458" i="82"/>
  <c r="C458" i="82"/>
  <c r="A458" i="82"/>
  <c r="S457" i="82"/>
  <c r="R457" i="82"/>
  <c r="Q457" i="82"/>
  <c r="P457" i="82"/>
  <c r="O457" i="82"/>
  <c r="N457" i="82"/>
  <c r="H457" i="82"/>
  <c r="I457" i="82"/>
  <c r="D457" i="82"/>
  <c r="M457" i="82"/>
  <c r="L457" i="82"/>
  <c r="K457" i="82"/>
  <c r="J457" i="82"/>
  <c r="G457" i="82"/>
  <c r="C457" i="82"/>
  <c r="A457" i="82"/>
  <c r="S456" i="82"/>
  <c r="R456" i="82"/>
  <c r="Q456" i="82"/>
  <c r="P456" i="82"/>
  <c r="O456" i="82"/>
  <c r="N456" i="82"/>
  <c r="H456" i="82"/>
  <c r="I456" i="82"/>
  <c r="D456" i="82"/>
  <c r="M456" i="82"/>
  <c r="L456" i="82"/>
  <c r="K456" i="82"/>
  <c r="J456" i="82"/>
  <c r="G456" i="82"/>
  <c r="C456" i="82"/>
  <c r="A456" i="82"/>
  <c r="S455" i="82"/>
  <c r="R455" i="82"/>
  <c r="Q455" i="82"/>
  <c r="P455" i="82"/>
  <c r="O455" i="82"/>
  <c r="N455" i="82"/>
  <c r="H455" i="82"/>
  <c r="I455" i="82"/>
  <c r="D455" i="82"/>
  <c r="M455" i="82"/>
  <c r="L455" i="82"/>
  <c r="K455" i="82"/>
  <c r="J455" i="82"/>
  <c r="G455" i="82"/>
  <c r="C455" i="82"/>
  <c r="A455" i="82"/>
  <c r="S454" i="82"/>
  <c r="R454" i="82"/>
  <c r="Q454" i="82"/>
  <c r="P454" i="82"/>
  <c r="O454" i="82"/>
  <c r="N454" i="82"/>
  <c r="H454" i="82"/>
  <c r="I454" i="82"/>
  <c r="D454" i="82"/>
  <c r="M454" i="82"/>
  <c r="L454" i="82"/>
  <c r="K454" i="82"/>
  <c r="J454" i="82"/>
  <c r="G454" i="82"/>
  <c r="C454" i="82"/>
  <c r="A454" i="82"/>
  <c r="S453" i="82"/>
  <c r="R453" i="82"/>
  <c r="Q453" i="82"/>
  <c r="P453" i="82"/>
  <c r="O453" i="82"/>
  <c r="N453" i="82"/>
  <c r="H453" i="82"/>
  <c r="I453" i="82"/>
  <c r="D453" i="82"/>
  <c r="M453" i="82"/>
  <c r="L453" i="82"/>
  <c r="K453" i="82"/>
  <c r="J453" i="82"/>
  <c r="G453" i="82"/>
  <c r="C453" i="82"/>
  <c r="A453" i="82"/>
  <c r="S452" i="82"/>
  <c r="R452" i="82"/>
  <c r="Q452" i="82"/>
  <c r="P452" i="82"/>
  <c r="O452" i="82"/>
  <c r="N452" i="82"/>
  <c r="H452" i="82"/>
  <c r="I452" i="82"/>
  <c r="D452" i="82"/>
  <c r="M452" i="82"/>
  <c r="L452" i="82"/>
  <c r="K452" i="82"/>
  <c r="J452" i="82"/>
  <c r="G452" i="82"/>
  <c r="C452" i="82"/>
  <c r="A452" i="82"/>
  <c r="S451" i="82"/>
  <c r="R451" i="82"/>
  <c r="Q451" i="82"/>
  <c r="P451" i="82"/>
  <c r="O451" i="82"/>
  <c r="N451" i="82"/>
  <c r="H451" i="82"/>
  <c r="I451" i="82"/>
  <c r="D451" i="82"/>
  <c r="M451" i="82"/>
  <c r="L451" i="82"/>
  <c r="K451" i="82"/>
  <c r="J451" i="82"/>
  <c r="G451" i="82"/>
  <c r="C451" i="82"/>
  <c r="A451" i="82"/>
  <c r="S450" i="82"/>
  <c r="R450" i="82"/>
  <c r="Q450" i="82"/>
  <c r="P450" i="82"/>
  <c r="O450" i="82"/>
  <c r="N450" i="82"/>
  <c r="H450" i="82"/>
  <c r="I450" i="82"/>
  <c r="D450" i="82"/>
  <c r="M450" i="82"/>
  <c r="L450" i="82"/>
  <c r="K450" i="82"/>
  <c r="J450" i="82"/>
  <c r="G450" i="82"/>
  <c r="C450" i="82"/>
  <c r="A450" i="82"/>
  <c r="S449" i="82"/>
  <c r="R449" i="82"/>
  <c r="Q449" i="82"/>
  <c r="P449" i="82"/>
  <c r="O449" i="82"/>
  <c r="N449" i="82"/>
  <c r="H449" i="82"/>
  <c r="I449" i="82"/>
  <c r="D449" i="82"/>
  <c r="M449" i="82"/>
  <c r="L449" i="82"/>
  <c r="K449" i="82"/>
  <c r="J449" i="82"/>
  <c r="G449" i="82"/>
  <c r="C449" i="82"/>
  <c r="A449" i="82"/>
  <c r="S448" i="82"/>
  <c r="R448" i="82"/>
  <c r="Q448" i="82"/>
  <c r="P448" i="82"/>
  <c r="O448" i="82"/>
  <c r="N448" i="82"/>
  <c r="H448" i="82"/>
  <c r="I448" i="82"/>
  <c r="D448" i="82"/>
  <c r="M448" i="82"/>
  <c r="L448" i="82"/>
  <c r="K448" i="82"/>
  <c r="J448" i="82"/>
  <c r="G448" i="82"/>
  <c r="C448" i="82"/>
  <c r="A448" i="82"/>
  <c r="S447" i="82"/>
  <c r="R447" i="82"/>
  <c r="Q447" i="82"/>
  <c r="P447" i="82"/>
  <c r="O447" i="82"/>
  <c r="N447" i="82"/>
  <c r="H447" i="82"/>
  <c r="I447" i="82"/>
  <c r="D447" i="82"/>
  <c r="M447" i="82"/>
  <c r="L447" i="82"/>
  <c r="K447" i="82"/>
  <c r="J447" i="82"/>
  <c r="G447" i="82"/>
  <c r="C447" i="82"/>
  <c r="A447" i="82"/>
  <c r="S446" i="82"/>
  <c r="R446" i="82"/>
  <c r="Q446" i="82"/>
  <c r="P446" i="82"/>
  <c r="O446" i="82"/>
  <c r="N446" i="82"/>
  <c r="H446" i="82"/>
  <c r="I446" i="82"/>
  <c r="D446" i="82"/>
  <c r="M446" i="82"/>
  <c r="L446" i="82"/>
  <c r="K446" i="82"/>
  <c r="J446" i="82"/>
  <c r="G446" i="82"/>
  <c r="C446" i="82"/>
  <c r="A446" i="82"/>
  <c r="S445" i="82"/>
  <c r="R445" i="82"/>
  <c r="Q445" i="82"/>
  <c r="P445" i="82"/>
  <c r="O445" i="82"/>
  <c r="N445" i="82"/>
  <c r="H445" i="82"/>
  <c r="I445" i="82"/>
  <c r="D445" i="82"/>
  <c r="M445" i="82"/>
  <c r="L445" i="82"/>
  <c r="K445" i="82"/>
  <c r="J445" i="82"/>
  <c r="G445" i="82"/>
  <c r="C445" i="82"/>
  <c r="A445" i="82"/>
  <c r="S444" i="82"/>
  <c r="R444" i="82"/>
  <c r="Q444" i="82"/>
  <c r="P444" i="82"/>
  <c r="O444" i="82"/>
  <c r="N444" i="82"/>
  <c r="H444" i="82"/>
  <c r="I444" i="82"/>
  <c r="D444" i="82"/>
  <c r="M444" i="82"/>
  <c r="L444" i="82"/>
  <c r="K444" i="82"/>
  <c r="J444" i="82"/>
  <c r="G444" i="82"/>
  <c r="C444" i="82"/>
  <c r="A444" i="82"/>
  <c r="S443" i="82"/>
  <c r="R443" i="82"/>
  <c r="Q443" i="82"/>
  <c r="P443" i="82"/>
  <c r="O443" i="82"/>
  <c r="N443" i="82"/>
  <c r="H443" i="82"/>
  <c r="I443" i="82"/>
  <c r="D443" i="82"/>
  <c r="M443" i="82"/>
  <c r="L443" i="82"/>
  <c r="K443" i="82"/>
  <c r="J443" i="82"/>
  <c r="G443" i="82"/>
  <c r="C443" i="82"/>
  <c r="A443" i="82"/>
  <c r="S442" i="82"/>
  <c r="R442" i="82"/>
  <c r="Q442" i="82"/>
  <c r="P442" i="82"/>
  <c r="O442" i="82"/>
  <c r="N442" i="82"/>
  <c r="H442" i="82"/>
  <c r="I442" i="82"/>
  <c r="D442" i="82"/>
  <c r="M442" i="82"/>
  <c r="L442" i="82"/>
  <c r="K442" i="82"/>
  <c r="J442" i="82"/>
  <c r="G442" i="82"/>
  <c r="C442" i="82"/>
  <c r="A442" i="82"/>
  <c r="S441" i="82"/>
  <c r="R441" i="82"/>
  <c r="Q441" i="82"/>
  <c r="P441" i="82"/>
  <c r="O441" i="82"/>
  <c r="N441" i="82"/>
  <c r="H441" i="82"/>
  <c r="I441" i="82"/>
  <c r="D441" i="82"/>
  <c r="M441" i="82"/>
  <c r="L441" i="82"/>
  <c r="K441" i="82"/>
  <c r="J441" i="82"/>
  <c r="G441" i="82"/>
  <c r="C441" i="82"/>
  <c r="A441" i="82"/>
  <c r="S440" i="82"/>
  <c r="R440" i="82"/>
  <c r="Q440" i="82"/>
  <c r="P440" i="82"/>
  <c r="O440" i="82"/>
  <c r="N440" i="82"/>
  <c r="H440" i="82"/>
  <c r="I440" i="82"/>
  <c r="D440" i="82"/>
  <c r="M440" i="82"/>
  <c r="L440" i="82"/>
  <c r="K440" i="82"/>
  <c r="J440" i="82"/>
  <c r="G440" i="82"/>
  <c r="C440" i="82"/>
  <c r="A440" i="82"/>
  <c r="S439" i="82"/>
  <c r="R439" i="82"/>
  <c r="Q439" i="82"/>
  <c r="P439" i="82"/>
  <c r="O439" i="82"/>
  <c r="N439" i="82"/>
  <c r="H439" i="82"/>
  <c r="I439" i="82"/>
  <c r="D439" i="82"/>
  <c r="M439" i="82"/>
  <c r="L439" i="82"/>
  <c r="K439" i="82"/>
  <c r="J439" i="82"/>
  <c r="G439" i="82"/>
  <c r="C439" i="82"/>
  <c r="A439" i="82"/>
  <c r="S438" i="82"/>
  <c r="R438" i="82"/>
  <c r="Q438" i="82"/>
  <c r="P438" i="82"/>
  <c r="O438" i="82"/>
  <c r="N438" i="82"/>
  <c r="H438" i="82"/>
  <c r="I438" i="82"/>
  <c r="D438" i="82"/>
  <c r="M438" i="82"/>
  <c r="L438" i="82"/>
  <c r="K438" i="82"/>
  <c r="J438" i="82"/>
  <c r="G438" i="82"/>
  <c r="C438" i="82"/>
  <c r="A438" i="82"/>
  <c r="S437" i="82"/>
  <c r="R437" i="82"/>
  <c r="Q437" i="82"/>
  <c r="P437" i="82"/>
  <c r="O437" i="82"/>
  <c r="N437" i="82"/>
  <c r="H437" i="82"/>
  <c r="I437" i="82"/>
  <c r="D437" i="82"/>
  <c r="M437" i="82"/>
  <c r="L437" i="82"/>
  <c r="K437" i="82"/>
  <c r="J437" i="82"/>
  <c r="G437" i="82"/>
  <c r="C437" i="82"/>
  <c r="A437" i="82"/>
  <c r="S436" i="82"/>
  <c r="R436" i="82"/>
  <c r="Q436" i="82"/>
  <c r="P436" i="82"/>
  <c r="O436" i="82"/>
  <c r="N436" i="82"/>
  <c r="H436" i="82"/>
  <c r="I436" i="82"/>
  <c r="D436" i="82"/>
  <c r="M436" i="82"/>
  <c r="L436" i="82"/>
  <c r="K436" i="82"/>
  <c r="J436" i="82"/>
  <c r="G436" i="82"/>
  <c r="C436" i="82"/>
  <c r="A436" i="82"/>
  <c r="S435" i="82"/>
  <c r="R435" i="82"/>
  <c r="Q435" i="82"/>
  <c r="P435" i="82"/>
  <c r="O435" i="82"/>
  <c r="N435" i="82"/>
  <c r="H435" i="82"/>
  <c r="I435" i="82"/>
  <c r="D435" i="82"/>
  <c r="M435" i="82"/>
  <c r="L435" i="82"/>
  <c r="K435" i="82"/>
  <c r="J435" i="82"/>
  <c r="G435" i="82"/>
  <c r="C435" i="82"/>
  <c r="A435" i="82"/>
  <c r="S434" i="82"/>
  <c r="R434" i="82"/>
  <c r="Q434" i="82"/>
  <c r="P434" i="82"/>
  <c r="O434" i="82"/>
  <c r="N434" i="82"/>
  <c r="H434" i="82"/>
  <c r="I434" i="82"/>
  <c r="D434" i="82"/>
  <c r="M434" i="82"/>
  <c r="L434" i="82"/>
  <c r="K434" i="82"/>
  <c r="J434" i="82"/>
  <c r="G434" i="82"/>
  <c r="C434" i="82"/>
  <c r="A434" i="82"/>
  <c r="S433" i="82"/>
  <c r="R433" i="82"/>
  <c r="Q433" i="82"/>
  <c r="P433" i="82"/>
  <c r="O433" i="82"/>
  <c r="N433" i="82"/>
  <c r="H433" i="82"/>
  <c r="I433" i="82"/>
  <c r="D433" i="82"/>
  <c r="M433" i="82"/>
  <c r="L433" i="82"/>
  <c r="K433" i="82"/>
  <c r="J433" i="82"/>
  <c r="G433" i="82"/>
  <c r="C433" i="82"/>
  <c r="A433" i="82"/>
  <c r="S432" i="82"/>
  <c r="R432" i="82"/>
  <c r="Q432" i="82"/>
  <c r="P432" i="82"/>
  <c r="O432" i="82"/>
  <c r="N432" i="82"/>
  <c r="H432" i="82"/>
  <c r="I432" i="82"/>
  <c r="D432" i="82"/>
  <c r="M432" i="82"/>
  <c r="L432" i="82"/>
  <c r="K432" i="82"/>
  <c r="J432" i="82"/>
  <c r="G432" i="82"/>
  <c r="C432" i="82"/>
  <c r="A432" i="82"/>
  <c r="S431" i="82"/>
  <c r="R431" i="82"/>
  <c r="Q431" i="82"/>
  <c r="P431" i="82"/>
  <c r="O431" i="82"/>
  <c r="N431" i="82"/>
  <c r="H431" i="82"/>
  <c r="I431" i="82"/>
  <c r="D431" i="82"/>
  <c r="M431" i="82"/>
  <c r="L431" i="82"/>
  <c r="K431" i="82"/>
  <c r="J431" i="82"/>
  <c r="G431" i="82"/>
  <c r="C431" i="82"/>
  <c r="A431" i="82"/>
  <c r="S430" i="82"/>
  <c r="R430" i="82"/>
  <c r="Q430" i="82"/>
  <c r="P430" i="82"/>
  <c r="O430" i="82"/>
  <c r="N430" i="82"/>
  <c r="H430" i="82"/>
  <c r="I430" i="82"/>
  <c r="D430" i="82"/>
  <c r="M430" i="82"/>
  <c r="L430" i="82"/>
  <c r="K430" i="82"/>
  <c r="J430" i="82"/>
  <c r="G430" i="82"/>
  <c r="C430" i="82"/>
  <c r="A430" i="82"/>
  <c r="S429" i="82"/>
  <c r="R429" i="82"/>
  <c r="Q429" i="82"/>
  <c r="P429" i="82"/>
  <c r="O429" i="82"/>
  <c r="N429" i="82"/>
  <c r="H429" i="82"/>
  <c r="I429" i="82"/>
  <c r="D429" i="82"/>
  <c r="M429" i="82"/>
  <c r="L429" i="82"/>
  <c r="K429" i="82"/>
  <c r="J429" i="82"/>
  <c r="G429" i="82"/>
  <c r="C429" i="82"/>
  <c r="A429" i="82"/>
  <c r="S428" i="82"/>
  <c r="R428" i="82"/>
  <c r="Q428" i="82"/>
  <c r="P428" i="82"/>
  <c r="O428" i="82"/>
  <c r="N428" i="82"/>
  <c r="H428" i="82"/>
  <c r="I428" i="82"/>
  <c r="D428" i="82"/>
  <c r="M428" i="82"/>
  <c r="L428" i="82"/>
  <c r="K428" i="82"/>
  <c r="J428" i="82"/>
  <c r="G428" i="82"/>
  <c r="C428" i="82"/>
  <c r="A428" i="82"/>
  <c r="S427" i="82"/>
  <c r="R427" i="82"/>
  <c r="Q427" i="82"/>
  <c r="P427" i="82"/>
  <c r="O427" i="82"/>
  <c r="N427" i="82"/>
  <c r="H427" i="82"/>
  <c r="I427" i="82"/>
  <c r="D427" i="82"/>
  <c r="M427" i="82"/>
  <c r="L427" i="82"/>
  <c r="K427" i="82"/>
  <c r="J427" i="82"/>
  <c r="G427" i="82"/>
  <c r="C427" i="82"/>
  <c r="A427" i="82"/>
  <c r="S426" i="82"/>
  <c r="R426" i="82"/>
  <c r="Q426" i="82"/>
  <c r="P426" i="82"/>
  <c r="O426" i="82"/>
  <c r="N426" i="82"/>
  <c r="H426" i="82"/>
  <c r="I426" i="82"/>
  <c r="D426" i="82"/>
  <c r="M426" i="82"/>
  <c r="L426" i="82"/>
  <c r="K426" i="82"/>
  <c r="J426" i="82"/>
  <c r="G426" i="82"/>
  <c r="C426" i="82"/>
  <c r="A426" i="82"/>
  <c r="S425" i="82"/>
  <c r="R425" i="82"/>
  <c r="Q425" i="82"/>
  <c r="P425" i="82"/>
  <c r="O425" i="82"/>
  <c r="N425" i="82"/>
  <c r="H425" i="82"/>
  <c r="I425" i="82"/>
  <c r="D425" i="82"/>
  <c r="M425" i="82"/>
  <c r="L425" i="82"/>
  <c r="K425" i="82"/>
  <c r="J425" i="82"/>
  <c r="G425" i="82"/>
  <c r="C425" i="82"/>
  <c r="A425" i="82"/>
  <c r="S424" i="82"/>
  <c r="R424" i="82"/>
  <c r="Q424" i="82"/>
  <c r="P424" i="82"/>
  <c r="O424" i="82"/>
  <c r="N424" i="82"/>
  <c r="H424" i="82"/>
  <c r="I424" i="82"/>
  <c r="D424" i="82"/>
  <c r="M424" i="82"/>
  <c r="L424" i="82"/>
  <c r="K424" i="82"/>
  <c r="J424" i="82"/>
  <c r="G424" i="82"/>
  <c r="C424" i="82"/>
  <c r="A424" i="82"/>
  <c r="S423" i="82"/>
  <c r="R423" i="82"/>
  <c r="Q423" i="82"/>
  <c r="P423" i="82"/>
  <c r="O423" i="82"/>
  <c r="N423" i="82"/>
  <c r="H423" i="82"/>
  <c r="I423" i="82"/>
  <c r="D423" i="82"/>
  <c r="M423" i="82"/>
  <c r="L423" i="82"/>
  <c r="K423" i="82"/>
  <c r="J423" i="82"/>
  <c r="G423" i="82"/>
  <c r="C423" i="82"/>
  <c r="A423" i="82"/>
  <c r="S422" i="82"/>
  <c r="R422" i="82"/>
  <c r="Q422" i="82"/>
  <c r="P422" i="82"/>
  <c r="O422" i="82"/>
  <c r="N422" i="82"/>
  <c r="H422" i="82"/>
  <c r="I422" i="82"/>
  <c r="D422" i="82"/>
  <c r="M422" i="82"/>
  <c r="L422" i="82"/>
  <c r="K422" i="82"/>
  <c r="J422" i="82"/>
  <c r="G422" i="82"/>
  <c r="C422" i="82"/>
  <c r="A422" i="82"/>
  <c r="S421" i="82"/>
  <c r="R421" i="82"/>
  <c r="Q421" i="82"/>
  <c r="P421" i="82"/>
  <c r="O421" i="82"/>
  <c r="N421" i="82"/>
  <c r="H421" i="82"/>
  <c r="I421" i="82"/>
  <c r="D421" i="82"/>
  <c r="M421" i="82"/>
  <c r="L421" i="82"/>
  <c r="K421" i="82"/>
  <c r="J421" i="82"/>
  <c r="G421" i="82"/>
  <c r="C421" i="82"/>
  <c r="A421" i="82"/>
  <c r="S420" i="82"/>
  <c r="R420" i="82"/>
  <c r="Q420" i="82"/>
  <c r="P420" i="82"/>
  <c r="O420" i="82"/>
  <c r="N420" i="82"/>
  <c r="H420" i="82"/>
  <c r="I420" i="82"/>
  <c r="D420" i="82"/>
  <c r="M420" i="82"/>
  <c r="L420" i="82"/>
  <c r="K420" i="82"/>
  <c r="J420" i="82"/>
  <c r="G420" i="82"/>
  <c r="C420" i="82"/>
  <c r="A420" i="82"/>
  <c r="S419" i="82"/>
  <c r="R419" i="82"/>
  <c r="Q419" i="82"/>
  <c r="P419" i="82"/>
  <c r="O419" i="82"/>
  <c r="N419" i="82"/>
  <c r="H419" i="82"/>
  <c r="I419" i="82"/>
  <c r="D419" i="82"/>
  <c r="M419" i="82"/>
  <c r="L419" i="82"/>
  <c r="K419" i="82"/>
  <c r="J419" i="82"/>
  <c r="G419" i="82"/>
  <c r="C419" i="82"/>
  <c r="A419" i="82"/>
  <c r="S418" i="82"/>
  <c r="R418" i="82"/>
  <c r="Q418" i="82"/>
  <c r="P418" i="82"/>
  <c r="O418" i="82"/>
  <c r="N418" i="82"/>
  <c r="H418" i="82"/>
  <c r="I418" i="82"/>
  <c r="D418" i="82"/>
  <c r="M418" i="82"/>
  <c r="L418" i="82"/>
  <c r="K418" i="82"/>
  <c r="J418" i="82"/>
  <c r="G418" i="82"/>
  <c r="C418" i="82"/>
  <c r="A418" i="82"/>
  <c r="S417" i="82"/>
  <c r="R417" i="82"/>
  <c r="Q417" i="82"/>
  <c r="P417" i="82"/>
  <c r="O417" i="82"/>
  <c r="N417" i="82"/>
  <c r="H417" i="82"/>
  <c r="I417" i="82"/>
  <c r="D417" i="82"/>
  <c r="M417" i="82"/>
  <c r="L417" i="82"/>
  <c r="K417" i="82"/>
  <c r="J417" i="82"/>
  <c r="G417" i="82"/>
  <c r="C417" i="82"/>
  <c r="A417" i="82"/>
  <c r="S416" i="82"/>
  <c r="R416" i="82"/>
  <c r="Q416" i="82"/>
  <c r="P416" i="82"/>
  <c r="O416" i="82"/>
  <c r="N416" i="82"/>
  <c r="H416" i="82"/>
  <c r="I416" i="82"/>
  <c r="D416" i="82"/>
  <c r="M416" i="82"/>
  <c r="L416" i="82"/>
  <c r="K416" i="82"/>
  <c r="J416" i="82"/>
  <c r="G416" i="82"/>
  <c r="C416" i="82"/>
  <c r="A416" i="82"/>
  <c r="S415" i="82"/>
  <c r="R415" i="82"/>
  <c r="Q415" i="82"/>
  <c r="P415" i="82"/>
  <c r="O415" i="82"/>
  <c r="N415" i="82"/>
  <c r="H415" i="82"/>
  <c r="I415" i="82"/>
  <c r="D415" i="82"/>
  <c r="M415" i="82"/>
  <c r="L415" i="82"/>
  <c r="K415" i="82"/>
  <c r="J415" i="82"/>
  <c r="G415" i="82"/>
  <c r="C415" i="82"/>
  <c r="A415" i="82"/>
  <c r="S414" i="82"/>
  <c r="R414" i="82"/>
  <c r="Q414" i="82"/>
  <c r="P414" i="82"/>
  <c r="O414" i="82"/>
  <c r="N414" i="82"/>
  <c r="H414" i="82"/>
  <c r="I414" i="82"/>
  <c r="D414" i="82"/>
  <c r="M414" i="82"/>
  <c r="L414" i="82"/>
  <c r="K414" i="82"/>
  <c r="J414" i="82"/>
  <c r="G414" i="82"/>
  <c r="C414" i="82"/>
  <c r="A414" i="82"/>
  <c r="S413" i="82"/>
  <c r="R413" i="82"/>
  <c r="Q413" i="82"/>
  <c r="P413" i="82"/>
  <c r="O413" i="82"/>
  <c r="N413" i="82"/>
  <c r="H413" i="82"/>
  <c r="I413" i="82"/>
  <c r="D413" i="82"/>
  <c r="M413" i="82"/>
  <c r="L413" i="82"/>
  <c r="K413" i="82"/>
  <c r="J413" i="82"/>
  <c r="G413" i="82"/>
  <c r="C413" i="82"/>
  <c r="A413" i="82"/>
  <c r="S412" i="82"/>
  <c r="R412" i="82"/>
  <c r="Q412" i="82"/>
  <c r="P412" i="82"/>
  <c r="O412" i="82"/>
  <c r="N412" i="82"/>
  <c r="H412" i="82"/>
  <c r="I412" i="82"/>
  <c r="D412" i="82"/>
  <c r="M412" i="82"/>
  <c r="L412" i="82"/>
  <c r="K412" i="82"/>
  <c r="J412" i="82"/>
  <c r="G412" i="82"/>
  <c r="C412" i="82"/>
  <c r="A412" i="82"/>
  <c r="S411" i="82"/>
  <c r="R411" i="82"/>
  <c r="Q411" i="82"/>
  <c r="P411" i="82"/>
  <c r="O411" i="82"/>
  <c r="N411" i="82"/>
  <c r="H411" i="82"/>
  <c r="I411" i="82"/>
  <c r="D411" i="82"/>
  <c r="M411" i="82"/>
  <c r="L411" i="82"/>
  <c r="K411" i="82"/>
  <c r="J411" i="82"/>
  <c r="G411" i="82"/>
  <c r="C411" i="82"/>
  <c r="A411" i="82"/>
  <c r="S410" i="82"/>
  <c r="R410" i="82"/>
  <c r="Q410" i="82"/>
  <c r="P410" i="82"/>
  <c r="O410" i="82"/>
  <c r="N410" i="82"/>
  <c r="H410" i="82"/>
  <c r="I410" i="82"/>
  <c r="D410" i="82"/>
  <c r="M410" i="82"/>
  <c r="L410" i="82"/>
  <c r="K410" i="82"/>
  <c r="J410" i="82"/>
  <c r="G410" i="82"/>
  <c r="C410" i="82"/>
  <c r="A410" i="82"/>
  <c r="S409" i="82"/>
  <c r="R409" i="82"/>
  <c r="Q409" i="82"/>
  <c r="P409" i="82"/>
  <c r="O409" i="82"/>
  <c r="N409" i="82"/>
  <c r="H409" i="82"/>
  <c r="I409" i="82"/>
  <c r="D409" i="82"/>
  <c r="M409" i="82"/>
  <c r="L409" i="82"/>
  <c r="K409" i="82"/>
  <c r="J409" i="82"/>
  <c r="G409" i="82"/>
  <c r="C409" i="82"/>
  <c r="A409" i="82"/>
  <c r="S408" i="82"/>
  <c r="R408" i="82"/>
  <c r="Q408" i="82"/>
  <c r="P408" i="82"/>
  <c r="O408" i="82"/>
  <c r="N408" i="82"/>
  <c r="H408" i="82"/>
  <c r="I408" i="82"/>
  <c r="D408" i="82"/>
  <c r="M408" i="82"/>
  <c r="L408" i="82"/>
  <c r="K408" i="82"/>
  <c r="J408" i="82"/>
  <c r="G408" i="82"/>
  <c r="C408" i="82"/>
  <c r="A408" i="82"/>
  <c r="S407" i="82"/>
  <c r="R407" i="82"/>
  <c r="Q407" i="82"/>
  <c r="P407" i="82"/>
  <c r="O407" i="82"/>
  <c r="N407" i="82"/>
  <c r="H407" i="82"/>
  <c r="I407" i="82"/>
  <c r="D407" i="82"/>
  <c r="M407" i="82"/>
  <c r="L407" i="82"/>
  <c r="K407" i="82"/>
  <c r="J407" i="82"/>
  <c r="G407" i="82"/>
  <c r="C407" i="82"/>
  <c r="A407" i="82"/>
  <c r="S406" i="82"/>
  <c r="R406" i="82"/>
  <c r="Q406" i="82"/>
  <c r="P406" i="82"/>
  <c r="O406" i="82"/>
  <c r="N406" i="82"/>
  <c r="H406" i="82"/>
  <c r="I406" i="82"/>
  <c r="D406" i="82"/>
  <c r="M406" i="82"/>
  <c r="L406" i="82"/>
  <c r="K406" i="82"/>
  <c r="J406" i="82"/>
  <c r="G406" i="82"/>
  <c r="C406" i="82"/>
  <c r="A406" i="82"/>
  <c r="S405" i="82"/>
  <c r="R405" i="82"/>
  <c r="Q405" i="82"/>
  <c r="P405" i="82"/>
  <c r="O405" i="82"/>
  <c r="N405" i="82"/>
  <c r="H405" i="82"/>
  <c r="I405" i="82"/>
  <c r="D405" i="82"/>
  <c r="M405" i="82"/>
  <c r="L405" i="82"/>
  <c r="K405" i="82"/>
  <c r="J405" i="82"/>
  <c r="G405" i="82"/>
  <c r="C405" i="82"/>
  <c r="A405" i="82"/>
  <c r="S404" i="82"/>
  <c r="R404" i="82"/>
  <c r="Q404" i="82"/>
  <c r="P404" i="82"/>
  <c r="O404" i="82"/>
  <c r="N404" i="82"/>
  <c r="H404" i="82"/>
  <c r="I404" i="82"/>
  <c r="D404" i="82"/>
  <c r="M404" i="82"/>
  <c r="L404" i="82"/>
  <c r="K404" i="82"/>
  <c r="J404" i="82"/>
  <c r="G404" i="82"/>
  <c r="C404" i="82"/>
  <c r="A404" i="82"/>
  <c r="S403" i="82"/>
  <c r="R403" i="82"/>
  <c r="Q403" i="82"/>
  <c r="P403" i="82"/>
  <c r="O403" i="82"/>
  <c r="N403" i="82"/>
  <c r="M403" i="82"/>
  <c r="L403" i="82"/>
  <c r="K403" i="82"/>
  <c r="J403" i="82"/>
  <c r="G403" i="82"/>
  <c r="C403" i="82"/>
  <c r="A403" i="82"/>
  <c r="S402" i="82"/>
  <c r="R402" i="82"/>
  <c r="Q402" i="82"/>
  <c r="P402" i="82"/>
  <c r="O402" i="82"/>
  <c r="N402" i="82"/>
  <c r="M402" i="82"/>
  <c r="L402" i="82"/>
  <c r="K402" i="82"/>
  <c r="J402" i="82"/>
  <c r="G402" i="82"/>
  <c r="C402" i="82"/>
  <c r="A402" i="82"/>
  <c r="S401" i="82"/>
  <c r="R401" i="82"/>
  <c r="Q401" i="82"/>
  <c r="P401" i="82"/>
  <c r="O401" i="82"/>
  <c r="N401" i="82"/>
  <c r="H401" i="82"/>
  <c r="I401" i="82"/>
  <c r="D401" i="82"/>
  <c r="M401" i="82"/>
  <c r="L401" i="82"/>
  <c r="K401" i="82"/>
  <c r="J401" i="82"/>
  <c r="G401" i="82"/>
  <c r="C401" i="82"/>
  <c r="A401" i="82"/>
  <c r="S400" i="82"/>
  <c r="R400" i="82"/>
  <c r="Q400" i="82"/>
  <c r="P400" i="82"/>
  <c r="O400" i="82"/>
  <c r="N400" i="82"/>
  <c r="H400" i="82"/>
  <c r="I400" i="82"/>
  <c r="D400" i="82"/>
  <c r="M400" i="82"/>
  <c r="L400" i="82"/>
  <c r="K400" i="82"/>
  <c r="J400" i="82"/>
  <c r="G400" i="82"/>
  <c r="C400" i="82"/>
  <c r="A400" i="82"/>
  <c r="S399" i="82"/>
  <c r="R399" i="82"/>
  <c r="Q399" i="82"/>
  <c r="P399" i="82"/>
  <c r="O399" i="82"/>
  <c r="N399" i="82"/>
  <c r="H399" i="82"/>
  <c r="I399" i="82"/>
  <c r="D399" i="82"/>
  <c r="M399" i="82"/>
  <c r="L399" i="82"/>
  <c r="K399" i="82"/>
  <c r="J399" i="82"/>
  <c r="G399" i="82"/>
  <c r="C399" i="82"/>
  <c r="A399" i="82"/>
  <c r="S398" i="82"/>
  <c r="R398" i="82"/>
  <c r="Q398" i="82"/>
  <c r="P398" i="82"/>
  <c r="O398" i="82"/>
  <c r="N398" i="82"/>
  <c r="H398" i="82"/>
  <c r="I398" i="82"/>
  <c r="D398" i="82"/>
  <c r="M398" i="82"/>
  <c r="L398" i="82"/>
  <c r="K398" i="82"/>
  <c r="J398" i="82"/>
  <c r="G398" i="82"/>
  <c r="C398" i="82"/>
  <c r="A398" i="82"/>
  <c r="S397" i="82"/>
  <c r="R397" i="82"/>
  <c r="Q397" i="82"/>
  <c r="P397" i="82"/>
  <c r="O397" i="82"/>
  <c r="N397" i="82"/>
  <c r="H397" i="82"/>
  <c r="I397" i="82"/>
  <c r="D397" i="82"/>
  <c r="M397" i="82"/>
  <c r="L397" i="82"/>
  <c r="K397" i="82"/>
  <c r="J397" i="82"/>
  <c r="G397" i="82"/>
  <c r="C397" i="82"/>
  <c r="A397" i="82"/>
  <c r="S396" i="82"/>
  <c r="R396" i="82"/>
  <c r="Q396" i="82"/>
  <c r="P396" i="82"/>
  <c r="O396" i="82"/>
  <c r="N396" i="82"/>
  <c r="H396" i="82"/>
  <c r="I396" i="82"/>
  <c r="D396" i="82"/>
  <c r="M396" i="82"/>
  <c r="L396" i="82"/>
  <c r="K396" i="82"/>
  <c r="J396" i="82"/>
  <c r="G396" i="82"/>
  <c r="C396" i="82"/>
  <c r="A396" i="82"/>
  <c r="S395" i="82"/>
  <c r="R395" i="82"/>
  <c r="Q395" i="82"/>
  <c r="P395" i="82"/>
  <c r="O395" i="82"/>
  <c r="N395" i="82"/>
  <c r="H395" i="82"/>
  <c r="I395" i="82"/>
  <c r="D395" i="82"/>
  <c r="M395" i="82"/>
  <c r="L395" i="82"/>
  <c r="K395" i="82"/>
  <c r="J395" i="82"/>
  <c r="G395" i="82"/>
  <c r="C395" i="82"/>
  <c r="A395" i="82"/>
  <c r="S394" i="82"/>
  <c r="R394" i="82"/>
  <c r="Q394" i="82"/>
  <c r="P394" i="82"/>
  <c r="O394" i="82"/>
  <c r="N394" i="82"/>
  <c r="H394" i="82"/>
  <c r="I394" i="82"/>
  <c r="D394" i="82"/>
  <c r="M394" i="82"/>
  <c r="L394" i="82"/>
  <c r="K394" i="82"/>
  <c r="J394" i="82"/>
  <c r="G394" i="82"/>
  <c r="C394" i="82"/>
  <c r="A394" i="82"/>
  <c r="H237" i="82"/>
  <c r="I237" i="82"/>
  <c r="D237" i="82"/>
  <c r="H236" i="82"/>
  <c r="I236" i="82"/>
  <c r="D236" i="82"/>
  <c r="S235" i="82"/>
  <c r="R235" i="82"/>
  <c r="Q235" i="82"/>
  <c r="P235" i="82"/>
  <c r="O235" i="82"/>
  <c r="N235" i="82"/>
  <c r="H235" i="82"/>
  <c r="I235" i="82"/>
  <c r="D235" i="82"/>
  <c r="M235" i="82"/>
  <c r="L235" i="82"/>
  <c r="K235" i="82"/>
  <c r="J235" i="82"/>
  <c r="G235" i="82"/>
  <c r="C235" i="82"/>
  <c r="A235" i="82"/>
  <c r="S234" i="82"/>
  <c r="R234" i="82"/>
  <c r="Q234" i="82"/>
  <c r="P234" i="82"/>
  <c r="O234" i="82"/>
  <c r="N234" i="82"/>
  <c r="H234" i="82"/>
  <c r="I234" i="82"/>
  <c r="D234" i="82"/>
  <c r="M234" i="82"/>
  <c r="L234" i="82"/>
  <c r="K234" i="82"/>
  <c r="J234" i="82"/>
  <c r="G234" i="82"/>
  <c r="C234" i="82"/>
  <c r="A234" i="82"/>
  <c r="S224" i="82"/>
  <c r="R224" i="82"/>
  <c r="Q224" i="82"/>
  <c r="P224" i="82"/>
  <c r="O224" i="82"/>
  <c r="N224" i="82"/>
  <c r="H224" i="82"/>
  <c r="I224" i="82"/>
  <c r="D224" i="82"/>
  <c r="M224" i="82"/>
  <c r="L224" i="82"/>
  <c r="K224" i="82"/>
  <c r="J224" i="82"/>
  <c r="G224" i="82"/>
  <c r="C224" i="82"/>
  <c r="A224" i="82"/>
  <c r="S223" i="82"/>
  <c r="R223" i="82"/>
  <c r="Q223" i="82"/>
  <c r="P223" i="82"/>
  <c r="O223" i="82"/>
  <c r="N223" i="82"/>
  <c r="H223" i="82"/>
  <c r="I223" i="82"/>
  <c r="D223" i="82"/>
  <c r="M223" i="82"/>
  <c r="L223" i="82"/>
  <c r="K223" i="82"/>
  <c r="J223" i="82"/>
  <c r="G223" i="82"/>
  <c r="C223" i="82"/>
  <c r="A223" i="82"/>
  <c r="S222" i="82"/>
  <c r="R222" i="82"/>
  <c r="Q222" i="82"/>
  <c r="P222" i="82"/>
  <c r="O222" i="82"/>
  <c r="N222" i="82"/>
  <c r="H222" i="82"/>
  <c r="I222" i="82"/>
  <c r="D222" i="82"/>
  <c r="M222" i="82"/>
  <c r="L222" i="82"/>
  <c r="K222" i="82"/>
  <c r="J222" i="82"/>
  <c r="G222" i="82"/>
  <c r="C222" i="82"/>
  <c r="A222" i="82"/>
  <c r="S221" i="82"/>
  <c r="R221" i="82"/>
  <c r="Q221" i="82"/>
  <c r="P221" i="82"/>
  <c r="O221" i="82"/>
  <c r="N221" i="82"/>
  <c r="H221" i="82"/>
  <c r="I221" i="82"/>
  <c r="D221" i="82"/>
  <c r="M221" i="82"/>
  <c r="L221" i="82"/>
  <c r="K221" i="82"/>
  <c r="J221" i="82"/>
  <c r="G221" i="82"/>
  <c r="C221" i="82"/>
  <c r="A221" i="82"/>
  <c r="S220" i="82"/>
  <c r="R220" i="82"/>
  <c r="Q220" i="82"/>
  <c r="P220" i="82"/>
  <c r="O220" i="82"/>
  <c r="N220" i="82"/>
  <c r="H220" i="82"/>
  <c r="I220" i="82"/>
  <c r="D220" i="82"/>
  <c r="M220" i="82"/>
  <c r="L220" i="82"/>
  <c r="K220" i="82"/>
  <c r="J220" i="82"/>
  <c r="G220" i="82"/>
  <c r="C220" i="82"/>
  <c r="A220" i="82"/>
  <c r="S219" i="82"/>
  <c r="R219" i="82"/>
  <c r="Q219" i="82"/>
  <c r="P219" i="82"/>
  <c r="O219" i="82"/>
  <c r="N219" i="82"/>
  <c r="H219" i="82"/>
  <c r="I219" i="82"/>
  <c r="D219" i="82"/>
  <c r="M219" i="82"/>
  <c r="L219" i="82"/>
  <c r="K219" i="82"/>
  <c r="J219" i="82"/>
  <c r="G219" i="82"/>
  <c r="C219" i="82"/>
  <c r="A219" i="82"/>
  <c r="S218" i="82"/>
  <c r="R218" i="82"/>
  <c r="Q218" i="82"/>
  <c r="P218" i="82"/>
  <c r="O218" i="82"/>
  <c r="N218" i="82"/>
  <c r="H218" i="82"/>
  <c r="I218" i="82"/>
  <c r="D218" i="82"/>
  <c r="M218" i="82"/>
  <c r="L218" i="82"/>
  <c r="K218" i="82"/>
  <c r="J218" i="82"/>
  <c r="G218" i="82"/>
  <c r="C218" i="82"/>
  <c r="A218" i="82"/>
  <c r="S217" i="82"/>
  <c r="R217" i="82"/>
  <c r="Q217" i="82"/>
  <c r="P217" i="82"/>
  <c r="O217" i="82"/>
  <c r="N217" i="82"/>
  <c r="H217" i="82"/>
  <c r="I217" i="82"/>
  <c r="D217" i="82"/>
  <c r="M217" i="82"/>
  <c r="L217" i="82"/>
  <c r="K217" i="82"/>
  <c r="J217" i="82"/>
  <c r="G217" i="82"/>
  <c r="C217" i="82"/>
  <c r="A217" i="82"/>
  <c r="S216" i="82"/>
  <c r="R216" i="82"/>
  <c r="Q216" i="82"/>
  <c r="P216" i="82"/>
  <c r="O216" i="82"/>
  <c r="N216" i="82"/>
  <c r="H216" i="82"/>
  <c r="I216" i="82"/>
  <c r="D216" i="82"/>
  <c r="M216" i="82"/>
  <c r="L216" i="82"/>
  <c r="K216" i="82"/>
  <c r="J216" i="82"/>
  <c r="G216" i="82"/>
  <c r="C216" i="82"/>
  <c r="A216" i="82"/>
  <c r="S215" i="82"/>
  <c r="R215" i="82"/>
  <c r="Q215" i="82"/>
  <c r="P215" i="82"/>
  <c r="O215" i="82"/>
  <c r="N215" i="82"/>
  <c r="H215" i="82"/>
  <c r="I215" i="82"/>
  <c r="D215" i="82"/>
  <c r="M215" i="82"/>
  <c r="L215" i="82"/>
  <c r="K215" i="82"/>
  <c r="J215" i="82"/>
  <c r="G215" i="82"/>
  <c r="C215" i="82"/>
  <c r="A215" i="82"/>
  <c r="S214" i="82"/>
  <c r="R214" i="82"/>
  <c r="Q214" i="82"/>
  <c r="P214" i="82"/>
  <c r="O214" i="82"/>
  <c r="N214" i="82"/>
  <c r="H214" i="82"/>
  <c r="I214" i="82"/>
  <c r="D214" i="82"/>
  <c r="M214" i="82"/>
  <c r="L214" i="82"/>
  <c r="K214" i="82"/>
  <c r="J214" i="82"/>
  <c r="G214" i="82"/>
  <c r="C214" i="82"/>
  <c r="A214" i="82"/>
  <c r="A52" i="94"/>
  <c r="A53" i="94"/>
  <c r="A54" i="94"/>
  <c r="A55" i="94"/>
  <c r="A56" i="94"/>
  <c r="A57" i="94"/>
  <c r="A58" i="94"/>
  <c r="A59" i="94"/>
  <c r="A51" i="94"/>
  <c r="A41" i="94"/>
  <c r="A42" i="94"/>
  <c r="A43" i="94"/>
  <c r="A44" i="94"/>
  <c r="A45" i="94"/>
  <c r="A46" i="94"/>
  <c r="A47" i="94"/>
  <c r="A48" i="94"/>
  <c r="A40" i="94"/>
  <c r="A30" i="94"/>
  <c r="A31" i="94"/>
  <c r="A32" i="94"/>
  <c r="A33" i="94"/>
  <c r="A34" i="94"/>
  <c r="A35" i="94"/>
  <c r="A36" i="94"/>
  <c r="A37" i="94"/>
  <c r="A29" i="94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S158" i="82"/>
  <c r="S159" i="82"/>
  <c r="S160" i="82"/>
  <c r="S161" i="82"/>
  <c r="S162" i="82"/>
  <c r="S163" i="82"/>
  <c r="S164" i="82"/>
  <c r="S165" i="82"/>
  <c r="S166" i="82"/>
  <c r="S167" i="82"/>
  <c r="S168" i="82"/>
  <c r="S169" i="82"/>
  <c r="S170" i="82"/>
  <c r="S171" i="82"/>
  <c r="S172" i="82"/>
  <c r="S173" i="82"/>
  <c r="S174" i="82"/>
  <c r="S175" i="82"/>
  <c r="S176" i="82"/>
  <c r="S177" i="82"/>
  <c r="S178" i="82"/>
  <c r="S179" i="82"/>
  <c r="S180" i="82"/>
  <c r="S181" i="82"/>
  <c r="S182" i="82"/>
  <c r="S183" i="82"/>
  <c r="S184" i="82"/>
  <c r="S185" i="82"/>
  <c r="S186" i="82"/>
  <c r="S187" i="82"/>
  <c r="S188" i="82"/>
  <c r="S189" i="82"/>
  <c r="S190" i="82"/>
  <c r="S191" i="82"/>
  <c r="S192" i="82"/>
  <c r="S193" i="82"/>
  <c r="S194" i="82"/>
  <c r="S195" i="82"/>
  <c r="S196" i="82"/>
  <c r="S197" i="82"/>
  <c r="S198" i="82"/>
  <c r="S199" i="82"/>
  <c r="S200" i="82"/>
  <c r="S201" i="82"/>
  <c r="S202" i="82"/>
  <c r="S203" i="82"/>
  <c r="S204" i="82"/>
  <c r="S205" i="82"/>
  <c r="S206" i="82"/>
  <c r="S207" i="82"/>
  <c r="S208" i="82"/>
  <c r="S209" i="82"/>
  <c r="S210" i="82"/>
  <c r="S211" i="82"/>
  <c r="S212" i="82"/>
  <c r="S213" i="82"/>
  <c r="S225" i="82"/>
  <c r="S226" i="82"/>
  <c r="S227" i="82"/>
  <c r="S228" i="82"/>
  <c r="S229" i="82"/>
  <c r="S230" i="82"/>
  <c r="S231" i="82"/>
  <c r="S232" i="82"/>
  <c r="S233" i="82"/>
  <c r="S236" i="82"/>
  <c r="S237" i="82"/>
  <c r="S238" i="82"/>
  <c r="S239" i="82"/>
  <c r="S240" i="82"/>
  <c r="S241" i="82"/>
  <c r="S242" i="82"/>
  <c r="S243" i="82"/>
  <c r="S244" i="82"/>
  <c r="S245" i="82"/>
  <c r="S246" i="82"/>
  <c r="S247" i="82"/>
  <c r="S248" i="82"/>
  <c r="S249" i="82"/>
  <c r="S250" i="82"/>
  <c r="S251" i="82"/>
  <c r="S252" i="82"/>
  <c r="S253" i="82"/>
  <c r="S254" i="82"/>
  <c r="S255" i="82"/>
  <c r="S256" i="82"/>
  <c r="S257" i="82"/>
  <c r="S258" i="82"/>
  <c r="S259" i="82"/>
  <c r="S260" i="82"/>
  <c r="S261" i="82"/>
  <c r="S262" i="82"/>
  <c r="S263" i="82"/>
  <c r="S264" i="82"/>
  <c r="S265" i="82"/>
  <c r="S266" i="82"/>
  <c r="S267" i="82"/>
  <c r="S268" i="82"/>
  <c r="S269" i="82"/>
  <c r="S270" i="82"/>
  <c r="S271" i="82"/>
  <c r="S272" i="82"/>
  <c r="S273" i="82"/>
  <c r="S274" i="82"/>
  <c r="S275" i="82"/>
  <c r="S276" i="82"/>
  <c r="S277" i="82"/>
  <c r="S278" i="82"/>
  <c r="S279" i="82"/>
  <c r="S280" i="82"/>
  <c r="S281" i="82"/>
  <c r="S282" i="82"/>
  <c r="S283" i="82"/>
  <c r="S284" i="82"/>
  <c r="S285" i="82"/>
  <c r="S286" i="82"/>
  <c r="S287" i="82"/>
  <c r="S288" i="82"/>
  <c r="S289" i="82"/>
  <c r="S290" i="82"/>
  <c r="S291" i="82"/>
  <c r="S292" i="82"/>
  <c r="S293" i="82"/>
  <c r="S294" i="82"/>
  <c r="S295" i="82"/>
  <c r="S296" i="82"/>
  <c r="S297" i="82"/>
  <c r="S298" i="82"/>
  <c r="S299" i="82"/>
  <c r="S300" i="82"/>
  <c r="S301" i="82"/>
  <c r="S302" i="82"/>
  <c r="S303" i="82"/>
  <c r="S304" i="82"/>
  <c r="S305" i="82"/>
  <c r="S306" i="82"/>
  <c r="S307" i="82"/>
  <c r="S308" i="82"/>
  <c r="S309" i="82"/>
  <c r="S310" i="82"/>
  <c r="S311" i="82"/>
  <c r="S312" i="82"/>
  <c r="S313" i="82"/>
  <c r="S314" i="82"/>
  <c r="S315" i="82"/>
  <c r="S316" i="82"/>
  <c r="S317" i="82"/>
  <c r="S318" i="82"/>
  <c r="S319" i="82"/>
  <c r="S320" i="82"/>
  <c r="S321" i="82"/>
  <c r="S322" i="82"/>
  <c r="S323" i="82"/>
  <c r="S324" i="82"/>
  <c r="S325" i="82"/>
  <c r="S326" i="82"/>
  <c r="S327" i="82"/>
  <c r="S328" i="82"/>
  <c r="S329" i="82"/>
  <c r="S330" i="82"/>
  <c r="S331" i="82"/>
  <c r="S332" i="82"/>
  <c r="S333" i="82"/>
  <c r="S334" i="82"/>
  <c r="S335" i="82"/>
  <c r="S336" i="82"/>
  <c r="S337" i="82"/>
  <c r="S338" i="82"/>
  <c r="S339" i="82"/>
  <c r="S340" i="82"/>
  <c r="S341" i="82"/>
  <c r="S342" i="82"/>
  <c r="S343" i="82"/>
  <c r="S344" i="82"/>
  <c r="S345" i="82"/>
  <c r="S346" i="82"/>
  <c r="S347" i="82"/>
  <c r="S348" i="82"/>
  <c r="S349" i="82"/>
  <c r="S350" i="82"/>
  <c r="S351" i="82"/>
  <c r="S352" i="82"/>
  <c r="S353" i="82"/>
  <c r="S354" i="82"/>
  <c r="S355" i="82"/>
  <c r="S356" i="82"/>
  <c r="S357" i="82"/>
  <c r="S358" i="82"/>
  <c r="S359" i="82"/>
  <c r="S360" i="82"/>
  <c r="S361" i="82"/>
  <c r="S362" i="82"/>
  <c r="S363" i="82"/>
  <c r="S364" i="82"/>
  <c r="S365" i="82"/>
  <c r="S366" i="82"/>
  <c r="S367" i="82"/>
  <c r="S368" i="82"/>
  <c r="S369" i="82"/>
  <c r="S370" i="82"/>
  <c r="S371" i="82"/>
  <c r="S372" i="82"/>
  <c r="S373" i="82"/>
  <c r="S374" i="82"/>
  <c r="S375" i="82"/>
  <c r="S376" i="82"/>
  <c r="S377" i="82"/>
  <c r="S378" i="82"/>
  <c r="S379" i="82"/>
  <c r="S380" i="82"/>
  <c r="S381" i="82"/>
  <c r="S382" i="82"/>
  <c r="S383" i="82"/>
  <c r="S384" i="82"/>
  <c r="S385" i="82"/>
  <c r="S386" i="82"/>
  <c r="S387" i="82"/>
  <c r="S388" i="82"/>
  <c r="S389" i="82"/>
  <c r="S390" i="82"/>
  <c r="S391" i="82"/>
  <c r="S392" i="82"/>
  <c r="S393" i="82"/>
  <c r="B16" i="105"/>
  <c r="A21" i="105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25" i="82"/>
  <c r="N226" i="82"/>
  <c r="N227" i="82"/>
  <c r="N228" i="82"/>
  <c r="N229" i="82"/>
  <c r="N230" i="82"/>
  <c r="N231" i="82"/>
  <c r="N232" i="82"/>
  <c r="N233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39" i="82"/>
  <c r="N340" i="82"/>
  <c r="N341" i="82"/>
  <c r="N342" i="82"/>
  <c r="N343" i="82"/>
  <c r="N344" i="82"/>
  <c r="N345" i="82"/>
  <c r="N346" i="82"/>
  <c r="N347" i="82"/>
  <c r="N348" i="82"/>
  <c r="N349" i="82"/>
  <c r="N350" i="82"/>
  <c r="N351" i="82"/>
  <c r="N352" i="82"/>
  <c r="N353" i="82"/>
  <c r="N354" i="82"/>
  <c r="N355" i="82"/>
  <c r="N356" i="82"/>
  <c r="N357" i="82"/>
  <c r="N358" i="82"/>
  <c r="N359" i="82"/>
  <c r="N360" i="82"/>
  <c r="N361" i="82"/>
  <c r="N362" i="82"/>
  <c r="N363" i="82"/>
  <c r="N364" i="82"/>
  <c r="N365" i="82"/>
  <c r="N366" i="82"/>
  <c r="N367" i="82"/>
  <c r="N368" i="82"/>
  <c r="N369" i="82"/>
  <c r="N370" i="82"/>
  <c r="N371" i="82"/>
  <c r="N372" i="82"/>
  <c r="N373" i="82"/>
  <c r="N374" i="82"/>
  <c r="N375" i="82"/>
  <c r="N376" i="82"/>
  <c r="N377" i="82"/>
  <c r="N378" i="82"/>
  <c r="N379" i="82"/>
  <c r="N380" i="82"/>
  <c r="N381" i="82"/>
  <c r="N382" i="82"/>
  <c r="N383" i="82"/>
  <c r="N384" i="82"/>
  <c r="N385" i="82"/>
  <c r="N386" i="82"/>
  <c r="N387" i="82"/>
  <c r="N388" i="82"/>
  <c r="N389" i="82"/>
  <c r="N390" i="82"/>
  <c r="N391" i="82"/>
  <c r="N392" i="82"/>
  <c r="N393" i="82"/>
  <c r="A24" i="105"/>
  <c r="E16" i="105"/>
  <c r="D24" i="105"/>
  <c r="D21" i="105"/>
  <c r="H2" i="82"/>
  <c r="H3" i="82"/>
  <c r="H4" i="82"/>
  <c r="H5" i="82"/>
  <c r="H6" i="82"/>
  <c r="H7" i="82"/>
  <c r="H8" i="82"/>
  <c r="H9" i="82"/>
  <c r="H10" i="82"/>
  <c r="H11" i="82"/>
  <c r="H12" i="82"/>
  <c r="H13" i="82"/>
  <c r="H14" i="82"/>
  <c r="H15" i="82"/>
  <c r="H16" i="82"/>
  <c r="H17" i="82"/>
  <c r="H18" i="82"/>
  <c r="H19" i="82"/>
  <c r="H20" i="82"/>
  <c r="H21" i="82"/>
  <c r="H22" i="82"/>
  <c r="H23" i="82"/>
  <c r="H24" i="82"/>
  <c r="H25" i="82"/>
  <c r="H26" i="82"/>
  <c r="H27" i="82"/>
  <c r="H28" i="82"/>
  <c r="H29" i="82"/>
  <c r="H30" i="82"/>
  <c r="H31" i="82"/>
  <c r="H32" i="82"/>
  <c r="H33" i="82"/>
  <c r="H34" i="82"/>
  <c r="H35" i="82"/>
  <c r="H36" i="82"/>
  <c r="H37" i="82"/>
  <c r="H38" i="82"/>
  <c r="H39" i="82"/>
  <c r="H40" i="82"/>
  <c r="H41" i="82"/>
  <c r="H42" i="82"/>
  <c r="H43" i="82"/>
  <c r="H44" i="82"/>
  <c r="H45" i="82"/>
  <c r="H46" i="82"/>
  <c r="H47" i="82"/>
  <c r="H48" i="82"/>
  <c r="H49" i="82"/>
  <c r="H50" i="82"/>
  <c r="H51" i="82"/>
  <c r="H52" i="82"/>
  <c r="H53" i="82"/>
  <c r="H54" i="82"/>
  <c r="H55" i="82"/>
  <c r="H56" i="82"/>
  <c r="H57" i="82"/>
  <c r="H58" i="82"/>
  <c r="H59" i="82"/>
  <c r="H60" i="82"/>
  <c r="H61" i="82"/>
  <c r="H62" i="82"/>
  <c r="H63" i="82"/>
  <c r="H64" i="82"/>
  <c r="H65" i="82"/>
  <c r="H66" i="82"/>
  <c r="H67" i="82"/>
  <c r="H68" i="82"/>
  <c r="H69" i="82"/>
  <c r="H70" i="82"/>
  <c r="H71" i="82"/>
  <c r="H72" i="82"/>
  <c r="H73" i="82"/>
  <c r="H74" i="82"/>
  <c r="H75" i="82"/>
  <c r="H76" i="82"/>
  <c r="H77" i="82"/>
  <c r="H78" i="82"/>
  <c r="H79" i="82"/>
  <c r="H80" i="82"/>
  <c r="H81" i="82"/>
  <c r="H82" i="82"/>
  <c r="H83" i="82"/>
  <c r="H84" i="82"/>
  <c r="H85" i="82"/>
  <c r="H86" i="82"/>
  <c r="H87" i="82"/>
  <c r="H88" i="82"/>
  <c r="H89" i="82"/>
  <c r="H90" i="82"/>
  <c r="H91" i="82"/>
  <c r="H92" i="82"/>
  <c r="H93" i="82"/>
  <c r="H94" i="82"/>
  <c r="H95" i="82"/>
  <c r="H96" i="82"/>
  <c r="H97" i="82"/>
  <c r="H98" i="82"/>
  <c r="H99" i="82"/>
  <c r="H100" i="82"/>
  <c r="H101" i="82"/>
  <c r="H102" i="82"/>
  <c r="H103" i="82"/>
  <c r="H104" i="82"/>
  <c r="H105" i="82"/>
  <c r="H106" i="82"/>
  <c r="H107" i="82"/>
  <c r="H108" i="82"/>
  <c r="H109" i="82"/>
  <c r="H110" i="82"/>
  <c r="H111" i="82"/>
  <c r="H112" i="82"/>
  <c r="H113" i="82"/>
  <c r="H114" i="82"/>
  <c r="H115" i="82"/>
  <c r="H116" i="82"/>
  <c r="H117" i="82"/>
  <c r="H118" i="82"/>
  <c r="H119" i="82"/>
  <c r="H120" i="82"/>
  <c r="H121" i="82"/>
  <c r="H122" i="82"/>
  <c r="H123" i="82"/>
  <c r="H124" i="82"/>
  <c r="H125" i="82"/>
  <c r="H126" i="82"/>
  <c r="H127" i="82"/>
  <c r="H128" i="82"/>
  <c r="H129" i="82"/>
  <c r="H130" i="82"/>
  <c r="H131" i="82"/>
  <c r="H132" i="82"/>
  <c r="H133" i="82"/>
  <c r="H134" i="82"/>
  <c r="H135" i="82"/>
  <c r="H136" i="82"/>
  <c r="H137" i="82"/>
  <c r="H138" i="82"/>
  <c r="H139" i="82"/>
  <c r="H140" i="82"/>
  <c r="H141" i="82"/>
  <c r="H142" i="82"/>
  <c r="H143" i="82"/>
  <c r="H144" i="82"/>
  <c r="H145" i="82"/>
  <c r="H146" i="82"/>
  <c r="H147" i="82"/>
  <c r="H148" i="82"/>
  <c r="H149" i="82"/>
  <c r="H150" i="82"/>
  <c r="H151" i="82"/>
  <c r="H152" i="82"/>
  <c r="H153" i="82"/>
  <c r="H154" i="82"/>
  <c r="H155" i="82"/>
  <c r="H156" i="82"/>
  <c r="H157" i="82"/>
  <c r="H158" i="82"/>
  <c r="H159" i="82"/>
  <c r="H160" i="82"/>
  <c r="H161" i="82"/>
  <c r="H162" i="82"/>
  <c r="H163" i="82"/>
  <c r="H164" i="82"/>
  <c r="H165" i="82"/>
  <c r="H166" i="82"/>
  <c r="H167" i="82"/>
  <c r="H168" i="82"/>
  <c r="H169" i="82"/>
  <c r="H170" i="82"/>
  <c r="H171" i="82"/>
  <c r="H172" i="82"/>
  <c r="H173" i="82"/>
  <c r="H174" i="82"/>
  <c r="H175" i="82"/>
  <c r="H176" i="82"/>
  <c r="H177" i="82"/>
  <c r="H178" i="82"/>
  <c r="H179" i="82"/>
  <c r="H180" i="82"/>
  <c r="H181" i="82"/>
  <c r="H182" i="82"/>
  <c r="H183" i="82"/>
  <c r="H184" i="82"/>
  <c r="H185" i="82"/>
  <c r="H186" i="82"/>
  <c r="H187" i="82"/>
  <c r="H188" i="82"/>
  <c r="H189" i="82"/>
  <c r="H190" i="82"/>
  <c r="H191" i="82"/>
  <c r="H192" i="82"/>
  <c r="H193" i="82"/>
  <c r="H194" i="82"/>
  <c r="H195" i="82"/>
  <c r="H196" i="82"/>
  <c r="H197" i="82"/>
  <c r="H198" i="82"/>
  <c r="H199" i="82"/>
  <c r="H200" i="82"/>
  <c r="H201" i="82"/>
  <c r="H202" i="82"/>
  <c r="H203" i="82"/>
  <c r="H204" i="82"/>
  <c r="H205" i="82"/>
  <c r="H206" i="82"/>
  <c r="H207" i="82"/>
  <c r="H208" i="82"/>
  <c r="H209" i="82"/>
  <c r="H210" i="82"/>
  <c r="H211" i="82"/>
  <c r="H212" i="82"/>
  <c r="H213" i="82"/>
  <c r="H225" i="82"/>
  <c r="H226" i="82"/>
  <c r="H227" i="82"/>
  <c r="H228" i="82"/>
  <c r="H229" i="82"/>
  <c r="H230" i="82"/>
  <c r="H231" i="82"/>
  <c r="H232" i="82"/>
  <c r="H233" i="82"/>
  <c r="H238" i="82"/>
  <c r="H239" i="82"/>
  <c r="H240" i="82"/>
  <c r="H241" i="82"/>
  <c r="H242" i="82"/>
  <c r="H243" i="82"/>
  <c r="H244" i="82"/>
  <c r="H245" i="82"/>
  <c r="H246" i="82"/>
  <c r="H247" i="82"/>
  <c r="H248" i="82"/>
  <c r="H249" i="82"/>
  <c r="H250" i="82"/>
  <c r="H251" i="82"/>
  <c r="H252" i="82"/>
  <c r="H253" i="82"/>
  <c r="H254" i="82"/>
  <c r="H255" i="82"/>
  <c r="H256" i="82"/>
  <c r="H257" i="82"/>
  <c r="H258" i="82"/>
  <c r="H259" i="82"/>
  <c r="H260" i="82"/>
  <c r="H261" i="82"/>
  <c r="H262" i="82"/>
  <c r="H263" i="82"/>
  <c r="H264" i="82"/>
  <c r="H265" i="82"/>
  <c r="H266" i="82"/>
  <c r="H267" i="82"/>
  <c r="H268" i="82"/>
  <c r="H269" i="82"/>
  <c r="H270" i="82"/>
  <c r="H271" i="82"/>
  <c r="H272" i="82"/>
  <c r="H273" i="82"/>
  <c r="H274" i="82"/>
  <c r="H275" i="82"/>
  <c r="H276" i="82"/>
  <c r="H277" i="82"/>
  <c r="H278" i="82"/>
  <c r="H279" i="82"/>
  <c r="H280" i="82"/>
  <c r="H281" i="82"/>
  <c r="H282" i="82"/>
  <c r="H283" i="82"/>
  <c r="H284" i="82"/>
  <c r="H285" i="82"/>
  <c r="H286" i="82"/>
  <c r="H287" i="82"/>
  <c r="H288" i="82"/>
  <c r="H289" i="82"/>
  <c r="H290" i="82"/>
  <c r="H291" i="82"/>
  <c r="H292" i="82"/>
  <c r="H293" i="82"/>
  <c r="H294" i="82"/>
  <c r="H295" i="82"/>
  <c r="H296" i="82"/>
  <c r="H297" i="82"/>
  <c r="H298" i="82"/>
  <c r="H299" i="82"/>
  <c r="H300" i="82"/>
  <c r="H301" i="82"/>
  <c r="H302" i="82"/>
  <c r="H303" i="82"/>
  <c r="H304" i="82"/>
  <c r="H305" i="82"/>
  <c r="H306" i="82"/>
  <c r="H307" i="82"/>
  <c r="H308" i="82"/>
  <c r="H309" i="82"/>
  <c r="H310" i="82"/>
  <c r="H311" i="82"/>
  <c r="H312" i="82"/>
  <c r="H313" i="82"/>
  <c r="H314" i="82"/>
  <c r="H315" i="82"/>
  <c r="H316" i="82"/>
  <c r="H317" i="82"/>
  <c r="H318" i="82"/>
  <c r="H319" i="82"/>
  <c r="H320" i="82"/>
  <c r="H321" i="82"/>
  <c r="H322" i="82"/>
  <c r="H323" i="82"/>
  <c r="H324" i="82"/>
  <c r="H325" i="82"/>
  <c r="H326" i="82"/>
  <c r="H327" i="82"/>
  <c r="H328" i="82"/>
  <c r="H329" i="82"/>
  <c r="H330" i="82"/>
  <c r="H331" i="82"/>
  <c r="H332" i="82"/>
  <c r="H333" i="82"/>
  <c r="H334" i="82"/>
  <c r="H335" i="82"/>
  <c r="H336" i="82"/>
  <c r="H337" i="82"/>
  <c r="H338" i="82"/>
  <c r="H339" i="82"/>
  <c r="H340" i="82"/>
  <c r="H341" i="82"/>
  <c r="H342" i="82"/>
  <c r="H343" i="82"/>
  <c r="H344" i="82"/>
  <c r="H345" i="82"/>
  <c r="H346" i="82"/>
  <c r="H347" i="82"/>
  <c r="H348" i="82"/>
  <c r="H349" i="82"/>
  <c r="H350" i="82"/>
  <c r="H351" i="82"/>
  <c r="H352" i="82"/>
  <c r="H353" i="82"/>
  <c r="H354" i="82"/>
  <c r="H355" i="82"/>
  <c r="H356" i="82"/>
  <c r="H357" i="82"/>
  <c r="H358" i="82"/>
  <c r="H359" i="82"/>
  <c r="H360" i="82"/>
  <c r="H361" i="82"/>
  <c r="H362" i="82"/>
  <c r="H363" i="82"/>
  <c r="H364" i="82"/>
  <c r="H365" i="82"/>
  <c r="H366" i="82"/>
  <c r="H367" i="82"/>
  <c r="H368" i="82"/>
  <c r="H369" i="82"/>
  <c r="H370" i="82"/>
  <c r="H371" i="82"/>
  <c r="H372" i="82"/>
  <c r="H373" i="82"/>
  <c r="H374" i="82"/>
  <c r="H375" i="82"/>
  <c r="H376" i="82"/>
  <c r="H377" i="82"/>
  <c r="H378" i="82"/>
  <c r="H379" i="82"/>
  <c r="H380" i="82"/>
  <c r="H381" i="82"/>
  <c r="H382" i="82"/>
  <c r="H383" i="82"/>
  <c r="H384" i="82"/>
  <c r="H385" i="82"/>
  <c r="H386" i="82"/>
  <c r="H387" i="82"/>
  <c r="H388" i="82"/>
  <c r="H389" i="82"/>
  <c r="H390" i="82"/>
  <c r="H391" i="82"/>
  <c r="H392" i="82"/>
  <c r="H393" i="82"/>
  <c r="D18" i="105"/>
  <c r="E5" i="105"/>
  <c r="A18" i="105"/>
  <c r="M2" i="96"/>
  <c r="M3" i="96"/>
  <c r="M4" i="96"/>
  <c r="M5" i="96"/>
  <c r="M6" i="96"/>
  <c r="M7" i="96"/>
  <c r="M8" i="96"/>
  <c r="M9" i="96"/>
  <c r="G13" i="105"/>
  <c r="D13" i="105"/>
  <c r="B5" i="105"/>
  <c r="A13" i="105"/>
  <c r="R9" i="96"/>
  <c r="Q9" i="96"/>
  <c r="P9" i="96"/>
  <c r="O9" i="96"/>
  <c r="N9" i="96"/>
  <c r="K9" i="96"/>
  <c r="J9" i="96"/>
  <c r="I9" i="96"/>
  <c r="F9" i="96"/>
  <c r="R8" i="96"/>
  <c r="Q8" i="96"/>
  <c r="P8" i="96"/>
  <c r="O8" i="96"/>
  <c r="N8" i="96"/>
  <c r="K8" i="96"/>
  <c r="J8" i="96"/>
  <c r="I8" i="96"/>
  <c r="F8" i="96"/>
  <c r="R7" i="96"/>
  <c r="Q7" i="96"/>
  <c r="P7" i="96"/>
  <c r="O7" i="96"/>
  <c r="N7" i="96"/>
  <c r="K7" i="96"/>
  <c r="J7" i="96"/>
  <c r="I7" i="96"/>
  <c r="F7" i="96"/>
  <c r="R6" i="96"/>
  <c r="Q6" i="96"/>
  <c r="P6" i="96"/>
  <c r="O6" i="96"/>
  <c r="N6" i="96"/>
  <c r="K6" i="96"/>
  <c r="J6" i="96"/>
  <c r="I6" i="96"/>
  <c r="F6" i="96"/>
  <c r="R5" i="96"/>
  <c r="Q5" i="96"/>
  <c r="P5" i="96"/>
  <c r="O5" i="96"/>
  <c r="N5" i="96"/>
  <c r="K5" i="96"/>
  <c r="J5" i="96"/>
  <c r="I5" i="96"/>
  <c r="F5" i="96"/>
  <c r="R4" i="96"/>
  <c r="Q4" i="96"/>
  <c r="P4" i="96"/>
  <c r="O4" i="96"/>
  <c r="N4" i="96"/>
  <c r="K4" i="96"/>
  <c r="J4" i="96"/>
  <c r="I4" i="96"/>
  <c r="F4" i="96"/>
  <c r="F3" i="96"/>
  <c r="I3" i="96"/>
  <c r="J3" i="96"/>
  <c r="K3" i="96"/>
  <c r="N3" i="96"/>
  <c r="O3" i="96"/>
  <c r="P3" i="96"/>
  <c r="Q3" i="96"/>
  <c r="R3" i="96"/>
  <c r="A2" i="94"/>
  <c r="A3" i="94"/>
  <c r="A4" i="94"/>
  <c r="A5" i="94"/>
  <c r="A6" i="94"/>
  <c r="A7" i="94"/>
  <c r="A8" i="94"/>
  <c r="A9" i="94"/>
  <c r="A10" i="94"/>
  <c r="A11" i="94"/>
  <c r="A15" i="94"/>
  <c r="A16" i="94"/>
  <c r="A17" i="94"/>
  <c r="A18" i="94"/>
  <c r="A19" i="94"/>
  <c r="A20" i="94"/>
  <c r="A21" i="94"/>
  <c r="A22" i="94"/>
  <c r="A23" i="94"/>
  <c r="A24" i="94"/>
  <c r="A25" i="94"/>
  <c r="A26" i="94"/>
  <c r="R393" i="82"/>
  <c r="Q393" i="82"/>
  <c r="P393" i="82"/>
  <c r="O393" i="82"/>
  <c r="I393" i="82"/>
  <c r="D393" i="82"/>
  <c r="M393" i="82"/>
  <c r="L393" i="82"/>
  <c r="K393" i="82"/>
  <c r="J393" i="82"/>
  <c r="G393" i="82"/>
  <c r="C393" i="82"/>
  <c r="A393" i="82"/>
  <c r="R392" i="82"/>
  <c r="Q392" i="82"/>
  <c r="P392" i="82"/>
  <c r="O392" i="82"/>
  <c r="I392" i="82"/>
  <c r="D392" i="82"/>
  <c r="M392" i="82"/>
  <c r="L392" i="82"/>
  <c r="K392" i="82"/>
  <c r="J392" i="82"/>
  <c r="G392" i="82"/>
  <c r="C392" i="82"/>
  <c r="A392" i="82"/>
  <c r="R391" i="82"/>
  <c r="Q391" i="82"/>
  <c r="P391" i="82"/>
  <c r="O391" i="82"/>
  <c r="I391" i="82"/>
  <c r="D391" i="82"/>
  <c r="M391" i="82"/>
  <c r="L391" i="82"/>
  <c r="K391" i="82"/>
  <c r="J391" i="82"/>
  <c r="G391" i="82"/>
  <c r="C391" i="82"/>
  <c r="A391" i="82"/>
  <c r="R390" i="82"/>
  <c r="Q390" i="82"/>
  <c r="P390" i="82"/>
  <c r="O390" i="82"/>
  <c r="I390" i="82"/>
  <c r="D390" i="82"/>
  <c r="M390" i="82"/>
  <c r="L390" i="82"/>
  <c r="K390" i="82"/>
  <c r="J390" i="82"/>
  <c r="G390" i="82"/>
  <c r="C390" i="82"/>
  <c r="A390" i="82"/>
  <c r="R389" i="82"/>
  <c r="Q389" i="82"/>
  <c r="P389" i="82"/>
  <c r="O389" i="82"/>
  <c r="I389" i="82"/>
  <c r="D389" i="82"/>
  <c r="M389" i="82"/>
  <c r="L389" i="82"/>
  <c r="K389" i="82"/>
  <c r="J389" i="82"/>
  <c r="G389" i="82"/>
  <c r="C389" i="82"/>
  <c r="A389" i="82"/>
  <c r="R388" i="82"/>
  <c r="Q388" i="82"/>
  <c r="P388" i="82"/>
  <c r="O388" i="82"/>
  <c r="I388" i="82"/>
  <c r="D388" i="82"/>
  <c r="M388" i="82"/>
  <c r="L388" i="82"/>
  <c r="K388" i="82"/>
  <c r="J388" i="82"/>
  <c r="G388" i="82"/>
  <c r="C388" i="82"/>
  <c r="A388" i="82"/>
  <c r="R387" i="82"/>
  <c r="Q387" i="82"/>
  <c r="P387" i="82"/>
  <c r="O387" i="82"/>
  <c r="I387" i="82"/>
  <c r="D387" i="82"/>
  <c r="M387" i="82"/>
  <c r="L387" i="82"/>
  <c r="K387" i="82"/>
  <c r="J387" i="82"/>
  <c r="G387" i="82"/>
  <c r="C387" i="82"/>
  <c r="A387" i="82"/>
  <c r="R386" i="82"/>
  <c r="Q386" i="82"/>
  <c r="P386" i="82"/>
  <c r="O386" i="82"/>
  <c r="I386" i="82"/>
  <c r="D386" i="82"/>
  <c r="M386" i="82"/>
  <c r="L386" i="82"/>
  <c r="K386" i="82"/>
  <c r="J386" i="82"/>
  <c r="G386" i="82"/>
  <c r="C386" i="82"/>
  <c r="A386" i="82"/>
  <c r="R385" i="82"/>
  <c r="Q385" i="82"/>
  <c r="P385" i="82"/>
  <c r="O385" i="82"/>
  <c r="I385" i="82"/>
  <c r="D385" i="82"/>
  <c r="M385" i="82"/>
  <c r="L385" i="82"/>
  <c r="K385" i="82"/>
  <c r="J385" i="82"/>
  <c r="G385" i="82"/>
  <c r="C385" i="82"/>
  <c r="A385" i="82"/>
  <c r="R384" i="82"/>
  <c r="Q384" i="82"/>
  <c r="P384" i="82"/>
  <c r="O384" i="82"/>
  <c r="I384" i="82"/>
  <c r="D384" i="82"/>
  <c r="M384" i="82"/>
  <c r="L384" i="82"/>
  <c r="K384" i="82"/>
  <c r="J384" i="82"/>
  <c r="G384" i="82"/>
  <c r="C384" i="82"/>
  <c r="A384" i="82"/>
  <c r="R383" i="82"/>
  <c r="Q383" i="82"/>
  <c r="P383" i="82"/>
  <c r="O383" i="82"/>
  <c r="I383" i="82"/>
  <c r="D383" i="82"/>
  <c r="M383" i="82"/>
  <c r="L383" i="82"/>
  <c r="K383" i="82"/>
  <c r="J383" i="82"/>
  <c r="G383" i="82"/>
  <c r="C383" i="82"/>
  <c r="A383" i="82"/>
  <c r="R382" i="82"/>
  <c r="Q382" i="82"/>
  <c r="P382" i="82"/>
  <c r="O382" i="82"/>
  <c r="I382" i="82"/>
  <c r="D382" i="82"/>
  <c r="M382" i="82"/>
  <c r="L382" i="82"/>
  <c r="K382" i="82"/>
  <c r="J382" i="82"/>
  <c r="G382" i="82"/>
  <c r="C382" i="82"/>
  <c r="A382" i="82"/>
  <c r="R381" i="82"/>
  <c r="Q381" i="82"/>
  <c r="P381" i="82"/>
  <c r="O381" i="82"/>
  <c r="I381" i="82"/>
  <c r="D381" i="82"/>
  <c r="M381" i="82"/>
  <c r="L381" i="82"/>
  <c r="K381" i="82"/>
  <c r="J381" i="82"/>
  <c r="G381" i="82"/>
  <c r="C381" i="82"/>
  <c r="A381" i="82"/>
  <c r="R380" i="82"/>
  <c r="Q380" i="82"/>
  <c r="P380" i="82"/>
  <c r="O380" i="82"/>
  <c r="I380" i="82"/>
  <c r="D380" i="82"/>
  <c r="M380" i="82"/>
  <c r="L380" i="82"/>
  <c r="K380" i="82"/>
  <c r="J380" i="82"/>
  <c r="G380" i="82"/>
  <c r="C380" i="82"/>
  <c r="A380" i="82"/>
  <c r="R379" i="82"/>
  <c r="Q379" i="82"/>
  <c r="P379" i="82"/>
  <c r="O379" i="82"/>
  <c r="I379" i="82"/>
  <c r="D379" i="82"/>
  <c r="M379" i="82"/>
  <c r="L379" i="82"/>
  <c r="K379" i="82"/>
  <c r="J379" i="82"/>
  <c r="G379" i="82"/>
  <c r="C379" i="82"/>
  <c r="A379" i="82"/>
  <c r="R378" i="82"/>
  <c r="Q378" i="82"/>
  <c r="P378" i="82"/>
  <c r="O378" i="82"/>
  <c r="I378" i="82"/>
  <c r="D378" i="82"/>
  <c r="M378" i="82"/>
  <c r="L378" i="82"/>
  <c r="K378" i="82"/>
  <c r="J378" i="82"/>
  <c r="G378" i="82"/>
  <c r="C378" i="82"/>
  <c r="A378" i="82"/>
  <c r="R377" i="82"/>
  <c r="Q377" i="82"/>
  <c r="P377" i="82"/>
  <c r="O377" i="82"/>
  <c r="I377" i="82"/>
  <c r="D377" i="82"/>
  <c r="M377" i="82"/>
  <c r="L377" i="82"/>
  <c r="K377" i="82"/>
  <c r="J377" i="82"/>
  <c r="G377" i="82"/>
  <c r="C377" i="82"/>
  <c r="A377" i="82"/>
  <c r="R376" i="82"/>
  <c r="Q376" i="82"/>
  <c r="P376" i="82"/>
  <c r="O376" i="82"/>
  <c r="I376" i="82"/>
  <c r="D376" i="82"/>
  <c r="M376" i="82"/>
  <c r="L376" i="82"/>
  <c r="K376" i="82"/>
  <c r="J376" i="82"/>
  <c r="G376" i="82"/>
  <c r="C376" i="82"/>
  <c r="A376" i="82"/>
  <c r="R375" i="82"/>
  <c r="Q375" i="82"/>
  <c r="P375" i="82"/>
  <c r="O375" i="82"/>
  <c r="I375" i="82"/>
  <c r="D375" i="82"/>
  <c r="M375" i="82"/>
  <c r="L375" i="82"/>
  <c r="K375" i="82"/>
  <c r="J375" i="82"/>
  <c r="G375" i="82"/>
  <c r="C375" i="82"/>
  <c r="A375" i="82"/>
  <c r="R374" i="82"/>
  <c r="Q374" i="82"/>
  <c r="P374" i="82"/>
  <c r="O374" i="82"/>
  <c r="I374" i="82"/>
  <c r="D374" i="82"/>
  <c r="M374" i="82"/>
  <c r="L374" i="82"/>
  <c r="K374" i="82"/>
  <c r="J374" i="82"/>
  <c r="G374" i="82"/>
  <c r="C374" i="82"/>
  <c r="A374" i="82"/>
  <c r="R373" i="82"/>
  <c r="Q373" i="82"/>
  <c r="P373" i="82"/>
  <c r="O373" i="82"/>
  <c r="I373" i="82"/>
  <c r="D373" i="82"/>
  <c r="M373" i="82"/>
  <c r="L373" i="82"/>
  <c r="K373" i="82"/>
  <c r="J373" i="82"/>
  <c r="G373" i="82"/>
  <c r="C373" i="82"/>
  <c r="A373" i="82"/>
  <c r="R372" i="82"/>
  <c r="Q372" i="82"/>
  <c r="P372" i="82"/>
  <c r="O372" i="82"/>
  <c r="I372" i="82"/>
  <c r="D372" i="82"/>
  <c r="M372" i="82"/>
  <c r="L372" i="82"/>
  <c r="K372" i="82"/>
  <c r="J372" i="82"/>
  <c r="G372" i="82"/>
  <c r="C372" i="82"/>
  <c r="A372" i="82"/>
  <c r="R371" i="82"/>
  <c r="Q371" i="82"/>
  <c r="P371" i="82"/>
  <c r="O371" i="82"/>
  <c r="I371" i="82"/>
  <c r="D371" i="82"/>
  <c r="M371" i="82"/>
  <c r="L371" i="82"/>
  <c r="K371" i="82"/>
  <c r="J371" i="82"/>
  <c r="G371" i="82"/>
  <c r="C371" i="82"/>
  <c r="A371" i="82"/>
  <c r="R370" i="82"/>
  <c r="Q370" i="82"/>
  <c r="P370" i="82"/>
  <c r="O370" i="82"/>
  <c r="I370" i="82"/>
  <c r="D370" i="82"/>
  <c r="M370" i="82"/>
  <c r="L370" i="82"/>
  <c r="K370" i="82"/>
  <c r="J370" i="82"/>
  <c r="G370" i="82"/>
  <c r="C370" i="82"/>
  <c r="A370" i="82"/>
  <c r="R369" i="82"/>
  <c r="Q369" i="82"/>
  <c r="P369" i="82"/>
  <c r="O369" i="82"/>
  <c r="I369" i="82"/>
  <c r="D369" i="82"/>
  <c r="M369" i="82"/>
  <c r="L369" i="82"/>
  <c r="K369" i="82"/>
  <c r="J369" i="82"/>
  <c r="G369" i="82"/>
  <c r="C369" i="82"/>
  <c r="A369" i="82"/>
  <c r="R368" i="82"/>
  <c r="Q368" i="82"/>
  <c r="P368" i="82"/>
  <c r="O368" i="82"/>
  <c r="I368" i="82"/>
  <c r="D368" i="82"/>
  <c r="M368" i="82"/>
  <c r="L368" i="82"/>
  <c r="K368" i="82"/>
  <c r="J368" i="82"/>
  <c r="G368" i="82"/>
  <c r="C368" i="82"/>
  <c r="A368" i="82"/>
  <c r="R367" i="82"/>
  <c r="Q367" i="82"/>
  <c r="P367" i="82"/>
  <c r="O367" i="82"/>
  <c r="I367" i="82"/>
  <c r="D367" i="82"/>
  <c r="M367" i="82"/>
  <c r="L367" i="82"/>
  <c r="K367" i="82"/>
  <c r="J367" i="82"/>
  <c r="G367" i="82"/>
  <c r="C367" i="82"/>
  <c r="A367" i="82"/>
  <c r="R366" i="82"/>
  <c r="Q366" i="82"/>
  <c r="P366" i="82"/>
  <c r="O366" i="82"/>
  <c r="I366" i="82"/>
  <c r="D366" i="82"/>
  <c r="M366" i="82"/>
  <c r="L366" i="82"/>
  <c r="K366" i="82"/>
  <c r="J366" i="82"/>
  <c r="G366" i="82"/>
  <c r="C366" i="82"/>
  <c r="A366" i="82"/>
  <c r="R365" i="82"/>
  <c r="Q365" i="82"/>
  <c r="P365" i="82"/>
  <c r="O365" i="82"/>
  <c r="I365" i="82"/>
  <c r="D365" i="82"/>
  <c r="M365" i="82"/>
  <c r="L365" i="82"/>
  <c r="K365" i="82"/>
  <c r="J365" i="82"/>
  <c r="G365" i="82"/>
  <c r="C365" i="82"/>
  <c r="A365" i="82"/>
  <c r="R364" i="82"/>
  <c r="Q364" i="82"/>
  <c r="P364" i="82"/>
  <c r="O364" i="82"/>
  <c r="I364" i="82"/>
  <c r="D364" i="82"/>
  <c r="M364" i="82"/>
  <c r="L364" i="82"/>
  <c r="K364" i="82"/>
  <c r="J364" i="82"/>
  <c r="G364" i="82"/>
  <c r="C364" i="82"/>
  <c r="A364" i="82"/>
  <c r="R363" i="82"/>
  <c r="Q363" i="82"/>
  <c r="P363" i="82"/>
  <c r="O363" i="82"/>
  <c r="I363" i="82"/>
  <c r="D363" i="82"/>
  <c r="M363" i="82"/>
  <c r="L363" i="82"/>
  <c r="K363" i="82"/>
  <c r="J363" i="82"/>
  <c r="G363" i="82"/>
  <c r="C363" i="82"/>
  <c r="A363" i="82"/>
  <c r="R362" i="82"/>
  <c r="Q362" i="82"/>
  <c r="P362" i="82"/>
  <c r="O362" i="82"/>
  <c r="I362" i="82"/>
  <c r="D362" i="82"/>
  <c r="M362" i="82"/>
  <c r="L362" i="82"/>
  <c r="K362" i="82"/>
  <c r="J362" i="82"/>
  <c r="G362" i="82"/>
  <c r="C362" i="82"/>
  <c r="A362" i="82"/>
  <c r="R361" i="82"/>
  <c r="Q361" i="82"/>
  <c r="P361" i="82"/>
  <c r="O361" i="82"/>
  <c r="I361" i="82"/>
  <c r="D361" i="82"/>
  <c r="M361" i="82"/>
  <c r="L361" i="82"/>
  <c r="K361" i="82"/>
  <c r="J361" i="82"/>
  <c r="G361" i="82"/>
  <c r="C361" i="82"/>
  <c r="A361" i="82"/>
  <c r="R360" i="82"/>
  <c r="Q360" i="82"/>
  <c r="P360" i="82"/>
  <c r="O360" i="82"/>
  <c r="I360" i="82"/>
  <c r="D360" i="82"/>
  <c r="M360" i="82"/>
  <c r="L360" i="82"/>
  <c r="K360" i="82"/>
  <c r="J360" i="82"/>
  <c r="G360" i="82"/>
  <c r="C360" i="82"/>
  <c r="A360" i="82"/>
  <c r="R359" i="82"/>
  <c r="Q359" i="82"/>
  <c r="P359" i="82"/>
  <c r="O359" i="82"/>
  <c r="I359" i="82"/>
  <c r="D359" i="82"/>
  <c r="M359" i="82"/>
  <c r="L359" i="82"/>
  <c r="K359" i="82"/>
  <c r="J359" i="82"/>
  <c r="G359" i="82"/>
  <c r="C359" i="82"/>
  <c r="A359" i="82"/>
  <c r="R358" i="82"/>
  <c r="Q358" i="82"/>
  <c r="P358" i="82"/>
  <c r="O358" i="82"/>
  <c r="I358" i="82"/>
  <c r="D358" i="82"/>
  <c r="M358" i="82"/>
  <c r="L358" i="82"/>
  <c r="K358" i="82"/>
  <c r="J358" i="82"/>
  <c r="G358" i="82"/>
  <c r="C358" i="82"/>
  <c r="A358" i="82"/>
  <c r="R357" i="82"/>
  <c r="Q357" i="82"/>
  <c r="P357" i="82"/>
  <c r="O357" i="82"/>
  <c r="I357" i="82"/>
  <c r="D357" i="82"/>
  <c r="M357" i="82"/>
  <c r="L357" i="82"/>
  <c r="K357" i="82"/>
  <c r="J357" i="82"/>
  <c r="G357" i="82"/>
  <c r="C357" i="82"/>
  <c r="A357" i="82"/>
  <c r="R356" i="82"/>
  <c r="Q356" i="82"/>
  <c r="P356" i="82"/>
  <c r="O356" i="82"/>
  <c r="I356" i="82"/>
  <c r="D356" i="82"/>
  <c r="M356" i="82"/>
  <c r="L356" i="82"/>
  <c r="K356" i="82"/>
  <c r="J356" i="82"/>
  <c r="G356" i="82"/>
  <c r="C356" i="82"/>
  <c r="A356" i="82"/>
  <c r="R355" i="82"/>
  <c r="Q355" i="82"/>
  <c r="P355" i="82"/>
  <c r="O355" i="82"/>
  <c r="I355" i="82"/>
  <c r="D355" i="82"/>
  <c r="M355" i="82"/>
  <c r="L355" i="82"/>
  <c r="K355" i="82"/>
  <c r="J355" i="82"/>
  <c r="G355" i="82"/>
  <c r="C355" i="82"/>
  <c r="A355" i="82"/>
  <c r="R354" i="82"/>
  <c r="Q354" i="82"/>
  <c r="P354" i="82"/>
  <c r="O354" i="82"/>
  <c r="I354" i="82"/>
  <c r="D354" i="82"/>
  <c r="M354" i="82"/>
  <c r="L354" i="82"/>
  <c r="K354" i="82"/>
  <c r="J354" i="82"/>
  <c r="G354" i="82"/>
  <c r="C354" i="82"/>
  <c r="A354" i="82"/>
  <c r="R353" i="82"/>
  <c r="Q353" i="82"/>
  <c r="P353" i="82"/>
  <c r="O353" i="82"/>
  <c r="I353" i="82"/>
  <c r="D353" i="82"/>
  <c r="M353" i="82"/>
  <c r="L353" i="82"/>
  <c r="K353" i="82"/>
  <c r="J353" i="82"/>
  <c r="G353" i="82"/>
  <c r="C353" i="82"/>
  <c r="A353" i="82"/>
  <c r="R352" i="82"/>
  <c r="Q352" i="82"/>
  <c r="P352" i="82"/>
  <c r="O352" i="82"/>
  <c r="I352" i="82"/>
  <c r="D352" i="82"/>
  <c r="M352" i="82"/>
  <c r="L352" i="82"/>
  <c r="K352" i="82"/>
  <c r="J352" i="82"/>
  <c r="G352" i="82"/>
  <c r="C352" i="82"/>
  <c r="A352" i="82"/>
  <c r="R351" i="82"/>
  <c r="Q351" i="82"/>
  <c r="P351" i="82"/>
  <c r="O351" i="82"/>
  <c r="I351" i="82"/>
  <c r="D351" i="82"/>
  <c r="M351" i="82"/>
  <c r="L351" i="82"/>
  <c r="K351" i="82"/>
  <c r="J351" i="82"/>
  <c r="G351" i="82"/>
  <c r="C351" i="82"/>
  <c r="A351" i="82"/>
  <c r="R350" i="82"/>
  <c r="Q350" i="82"/>
  <c r="P350" i="82"/>
  <c r="O350" i="82"/>
  <c r="I350" i="82"/>
  <c r="D350" i="82"/>
  <c r="M350" i="82"/>
  <c r="L350" i="82"/>
  <c r="K350" i="82"/>
  <c r="J350" i="82"/>
  <c r="G350" i="82"/>
  <c r="C350" i="82"/>
  <c r="A350" i="82"/>
  <c r="R349" i="82"/>
  <c r="Q349" i="82"/>
  <c r="P349" i="82"/>
  <c r="O349" i="82"/>
  <c r="I349" i="82"/>
  <c r="D349" i="82"/>
  <c r="M349" i="82"/>
  <c r="L349" i="82"/>
  <c r="K349" i="82"/>
  <c r="J349" i="82"/>
  <c r="G349" i="82"/>
  <c r="C349" i="82"/>
  <c r="A349" i="82"/>
  <c r="R348" i="82"/>
  <c r="Q348" i="82"/>
  <c r="P348" i="82"/>
  <c r="O348" i="82"/>
  <c r="I348" i="82"/>
  <c r="D348" i="82"/>
  <c r="M348" i="82"/>
  <c r="L348" i="82"/>
  <c r="K348" i="82"/>
  <c r="J348" i="82"/>
  <c r="G348" i="82"/>
  <c r="C348" i="82"/>
  <c r="A348" i="82"/>
  <c r="R347" i="82"/>
  <c r="Q347" i="82"/>
  <c r="P347" i="82"/>
  <c r="O347" i="82"/>
  <c r="I347" i="82"/>
  <c r="D347" i="82"/>
  <c r="M347" i="82"/>
  <c r="L347" i="82"/>
  <c r="K347" i="82"/>
  <c r="J347" i="82"/>
  <c r="G347" i="82"/>
  <c r="C347" i="82"/>
  <c r="A347" i="82"/>
  <c r="R346" i="82"/>
  <c r="Q346" i="82"/>
  <c r="P346" i="82"/>
  <c r="O346" i="82"/>
  <c r="I346" i="82"/>
  <c r="D346" i="82"/>
  <c r="M346" i="82"/>
  <c r="L346" i="82"/>
  <c r="K346" i="82"/>
  <c r="J346" i="82"/>
  <c r="G346" i="82"/>
  <c r="C346" i="82"/>
  <c r="A346" i="82"/>
  <c r="R345" i="82"/>
  <c r="Q345" i="82"/>
  <c r="P345" i="82"/>
  <c r="O345" i="82"/>
  <c r="I345" i="82"/>
  <c r="D345" i="82"/>
  <c r="M345" i="82"/>
  <c r="L345" i="82"/>
  <c r="K345" i="82"/>
  <c r="J345" i="82"/>
  <c r="G345" i="82"/>
  <c r="C345" i="82"/>
  <c r="A345" i="82"/>
  <c r="R344" i="82"/>
  <c r="Q344" i="82"/>
  <c r="P344" i="82"/>
  <c r="O344" i="82"/>
  <c r="I344" i="82"/>
  <c r="D344" i="82"/>
  <c r="M344" i="82"/>
  <c r="L344" i="82"/>
  <c r="K344" i="82"/>
  <c r="J344" i="82"/>
  <c r="G344" i="82"/>
  <c r="C344" i="82"/>
  <c r="A344" i="82"/>
  <c r="R343" i="82"/>
  <c r="Q343" i="82"/>
  <c r="P343" i="82"/>
  <c r="O343" i="82"/>
  <c r="I343" i="82"/>
  <c r="D343" i="82"/>
  <c r="M343" i="82"/>
  <c r="L343" i="82"/>
  <c r="K343" i="82"/>
  <c r="J343" i="82"/>
  <c r="G343" i="82"/>
  <c r="C343" i="82"/>
  <c r="A343" i="82"/>
  <c r="R342" i="82"/>
  <c r="Q342" i="82"/>
  <c r="P342" i="82"/>
  <c r="O342" i="82"/>
  <c r="I342" i="82"/>
  <c r="D342" i="82"/>
  <c r="M342" i="82"/>
  <c r="L342" i="82"/>
  <c r="K342" i="82"/>
  <c r="J342" i="82"/>
  <c r="G342" i="82"/>
  <c r="C342" i="82"/>
  <c r="A342" i="82"/>
  <c r="R341" i="82"/>
  <c r="Q341" i="82"/>
  <c r="P341" i="82"/>
  <c r="O341" i="82"/>
  <c r="I341" i="82"/>
  <c r="D341" i="82"/>
  <c r="M341" i="82"/>
  <c r="L341" i="82"/>
  <c r="K341" i="82"/>
  <c r="J341" i="82"/>
  <c r="G341" i="82"/>
  <c r="C341" i="82"/>
  <c r="A341" i="82"/>
  <c r="R340" i="82"/>
  <c r="Q340" i="82"/>
  <c r="P340" i="82"/>
  <c r="O340" i="82"/>
  <c r="I340" i="82"/>
  <c r="D340" i="82"/>
  <c r="M340" i="82"/>
  <c r="L340" i="82"/>
  <c r="K340" i="82"/>
  <c r="J340" i="82"/>
  <c r="G340" i="82"/>
  <c r="C340" i="82"/>
  <c r="A340" i="82"/>
  <c r="R339" i="82"/>
  <c r="Q339" i="82"/>
  <c r="P339" i="82"/>
  <c r="O339" i="82"/>
  <c r="I339" i="82"/>
  <c r="D339" i="82"/>
  <c r="M339" i="82"/>
  <c r="L339" i="82"/>
  <c r="K339" i="82"/>
  <c r="J339" i="82"/>
  <c r="G339" i="82"/>
  <c r="C339" i="82"/>
  <c r="A339" i="82"/>
  <c r="R338" i="82"/>
  <c r="Q338" i="82"/>
  <c r="P338" i="82"/>
  <c r="O338" i="82"/>
  <c r="I338" i="82"/>
  <c r="D338" i="82"/>
  <c r="M338" i="82"/>
  <c r="L338" i="82"/>
  <c r="K338" i="82"/>
  <c r="J338" i="82"/>
  <c r="G338" i="82"/>
  <c r="C338" i="82"/>
  <c r="A338" i="82"/>
  <c r="R337" i="82"/>
  <c r="Q337" i="82"/>
  <c r="P337" i="82"/>
  <c r="O337" i="82"/>
  <c r="I337" i="82"/>
  <c r="D337" i="82"/>
  <c r="M337" i="82"/>
  <c r="L337" i="82"/>
  <c r="K337" i="82"/>
  <c r="J337" i="82"/>
  <c r="G337" i="82"/>
  <c r="C337" i="82"/>
  <c r="A337" i="82"/>
  <c r="R336" i="82"/>
  <c r="Q336" i="82"/>
  <c r="P336" i="82"/>
  <c r="O336" i="82"/>
  <c r="I336" i="82"/>
  <c r="D336" i="82"/>
  <c r="M336" i="82"/>
  <c r="L336" i="82"/>
  <c r="K336" i="82"/>
  <c r="J336" i="82"/>
  <c r="G336" i="82"/>
  <c r="C336" i="82"/>
  <c r="A336" i="82"/>
  <c r="R335" i="82"/>
  <c r="Q335" i="82"/>
  <c r="P335" i="82"/>
  <c r="O335" i="82"/>
  <c r="I335" i="82"/>
  <c r="D335" i="82"/>
  <c r="M335" i="82"/>
  <c r="L335" i="82"/>
  <c r="K335" i="82"/>
  <c r="J335" i="82"/>
  <c r="G335" i="82"/>
  <c r="C335" i="82"/>
  <c r="A335" i="82"/>
  <c r="R334" i="82"/>
  <c r="Q334" i="82"/>
  <c r="P334" i="82"/>
  <c r="O334" i="82"/>
  <c r="I334" i="82"/>
  <c r="D334" i="82"/>
  <c r="M334" i="82"/>
  <c r="L334" i="82"/>
  <c r="K334" i="82"/>
  <c r="J334" i="82"/>
  <c r="G334" i="82"/>
  <c r="C334" i="82"/>
  <c r="A334" i="82"/>
  <c r="R333" i="82"/>
  <c r="Q333" i="82"/>
  <c r="P333" i="82"/>
  <c r="O333" i="82"/>
  <c r="I333" i="82"/>
  <c r="D333" i="82"/>
  <c r="M333" i="82"/>
  <c r="L333" i="82"/>
  <c r="K333" i="82"/>
  <c r="J333" i="82"/>
  <c r="G333" i="82"/>
  <c r="C333" i="82"/>
  <c r="A333" i="82"/>
  <c r="R332" i="82"/>
  <c r="Q332" i="82"/>
  <c r="P332" i="82"/>
  <c r="O332" i="82"/>
  <c r="I332" i="82"/>
  <c r="D332" i="82"/>
  <c r="M332" i="82"/>
  <c r="L332" i="82"/>
  <c r="K332" i="82"/>
  <c r="J332" i="82"/>
  <c r="G332" i="82"/>
  <c r="C332" i="82"/>
  <c r="A332" i="82"/>
  <c r="R331" i="82"/>
  <c r="Q331" i="82"/>
  <c r="P331" i="82"/>
  <c r="O331" i="82"/>
  <c r="I331" i="82"/>
  <c r="D331" i="82"/>
  <c r="M331" i="82"/>
  <c r="L331" i="82"/>
  <c r="K331" i="82"/>
  <c r="J331" i="82"/>
  <c r="G331" i="82"/>
  <c r="C331" i="82"/>
  <c r="A331" i="82"/>
  <c r="R330" i="82"/>
  <c r="Q330" i="82"/>
  <c r="P330" i="82"/>
  <c r="O330" i="82"/>
  <c r="I330" i="82"/>
  <c r="D330" i="82"/>
  <c r="M330" i="82"/>
  <c r="L330" i="82"/>
  <c r="K330" i="82"/>
  <c r="J330" i="82"/>
  <c r="G330" i="82"/>
  <c r="C330" i="82"/>
  <c r="A330" i="82"/>
  <c r="R329" i="82"/>
  <c r="Q329" i="82"/>
  <c r="P329" i="82"/>
  <c r="O329" i="82"/>
  <c r="I329" i="82"/>
  <c r="D329" i="82"/>
  <c r="M329" i="82"/>
  <c r="L329" i="82"/>
  <c r="K329" i="82"/>
  <c r="J329" i="82"/>
  <c r="G329" i="82"/>
  <c r="C329" i="82"/>
  <c r="A329" i="82"/>
  <c r="R328" i="82"/>
  <c r="Q328" i="82"/>
  <c r="P328" i="82"/>
  <c r="O328" i="82"/>
  <c r="I328" i="82"/>
  <c r="D328" i="82"/>
  <c r="M328" i="82"/>
  <c r="L328" i="82"/>
  <c r="K328" i="82"/>
  <c r="J328" i="82"/>
  <c r="G328" i="82"/>
  <c r="C328" i="82"/>
  <c r="A328" i="82"/>
  <c r="R327" i="82"/>
  <c r="Q327" i="82"/>
  <c r="P327" i="82"/>
  <c r="O327" i="82"/>
  <c r="I327" i="82"/>
  <c r="D327" i="82"/>
  <c r="M327" i="82"/>
  <c r="L327" i="82"/>
  <c r="K327" i="82"/>
  <c r="J327" i="82"/>
  <c r="G327" i="82"/>
  <c r="C327" i="82"/>
  <c r="A327" i="82"/>
  <c r="R326" i="82"/>
  <c r="Q326" i="82"/>
  <c r="P326" i="82"/>
  <c r="O326" i="82"/>
  <c r="I326" i="82"/>
  <c r="D326" i="82"/>
  <c r="M326" i="82"/>
  <c r="L326" i="82"/>
  <c r="K326" i="82"/>
  <c r="J326" i="82"/>
  <c r="G326" i="82"/>
  <c r="C326" i="82"/>
  <c r="A326" i="82"/>
  <c r="R325" i="82"/>
  <c r="Q325" i="82"/>
  <c r="P325" i="82"/>
  <c r="O325" i="82"/>
  <c r="I325" i="82"/>
  <c r="D325" i="82"/>
  <c r="M325" i="82"/>
  <c r="L325" i="82"/>
  <c r="K325" i="82"/>
  <c r="J325" i="82"/>
  <c r="G325" i="82"/>
  <c r="C325" i="82"/>
  <c r="A325" i="82"/>
  <c r="R324" i="82"/>
  <c r="Q324" i="82"/>
  <c r="P324" i="82"/>
  <c r="O324" i="82"/>
  <c r="I324" i="82"/>
  <c r="D324" i="82"/>
  <c r="M324" i="82"/>
  <c r="L324" i="82"/>
  <c r="K324" i="82"/>
  <c r="J324" i="82"/>
  <c r="G324" i="82"/>
  <c r="C324" i="82"/>
  <c r="A324" i="82"/>
  <c r="R323" i="82"/>
  <c r="Q323" i="82"/>
  <c r="P323" i="82"/>
  <c r="O323" i="82"/>
  <c r="I323" i="82"/>
  <c r="D323" i="82"/>
  <c r="M323" i="82"/>
  <c r="L323" i="82"/>
  <c r="K323" i="82"/>
  <c r="J323" i="82"/>
  <c r="G323" i="82"/>
  <c r="C323" i="82"/>
  <c r="A323" i="82"/>
  <c r="R322" i="82"/>
  <c r="Q322" i="82"/>
  <c r="P322" i="82"/>
  <c r="O322" i="82"/>
  <c r="I322" i="82"/>
  <c r="D322" i="82"/>
  <c r="M322" i="82"/>
  <c r="L322" i="82"/>
  <c r="K322" i="82"/>
  <c r="J322" i="82"/>
  <c r="G322" i="82"/>
  <c r="C322" i="82"/>
  <c r="A322" i="82"/>
  <c r="R321" i="82"/>
  <c r="Q321" i="82"/>
  <c r="P321" i="82"/>
  <c r="O321" i="82"/>
  <c r="I321" i="82"/>
  <c r="D321" i="82"/>
  <c r="M321" i="82"/>
  <c r="L321" i="82"/>
  <c r="K321" i="82"/>
  <c r="J321" i="82"/>
  <c r="G321" i="82"/>
  <c r="C321" i="82"/>
  <c r="A321" i="82"/>
  <c r="R320" i="82"/>
  <c r="Q320" i="82"/>
  <c r="P320" i="82"/>
  <c r="O320" i="82"/>
  <c r="I320" i="82"/>
  <c r="D320" i="82"/>
  <c r="M320" i="82"/>
  <c r="L320" i="82"/>
  <c r="K320" i="82"/>
  <c r="J320" i="82"/>
  <c r="G320" i="82"/>
  <c r="C320" i="82"/>
  <c r="A320" i="82"/>
  <c r="R319" i="82"/>
  <c r="Q319" i="82"/>
  <c r="P319" i="82"/>
  <c r="O319" i="82"/>
  <c r="I319" i="82"/>
  <c r="D319" i="82"/>
  <c r="M319" i="82"/>
  <c r="L319" i="82"/>
  <c r="K319" i="82"/>
  <c r="J319" i="82"/>
  <c r="G319" i="82"/>
  <c r="C319" i="82"/>
  <c r="A319" i="82"/>
  <c r="R318" i="82"/>
  <c r="Q318" i="82"/>
  <c r="P318" i="82"/>
  <c r="O318" i="82"/>
  <c r="I318" i="82"/>
  <c r="D318" i="82"/>
  <c r="M318" i="82"/>
  <c r="L318" i="82"/>
  <c r="K318" i="82"/>
  <c r="J318" i="82"/>
  <c r="G318" i="82"/>
  <c r="C318" i="82"/>
  <c r="A318" i="82"/>
  <c r="R317" i="82"/>
  <c r="Q317" i="82"/>
  <c r="P317" i="82"/>
  <c r="O317" i="82"/>
  <c r="I317" i="82"/>
  <c r="D317" i="82"/>
  <c r="M317" i="82"/>
  <c r="L317" i="82"/>
  <c r="K317" i="82"/>
  <c r="J317" i="82"/>
  <c r="G317" i="82"/>
  <c r="C317" i="82"/>
  <c r="A317" i="82"/>
  <c r="R316" i="82"/>
  <c r="Q316" i="82"/>
  <c r="P316" i="82"/>
  <c r="O316" i="82"/>
  <c r="I316" i="82"/>
  <c r="D316" i="82"/>
  <c r="M316" i="82"/>
  <c r="L316" i="82"/>
  <c r="K316" i="82"/>
  <c r="J316" i="82"/>
  <c r="G316" i="82"/>
  <c r="C316" i="82"/>
  <c r="A316" i="82"/>
  <c r="R315" i="82"/>
  <c r="Q315" i="82"/>
  <c r="P315" i="82"/>
  <c r="O315" i="82"/>
  <c r="I315" i="82"/>
  <c r="D315" i="82"/>
  <c r="M315" i="82"/>
  <c r="L315" i="82"/>
  <c r="K315" i="82"/>
  <c r="J315" i="82"/>
  <c r="G315" i="82"/>
  <c r="C315" i="82"/>
  <c r="A315" i="82"/>
  <c r="R314" i="82"/>
  <c r="Q314" i="82"/>
  <c r="P314" i="82"/>
  <c r="O314" i="82"/>
  <c r="I314" i="82"/>
  <c r="D314" i="82"/>
  <c r="M314" i="82"/>
  <c r="L314" i="82"/>
  <c r="K314" i="82"/>
  <c r="J314" i="82"/>
  <c r="G314" i="82"/>
  <c r="C314" i="82"/>
  <c r="A314" i="82"/>
  <c r="R313" i="82"/>
  <c r="Q313" i="82"/>
  <c r="P313" i="82"/>
  <c r="O313" i="82"/>
  <c r="I313" i="82"/>
  <c r="D313" i="82"/>
  <c r="M313" i="82"/>
  <c r="L313" i="82"/>
  <c r="K313" i="82"/>
  <c r="J313" i="82"/>
  <c r="G313" i="82"/>
  <c r="C313" i="82"/>
  <c r="A313" i="82"/>
  <c r="R312" i="82"/>
  <c r="Q312" i="82"/>
  <c r="P312" i="82"/>
  <c r="O312" i="82"/>
  <c r="I312" i="82"/>
  <c r="D312" i="82"/>
  <c r="M312" i="82"/>
  <c r="L312" i="82"/>
  <c r="K312" i="82"/>
  <c r="J312" i="82"/>
  <c r="G312" i="82"/>
  <c r="C312" i="82"/>
  <c r="A312" i="82"/>
  <c r="R311" i="82"/>
  <c r="Q311" i="82"/>
  <c r="P311" i="82"/>
  <c r="O311" i="82"/>
  <c r="I311" i="82"/>
  <c r="D311" i="82"/>
  <c r="M311" i="82"/>
  <c r="L311" i="82"/>
  <c r="K311" i="82"/>
  <c r="J311" i="82"/>
  <c r="G311" i="82"/>
  <c r="C311" i="82"/>
  <c r="A311" i="82"/>
  <c r="R310" i="82"/>
  <c r="Q310" i="82"/>
  <c r="P310" i="82"/>
  <c r="O310" i="82"/>
  <c r="I310" i="82"/>
  <c r="D310" i="82"/>
  <c r="M310" i="82"/>
  <c r="L310" i="82"/>
  <c r="K310" i="82"/>
  <c r="J310" i="82"/>
  <c r="G310" i="82"/>
  <c r="C310" i="82"/>
  <c r="A310" i="82"/>
  <c r="R309" i="82"/>
  <c r="Q309" i="82"/>
  <c r="P309" i="82"/>
  <c r="O309" i="82"/>
  <c r="I309" i="82"/>
  <c r="D309" i="82"/>
  <c r="M309" i="82"/>
  <c r="L309" i="82"/>
  <c r="K309" i="82"/>
  <c r="J309" i="82"/>
  <c r="G309" i="82"/>
  <c r="C309" i="82"/>
  <c r="A309" i="82"/>
  <c r="R308" i="82"/>
  <c r="Q308" i="82"/>
  <c r="P308" i="82"/>
  <c r="O308" i="82"/>
  <c r="I308" i="82"/>
  <c r="D308" i="82"/>
  <c r="M308" i="82"/>
  <c r="L308" i="82"/>
  <c r="K308" i="82"/>
  <c r="J308" i="82"/>
  <c r="G308" i="82"/>
  <c r="C308" i="82"/>
  <c r="A308" i="82"/>
  <c r="R307" i="82"/>
  <c r="Q307" i="82"/>
  <c r="P307" i="82"/>
  <c r="O307" i="82"/>
  <c r="I307" i="82"/>
  <c r="D307" i="82"/>
  <c r="M307" i="82"/>
  <c r="L307" i="82"/>
  <c r="K307" i="82"/>
  <c r="J307" i="82"/>
  <c r="G307" i="82"/>
  <c r="C307" i="82"/>
  <c r="A307" i="82"/>
  <c r="R306" i="82"/>
  <c r="Q306" i="82"/>
  <c r="P306" i="82"/>
  <c r="O306" i="82"/>
  <c r="I306" i="82"/>
  <c r="D306" i="82"/>
  <c r="M306" i="82"/>
  <c r="L306" i="82"/>
  <c r="K306" i="82"/>
  <c r="J306" i="82"/>
  <c r="G306" i="82"/>
  <c r="C306" i="82"/>
  <c r="A306" i="82"/>
  <c r="R305" i="82"/>
  <c r="Q305" i="82"/>
  <c r="P305" i="82"/>
  <c r="O305" i="82"/>
  <c r="I305" i="82"/>
  <c r="D305" i="82"/>
  <c r="M305" i="82"/>
  <c r="L305" i="82"/>
  <c r="K305" i="82"/>
  <c r="J305" i="82"/>
  <c r="G305" i="82"/>
  <c r="C305" i="82"/>
  <c r="A305" i="82"/>
  <c r="R304" i="82"/>
  <c r="Q304" i="82"/>
  <c r="P304" i="82"/>
  <c r="O304" i="82"/>
  <c r="I304" i="82"/>
  <c r="D304" i="82"/>
  <c r="M304" i="82"/>
  <c r="L304" i="82"/>
  <c r="K304" i="82"/>
  <c r="J304" i="82"/>
  <c r="G304" i="82"/>
  <c r="C304" i="82"/>
  <c r="A304" i="82"/>
  <c r="R303" i="82"/>
  <c r="Q303" i="82"/>
  <c r="P303" i="82"/>
  <c r="O303" i="82"/>
  <c r="I303" i="82"/>
  <c r="D303" i="82"/>
  <c r="M303" i="82"/>
  <c r="L303" i="82"/>
  <c r="K303" i="82"/>
  <c r="J303" i="82"/>
  <c r="G303" i="82"/>
  <c r="C303" i="82"/>
  <c r="A303" i="82"/>
  <c r="R302" i="82"/>
  <c r="Q302" i="82"/>
  <c r="P302" i="82"/>
  <c r="O302" i="82"/>
  <c r="I302" i="82"/>
  <c r="D302" i="82"/>
  <c r="M302" i="82"/>
  <c r="L302" i="82"/>
  <c r="K302" i="82"/>
  <c r="J302" i="82"/>
  <c r="G302" i="82"/>
  <c r="C302" i="82"/>
  <c r="A302" i="82"/>
  <c r="R301" i="82"/>
  <c r="Q301" i="82"/>
  <c r="P301" i="82"/>
  <c r="O301" i="82"/>
  <c r="I301" i="82"/>
  <c r="D301" i="82"/>
  <c r="M301" i="82"/>
  <c r="L301" i="82"/>
  <c r="K301" i="82"/>
  <c r="J301" i="82"/>
  <c r="G301" i="82"/>
  <c r="C301" i="82"/>
  <c r="A301" i="82"/>
  <c r="R300" i="82"/>
  <c r="Q300" i="82"/>
  <c r="P300" i="82"/>
  <c r="O300" i="82"/>
  <c r="I300" i="82"/>
  <c r="D300" i="82"/>
  <c r="M300" i="82"/>
  <c r="L300" i="82"/>
  <c r="K300" i="82"/>
  <c r="J300" i="82"/>
  <c r="G300" i="82"/>
  <c r="C300" i="82"/>
  <c r="A300" i="82"/>
  <c r="R299" i="82"/>
  <c r="Q299" i="82"/>
  <c r="P299" i="82"/>
  <c r="O299" i="82"/>
  <c r="I299" i="82"/>
  <c r="D299" i="82"/>
  <c r="M299" i="82"/>
  <c r="L299" i="82"/>
  <c r="K299" i="82"/>
  <c r="J299" i="82"/>
  <c r="G299" i="82"/>
  <c r="C299" i="82"/>
  <c r="A299" i="82"/>
  <c r="R298" i="82"/>
  <c r="Q298" i="82"/>
  <c r="P298" i="82"/>
  <c r="O298" i="82"/>
  <c r="I298" i="82"/>
  <c r="D298" i="82"/>
  <c r="M298" i="82"/>
  <c r="L298" i="82"/>
  <c r="K298" i="82"/>
  <c r="J298" i="82"/>
  <c r="G298" i="82"/>
  <c r="C298" i="82"/>
  <c r="A298" i="82"/>
  <c r="R297" i="82"/>
  <c r="Q297" i="82"/>
  <c r="P297" i="82"/>
  <c r="O297" i="82"/>
  <c r="I297" i="82"/>
  <c r="D297" i="82"/>
  <c r="M297" i="82"/>
  <c r="L297" i="82"/>
  <c r="K297" i="82"/>
  <c r="J297" i="82"/>
  <c r="G297" i="82"/>
  <c r="C297" i="82"/>
  <c r="A297" i="82"/>
  <c r="R296" i="82"/>
  <c r="Q296" i="82"/>
  <c r="P296" i="82"/>
  <c r="O296" i="82"/>
  <c r="I296" i="82"/>
  <c r="D296" i="82"/>
  <c r="M296" i="82"/>
  <c r="L296" i="82"/>
  <c r="K296" i="82"/>
  <c r="J296" i="82"/>
  <c r="G296" i="82"/>
  <c r="C296" i="82"/>
  <c r="A296" i="82"/>
  <c r="R295" i="82"/>
  <c r="Q295" i="82"/>
  <c r="P295" i="82"/>
  <c r="O295" i="82"/>
  <c r="I295" i="82"/>
  <c r="D295" i="82"/>
  <c r="M295" i="82"/>
  <c r="L295" i="82"/>
  <c r="K295" i="82"/>
  <c r="J295" i="82"/>
  <c r="G295" i="82"/>
  <c r="C295" i="82"/>
  <c r="A295" i="82"/>
  <c r="R294" i="82"/>
  <c r="Q294" i="82"/>
  <c r="P294" i="82"/>
  <c r="O294" i="82"/>
  <c r="I294" i="82"/>
  <c r="D294" i="82"/>
  <c r="M294" i="82"/>
  <c r="L294" i="82"/>
  <c r="K294" i="82"/>
  <c r="J294" i="82"/>
  <c r="G294" i="82"/>
  <c r="C294" i="82"/>
  <c r="A294" i="82"/>
  <c r="R293" i="82"/>
  <c r="Q293" i="82"/>
  <c r="P293" i="82"/>
  <c r="O293" i="82"/>
  <c r="I293" i="82"/>
  <c r="D293" i="82"/>
  <c r="M293" i="82"/>
  <c r="L293" i="82"/>
  <c r="K293" i="82"/>
  <c r="J293" i="82"/>
  <c r="G293" i="82"/>
  <c r="C293" i="82"/>
  <c r="A293" i="82"/>
  <c r="R292" i="82"/>
  <c r="Q292" i="82"/>
  <c r="P292" i="82"/>
  <c r="O292" i="82"/>
  <c r="I292" i="82"/>
  <c r="D292" i="82"/>
  <c r="M292" i="82"/>
  <c r="L292" i="82"/>
  <c r="K292" i="82"/>
  <c r="J292" i="82"/>
  <c r="G292" i="82"/>
  <c r="C292" i="82"/>
  <c r="A292" i="82"/>
  <c r="R291" i="82"/>
  <c r="Q291" i="82"/>
  <c r="P291" i="82"/>
  <c r="O291" i="82"/>
  <c r="I291" i="82"/>
  <c r="D291" i="82"/>
  <c r="M291" i="82"/>
  <c r="L291" i="82"/>
  <c r="K291" i="82"/>
  <c r="J291" i="82"/>
  <c r="G291" i="82"/>
  <c r="C291" i="82"/>
  <c r="A291" i="82"/>
  <c r="R290" i="82"/>
  <c r="Q290" i="82"/>
  <c r="P290" i="82"/>
  <c r="O290" i="82"/>
  <c r="I290" i="82"/>
  <c r="D290" i="82"/>
  <c r="M290" i="82"/>
  <c r="L290" i="82"/>
  <c r="K290" i="82"/>
  <c r="J290" i="82"/>
  <c r="G290" i="82"/>
  <c r="C290" i="82"/>
  <c r="A290" i="82"/>
  <c r="R289" i="82"/>
  <c r="Q289" i="82"/>
  <c r="P289" i="82"/>
  <c r="O289" i="82"/>
  <c r="I289" i="82"/>
  <c r="D289" i="82"/>
  <c r="M289" i="82"/>
  <c r="L289" i="82"/>
  <c r="K289" i="82"/>
  <c r="J289" i="82"/>
  <c r="G289" i="82"/>
  <c r="C289" i="82"/>
  <c r="A289" i="82"/>
  <c r="R288" i="82"/>
  <c r="Q288" i="82"/>
  <c r="P288" i="82"/>
  <c r="O288" i="82"/>
  <c r="I288" i="82"/>
  <c r="D288" i="82"/>
  <c r="M288" i="82"/>
  <c r="L288" i="82"/>
  <c r="K288" i="82"/>
  <c r="J288" i="82"/>
  <c r="G288" i="82"/>
  <c r="C288" i="82"/>
  <c r="A288" i="82"/>
  <c r="R287" i="82"/>
  <c r="Q287" i="82"/>
  <c r="P287" i="82"/>
  <c r="O287" i="82"/>
  <c r="I287" i="82"/>
  <c r="D287" i="82"/>
  <c r="M287" i="82"/>
  <c r="L287" i="82"/>
  <c r="K287" i="82"/>
  <c r="J287" i="82"/>
  <c r="G287" i="82"/>
  <c r="C287" i="82"/>
  <c r="A287" i="82"/>
  <c r="R286" i="82"/>
  <c r="Q286" i="82"/>
  <c r="P286" i="82"/>
  <c r="O286" i="82"/>
  <c r="I286" i="82"/>
  <c r="D286" i="82"/>
  <c r="M286" i="82"/>
  <c r="L286" i="82"/>
  <c r="K286" i="82"/>
  <c r="J286" i="82"/>
  <c r="G286" i="82"/>
  <c r="C286" i="82"/>
  <c r="A286" i="82"/>
  <c r="R285" i="82"/>
  <c r="Q285" i="82"/>
  <c r="P285" i="82"/>
  <c r="O285" i="82"/>
  <c r="I285" i="82"/>
  <c r="D285" i="82"/>
  <c r="M285" i="82"/>
  <c r="L285" i="82"/>
  <c r="K285" i="82"/>
  <c r="J285" i="82"/>
  <c r="G285" i="82"/>
  <c r="C285" i="82"/>
  <c r="A285" i="82"/>
  <c r="R284" i="82"/>
  <c r="Q284" i="82"/>
  <c r="P284" i="82"/>
  <c r="O284" i="82"/>
  <c r="I284" i="82"/>
  <c r="D284" i="82"/>
  <c r="M284" i="82"/>
  <c r="L284" i="82"/>
  <c r="K284" i="82"/>
  <c r="J284" i="82"/>
  <c r="G284" i="82"/>
  <c r="C284" i="82"/>
  <c r="A284" i="82"/>
  <c r="R283" i="82"/>
  <c r="Q283" i="82"/>
  <c r="P283" i="82"/>
  <c r="O283" i="82"/>
  <c r="I283" i="82"/>
  <c r="D283" i="82"/>
  <c r="M283" i="82"/>
  <c r="L283" i="82"/>
  <c r="K283" i="82"/>
  <c r="J283" i="82"/>
  <c r="G283" i="82"/>
  <c r="C283" i="82"/>
  <c r="A283" i="82"/>
  <c r="R282" i="82"/>
  <c r="Q282" i="82"/>
  <c r="P282" i="82"/>
  <c r="O282" i="82"/>
  <c r="I282" i="82"/>
  <c r="D282" i="82"/>
  <c r="M282" i="82"/>
  <c r="L282" i="82"/>
  <c r="K282" i="82"/>
  <c r="J282" i="82"/>
  <c r="G282" i="82"/>
  <c r="C282" i="82"/>
  <c r="A282" i="82"/>
  <c r="R281" i="82"/>
  <c r="Q281" i="82"/>
  <c r="P281" i="82"/>
  <c r="O281" i="82"/>
  <c r="I281" i="82"/>
  <c r="D281" i="82"/>
  <c r="M281" i="82"/>
  <c r="L281" i="82"/>
  <c r="K281" i="82"/>
  <c r="J281" i="82"/>
  <c r="G281" i="82"/>
  <c r="C281" i="82"/>
  <c r="A281" i="82"/>
  <c r="R280" i="82"/>
  <c r="Q280" i="82"/>
  <c r="P280" i="82"/>
  <c r="O280" i="82"/>
  <c r="I280" i="82"/>
  <c r="D280" i="82"/>
  <c r="M280" i="82"/>
  <c r="L280" i="82"/>
  <c r="K280" i="82"/>
  <c r="J280" i="82"/>
  <c r="G280" i="82"/>
  <c r="C280" i="82"/>
  <c r="A280" i="82"/>
  <c r="R279" i="82"/>
  <c r="Q279" i="82"/>
  <c r="P279" i="82"/>
  <c r="O279" i="82"/>
  <c r="I279" i="82"/>
  <c r="D279" i="82"/>
  <c r="M279" i="82"/>
  <c r="L279" i="82"/>
  <c r="K279" i="82"/>
  <c r="J279" i="82"/>
  <c r="G279" i="82"/>
  <c r="C279" i="82"/>
  <c r="A279" i="82"/>
  <c r="R278" i="82"/>
  <c r="Q278" i="82"/>
  <c r="P278" i="82"/>
  <c r="O278" i="82"/>
  <c r="I278" i="82"/>
  <c r="D278" i="82"/>
  <c r="M278" i="82"/>
  <c r="L278" i="82"/>
  <c r="K278" i="82"/>
  <c r="J278" i="82"/>
  <c r="G278" i="82"/>
  <c r="C278" i="82"/>
  <c r="A278" i="82"/>
  <c r="R277" i="82"/>
  <c r="Q277" i="82"/>
  <c r="P277" i="82"/>
  <c r="O277" i="82"/>
  <c r="I277" i="82"/>
  <c r="D277" i="82"/>
  <c r="M277" i="82"/>
  <c r="L277" i="82"/>
  <c r="K277" i="82"/>
  <c r="J277" i="82"/>
  <c r="G277" i="82"/>
  <c r="C277" i="82"/>
  <c r="A277" i="82"/>
  <c r="R276" i="82"/>
  <c r="Q276" i="82"/>
  <c r="P276" i="82"/>
  <c r="O276" i="82"/>
  <c r="I276" i="82"/>
  <c r="D276" i="82"/>
  <c r="M276" i="82"/>
  <c r="L276" i="82"/>
  <c r="K276" i="82"/>
  <c r="J276" i="82"/>
  <c r="G276" i="82"/>
  <c r="C276" i="82"/>
  <c r="A276" i="82"/>
  <c r="R275" i="82"/>
  <c r="Q275" i="82"/>
  <c r="P275" i="82"/>
  <c r="O275" i="82"/>
  <c r="I275" i="82"/>
  <c r="D275" i="82"/>
  <c r="M275" i="82"/>
  <c r="L275" i="82"/>
  <c r="K275" i="82"/>
  <c r="J275" i="82"/>
  <c r="G275" i="82"/>
  <c r="C275" i="82"/>
  <c r="A275" i="82"/>
  <c r="R274" i="82"/>
  <c r="Q274" i="82"/>
  <c r="P274" i="82"/>
  <c r="O274" i="82"/>
  <c r="I274" i="82"/>
  <c r="D274" i="82"/>
  <c r="M274" i="82"/>
  <c r="L274" i="82"/>
  <c r="K274" i="82"/>
  <c r="J274" i="82"/>
  <c r="G274" i="82"/>
  <c r="C274" i="82"/>
  <c r="A274" i="82"/>
  <c r="R273" i="82"/>
  <c r="Q273" i="82"/>
  <c r="P273" i="82"/>
  <c r="O273" i="82"/>
  <c r="I273" i="82"/>
  <c r="D273" i="82"/>
  <c r="M273" i="82"/>
  <c r="L273" i="82"/>
  <c r="K273" i="82"/>
  <c r="J273" i="82"/>
  <c r="G273" i="82"/>
  <c r="C273" i="82"/>
  <c r="A273" i="82"/>
  <c r="R272" i="82"/>
  <c r="Q272" i="82"/>
  <c r="P272" i="82"/>
  <c r="O272" i="82"/>
  <c r="I272" i="82"/>
  <c r="D272" i="82"/>
  <c r="M272" i="82"/>
  <c r="L272" i="82"/>
  <c r="K272" i="82"/>
  <c r="J272" i="82"/>
  <c r="G272" i="82"/>
  <c r="C272" i="82"/>
  <c r="A272" i="82"/>
  <c r="R271" i="82"/>
  <c r="Q271" i="82"/>
  <c r="P271" i="82"/>
  <c r="O271" i="82"/>
  <c r="I271" i="82"/>
  <c r="D271" i="82"/>
  <c r="M271" i="82"/>
  <c r="L271" i="82"/>
  <c r="K271" i="82"/>
  <c r="J271" i="82"/>
  <c r="G271" i="82"/>
  <c r="C271" i="82"/>
  <c r="A271" i="82"/>
  <c r="R270" i="82"/>
  <c r="Q270" i="82"/>
  <c r="P270" i="82"/>
  <c r="O270" i="82"/>
  <c r="I270" i="82"/>
  <c r="D270" i="82"/>
  <c r="M270" i="82"/>
  <c r="L270" i="82"/>
  <c r="K270" i="82"/>
  <c r="J270" i="82"/>
  <c r="G270" i="82"/>
  <c r="C270" i="82"/>
  <c r="A270" i="82"/>
  <c r="R269" i="82"/>
  <c r="Q269" i="82"/>
  <c r="P269" i="82"/>
  <c r="O269" i="82"/>
  <c r="I269" i="82"/>
  <c r="D269" i="82"/>
  <c r="M269" i="82"/>
  <c r="L269" i="82"/>
  <c r="K269" i="82"/>
  <c r="J269" i="82"/>
  <c r="G269" i="82"/>
  <c r="C269" i="82"/>
  <c r="A269" i="82"/>
  <c r="R268" i="82"/>
  <c r="Q268" i="82"/>
  <c r="P268" i="82"/>
  <c r="O268" i="82"/>
  <c r="I268" i="82"/>
  <c r="D268" i="82"/>
  <c r="M268" i="82"/>
  <c r="L268" i="82"/>
  <c r="K268" i="82"/>
  <c r="J268" i="82"/>
  <c r="G268" i="82"/>
  <c r="C268" i="82"/>
  <c r="A268" i="82"/>
  <c r="R267" i="82"/>
  <c r="Q267" i="82"/>
  <c r="P267" i="82"/>
  <c r="O267" i="82"/>
  <c r="I267" i="82"/>
  <c r="D267" i="82"/>
  <c r="M267" i="82"/>
  <c r="L267" i="82"/>
  <c r="K267" i="82"/>
  <c r="J267" i="82"/>
  <c r="G267" i="82"/>
  <c r="C267" i="82"/>
  <c r="A267" i="82"/>
  <c r="R266" i="82"/>
  <c r="Q266" i="82"/>
  <c r="P266" i="82"/>
  <c r="O266" i="82"/>
  <c r="I266" i="82"/>
  <c r="D266" i="82"/>
  <c r="M266" i="82"/>
  <c r="L266" i="82"/>
  <c r="K266" i="82"/>
  <c r="J266" i="82"/>
  <c r="G266" i="82"/>
  <c r="C266" i="82"/>
  <c r="A266" i="82"/>
  <c r="R265" i="82"/>
  <c r="Q265" i="82"/>
  <c r="P265" i="82"/>
  <c r="O265" i="82"/>
  <c r="I265" i="82"/>
  <c r="D265" i="82"/>
  <c r="M265" i="82"/>
  <c r="L265" i="82"/>
  <c r="K265" i="82"/>
  <c r="J265" i="82"/>
  <c r="G265" i="82"/>
  <c r="C265" i="82"/>
  <c r="A265" i="82"/>
  <c r="R264" i="82"/>
  <c r="Q264" i="82"/>
  <c r="P264" i="82"/>
  <c r="O264" i="82"/>
  <c r="I264" i="82"/>
  <c r="D264" i="82"/>
  <c r="M264" i="82"/>
  <c r="L264" i="82"/>
  <c r="K264" i="82"/>
  <c r="J264" i="82"/>
  <c r="G264" i="82"/>
  <c r="C264" i="82"/>
  <c r="A264" i="82"/>
  <c r="R263" i="82"/>
  <c r="Q263" i="82"/>
  <c r="P263" i="82"/>
  <c r="O263" i="82"/>
  <c r="I263" i="82"/>
  <c r="D263" i="82"/>
  <c r="M263" i="82"/>
  <c r="L263" i="82"/>
  <c r="K263" i="82"/>
  <c r="J263" i="82"/>
  <c r="G263" i="82"/>
  <c r="C263" i="82"/>
  <c r="A263" i="82"/>
  <c r="R262" i="82"/>
  <c r="Q262" i="82"/>
  <c r="P262" i="82"/>
  <c r="O262" i="82"/>
  <c r="I262" i="82"/>
  <c r="D262" i="82"/>
  <c r="M262" i="82"/>
  <c r="L262" i="82"/>
  <c r="K262" i="82"/>
  <c r="J262" i="82"/>
  <c r="G262" i="82"/>
  <c r="C262" i="82"/>
  <c r="A262" i="82"/>
  <c r="R261" i="82"/>
  <c r="Q261" i="82"/>
  <c r="P261" i="82"/>
  <c r="O261" i="82"/>
  <c r="I261" i="82"/>
  <c r="D261" i="82"/>
  <c r="M261" i="82"/>
  <c r="L261" i="82"/>
  <c r="K261" i="82"/>
  <c r="J261" i="82"/>
  <c r="G261" i="82"/>
  <c r="C261" i="82"/>
  <c r="A261" i="82"/>
  <c r="R260" i="82"/>
  <c r="Q260" i="82"/>
  <c r="P260" i="82"/>
  <c r="O260" i="82"/>
  <c r="I260" i="82"/>
  <c r="D260" i="82"/>
  <c r="M260" i="82"/>
  <c r="L260" i="82"/>
  <c r="K260" i="82"/>
  <c r="J260" i="82"/>
  <c r="G260" i="82"/>
  <c r="C260" i="82"/>
  <c r="A260" i="82"/>
  <c r="R259" i="82"/>
  <c r="Q259" i="82"/>
  <c r="P259" i="82"/>
  <c r="O259" i="82"/>
  <c r="I259" i="82"/>
  <c r="D259" i="82"/>
  <c r="M259" i="82"/>
  <c r="L259" i="82"/>
  <c r="K259" i="82"/>
  <c r="J259" i="82"/>
  <c r="G259" i="82"/>
  <c r="C259" i="82"/>
  <c r="A259" i="82"/>
  <c r="R258" i="82"/>
  <c r="Q258" i="82"/>
  <c r="P258" i="82"/>
  <c r="O258" i="82"/>
  <c r="I258" i="82"/>
  <c r="D258" i="82"/>
  <c r="M258" i="82"/>
  <c r="L258" i="82"/>
  <c r="K258" i="82"/>
  <c r="J258" i="82"/>
  <c r="G258" i="82"/>
  <c r="C258" i="82"/>
  <c r="A258" i="82"/>
  <c r="R257" i="82"/>
  <c r="Q257" i="82"/>
  <c r="P257" i="82"/>
  <c r="O257" i="82"/>
  <c r="I257" i="82"/>
  <c r="D257" i="82"/>
  <c r="M257" i="82"/>
  <c r="L257" i="82"/>
  <c r="K257" i="82"/>
  <c r="J257" i="82"/>
  <c r="G257" i="82"/>
  <c r="C257" i="82"/>
  <c r="A257" i="82"/>
  <c r="R256" i="82"/>
  <c r="Q256" i="82"/>
  <c r="P256" i="82"/>
  <c r="O256" i="82"/>
  <c r="I256" i="82"/>
  <c r="D256" i="82"/>
  <c r="M256" i="82"/>
  <c r="L256" i="82"/>
  <c r="K256" i="82"/>
  <c r="J256" i="82"/>
  <c r="G256" i="82"/>
  <c r="C256" i="82"/>
  <c r="A256" i="82"/>
  <c r="R255" i="82"/>
  <c r="Q255" i="82"/>
  <c r="P255" i="82"/>
  <c r="O255" i="82"/>
  <c r="I255" i="82"/>
  <c r="D255" i="82"/>
  <c r="M255" i="82"/>
  <c r="L255" i="82"/>
  <c r="K255" i="82"/>
  <c r="J255" i="82"/>
  <c r="G255" i="82"/>
  <c r="C255" i="82"/>
  <c r="A255" i="82"/>
  <c r="R254" i="82"/>
  <c r="Q254" i="82"/>
  <c r="P254" i="82"/>
  <c r="O254" i="82"/>
  <c r="I254" i="82"/>
  <c r="D254" i="82"/>
  <c r="M254" i="82"/>
  <c r="L254" i="82"/>
  <c r="K254" i="82"/>
  <c r="J254" i="82"/>
  <c r="G254" i="82"/>
  <c r="C254" i="82"/>
  <c r="A254" i="82"/>
  <c r="R253" i="82"/>
  <c r="Q253" i="82"/>
  <c r="P253" i="82"/>
  <c r="O253" i="82"/>
  <c r="I253" i="82"/>
  <c r="D253" i="82"/>
  <c r="M253" i="82"/>
  <c r="L253" i="82"/>
  <c r="K253" i="82"/>
  <c r="J253" i="82"/>
  <c r="G253" i="82"/>
  <c r="C253" i="82"/>
  <c r="A253" i="82"/>
  <c r="R252" i="82"/>
  <c r="Q252" i="82"/>
  <c r="P252" i="82"/>
  <c r="O252" i="82"/>
  <c r="I252" i="82"/>
  <c r="D252" i="82"/>
  <c r="M252" i="82"/>
  <c r="L252" i="82"/>
  <c r="K252" i="82"/>
  <c r="J252" i="82"/>
  <c r="G252" i="82"/>
  <c r="C252" i="82"/>
  <c r="A252" i="82"/>
  <c r="R251" i="82"/>
  <c r="Q251" i="82"/>
  <c r="P251" i="82"/>
  <c r="O251" i="82"/>
  <c r="I251" i="82"/>
  <c r="D251" i="82"/>
  <c r="M251" i="82"/>
  <c r="L251" i="82"/>
  <c r="K251" i="82"/>
  <c r="J251" i="82"/>
  <c r="G251" i="82"/>
  <c r="C251" i="82"/>
  <c r="A251" i="82"/>
  <c r="R250" i="82"/>
  <c r="Q250" i="82"/>
  <c r="P250" i="82"/>
  <c r="O250" i="82"/>
  <c r="I250" i="82"/>
  <c r="D250" i="82"/>
  <c r="M250" i="82"/>
  <c r="L250" i="82"/>
  <c r="K250" i="82"/>
  <c r="J250" i="82"/>
  <c r="G250" i="82"/>
  <c r="C250" i="82"/>
  <c r="A250" i="82"/>
  <c r="R249" i="82"/>
  <c r="Q249" i="82"/>
  <c r="P249" i="82"/>
  <c r="O249" i="82"/>
  <c r="I249" i="82"/>
  <c r="D249" i="82"/>
  <c r="M249" i="82"/>
  <c r="L249" i="82"/>
  <c r="K249" i="82"/>
  <c r="J249" i="82"/>
  <c r="G249" i="82"/>
  <c r="C249" i="82"/>
  <c r="A249" i="82"/>
  <c r="R248" i="82"/>
  <c r="Q248" i="82"/>
  <c r="P248" i="82"/>
  <c r="O248" i="82"/>
  <c r="I248" i="82"/>
  <c r="D248" i="82"/>
  <c r="M248" i="82"/>
  <c r="L248" i="82"/>
  <c r="K248" i="82"/>
  <c r="J248" i="82"/>
  <c r="G248" i="82"/>
  <c r="C248" i="82"/>
  <c r="A248" i="82"/>
  <c r="R247" i="82"/>
  <c r="Q247" i="82"/>
  <c r="P247" i="82"/>
  <c r="O247" i="82"/>
  <c r="I247" i="82"/>
  <c r="D247" i="82"/>
  <c r="M247" i="82"/>
  <c r="L247" i="82"/>
  <c r="K247" i="82"/>
  <c r="J247" i="82"/>
  <c r="G247" i="82"/>
  <c r="C247" i="82"/>
  <c r="A247" i="82"/>
  <c r="R246" i="82"/>
  <c r="Q246" i="82"/>
  <c r="P246" i="82"/>
  <c r="O246" i="82"/>
  <c r="I246" i="82"/>
  <c r="D246" i="82"/>
  <c r="M246" i="82"/>
  <c r="L246" i="82"/>
  <c r="K246" i="82"/>
  <c r="J246" i="82"/>
  <c r="G246" i="82"/>
  <c r="C246" i="82"/>
  <c r="A246" i="82"/>
  <c r="R245" i="82"/>
  <c r="Q245" i="82"/>
  <c r="P245" i="82"/>
  <c r="O245" i="82"/>
  <c r="I245" i="82"/>
  <c r="D245" i="82"/>
  <c r="M245" i="82"/>
  <c r="L245" i="82"/>
  <c r="K245" i="82"/>
  <c r="J245" i="82"/>
  <c r="G245" i="82"/>
  <c r="C245" i="82"/>
  <c r="A245" i="82"/>
  <c r="R244" i="82"/>
  <c r="Q244" i="82"/>
  <c r="P244" i="82"/>
  <c r="O244" i="82"/>
  <c r="I244" i="82"/>
  <c r="D244" i="82"/>
  <c r="M244" i="82"/>
  <c r="L244" i="82"/>
  <c r="K244" i="82"/>
  <c r="J244" i="82"/>
  <c r="G244" i="82"/>
  <c r="C244" i="82"/>
  <c r="A244" i="82"/>
  <c r="R243" i="82"/>
  <c r="Q243" i="82"/>
  <c r="P243" i="82"/>
  <c r="O243" i="82"/>
  <c r="I243" i="82"/>
  <c r="D243" i="82"/>
  <c r="M243" i="82"/>
  <c r="L243" i="82"/>
  <c r="K243" i="82"/>
  <c r="J243" i="82"/>
  <c r="G243" i="82"/>
  <c r="C243" i="82"/>
  <c r="A243" i="82"/>
  <c r="R242" i="82"/>
  <c r="Q242" i="82"/>
  <c r="P242" i="82"/>
  <c r="O242" i="82"/>
  <c r="I242" i="82"/>
  <c r="D242" i="82"/>
  <c r="M242" i="82"/>
  <c r="L242" i="82"/>
  <c r="K242" i="82"/>
  <c r="J242" i="82"/>
  <c r="G242" i="82"/>
  <c r="C242" i="82"/>
  <c r="A242" i="82"/>
  <c r="R241" i="82"/>
  <c r="Q241" i="82"/>
  <c r="P241" i="82"/>
  <c r="O241" i="82"/>
  <c r="I241" i="82"/>
  <c r="D241" i="82"/>
  <c r="M241" i="82"/>
  <c r="L241" i="82"/>
  <c r="K241" i="82"/>
  <c r="J241" i="82"/>
  <c r="G241" i="82"/>
  <c r="C241" i="82"/>
  <c r="A241" i="82"/>
  <c r="R240" i="82"/>
  <c r="Q240" i="82"/>
  <c r="P240" i="82"/>
  <c r="O240" i="82"/>
  <c r="I240" i="82"/>
  <c r="D240" i="82"/>
  <c r="M240" i="82"/>
  <c r="L240" i="82"/>
  <c r="K240" i="82"/>
  <c r="J240" i="82"/>
  <c r="G240" i="82"/>
  <c r="C240" i="82"/>
  <c r="A240" i="82"/>
  <c r="R239" i="82"/>
  <c r="Q239" i="82"/>
  <c r="P239" i="82"/>
  <c r="O239" i="82"/>
  <c r="I239" i="82"/>
  <c r="D239" i="82"/>
  <c r="M239" i="82"/>
  <c r="L239" i="82"/>
  <c r="K239" i="82"/>
  <c r="J239" i="82"/>
  <c r="G239" i="82"/>
  <c r="C239" i="82"/>
  <c r="A239" i="82"/>
  <c r="R238" i="82"/>
  <c r="Q238" i="82"/>
  <c r="P238" i="82"/>
  <c r="O238" i="82"/>
  <c r="I238" i="82"/>
  <c r="D238" i="82"/>
  <c r="M238" i="82"/>
  <c r="L238" i="82"/>
  <c r="K238" i="82"/>
  <c r="J238" i="82"/>
  <c r="G238" i="82"/>
  <c r="C238" i="82"/>
  <c r="A238" i="82"/>
  <c r="R2" i="96"/>
  <c r="Q2" i="96"/>
  <c r="P2" i="96"/>
  <c r="O2" i="96"/>
  <c r="N2" i="96"/>
  <c r="K2" i="96"/>
  <c r="J2" i="96"/>
  <c r="I2" i="96"/>
  <c r="H2" i="96"/>
  <c r="F2" i="96"/>
  <c r="C2" i="96"/>
  <c r="B2" i="104"/>
  <c r="B3" i="104"/>
  <c r="B4" i="104"/>
  <c r="B5" i="104"/>
  <c r="B6" i="104"/>
  <c r="B7" i="104"/>
  <c r="B8" i="104"/>
  <c r="B9" i="104"/>
  <c r="I3" i="82"/>
  <c r="D3" i="82"/>
  <c r="M3" i="82"/>
  <c r="I4" i="82"/>
  <c r="D4" i="82"/>
  <c r="M4" i="82"/>
  <c r="I5" i="82"/>
  <c r="D5" i="82"/>
  <c r="M5" i="82"/>
  <c r="I6" i="82"/>
  <c r="D6" i="82"/>
  <c r="M6" i="82"/>
  <c r="I7" i="82"/>
  <c r="D7" i="82"/>
  <c r="M7" i="82"/>
  <c r="I8" i="82"/>
  <c r="D8" i="82"/>
  <c r="M8" i="82"/>
  <c r="I9" i="82"/>
  <c r="D9" i="82"/>
  <c r="M9" i="82"/>
  <c r="I10" i="82"/>
  <c r="D10" i="82"/>
  <c r="M10" i="82"/>
  <c r="I11" i="82"/>
  <c r="D11" i="82"/>
  <c r="M11" i="82"/>
  <c r="I12" i="82"/>
  <c r="D12" i="82"/>
  <c r="M12" i="82"/>
  <c r="I13" i="82"/>
  <c r="D13" i="82"/>
  <c r="M13" i="82"/>
  <c r="I14" i="82"/>
  <c r="D14" i="82"/>
  <c r="M14" i="82"/>
  <c r="I15" i="82"/>
  <c r="D15" i="82"/>
  <c r="M15" i="82"/>
  <c r="I16" i="82"/>
  <c r="D16" i="82"/>
  <c r="M16" i="82"/>
  <c r="I17" i="82"/>
  <c r="D17" i="82"/>
  <c r="M17" i="82"/>
  <c r="I18" i="82"/>
  <c r="D18" i="82"/>
  <c r="M18" i="82"/>
  <c r="I19" i="82"/>
  <c r="D19" i="82"/>
  <c r="M19" i="82"/>
  <c r="I20" i="82"/>
  <c r="D20" i="82"/>
  <c r="M20" i="82"/>
  <c r="I21" i="82"/>
  <c r="D21" i="82"/>
  <c r="M21" i="82"/>
  <c r="I22" i="82"/>
  <c r="D22" i="82"/>
  <c r="M22" i="82"/>
  <c r="I23" i="82"/>
  <c r="D23" i="82"/>
  <c r="M23" i="82"/>
  <c r="I24" i="82"/>
  <c r="D24" i="82"/>
  <c r="M24" i="82"/>
  <c r="I25" i="82"/>
  <c r="D25" i="82"/>
  <c r="M25" i="82"/>
  <c r="I26" i="82"/>
  <c r="D26" i="82"/>
  <c r="M26" i="82"/>
  <c r="I27" i="82"/>
  <c r="D27" i="82"/>
  <c r="M27" i="82"/>
  <c r="I28" i="82"/>
  <c r="D28" i="82"/>
  <c r="M28" i="82"/>
  <c r="I29" i="82"/>
  <c r="D29" i="82"/>
  <c r="M29" i="82"/>
  <c r="I30" i="82"/>
  <c r="D30" i="82"/>
  <c r="M30" i="82"/>
  <c r="I31" i="82"/>
  <c r="D31" i="82"/>
  <c r="M31" i="82"/>
  <c r="I32" i="82"/>
  <c r="D32" i="82"/>
  <c r="M32" i="82"/>
  <c r="I33" i="82"/>
  <c r="D33" i="82"/>
  <c r="M33" i="82"/>
  <c r="I34" i="82"/>
  <c r="D34" i="82"/>
  <c r="M34" i="82"/>
  <c r="I35" i="82"/>
  <c r="D35" i="82"/>
  <c r="M35" i="82"/>
  <c r="I36" i="82"/>
  <c r="D36" i="82"/>
  <c r="M36" i="82"/>
  <c r="I37" i="82"/>
  <c r="D37" i="82"/>
  <c r="M37" i="82"/>
  <c r="I38" i="82"/>
  <c r="D38" i="82"/>
  <c r="M38" i="82"/>
  <c r="I39" i="82"/>
  <c r="D39" i="82"/>
  <c r="M39" i="82"/>
  <c r="I40" i="82"/>
  <c r="D40" i="82"/>
  <c r="M40" i="82"/>
  <c r="I41" i="82"/>
  <c r="D41" i="82"/>
  <c r="M41" i="82"/>
  <c r="I42" i="82"/>
  <c r="D42" i="82"/>
  <c r="M42" i="82"/>
  <c r="I43" i="82"/>
  <c r="D43" i="82"/>
  <c r="M43" i="82"/>
  <c r="I44" i="82"/>
  <c r="D44" i="82"/>
  <c r="M44" i="82"/>
  <c r="I45" i="82"/>
  <c r="D45" i="82"/>
  <c r="M45" i="82"/>
  <c r="I46" i="82"/>
  <c r="D46" i="82"/>
  <c r="M46" i="82"/>
  <c r="I47" i="82"/>
  <c r="D47" i="82"/>
  <c r="M47" i="82"/>
  <c r="I48" i="82"/>
  <c r="D48" i="82"/>
  <c r="M48" i="82"/>
  <c r="I49" i="82"/>
  <c r="D49" i="82"/>
  <c r="M49" i="82"/>
  <c r="I50" i="82"/>
  <c r="D50" i="82"/>
  <c r="M50" i="82"/>
  <c r="I51" i="82"/>
  <c r="D51" i="82"/>
  <c r="M51" i="82"/>
  <c r="I52" i="82"/>
  <c r="D52" i="82"/>
  <c r="M52" i="82"/>
  <c r="I53" i="82"/>
  <c r="D53" i="82"/>
  <c r="M53" i="82"/>
  <c r="I54" i="82"/>
  <c r="D54" i="82"/>
  <c r="M54" i="82"/>
  <c r="I55" i="82"/>
  <c r="D55" i="82"/>
  <c r="M55" i="82"/>
  <c r="I56" i="82"/>
  <c r="D56" i="82"/>
  <c r="M56" i="82"/>
  <c r="I57" i="82"/>
  <c r="D57" i="82"/>
  <c r="M57" i="82"/>
  <c r="I58" i="82"/>
  <c r="D58" i="82"/>
  <c r="M58" i="82"/>
  <c r="I59" i="82"/>
  <c r="D59" i="82"/>
  <c r="M59" i="82"/>
  <c r="I60" i="82"/>
  <c r="D60" i="82"/>
  <c r="M60" i="82"/>
  <c r="I61" i="82"/>
  <c r="D61" i="82"/>
  <c r="M61" i="82"/>
  <c r="I62" i="82"/>
  <c r="D62" i="82"/>
  <c r="M62" i="82"/>
  <c r="I63" i="82"/>
  <c r="D63" i="82"/>
  <c r="M63" i="82"/>
  <c r="I64" i="82"/>
  <c r="D64" i="82"/>
  <c r="M64" i="82"/>
  <c r="I65" i="82"/>
  <c r="D65" i="82"/>
  <c r="M65" i="82"/>
  <c r="I66" i="82"/>
  <c r="D66" i="82"/>
  <c r="M66" i="82"/>
  <c r="I67" i="82"/>
  <c r="D67" i="82"/>
  <c r="M67" i="82"/>
  <c r="I68" i="82"/>
  <c r="D68" i="82"/>
  <c r="M68" i="82"/>
  <c r="I69" i="82"/>
  <c r="D69" i="82"/>
  <c r="M69" i="82"/>
  <c r="I70" i="82"/>
  <c r="D70" i="82"/>
  <c r="M70" i="82"/>
  <c r="I71" i="82"/>
  <c r="D71" i="82"/>
  <c r="M71" i="82"/>
  <c r="I72" i="82"/>
  <c r="D72" i="82"/>
  <c r="M72" i="82"/>
  <c r="I73" i="82"/>
  <c r="D73" i="82"/>
  <c r="M73" i="82"/>
  <c r="I74" i="82"/>
  <c r="D74" i="82"/>
  <c r="M74" i="82"/>
  <c r="I75" i="82"/>
  <c r="D75" i="82"/>
  <c r="M75" i="82"/>
  <c r="I76" i="82"/>
  <c r="D76" i="82"/>
  <c r="M76" i="82"/>
  <c r="I77" i="82"/>
  <c r="D77" i="82"/>
  <c r="M77" i="82"/>
  <c r="I78" i="82"/>
  <c r="D78" i="82"/>
  <c r="M78" i="82"/>
  <c r="I79" i="82"/>
  <c r="D79" i="82"/>
  <c r="M79" i="82"/>
  <c r="I80" i="82"/>
  <c r="D80" i="82"/>
  <c r="M80" i="82"/>
  <c r="I81" i="82"/>
  <c r="D81" i="82"/>
  <c r="M81" i="82"/>
  <c r="I82" i="82"/>
  <c r="D82" i="82"/>
  <c r="M82" i="82"/>
  <c r="I83" i="82"/>
  <c r="D83" i="82"/>
  <c r="M83" i="82"/>
  <c r="I84" i="82"/>
  <c r="D84" i="82"/>
  <c r="M84" i="82"/>
  <c r="I85" i="82"/>
  <c r="D85" i="82"/>
  <c r="M85" i="82"/>
  <c r="I86" i="82"/>
  <c r="D86" i="82"/>
  <c r="M86" i="82"/>
  <c r="I87" i="82"/>
  <c r="D87" i="82"/>
  <c r="M87" i="82"/>
  <c r="I88" i="82"/>
  <c r="D88" i="82"/>
  <c r="M88" i="82"/>
  <c r="I89" i="82"/>
  <c r="D89" i="82"/>
  <c r="M89" i="82"/>
  <c r="I90" i="82"/>
  <c r="D90" i="82"/>
  <c r="M90" i="82"/>
  <c r="I91" i="82"/>
  <c r="D91" i="82"/>
  <c r="M91" i="82"/>
  <c r="I92" i="82"/>
  <c r="D92" i="82"/>
  <c r="M92" i="82"/>
  <c r="I93" i="82"/>
  <c r="D93" i="82"/>
  <c r="M93" i="82"/>
  <c r="I94" i="82"/>
  <c r="D94" i="82"/>
  <c r="M94" i="82"/>
  <c r="I95" i="82"/>
  <c r="D95" i="82"/>
  <c r="M95" i="82"/>
  <c r="I96" i="82"/>
  <c r="D96" i="82"/>
  <c r="M96" i="82"/>
  <c r="I97" i="82"/>
  <c r="D97" i="82"/>
  <c r="M97" i="82"/>
  <c r="I98" i="82"/>
  <c r="D98" i="82"/>
  <c r="M98" i="82"/>
  <c r="I99" i="82"/>
  <c r="D99" i="82"/>
  <c r="M99" i="82"/>
  <c r="I100" i="82"/>
  <c r="D100" i="82"/>
  <c r="M100" i="82"/>
  <c r="I101" i="82"/>
  <c r="D101" i="82"/>
  <c r="M101" i="82"/>
  <c r="I102" i="82"/>
  <c r="D102" i="82"/>
  <c r="M102" i="82"/>
  <c r="I103" i="82"/>
  <c r="D103" i="82"/>
  <c r="M103" i="82"/>
  <c r="I104" i="82"/>
  <c r="D104" i="82"/>
  <c r="M104" i="82"/>
  <c r="I105" i="82"/>
  <c r="D105" i="82"/>
  <c r="M105" i="82"/>
  <c r="I106" i="82"/>
  <c r="D106" i="82"/>
  <c r="M106" i="82"/>
  <c r="I107" i="82"/>
  <c r="D107" i="82"/>
  <c r="M107" i="82"/>
  <c r="I108" i="82"/>
  <c r="D108" i="82"/>
  <c r="M108" i="82"/>
  <c r="I109" i="82"/>
  <c r="D109" i="82"/>
  <c r="M109" i="82"/>
  <c r="I110" i="82"/>
  <c r="D110" i="82"/>
  <c r="M110" i="82"/>
  <c r="I111" i="82"/>
  <c r="D111" i="82"/>
  <c r="M111" i="82"/>
  <c r="I112" i="82"/>
  <c r="D112" i="82"/>
  <c r="M112" i="82"/>
  <c r="I113" i="82"/>
  <c r="D113" i="82"/>
  <c r="M113" i="82"/>
  <c r="I114" i="82"/>
  <c r="D114" i="82"/>
  <c r="M114" i="82"/>
  <c r="I115" i="82"/>
  <c r="D115" i="82"/>
  <c r="M115" i="82"/>
  <c r="I116" i="82"/>
  <c r="D116" i="82"/>
  <c r="M116" i="82"/>
  <c r="I117" i="82"/>
  <c r="D117" i="82"/>
  <c r="M117" i="82"/>
  <c r="I118" i="82"/>
  <c r="D118" i="82"/>
  <c r="M118" i="82"/>
  <c r="I119" i="82"/>
  <c r="D119" i="82"/>
  <c r="M119" i="82"/>
  <c r="I120" i="82"/>
  <c r="D120" i="82"/>
  <c r="M120" i="82"/>
  <c r="I121" i="82"/>
  <c r="D121" i="82"/>
  <c r="M121" i="82"/>
  <c r="I122" i="82"/>
  <c r="D122" i="82"/>
  <c r="M122" i="82"/>
  <c r="I123" i="82"/>
  <c r="D123" i="82"/>
  <c r="M123" i="82"/>
  <c r="I124" i="82"/>
  <c r="D124" i="82"/>
  <c r="M124" i="82"/>
  <c r="I125" i="82"/>
  <c r="D125" i="82"/>
  <c r="M125" i="82"/>
  <c r="I126" i="82"/>
  <c r="D126" i="82"/>
  <c r="M126" i="82"/>
  <c r="I127" i="82"/>
  <c r="D127" i="82"/>
  <c r="M127" i="82"/>
  <c r="I128" i="82"/>
  <c r="D128" i="82"/>
  <c r="M128" i="82"/>
  <c r="I129" i="82"/>
  <c r="D129" i="82"/>
  <c r="M129" i="82"/>
  <c r="I130" i="82"/>
  <c r="D130" i="82"/>
  <c r="M130" i="82"/>
  <c r="I131" i="82"/>
  <c r="D131" i="82"/>
  <c r="M131" i="82"/>
  <c r="I132" i="82"/>
  <c r="D132" i="82"/>
  <c r="M132" i="82"/>
  <c r="I133" i="82"/>
  <c r="D133" i="82"/>
  <c r="M133" i="82"/>
  <c r="I134" i="82"/>
  <c r="D134" i="82"/>
  <c r="M134" i="82"/>
  <c r="I135" i="82"/>
  <c r="D135" i="82"/>
  <c r="M135" i="82"/>
  <c r="I136" i="82"/>
  <c r="D136" i="82"/>
  <c r="M136" i="82"/>
  <c r="I137" i="82"/>
  <c r="D137" i="82"/>
  <c r="M137" i="82"/>
  <c r="I138" i="82"/>
  <c r="D138" i="82"/>
  <c r="M138" i="82"/>
  <c r="I139" i="82"/>
  <c r="D139" i="82"/>
  <c r="M139" i="82"/>
  <c r="I140" i="82"/>
  <c r="D140" i="82"/>
  <c r="M140" i="82"/>
  <c r="I141" i="82"/>
  <c r="D141" i="82"/>
  <c r="M141" i="82"/>
  <c r="I142" i="82"/>
  <c r="D142" i="82"/>
  <c r="M142" i="82"/>
  <c r="I143" i="82"/>
  <c r="D143" i="82"/>
  <c r="M143" i="82"/>
  <c r="I144" i="82"/>
  <c r="D144" i="82"/>
  <c r="M144" i="82"/>
  <c r="I145" i="82"/>
  <c r="D145" i="82"/>
  <c r="M145" i="82"/>
  <c r="I146" i="82"/>
  <c r="D146" i="82"/>
  <c r="M146" i="82"/>
  <c r="I147" i="82"/>
  <c r="D147" i="82"/>
  <c r="M147" i="82"/>
  <c r="I148" i="82"/>
  <c r="D148" i="82"/>
  <c r="M148" i="82"/>
  <c r="I149" i="82"/>
  <c r="D149" i="82"/>
  <c r="M149" i="82"/>
  <c r="I150" i="82"/>
  <c r="D150" i="82"/>
  <c r="M150" i="82"/>
  <c r="I151" i="82"/>
  <c r="D151" i="82"/>
  <c r="M151" i="82"/>
  <c r="I152" i="82"/>
  <c r="D152" i="82"/>
  <c r="M152" i="82"/>
  <c r="I153" i="82"/>
  <c r="D153" i="82"/>
  <c r="M153" i="82"/>
  <c r="I154" i="82"/>
  <c r="D154" i="82"/>
  <c r="M154" i="82"/>
  <c r="I155" i="82"/>
  <c r="D155" i="82"/>
  <c r="M155" i="82"/>
  <c r="I156" i="82"/>
  <c r="D156" i="82"/>
  <c r="M156" i="82"/>
  <c r="I157" i="82"/>
  <c r="D157" i="82"/>
  <c r="M157" i="82"/>
  <c r="I158" i="82"/>
  <c r="D158" i="82"/>
  <c r="M158" i="82"/>
  <c r="I159" i="82"/>
  <c r="D159" i="82"/>
  <c r="M159" i="82"/>
  <c r="I160" i="82"/>
  <c r="D160" i="82"/>
  <c r="M160" i="82"/>
  <c r="I161" i="82"/>
  <c r="D161" i="82"/>
  <c r="M161" i="82"/>
  <c r="I162" i="82"/>
  <c r="D162" i="82"/>
  <c r="M162" i="82"/>
  <c r="I163" i="82"/>
  <c r="D163" i="82"/>
  <c r="M163" i="82"/>
  <c r="I164" i="82"/>
  <c r="D164" i="82"/>
  <c r="M164" i="82"/>
  <c r="I165" i="82"/>
  <c r="D165" i="82"/>
  <c r="M165" i="82"/>
  <c r="I166" i="82"/>
  <c r="D166" i="82"/>
  <c r="M166" i="82"/>
  <c r="I167" i="82"/>
  <c r="D167" i="82"/>
  <c r="M167" i="82"/>
  <c r="I168" i="82"/>
  <c r="D168" i="82"/>
  <c r="M168" i="82"/>
  <c r="I169" i="82"/>
  <c r="D169" i="82"/>
  <c r="M169" i="82"/>
  <c r="I170" i="82"/>
  <c r="D170" i="82"/>
  <c r="M170" i="82"/>
  <c r="I171" i="82"/>
  <c r="D171" i="82"/>
  <c r="M171" i="82"/>
  <c r="I172" i="82"/>
  <c r="D172" i="82"/>
  <c r="M172" i="82"/>
  <c r="I173" i="82"/>
  <c r="D173" i="82"/>
  <c r="M173" i="82"/>
  <c r="I174" i="82"/>
  <c r="D174" i="82"/>
  <c r="M174" i="82"/>
  <c r="I175" i="82"/>
  <c r="D175" i="82"/>
  <c r="M175" i="82"/>
  <c r="I176" i="82"/>
  <c r="D176" i="82"/>
  <c r="M176" i="82"/>
  <c r="I177" i="82"/>
  <c r="D177" i="82"/>
  <c r="M177" i="82"/>
  <c r="I178" i="82"/>
  <c r="D178" i="82"/>
  <c r="M178" i="82"/>
  <c r="I179" i="82"/>
  <c r="D179" i="82"/>
  <c r="M179" i="82"/>
  <c r="I180" i="82"/>
  <c r="D180" i="82"/>
  <c r="M180" i="82"/>
  <c r="I181" i="82"/>
  <c r="D181" i="82"/>
  <c r="M181" i="82"/>
  <c r="I182" i="82"/>
  <c r="D182" i="82"/>
  <c r="M182" i="82"/>
  <c r="I183" i="82"/>
  <c r="D183" i="82"/>
  <c r="M183" i="82"/>
  <c r="I184" i="82"/>
  <c r="D184" i="82"/>
  <c r="M184" i="82"/>
  <c r="I185" i="82"/>
  <c r="D185" i="82"/>
  <c r="M185" i="82"/>
  <c r="I186" i="82"/>
  <c r="D186" i="82"/>
  <c r="M186" i="82"/>
  <c r="I187" i="82"/>
  <c r="D187" i="82"/>
  <c r="M187" i="82"/>
  <c r="I188" i="82"/>
  <c r="D188" i="82"/>
  <c r="M188" i="82"/>
  <c r="I189" i="82"/>
  <c r="D189" i="82"/>
  <c r="M189" i="82"/>
  <c r="I190" i="82"/>
  <c r="D190" i="82"/>
  <c r="M190" i="82"/>
  <c r="I191" i="82"/>
  <c r="D191" i="82"/>
  <c r="M191" i="82"/>
  <c r="I192" i="82"/>
  <c r="D192" i="82"/>
  <c r="M192" i="82"/>
  <c r="I193" i="82"/>
  <c r="D193" i="82"/>
  <c r="M193" i="82"/>
  <c r="I194" i="82"/>
  <c r="D194" i="82"/>
  <c r="M194" i="82"/>
  <c r="I195" i="82"/>
  <c r="D195" i="82"/>
  <c r="M195" i="82"/>
  <c r="I196" i="82"/>
  <c r="D196" i="82"/>
  <c r="M196" i="82"/>
  <c r="I197" i="82"/>
  <c r="D197" i="82"/>
  <c r="M197" i="82"/>
  <c r="I198" i="82"/>
  <c r="D198" i="82"/>
  <c r="M198" i="82"/>
  <c r="I199" i="82"/>
  <c r="D199" i="82"/>
  <c r="M199" i="82"/>
  <c r="I200" i="82"/>
  <c r="D200" i="82"/>
  <c r="M200" i="82"/>
  <c r="I201" i="82"/>
  <c r="D201" i="82"/>
  <c r="M201" i="82"/>
  <c r="I202" i="82"/>
  <c r="D202" i="82"/>
  <c r="M202" i="82"/>
  <c r="I203" i="82"/>
  <c r="D203" i="82"/>
  <c r="M203" i="82"/>
  <c r="I204" i="82"/>
  <c r="D204" i="82"/>
  <c r="M204" i="82"/>
  <c r="I205" i="82"/>
  <c r="D205" i="82"/>
  <c r="M205" i="82"/>
  <c r="I206" i="82"/>
  <c r="D206" i="82"/>
  <c r="M206" i="82"/>
  <c r="I207" i="82"/>
  <c r="D207" i="82"/>
  <c r="M207" i="82"/>
  <c r="I208" i="82"/>
  <c r="D208" i="82"/>
  <c r="M208" i="82"/>
  <c r="I209" i="82"/>
  <c r="D209" i="82"/>
  <c r="M209" i="82"/>
  <c r="I210" i="82"/>
  <c r="D210" i="82"/>
  <c r="M210" i="82"/>
  <c r="I211" i="82"/>
  <c r="D211" i="82"/>
  <c r="M211" i="82"/>
  <c r="I212" i="82"/>
  <c r="D212" i="82"/>
  <c r="M212" i="82"/>
  <c r="I213" i="82"/>
  <c r="D213" i="82"/>
  <c r="M213" i="82"/>
  <c r="I225" i="82"/>
  <c r="D225" i="82"/>
  <c r="M225" i="82"/>
  <c r="I226" i="82"/>
  <c r="D226" i="82"/>
  <c r="M226" i="82"/>
  <c r="I227" i="82"/>
  <c r="D227" i="82"/>
  <c r="M227" i="82"/>
  <c r="I228" i="82"/>
  <c r="D228" i="82"/>
  <c r="M228" i="82"/>
  <c r="I229" i="82"/>
  <c r="D229" i="82"/>
  <c r="M229" i="82"/>
  <c r="I230" i="82"/>
  <c r="D230" i="82"/>
  <c r="M230" i="82"/>
  <c r="I231" i="82"/>
  <c r="D231" i="82"/>
  <c r="M231" i="82"/>
  <c r="I232" i="82"/>
  <c r="D232" i="82"/>
  <c r="M232" i="82"/>
  <c r="I233" i="82"/>
  <c r="D233" i="82"/>
  <c r="M233" i="82"/>
  <c r="M236" i="82"/>
  <c r="M237" i="82"/>
  <c r="D10" i="105"/>
  <c r="D7" i="105"/>
  <c r="A10" i="105"/>
  <c r="A7" i="105"/>
  <c r="R237" i="82"/>
  <c r="Q237" i="82"/>
  <c r="P237" i="82"/>
  <c r="O237" i="82"/>
  <c r="L237" i="82"/>
  <c r="K237" i="82"/>
  <c r="J237" i="82"/>
  <c r="G237" i="82"/>
  <c r="C237" i="82"/>
  <c r="A237" i="82"/>
  <c r="R236" i="82"/>
  <c r="Q236" i="82"/>
  <c r="P236" i="82"/>
  <c r="O236" i="82"/>
  <c r="L236" i="82"/>
  <c r="K236" i="82"/>
  <c r="J236" i="82"/>
  <c r="G236" i="82"/>
  <c r="C236" i="82"/>
  <c r="A236" i="82"/>
  <c r="R233" i="82"/>
  <c r="Q233" i="82"/>
  <c r="P233" i="82"/>
  <c r="O233" i="82"/>
  <c r="L233" i="82"/>
  <c r="K233" i="82"/>
  <c r="J233" i="82"/>
  <c r="G233" i="82"/>
  <c r="C233" i="82"/>
  <c r="A233" i="82"/>
  <c r="R232" i="82"/>
  <c r="Q232" i="82"/>
  <c r="P232" i="82"/>
  <c r="O232" i="82"/>
  <c r="L232" i="82"/>
  <c r="K232" i="82"/>
  <c r="J232" i="82"/>
  <c r="G232" i="82"/>
  <c r="C232" i="82"/>
  <c r="A232" i="82"/>
  <c r="R231" i="82"/>
  <c r="Q231" i="82"/>
  <c r="P231" i="82"/>
  <c r="O231" i="82"/>
  <c r="L231" i="82"/>
  <c r="K231" i="82"/>
  <c r="J231" i="82"/>
  <c r="G231" i="82"/>
  <c r="C231" i="82"/>
  <c r="A231" i="82"/>
  <c r="R230" i="82"/>
  <c r="Q230" i="82"/>
  <c r="P230" i="82"/>
  <c r="O230" i="82"/>
  <c r="L230" i="82"/>
  <c r="K230" i="82"/>
  <c r="J230" i="82"/>
  <c r="G230" i="82"/>
  <c r="C230" i="82"/>
  <c r="A230" i="82"/>
  <c r="R229" i="82"/>
  <c r="Q229" i="82"/>
  <c r="P229" i="82"/>
  <c r="O229" i="82"/>
  <c r="L229" i="82"/>
  <c r="K229" i="82"/>
  <c r="J229" i="82"/>
  <c r="G229" i="82"/>
  <c r="C229" i="82"/>
  <c r="A229" i="82"/>
  <c r="R228" i="82"/>
  <c r="Q228" i="82"/>
  <c r="P228" i="82"/>
  <c r="O228" i="82"/>
  <c r="L228" i="82"/>
  <c r="K228" i="82"/>
  <c r="J228" i="82"/>
  <c r="G228" i="82"/>
  <c r="C228" i="82"/>
  <c r="A228" i="82"/>
  <c r="R227" i="82"/>
  <c r="Q227" i="82"/>
  <c r="P227" i="82"/>
  <c r="O227" i="82"/>
  <c r="L227" i="82"/>
  <c r="K227" i="82"/>
  <c r="J227" i="82"/>
  <c r="G227" i="82"/>
  <c r="C227" i="82"/>
  <c r="A227" i="82"/>
  <c r="R226" i="82"/>
  <c r="Q226" i="82"/>
  <c r="P226" i="82"/>
  <c r="O226" i="82"/>
  <c r="L226" i="82"/>
  <c r="K226" i="82"/>
  <c r="J226" i="82"/>
  <c r="G226" i="82"/>
  <c r="C226" i="82"/>
  <c r="A226" i="82"/>
  <c r="R210" i="82"/>
  <c r="Q210" i="82"/>
  <c r="P210" i="82"/>
  <c r="O210" i="82"/>
  <c r="L210" i="82"/>
  <c r="K210" i="82"/>
  <c r="J210" i="82"/>
  <c r="G210" i="82"/>
  <c r="C210" i="82"/>
  <c r="A210" i="82"/>
  <c r="R225" i="82"/>
  <c r="Q225" i="82"/>
  <c r="P225" i="82"/>
  <c r="O225" i="82"/>
  <c r="L225" i="82"/>
  <c r="K225" i="82"/>
  <c r="J225" i="82"/>
  <c r="G225" i="82"/>
  <c r="C225" i="82"/>
  <c r="A225" i="82"/>
  <c r="R213" i="82"/>
  <c r="Q213" i="82"/>
  <c r="P213" i="82"/>
  <c r="O213" i="82"/>
  <c r="L213" i="82"/>
  <c r="K213" i="82"/>
  <c r="J213" i="82"/>
  <c r="G213" i="82"/>
  <c r="C213" i="82"/>
  <c r="A213" i="82"/>
  <c r="R212" i="82"/>
  <c r="Q212" i="82"/>
  <c r="P212" i="82"/>
  <c r="O212" i="82"/>
  <c r="L212" i="82"/>
  <c r="K212" i="82"/>
  <c r="J212" i="82"/>
  <c r="G212" i="82"/>
  <c r="C212" i="82"/>
  <c r="A212" i="82"/>
  <c r="R211" i="82"/>
  <c r="Q211" i="82"/>
  <c r="P211" i="82"/>
  <c r="O211" i="82"/>
  <c r="L211" i="82"/>
  <c r="K211" i="82"/>
  <c r="J211" i="82"/>
  <c r="G211" i="82"/>
  <c r="C211" i="82"/>
  <c r="A211" i="82"/>
  <c r="R209" i="82"/>
  <c r="Q209" i="82"/>
  <c r="P209" i="82"/>
  <c r="O209" i="82"/>
  <c r="L209" i="82"/>
  <c r="K209" i="82"/>
  <c r="J209" i="82"/>
  <c r="G209" i="82"/>
  <c r="C209" i="82"/>
  <c r="A209" i="82"/>
  <c r="R208" i="82"/>
  <c r="Q208" i="82"/>
  <c r="P208" i="82"/>
  <c r="O208" i="82"/>
  <c r="L208" i="82"/>
  <c r="K208" i="82"/>
  <c r="J208" i="82"/>
  <c r="G208" i="82"/>
  <c r="C208" i="82"/>
  <c r="A208" i="82"/>
  <c r="R207" i="82"/>
  <c r="Q207" i="82"/>
  <c r="P207" i="82"/>
  <c r="O207" i="82"/>
  <c r="L207" i="82"/>
  <c r="K207" i="82"/>
  <c r="J207" i="82"/>
  <c r="G207" i="82"/>
  <c r="C207" i="82"/>
  <c r="A207" i="82"/>
  <c r="R206" i="82"/>
  <c r="Q206" i="82"/>
  <c r="P206" i="82"/>
  <c r="O206" i="82"/>
  <c r="L206" i="82"/>
  <c r="K206" i="82"/>
  <c r="J206" i="82"/>
  <c r="G206" i="82"/>
  <c r="C206" i="82"/>
  <c r="A206" i="82"/>
  <c r="I2" i="82"/>
  <c r="D2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O142" i="82"/>
  <c r="P142" i="82"/>
  <c r="Q142" i="82"/>
  <c r="R142" i="82"/>
  <c r="O143" i="82"/>
  <c r="P143" i="82"/>
  <c r="Q143" i="82"/>
  <c r="R143" i="82"/>
  <c r="O144" i="82"/>
  <c r="P144" i="82"/>
  <c r="Q144" i="82"/>
  <c r="R144" i="82"/>
  <c r="O145" i="82"/>
  <c r="P145" i="82"/>
  <c r="Q145" i="82"/>
  <c r="R145" i="82"/>
  <c r="O146" i="82"/>
  <c r="P146" i="82"/>
  <c r="Q146" i="82"/>
  <c r="R146" i="82"/>
  <c r="O147" i="82"/>
  <c r="P147" i="82"/>
  <c r="Q147" i="82"/>
  <c r="R147" i="82"/>
  <c r="O148" i="82"/>
  <c r="P148" i="82"/>
  <c r="Q148" i="82"/>
  <c r="R148" i="82"/>
  <c r="O149" i="82"/>
  <c r="P149" i="82"/>
  <c r="Q149" i="82"/>
  <c r="R149" i="82"/>
  <c r="O150" i="82"/>
  <c r="P150" i="82"/>
  <c r="Q150" i="82"/>
  <c r="R150" i="82"/>
  <c r="O151" i="82"/>
  <c r="P151" i="82"/>
  <c r="Q151" i="82"/>
  <c r="R151" i="82"/>
  <c r="O152" i="82"/>
  <c r="P152" i="82"/>
  <c r="Q152" i="82"/>
  <c r="R152" i="82"/>
  <c r="O153" i="82"/>
  <c r="P153" i="82"/>
  <c r="Q153" i="82"/>
  <c r="R153" i="82"/>
  <c r="O154" i="82"/>
  <c r="P154" i="82"/>
  <c r="Q154" i="82"/>
  <c r="R154" i="82"/>
  <c r="O155" i="82"/>
  <c r="P155" i="82"/>
  <c r="Q155" i="82"/>
  <c r="R155" i="82"/>
  <c r="O156" i="82"/>
  <c r="P156" i="82"/>
  <c r="Q156" i="82"/>
  <c r="R156" i="82"/>
  <c r="O157" i="82"/>
  <c r="P157" i="82"/>
  <c r="Q157" i="82"/>
  <c r="R157" i="82"/>
  <c r="O158" i="82"/>
  <c r="P158" i="82"/>
  <c r="Q158" i="82"/>
  <c r="R158" i="82"/>
  <c r="O159" i="82"/>
  <c r="P159" i="82"/>
  <c r="Q159" i="82"/>
  <c r="R159" i="82"/>
  <c r="O160" i="82"/>
  <c r="P160" i="82"/>
  <c r="Q160" i="82"/>
  <c r="R160" i="82"/>
  <c r="O161" i="82"/>
  <c r="P161" i="82"/>
  <c r="Q161" i="82"/>
  <c r="R161" i="82"/>
  <c r="O162" i="82"/>
  <c r="P162" i="82"/>
  <c r="Q162" i="82"/>
  <c r="R162" i="82"/>
  <c r="O163" i="82"/>
  <c r="P163" i="82"/>
  <c r="Q163" i="82"/>
  <c r="R163" i="82"/>
  <c r="O164" i="82"/>
  <c r="P164" i="82"/>
  <c r="Q164" i="82"/>
  <c r="R164" i="82"/>
  <c r="O165" i="82"/>
  <c r="P165" i="82"/>
  <c r="Q165" i="82"/>
  <c r="R165" i="82"/>
  <c r="O166" i="82"/>
  <c r="P166" i="82"/>
  <c r="Q166" i="82"/>
  <c r="R166" i="82"/>
  <c r="O167" i="82"/>
  <c r="P167" i="82"/>
  <c r="Q167" i="82"/>
  <c r="R167" i="82"/>
  <c r="O168" i="82"/>
  <c r="P168" i="82"/>
  <c r="Q168" i="82"/>
  <c r="R168" i="82"/>
  <c r="O169" i="82"/>
  <c r="P169" i="82"/>
  <c r="Q169" i="82"/>
  <c r="R169" i="82"/>
  <c r="O170" i="82"/>
  <c r="P170" i="82"/>
  <c r="Q170" i="82"/>
  <c r="R170" i="82"/>
  <c r="O171" i="82"/>
  <c r="P171" i="82"/>
  <c r="Q171" i="82"/>
  <c r="R171" i="82"/>
  <c r="O172" i="82"/>
  <c r="P172" i="82"/>
  <c r="Q172" i="82"/>
  <c r="R172" i="82"/>
  <c r="O173" i="82"/>
  <c r="P173" i="82"/>
  <c r="Q173" i="82"/>
  <c r="R173" i="82"/>
  <c r="O174" i="82"/>
  <c r="P174" i="82"/>
  <c r="Q174" i="82"/>
  <c r="R174" i="82"/>
  <c r="O175" i="82"/>
  <c r="P175" i="82"/>
  <c r="Q175" i="82"/>
  <c r="R175" i="82"/>
  <c r="O176" i="82"/>
  <c r="P176" i="82"/>
  <c r="Q176" i="82"/>
  <c r="R176" i="82"/>
  <c r="O177" i="82"/>
  <c r="P177" i="82"/>
  <c r="Q177" i="82"/>
  <c r="R177" i="82"/>
  <c r="O178" i="82"/>
  <c r="P178" i="82"/>
  <c r="Q178" i="82"/>
  <c r="R178" i="82"/>
  <c r="O179" i="82"/>
  <c r="P179" i="82"/>
  <c r="Q179" i="82"/>
  <c r="R179" i="82"/>
  <c r="O180" i="82"/>
  <c r="P180" i="82"/>
  <c r="Q180" i="82"/>
  <c r="R180" i="82"/>
  <c r="O181" i="82"/>
  <c r="P181" i="82"/>
  <c r="Q181" i="82"/>
  <c r="R181" i="82"/>
  <c r="O182" i="82"/>
  <c r="P182" i="82"/>
  <c r="Q182" i="82"/>
  <c r="R182" i="82"/>
  <c r="O183" i="82"/>
  <c r="P183" i="82"/>
  <c r="Q183" i="82"/>
  <c r="R183" i="82"/>
  <c r="O184" i="82"/>
  <c r="P184" i="82"/>
  <c r="Q184" i="82"/>
  <c r="R184" i="82"/>
  <c r="O185" i="82"/>
  <c r="P185" i="82"/>
  <c r="Q185" i="82"/>
  <c r="R185" i="82"/>
  <c r="O186" i="82"/>
  <c r="P186" i="82"/>
  <c r="Q186" i="82"/>
  <c r="R186" i="82"/>
  <c r="O187" i="82"/>
  <c r="P187" i="82"/>
  <c r="Q187" i="82"/>
  <c r="R187" i="82"/>
  <c r="O188" i="82"/>
  <c r="P188" i="82"/>
  <c r="Q188" i="82"/>
  <c r="R188" i="82"/>
  <c r="O189" i="82"/>
  <c r="P189" i="82"/>
  <c r="Q189" i="82"/>
  <c r="R189" i="82"/>
  <c r="O190" i="82"/>
  <c r="P190" i="82"/>
  <c r="Q190" i="82"/>
  <c r="R190" i="82"/>
  <c r="O191" i="82"/>
  <c r="P191" i="82"/>
  <c r="Q191" i="82"/>
  <c r="R191" i="82"/>
  <c r="O192" i="82"/>
  <c r="P192" i="82"/>
  <c r="Q192" i="82"/>
  <c r="R192" i="82"/>
  <c r="O193" i="82"/>
  <c r="P193" i="82"/>
  <c r="Q193" i="82"/>
  <c r="R193" i="82"/>
  <c r="O194" i="82"/>
  <c r="P194" i="82"/>
  <c r="Q194" i="82"/>
  <c r="R194" i="82"/>
  <c r="O195" i="82"/>
  <c r="P195" i="82"/>
  <c r="Q195" i="82"/>
  <c r="R195" i="82"/>
  <c r="O196" i="82"/>
  <c r="P196" i="82"/>
  <c r="Q196" i="82"/>
  <c r="R196" i="82"/>
  <c r="O197" i="82"/>
  <c r="P197" i="82"/>
  <c r="Q197" i="82"/>
  <c r="R197" i="82"/>
  <c r="O198" i="82"/>
  <c r="P198" i="82"/>
  <c r="Q198" i="82"/>
  <c r="R198" i="82"/>
  <c r="O199" i="82"/>
  <c r="P199" i="82"/>
  <c r="Q199" i="82"/>
  <c r="R199" i="82"/>
  <c r="O200" i="82"/>
  <c r="P200" i="82"/>
  <c r="Q200" i="82"/>
  <c r="R200" i="82"/>
  <c r="O201" i="82"/>
  <c r="P201" i="82"/>
  <c r="Q201" i="82"/>
  <c r="R201" i="82"/>
  <c r="O202" i="82"/>
  <c r="P202" i="82"/>
  <c r="Q202" i="82"/>
  <c r="R202" i="82"/>
  <c r="O203" i="82"/>
  <c r="P203" i="82"/>
  <c r="Q203" i="82"/>
  <c r="R203" i="82"/>
  <c r="O204" i="82"/>
  <c r="P204" i="82"/>
  <c r="Q204" i="82"/>
  <c r="R204" i="82"/>
  <c r="O205" i="82"/>
  <c r="P205" i="82"/>
  <c r="Q205" i="82"/>
  <c r="R205" i="82"/>
  <c r="O2" i="82"/>
  <c r="P2" i="82"/>
  <c r="Q2" i="82"/>
  <c r="R2" i="82"/>
  <c r="B12" i="104"/>
  <c r="A204" i="82"/>
  <c r="C204" i="82"/>
  <c r="L204" i="82"/>
  <c r="G204" i="82"/>
  <c r="J204" i="82"/>
  <c r="K204" i="82"/>
  <c r="A205" i="82"/>
  <c r="C205" i="82"/>
  <c r="L205" i="82"/>
  <c r="G205" i="82"/>
  <c r="J205" i="82"/>
  <c r="K205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" i="82"/>
  <c r="G10" i="105"/>
  <c r="H5" i="105"/>
  <c r="G7" i="105"/>
  <c r="K203" i="82"/>
  <c r="J203" i="82"/>
  <c r="G203" i="82"/>
  <c r="C203" i="82"/>
  <c r="A203" i="82"/>
  <c r="K202" i="82"/>
  <c r="J202" i="82"/>
  <c r="G202" i="82"/>
  <c r="C202" i="82"/>
  <c r="A202" i="82"/>
  <c r="K201" i="82"/>
  <c r="J201" i="82"/>
  <c r="G201" i="82"/>
  <c r="C201" i="82"/>
  <c r="A201" i="82"/>
  <c r="K200" i="82"/>
  <c r="J200" i="82"/>
  <c r="G200" i="82"/>
  <c r="C200" i="82"/>
  <c r="A200" i="82"/>
  <c r="K199" i="82"/>
  <c r="J199" i="82"/>
  <c r="G199" i="82"/>
  <c r="C199" i="82"/>
  <c r="A199" i="82"/>
  <c r="K198" i="82"/>
  <c r="J198" i="82"/>
  <c r="G198" i="82"/>
  <c r="C198" i="82"/>
  <c r="A198" i="82"/>
  <c r="K197" i="82"/>
  <c r="J197" i="82"/>
  <c r="G197" i="82"/>
  <c r="C197" i="82"/>
  <c r="A197" i="82"/>
  <c r="K196" i="82"/>
  <c r="J196" i="82"/>
  <c r="G196" i="82"/>
  <c r="C196" i="82"/>
  <c r="A196" i="82"/>
  <c r="K195" i="82"/>
  <c r="J195" i="82"/>
  <c r="G195" i="82"/>
  <c r="C195" i="82"/>
  <c r="A195" i="82"/>
  <c r="A194" i="82"/>
  <c r="A193" i="82"/>
  <c r="A192" i="82"/>
  <c r="A191" i="82"/>
  <c r="A190" i="82"/>
  <c r="A189" i="82"/>
  <c r="A188" i="82"/>
  <c r="A187" i="82"/>
  <c r="A186" i="82"/>
  <c r="A185" i="82"/>
  <c r="A184" i="82"/>
  <c r="A183" i="82"/>
  <c r="A182" i="82"/>
  <c r="A181" i="82"/>
  <c r="A180" i="82"/>
  <c r="A179" i="82"/>
  <c r="A178" i="82"/>
  <c r="A177" i="82"/>
  <c r="A176" i="82"/>
  <c r="A175" i="82"/>
  <c r="A174" i="82"/>
  <c r="A173" i="82"/>
  <c r="A172" i="82"/>
  <c r="A171" i="82"/>
  <c r="A170" i="82"/>
  <c r="A169" i="82"/>
  <c r="A168" i="82"/>
  <c r="A167" i="82"/>
  <c r="A166" i="82"/>
  <c r="A165" i="82"/>
  <c r="A164" i="82"/>
  <c r="A163" i="82"/>
  <c r="A162" i="82"/>
  <c r="A161" i="82"/>
  <c r="A160" i="82"/>
  <c r="A159" i="82"/>
  <c r="A158" i="82"/>
  <c r="A157" i="82"/>
  <c r="A156" i="82"/>
  <c r="A155" i="82"/>
  <c r="A154" i="82"/>
  <c r="A153" i="82"/>
  <c r="A152" i="82"/>
  <c r="A151" i="82"/>
  <c r="A150" i="82"/>
  <c r="A149" i="82"/>
  <c r="A148" i="82"/>
  <c r="A147" i="82"/>
  <c r="A146" i="82"/>
  <c r="A145" i="82"/>
  <c r="A144" i="82"/>
  <c r="A143" i="82"/>
  <c r="A142" i="82"/>
  <c r="A141" i="82"/>
  <c r="A140" i="82"/>
  <c r="A139" i="82"/>
  <c r="A138" i="82"/>
  <c r="A137" i="82"/>
  <c r="A136" i="82"/>
  <c r="A135" i="82"/>
  <c r="A134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G117" i="82"/>
  <c r="M2" i="82"/>
  <c r="C194" i="82"/>
  <c r="C193" i="82"/>
  <c r="C192" i="82"/>
  <c r="C191" i="82"/>
  <c r="C190" i="82"/>
  <c r="C189" i="82"/>
  <c r="C188" i="82"/>
  <c r="C187" i="82"/>
  <c r="C186" i="82"/>
  <c r="C185" i="82"/>
  <c r="C184" i="82"/>
  <c r="C183" i="82"/>
  <c r="C182" i="82"/>
  <c r="C181" i="82"/>
  <c r="C180" i="82"/>
  <c r="C179" i="82"/>
  <c r="C178" i="82"/>
  <c r="C177" i="82"/>
  <c r="C176" i="82"/>
  <c r="C175" i="82"/>
  <c r="C174" i="82"/>
  <c r="C173" i="82"/>
  <c r="C172" i="82"/>
  <c r="C171" i="82"/>
  <c r="C170" i="82"/>
  <c r="C169" i="82"/>
  <c r="C168" i="82"/>
  <c r="C167" i="82"/>
  <c r="C166" i="82"/>
  <c r="C165" i="82"/>
  <c r="C164" i="82"/>
  <c r="C163" i="82"/>
  <c r="C162" i="82"/>
  <c r="C161" i="82"/>
  <c r="C160" i="82"/>
  <c r="C159" i="82"/>
  <c r="C158" i="82"/>
  <c r="C157" i="82"/>
  <c r="C156" i="82"/>
  <c r="C155" i="82"/>
  <c r="C154" i="82"/>
  <c r="C153" i="82"/>
  <c r="C152" i="82"/>
  <c r="C151" i="82"/>
  <c r="C150" i="82"/>
  <c r="C149" i="82"/>
  <c r="C148" i="82"/>
  <c r="C147" i="82"/>
  <c r="C146" i="82"/>
  <c r="C145" i="82"/>
  <c r="C144" i="82"/>
  <c r="C143" i="82"/>
  <c r="C142" i="82"/>
  <c r="C141" i="82"/>
  <c r="C140" i="82"/>
  <c r="C139" i="82"/>
  <c r="C138" i="82"/>
  <c r="C137" i="82"/>
  <c r="C136" i="82"/>
  <c r="C135" i="82"/>
  <c r="C134" i="82"/>
  <c r="C133" i="82"/>
  <c r="C132" i="82"/>
  <c r="C131" i="82"/>
  <c r="C130" i="82"/>
  <c r="C129" i="82"/>
  <c r="C128" i="82"/>
  <c r="C127" i="82"/>
  <c r="C126" i="82"/>
  <c r="C125" i="82"/>
  <c r="C124" i="82"/>
  <c r="C123" i="82"/>
  <c r="C122" i="82"/>
  <c r="C121" i="82"/>
  <c r="C120" i="82"/>
  <c r="C119" i="82"/>
  <c r="C118" i="82"/>
  <c r="C117" i="82"/>
  <c r="C116" i="82"/>
  <c r="C115" i="82"/>
  <c r="C114" i="82"/>
  <c r="C113" i="82"/>
  <c r="C112" i="82"/>
  <c r="C111" i="82"/>
  <c r="C110" i="82"/>
  <c r="C109" i="82"/>
  <c r="C108" i="82"/>
  <c r="C107" i="82"/>
  <c r="C106" i="82"/>
  <c r="C105" i="82"/>
  <c r="C104" i="82"/>
  <c r="C103" i="82"/>
  <c r="C102" i="82"/>
  <c r="C101" i="82"/>
  <c r="C100" i="82"/>
  <c r="C99" i="82"/>
  <c r="C98" i="82"/>
  <c r="C97" i="82"/>
  <c r="C96" i="82"/>
  <c r="C95" i="82"/>
  <c r="C94" i="82"/>
  <c r="C93" i="82"/>
  <c r="C92" i="82"/>
  <c r="C91" i="82"/>
  <c r="C90" i="82"/>
  <c r="C89" i="82"/>
  <c r="C88" i="82"/>
  <c r="C87" i="82"/>
  <c r="C86" i="82"/>
  <c r="C85" i="82"/>
  <c r="C84" i="82"/>
  <c r="C83" i="82"/>
  <c r="C82" i="82"/>
  <c r="C81" i="82"/>
  <c r="C80" i="82"/>
  <c r="C79" i="82"/>
  <c r="C78" i="82"/>
  <c r="C77" i="82"/>
  <c r="C76" i="82"/>
  <c r="C75" i="82"/>
  <c r="C74" i="82"/>
  <c r="C73" i="82"/>
  <c r="C72" i="82"/>
  <c r="C71" i="82"/>
  <c r="C70" i="82"/>
  <c r="C69" i="82"/>
  <c r="C68" i="82"/>
  <c r="C67" i="82"/>
  <c r="C66" i="82"/>
  <c r="C65" i="82"/>
  <c r="C64" i="82"/>
  <c r="C63" i="82"/>
  <c r="C62" i="82"/>
  <c r="C61" i="82"/>
  <c r="C60" i="82"/>
  <c r="C59" i="82"/>
  <c r="C58" i="82"/>
  <c r="C57" i="82"/>
  <c r="C56" i="82"/>
  <c r="C55" i="82"/>
  <c r="C54" i="82"/>
  <c r="C53" i="82"/>
  <c r="C52" i="82"/>
  <c r="C51" i="82"/>
  <c r="C50" i="82"/>
  <c r="C49" i="82"/>
  <c r="C48" i="82"/>
  <c r="C47" i="82"/>
  <c r="C46" i="82"/>
  <c r="C45" i="82"/>
  <c r="C44" i="82"/>
  <c r="C43" i="82"/>
  <c r="C42" i="82"/>
  <c r="C41" i="82"/>
  <c r="C40" i="82"/>
  <c r="C39" i="82"/>
  <c r="C38" i="82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C3" i="82"/>
  <c r="K194" i="82"/>
  <c r="J194" i="82"/>
  <c r="G194" i="82"/>
  <c r="K193" i="82"/>
  <c r="J193" i="82"/>
  <c r="G193" i="82"/>
  <c r="K192" i="82"/>
  <c r="J192" i="82"/>
  <c r="G192" i="82"/>
  <c r="K191" i="82"/>
  <c r="J191" i="82"/>
  <c r="G191" i="82"/>
  <c r="K190" i="82"/>
  <c r="J190" i="82"/>
  <c r="G190" i="82"/>
  <c r="K189" i="82"/>
  <c r="J189" i="82"/>
  <c r="G189" i="82"/>
  <c r="K188" i="82"/>
  <c r="J188" i="82"/>
  <c r="G188" i="82"/>
  <c r="K187" i="82"/>
  <c r="J187" i="82"/>
  <c r="G187" i="82"/>
  <c r="K186" i="82"/>
  <c r="J186" i="82"/>
  <c r="G186" i="82"/>
  <c r="K185" i="82"/>
  <c r="J185" i="82"/>
  <c r="G185" i="82"/>
  <c r="K184" i="82"/>
  <c r="J184" i="82"/>
  <c r="G184" i="82"/>
  <c r="K183" i="82"/>
  <c r="J183" i="82"/>
  <c r="G183" i="82"/>
  <c r="K182" i="82"/>
  <c r="J182" i="82"/>
  <c r="G182" i="82"/>
  <c r="K181" i="82"/>
  <c r="J181" i="82"/>
  <c r="G181" i="82"/>
  <c r="K180" i="82"/>
  <c r="J180" i="82"/>
  <c r="G180" i="82"/>
  <c r="K179" i="82"/>
  <c r="J179" i="82"/>
  <c r="G179" i="82"/>
  <c r="K178" i="82"/>
  <c r="J178" i="82"/>
  <c r="G178" i="82"/>
  <c r="K177" i="82"/>
  <c r="J177" i="82"/>
  <c r="G177" i="82"/>
  <c r="K176" i="82"/>
  <c r="J176" i="82"/>
  <c r="G176" i="82"/>
  <c r="K175" i="82"/>
  <c r="J175" i="82"/>
  <c r="G175" i="82"/>
  <c r="K174" i="82"/>
  <c r="J174" i="82"/>
  <c r="G174" i="82"/>
  <c r="K173" i="82"/>
  <c r="J173" i="82"/>
  <c r="G173" i="82"/>
  <c r="K172" i="82"/>
  <c r="J172" i="82"/>
  <c r="G172" i="82"/>
  <c r="K171" i="82"/>
  <c r="J171" i="82"/>
  <c r="G171" i="82"/>
  <c r="K170" i="82"/>
  <c r="J170" i="82"/>
  <c r="G170" i="82"/>
  <c r="K169" i="82"/>
  <c r="J169" i="82"/>
  <c r="G169" i="82"/>
  <c r="K168" i="82"/>
  <c r="J168" i="82"/>
  <c r="G168" i="82"/>
  <c r="K167" i="82"/>
  <c r="J167" i="82"/>
  <c r="G167" i="82"/>
  <c r="K166" i="82"/>
  <c r="J166" i="82"/>
  <c r="G166" i="82"/>
  <c r="K165" i="82"/>
  <c r="J165" i="82"/>
  <c r="G165" i="82"/>
  <c r="K164" i="82"/>
  <c r="J164" i="82"/>
  <c r="G164" i="82"/>
  <c r="K163" i="82"/>
  <c r="J163" i="82"/>
  <c r="G163" i="82"/>
  <c r="K162" i="82"/>
  <c r="J162" i="82"/>
  <c r="G162" i="82"/>
  <c r="K161" i="82"/>
  <c r="J161" i="82"/>
  <c r="G161" i="82"/>
  <c r="K160" i="82"/>
  <c r="J160" i="82"/>
  <c r="G160" i="82"/>
  <c r="K159" i="82"/>
  <c r="J159" i="82"/>
  <c r="G159" i="82"/>
  <c r="K158" i="82"/>
  <c r="J158" i="82"/>
  <c r="G158" i="82"/>
  <c r="K157" i="82"/>
  <c r="J157" i="82"/>
  <c r="G157" i="82"/>
  <c r="K156" i="82"/>
  <c r="J156" i="82"/>
  <c r="G156" i="82"/>
  <c r="K155" i="82"/>
  <c r="J155" i="82"/>
  <c r="G155" i="82"/>
  <c r="K154" i="82"/>
  <c r="J154" i="82"/>
  <c r="G154" i="82"/>
  <c r="K153" i="82"/>
  <c r="J153" i="82"/>
  <c r="G153" i="82"/>
  <c r="K152" i="82"/>
  <c r="J152" i="82"/>
  <c r="G152" i="82"/>
  <c r="K151" i="82"/>
  <c r="J151" i="82"/>
  <c r="G151" i="82"/>
  <c r="K150" i="82"/>
  <c r="J150" i="82"/>
  <c r="G150" i="82"/>
  <c r="K149" i="82"/>
  <c r="J149" i="82"/>
  <c r="G149" i="82"/>
  <c r="K148" i="82"/>
  <c r="J148" i="82"/>
  <c r="G148" i="82"/>
  <c r="K147" i="82"/>
  <c r="J147" i="82"/>
  <c r="G147" i="82"/>
  <c r="K146" i="82"/>
  <c r="J146" i="82"/>
  <c r="G146" i="82"/>
  <c r="K145" i="82"/>
  <c r="J145" i="82"/>
  <c r="G145" i="82"/>
  <c r="K144" i="82"/>
  <c r="J144" i="82"/>
  <c r="G144" i="82"/>
  <c r="K143" i="82"/>
  <c r="J143" i="82"/>
  <c r="G143" i="82"/>
  <c r="K142" i="82"/>
  <c r="J142" i="82"/>
  <c r="G142" i="82"/>
  <c r="K141" i="82"/>
  <c r="J141" i="82"/>
  <c r="G141" i="82"/>
  <c r="K140" i="82"/>
  <c r="J140" i="82"/>
  <c r="G140" i="82"/>
  <c r="K139" i="82"/>
  <c r="J139" i="82"/>
  <c r="G139" i="82"/>
  <c r="K138" i="82"/>
  <c r="J138" i="82"/>
  <c r="G138" i="82"/>
  <c r="K137" i="82"/>
  <c r="J137" i="82"/>
  <c r="G137" i="82"/>
  <c r="K136" i="82"/>
  <c r="J136" i="82"/>
  <c r="G136" i="82"/>
  <c r="K135" i="82"/>
  <c r="J135" i="82"/>
  <c r="G135" i="82"/>
  <c r="K134" i="82"/>
  <c r="J134" i="82"/>
  <c r="G134" i="82"/>
  <c r="K133" i="82"/>
  <c r="J133" i="82"/>
  <c r="G133" i="82"/>
  <c r="K132" i="82"/>
  <c r="J132" i="82"/>
  <c r="G132" i="82"/>
  <c r="K131" i="82"/>
  <c r="J131" i="82"/>
  <c r="G131" i="82"/>
  <c r="K130" i="82"/>
  <c r="J130" i="82"/>
  <c r="G130" i="82"/>
  <c r="K129" i="82"/>
  <c r="J129" i="82"/>
  <c r="G129" i="82"/>
  <c r="K128" i="82"/>
  <c r="J128" i="82"/>
  <c r="G128" i="82"/>
  <c r="K127" i="82"/>
  <c r="J127" i="82"/>
  <c r="G127" i="82"/>
  <c r="K126" i="82"/>
  <c r="J126" i="82"/>
  <c r="G126" i="82"/>
  <c r="K125" i="82"/>
  <c r="J125" i="82"/>
  <c r="G125" i="82"/>
  <c r="K124" i="82"/>
  <c r="J124" i="82"/>
  <c r="G124" i="82"/>
  <c r="K123" i="82"/>
  <c r="J123" i="82"/>
  <c r="G123" i="82"/>
  <c r="K122" i="82"/>
  <c r="J122" i="82"/>
  <c r="G122" i="82"/>
  <c r="K121" i="82"/>
  <c r="J121" i="82"/>
  <c r="G121" i="82"/>
  <c r="K120" i="82"/>
  <c r="J120" i="82"/>
  <c r="G120" i="82"/>
  <c r="K119" i="82"/>
  <c r="J119" i="82"/>
  <c r="G119" i="82"/>
  <c r="K118" i="82"/>
  <c r="J118" i="82"/>
  <c r="G118" i="82"/>
  <c r="K117" i="82"/>
  <c r="J117" i="82"/>
  <c r="K116" i="82"/>
  <c r="J116" i="82"/>
  <c r="G116" i="82"/>
  <c r="K115" i="82"/>
  <c r="J115" i="82"/>
  <c r="G115" i="82"/>
  <c r="K114" i="82"/>
  <c r="J114" i="82"/>
  <c r="G114" i="82"/>
  <c r="K113" i="82"/>
  <c r="J113" i="82"/>
  <c r="G113" i="82"/>
  <c r="K112" i="82"/>
  <c r="J112" i="82"/>
  <c r="G112" i="82"/>
  <c r="K111" i="82"/>
  <c r="J111" i="82"/>
  <c r="G111" i="82"/>
  <c r="K110" i="82"/>
  <c r="J110" i="82"/>
  <c r="G110" i="82"/>
  <c r="K109" i="82"/>
  <c r="J109" i="82"/>
  <c r="G109" i="82"/>
  <c r="K108" i="82"/>
  <c r="J108" i="82"/>
  <c r="G108" i="82"/>
  <c r="K107" i="82"/>
  <c r="J107" i="82"/>
  <c r="G107" i="82"/>
  <c r="K106" i="82"/>
  <c r="J106" i="82"/>
  <c r="G106" i="82"/>
  <c r="K105" i="82"/>
  <c r="J105" i="82"/>
  <c r="G105" i="82"/>
  <c r="K104" i="82"/>
  <c r="J104" i="82"/>
  <c r="G104" i="82"/>
  <c r="K103" i="82"/>
  <c r="J103" i="82"/>
  <c r="G103" i="82"/>
  <c r="K102" i="82"/>
  <c r="J102" i="82"/>
  <c r="G102" i="82"/>
  <c r="K101" i="82"/>
  <c r="J101" i="82"/>
  <c r="G101" i="82"/>
  <c r="K100" i="82"/>
  <c r="J100" i="82"/>
  <c r="G100" i="82"/>
  <c r="K99" i="82"/>
  <c r="J99" i="82"/>
  <c r="G99" i="82"/>
  <c r="K98" i="82"/>
  <c r="J98" i="82"/>
  <c r="G98" i="82"/>
  <c r="K97" i="82"/>
  <c r="J97" i="82"/>
  <c r="G97" i="82"/>
  <c r="K96" i="82"/>
  <c r="J96" i="82"/>
  <c r="G96" i="82"/>
  <c r="K95" i="82"/>
  <c r="J95" i="82"/>
  <c r="G95" i="82"/>
  <c r="K94" i="82"/>
  <c r="J94" i="82"/>
  <c r="G94" i="82"/>
  <c r="K93" i="82"/>
  <c r="J93" i="82"/>
  <c r="G93" i="82"/>
  <c r="K92" i="82"/>
  <c r="J92" i="82"/>
  <c r="G92" i="82"/>
  <c r="K91" i="82"/>
  <c r="J91" i="82"/>
  <c r="G91" i="82"/>
  <c r="K90" i="82"/>
  <c r="J90" i="82"/>
  <c r="G90" i="82"/>
  <c r="K89" i="82"/>
  <c r="J89" i="82"/>
  <c r="G89" i="82"/>
  <c r="K88" i="82"/>
  <c r="J88" i="82"/>
  <c r="G88" i="82"/>
  <c r="K87" i="82"/>
  <c r="J87" i="82"/>
  <c r="G87" i="82"/>
  <c r="K86" i="82"/>
  <c r="J86" i="82"/>
  <c r="G86" i="82"/>
  <c r="K85" i="82"/>
  <c r="J85" i="82"/>
  <c r="G85" i="82"/>
  <c r="K84" i="82"/>
  <c r="J84" i="82"/>
  <c r="G84" i="82"/>
  <c r="K83" i="82"/>
  <c r="J83" i="82"/>
  <c r="G83" i="82"/>
  <c r="K82" i="82"/>
  <c r="J82" i="82"/>
  <c r="G82" i="82"/>
  <c r="K81" i="82"/>
  <c r="J81" i="82"/>
  <c r="G81" i="82"/>
  <c r="K80" i="82"/>
  <c r="J80" i="82"/>
  <c r="G80" i="82"/>
  <c r="K79" i="82"/>
  <c r="J79" i="82"/>
  <c r="G79" i="82"/>
  <c r="K78" i="82"/>
  <c r="J78" i="82"/>
  <c r="G78" i="82"/>
  <c r="K77" i="82"/>
  <c r="J77" i="82"/>
  <c r="G77" i="82"/>
  <c r="K76" i="82"/>
  <c r="J76" i="82"/>
  <c r="G76" i="82"/>
  <c r="K75" i="82"/>
  <c r="J75" i="82"/>
  <c r="G75" i="82"/>
  <c r="K74" i="82"/>
  <c r="J74" i="82"/>
  <c r="G74" i="82"/>
  <c r="K73" i="82"/>
  <c r="J73" i="82"/>
  <c r="G73" i="82"/>
  <c r="K72" i="82"/>
  <c r="J72" i="82"/>
  <c r="G72" i="82"/>
  <c r="K71" i="82"/>
  <c r="J71" i="82"/>
  <c r="G71" i="82"/>
  <c r="K70" i="82"/>
  <c r="J70" i="82"/>
  <c r="G70" i="82"/>
  <c r="K69" i="82"/>
  <c r="J69" i="82"/>
  <c r="G69" i="82"/>
  <c r="K68" i="82"/>
  <c r="J68" i="82"/>
  <c r="G68" i="82"/>
  <c r="K67" i="82"/>
  <c r="J67" i="82"/>
  <c r="G67" i="82"/>
  <c r="K66" i="82"/>
  <c r="J66" i="82"/>
  <c r="G66" i="82"/>
  <c r="K65" i="82"/>
  <c r="J65" i="82"/>
  <c r="G65" i="82"/>
  <c r="K64" i="82"/>
  <c r="J64" i="82"/>
  <c r="G64" i="82"/>
  <c r="K63" i="82"/>
  <c r="J63" i="82"/>
  <c r="G63" i="82"/>
  <c r="K62" i="82"/>
  <c r="J62" i="82"/>
  <c r="G62" i="82"/>
  <c r="K61" i="82"/>
  <c r="J61" i="82"/>
  <c r="G61" i="82"/>
  <c r="K60" i="82"/>
  <c r="J60" i="82"/>
  <c r="G60" i="82"/>
  <c r="K59" i="82"/>
  <c r="J59" i="82"/>
  <c r="G59" i="82"/>
  <c r="K58" i="82"/>
  <c r="J58" i="82"/>
  <c r="G58" i="82"/>
  <c r="K57" i="82"/>
  <c r="J57" i="82"/>
  <c r="G57" i="82"/>
  <c r="K56" i="82"/>
  <c r="J56" i="82"/>
  <c r="G56" i="82"/>
  <c r="K55" i="82"/>
  <c r="J55" i="82"/>
  <c r="G55" i="82"/>
  <c r="K54" i="82"/>
  <c r="J54" i="82"/>
  <c r="G54" i="82"/>
  <c r="K53" i="82"/>
  <c r="J53" i="82"/>
  <c r="G53" i="82"/>
  <c r="K52" i="82"/>
  <c r="J52" i="82"/>
  <c r="G52" i="82"/>
  <c r="K51" i="82"/>
  <c r="J51" i="82"/>
  <c r="G51" i="82"/>
  <c r="K50" i="82"/>
  <c r="J50" i="82"/>
  <c r="G50" i="82"/>
  <c r="K49" i="82"/>
  <c r="J49" i="82"/>
  <c r="G49" i="82"/>
  <c r="K48" i="82"/>
  <c r="J48" i="82"/>
  <c r="G48" i="82"/>
  <c r="K47" i="82"/>
  <c r="J47" i="82"/>
  <c r="G47" i="82"/>
  <c r="K46" i="82"/>
  <c r="J46" i="82"/>
  <c r="G46" i="82"/>
  <c r="K45" i="82"/>
  <c r="J45" i="82"/>
  <c r="G45" i="82"/>
  <c r="K44" i="82"/>
  <c r="J44" i="82"/>
  <c r="G44" i="82"/>
  <c r="K43" i="82"/>
  <c r="J43" i="82"/>
  <c r="G43" i="82"/>
  <c r="K42" i="82"/>
  <c r="J42" i="82"/>
  <c r="G42" i="82"/>
  <c r="K41" i="82"/>
  <c r="J41" i="82"/>
  <c r="G41" i="82"/>
  <c r="K40" i="82"/>
  <c r="J40" i="82"/>
  <c r="G40" i="82"/>
  <c r="K39" i="82"/>
  <c r="J39" i="82"/>
  <c r="G39" i="82"/>
  <c r="K38" i="82"/>
  <c r="J38" i="82"/>
  <c r="G38" i="82"/>
  <c r="K37" i="82"/>
  <c r="J37" i="82"/>
  <c r="G37" i="82"/>
  <c r="K36" i="82"/>
  <c r="J36" i="82"/>
  <c r="G36" i="82"/>
  <c r="K35" i="82"/>
  <c r="J35" i="82"/>
  <c r="G35" i="82"/>
  <c r="K34" i="82"/>
  <c r="J34" i="82"/>
  <c r="G34" i="82"/>
  <c r="K33" i="82"/>
  <c r="J33" i="82"/>
  <c r="G33" i="82"/>
  <c r="K32" i="82"/>
  <c r="J32" i="82"/>
  <c r="G32" i="82"/>
  <c r="K31" i="82"/>
  <c r="J31" i="82"/>
  <c r="G31" i="82"/>
  <c r="K30" i="82"/>
  <c r="J30" i="82"/>
  <c r="G30" i="82"/>
  <c r="K29" i="82"/>
  <c r="J29" i="82"/>
  <c r="G29" i="82"/>
  <c r="K28" i="82"/>
  <c r="J28" i="82"/>
  <c r="G28" i="82"/>
  <c r="K27" i="82"/>
  <c r="J27" i="82"/>
  <c r="G27" i="82"/>
  <c r="K26" i="82"/>
  <c r="J26" i="82"/>
  <c r="G26" i="82"/>
  <c r="K25" i="82"/>
  <c r="J25" i="82"/>
  <c r="G25" i="82"/>
  <c r="K24" i="82"/>
  <c r="J24" i="82"/>
  <c r="G24" i="82"/>
  <c r="K23" i="82"/>
  <c r="J23" i="82"/>
  <c r="G23" i="82"/>
  <c r="K22" i="82"/>
  <c r="J22" i="82"/>
  <c r="G22" i="82"/>
  <c r="K21" i="82"/>
  <c r="J21" i="82"/>
  <c r="G21" i="82"/>
  <c r="K20" i="82"/>
  <c r="J20" i="82"/>
  <c r="G20" i="82"/>
  <c r="K19" i="82"/>
  <c r="J19" i="82"/>
  <c r="G19" i="82"/>
  <c r="K18" i="82"/>
  <c r="J18" i="82"/>
  <c r="G18" i="82"/>
  <c r="K17" i="82"/>
  <c r="J17" i="82"/>
  <c r="G17" i="82"/>
  <c r="K16" i="82"/>
  <c r="J16" i="82"/>
  <c r="G16" i="82"/>
  <c r="K15" i="82"/>
  <c r="J15" i="82"/>
  <c r="G15" i="82"/>
  <c r="K14" i="82"/>
  <c r="J14" i="82"/>
  <c r="G14" i="82"/>
  <c r="K13" i="82"/>
  <c r="J13" i="82"/>
  <c r="G13" i="82"/>
  <c r="K12" i="82"/>
  <c r="J12" i="82"/>
  <c r="G12" i="82"/>
  <c r="K11" i="82"/>
  <c r="J11" i="82"/>
  <c r="G11" i="82"/>
  <c r="K10" i="82"/>
  <c r="J10" i="82"/>
  <c r="G10" i="82"/>
  <c r="K9" i="82"/>
  <c r="J9" i="82"/>
  <c r="G9" i="82"/>
  <c r="K8" i="82"/>
  <c r="J8" i="82"/>
  <c r="G8" i="82"/>
  <c r="K7" i="82"/>
  <c r="J7" i="82"/>
  <c r="G7" i="82"/>
  <c r="K6" i="82"/>
  <c r="J6" i="82"/>
  <c r="G6" i="82"/>
  <c r="K5" i="82"/>
  <c r="J5" i="82"/>
  <c r="G5" i="82"/>
  <c r="K4" i="82"/>
  <c r="J4" i="82"/>
  <c r="G4" i="82"/>
  <c r="K3" i="82"/>
  <c r="J3" i="82"/>
  <c r="G3" i="82"/>
  <c r="C2" i="82"/>
  <c r="K2" i="82"/>
  <c r="J2" i="82"/>
  <c r="G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<sst xmlns="http://schemas.openxmlformats.org/spreadsheetml/2006/main" count="212" uniqueCount="107">
  <si>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</si>
  <si>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</si>
  <si>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</si>
  <si>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</si>
  <si>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</si>
  <si>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</si>
  <si>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</si>
  <si>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</si>
  <si>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</si>
  <si>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</si>
  <si>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</si>
  <si>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</si>
  <si>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</si>
  <si>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</si>
  <si>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</si>
  <si>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</si>
  <si>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</si>
  <si>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</si>
  <si>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</si>
  <si>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</si>
  <si>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</si>
  <si>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</si>
  <si>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</si>
  <si>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</si>
  <si>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</si>
  <si>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</si>
  <si>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</si>
  <si>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</si>
  <si>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</si>
  <si>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</si>
  <si>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</si>
  <si>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</si>
  <si>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</si>
  <si>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</si>
  <si>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</si>
  <si>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</si>
  <si>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</si>
  <si>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</si>
  <si>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</si>
  <si>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</si>
  <si>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</si>
  <si>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</si>
  <si>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</si>
  <si>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</si>
  <si>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</si>
  <si>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</si>
  <si>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</si>
  <si>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</si>
  <si>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</si>
  <si>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</si>
  <si>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</si>
  <si>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</si>
  <si>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</si>
  <si>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</si>
  <si>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</si>
  <si>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</si>
  <si>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</si>
  <si>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</si>
  <si>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</si>
  <si>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</si>
  <si>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</si>
  <si>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</si>
  <si>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</si>
  <si>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</si>
  <si>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</si>
  <si>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</si>
  <si>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</si>
  <si>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</si>
  <si>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</si>
  <si>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</si>
  <si>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</si>
  <si>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</si>
  <si>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</si>
  <si>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</si>
  <si>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</si>
  <si>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</si>
  <si>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</si>
  <si>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</si>
  <si>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</si>
  <si>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</si>
  <si>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name</t>
    <phoneticPr fontId="11"/>
  </si>
  <si>
    <t>バグ設定ユニット数</t>
    <rPh sb="2" eb="9">
      <t>セッテイy</t>
    </rPh>
    <phoneticPr fontId="11"/>
  </si>
  <si>
    <t>unit_level</t>
    <phoneticPr fontId="11"/>
  </si>
  <si>
    <t>フェス限定キャラ数</t>
    <rPh sb="3" eb="8">
      <t>ゲン</t>
    </rPh>
    <rPh sb="8" eb="9">
      <t>シュt</t>
    </rPh>
    <phoneticPr fontId="11"/>
  </si>
  <si>
    <t>確定枠</t>
    <rPh sb="0" eb="3">
      <t>カクテ</t>
    </rPh>
    <phoneticPr fontId="11"/>
  </si>
  <si>
    <t>今回のガチャID</t>
    <rPh sb="0" eb="3">
      <t>コンカ</t>
    </rPh>
    <phoneticPr fontId="11"/>
  </si>
  <si>
    <t>other</t>
    <phoneticPr fontId="11"/>
  </si>
  <si>
    <t>レベル設定ユニット数</t>
    <rPh sb="3" eb="10">
      <t>セッテイy</t>
    </rPh>
    <phoneticPr fontId="11"/>
  </si>
  <si>
    <t>１、２ステップ目</t>
    <rPh sb="7" eb="8">
      <t>m</t>
    </rPh>
    <phoneticPr fontId="11"/>
  </si>
  <si>
    <t>new</t>
    <phoneticPr fontId="11"/>
  </si>
  <si>
    <t>new</t>
    <phoneticPr fontId="11"/>
  </si>
  <si>
    <t>PremiumSS</t>
    <phoneticPr fontId="11"/>
  </si>
  <si>
    <t>new</t>
    <phoneticPr fontId="11"/>
  </si>
  <si>
    <t>new</t>
    <phoneticPr fontId="11"/>
  </si>
  <si>
    <t>PremiumSS</t>
    <phoneticPr fontId="11"/>
  </si>
  <si>
    <t>３ステップ目</t>
    <rPh sb="5" eb="6">
      <t>m</t>
    </rPh>
    <phoneticPr fontId="11"/>
  </si>
  <si>
    <t>4ステップ目</t>
    <rPh sb="5" eb="6">
      <t>m</t>
    </rPh>
    <phoneticPr fontId="11"/>
  </si>
  <si>
    <t>5ステップ目以降</t>
    <rPh sb="5" eb="6">
      <t>m</t>
    </rPh>
    <rPh sb="6" eb="8">
      <t>イコ</t>
    </rPh>
    <phoneticPr fontId="11"/>
  </si>
  <si>
    <t>unit</t>
  </si>
  <si>
    <t>ja</t>
  </si>
  <si>
    <t>unit</t>
    <phoneticPr fontId="11"/>
  </si>
  <si>
    <t>ja</t>
    <phoneticPr fontId="11"/>
  </si>
  <si>
    <t>秘術の果実 × 3個</t>
    <rPh sb="0" eb="5">
      <t>ヒジュt</t>
    </rPh>
    <rPh sb="9" eb="10">
      <t>k</t>
    </rPh>
    <phoneticPr fontId="11"/>
  </si>
  <si>
    <t>秘術の果実 × 1個</t>
    <rPh sb="0" eb="5">
      <t>ヒジュt</t>
    </rPh>
    <rPh sb="9" eb="10">
      <t>k</t>
    </rPh>
    <phoneticPr fontId="11"/>
  </si>
  <si>
    <t>200万DL記念ガチャのプレゼント</t>
    <phoneticPr fontId="11"/>
  </si>
  <si>
    <t>４ステップ目の特典として秘術の果実をプレゼント！</t>
    <rPh sb="5" eb="6">
      <t>m</t>
    </rPh>
    <rPh sb="12" eb="17">
      <t>ヒジュt</t>
    </rPh>
    <phoneticPr fontId="11"/>
  </si>
  <si>
    <t>５ステップ目の特典として秘術の果実をプレゼント！</t>
    <rPh sb="5" eb="6">
      <t>m</t>
    </rPh>
    <rPh sb="12" eb="17">
      <t>ヒジュt</t>
    </rPh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</si>
</sst>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rgb="FFFFFFFF"/>
      <name val="ＭＳ Ｐゴシック"/>
      <family val="3"/>
      <charset val="128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0000"/>
        <bgColor rgb="FF000000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603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58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2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3" borderId="1" xfId="2978" applyFont="1" applyFill="1" applyBorder="1"/>
    <xf numFmtId="0" fontId="4" fillId="23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3" borderId="1" xfId="0" applyFont="1" applyFill="1" applyBorder="1"/>
    <xf numFmtId="0" fontId="2" fillId="0" borderId="1" xfId="3036" applyFont="1" applyBorder="1"/>
    <xf numFmtId="0" fontId="16" fillId="0" borderId="0" xfId="2" applyFont="1" applyBorder="1" applyAlignment="1">
      <alignment vertical="center"/>
    </xf>
    <xf numFmtId="0" fontId="44" fillId="24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4" fillId="25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6" borderId="18" xfId="0" applyFill="1" applyBorder="1"/>
    <xf numFmtId="0" fontId="0" fillId="26" borderId="20" xfId="0" applyFill="1" applyBorder="1"/>
    <xf numFmtId="0" fontId="0" fillId="3" borderId="1" xfId="0" applyFill="1" applyBorder="1" applyAlignment="1">
      <alignment horizontal="center" vertical="top"/>
    </xf>
    <xf numFmtId="9" fontId="0" fillId="0" borderId="0" xfId="0" applyNumberFormat="1"/>
    <xf numFmtId="0" fontId="0" fillId="0" borderId="0" xfId="0" applyBorder="1"/>
    <xf numFmtId="0" fontId="0" fillId="0" borderId="0" xfId="0" applyBorder="1" applyAlignment="1"/>
    <xf numFmtId="0" fontId="17" fillId="0" borderId="1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47" fillId="27" borderId="1" xfId="0" applyFont="1" applyFill="1" applyBorder="1" applyAlignment="1">
      <alignment vertical="center"/>
    </xf>
    <xf numFmtId="0" fontId="44" fillId="0" borderId="1" xfId="0" applyFont="1" applyBorder="1" applyAlignment="1">
      <alignment vertical="center"/>
    </xf>
    <xf numFmtId="0" fontId="44" fillId="0" borderId="1" xfId="0" applyFont="1" applyBorder="1" applyAlignment="1">
      <alignment vertical="center" wrapText="1"/>
    </xf>
  </cellXfs>
  <cellStyles count="3603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オーディンシルエット</v>
          </cell>
          <cell r="H332" t="str">
            <v>blue</v>
          </cell>
          <cell r="I332">
            <v>5</v>
          </cell>
          <cell r="J332" t="str">
            <v>PremiumSSS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technical</v>
          </cell>
          <cell r="L488" t="str">
            <v>テクニカルタイプ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PremiumS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PremiumW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PremiumW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PremiumW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スキル進化素材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PremiumSS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PremiumSS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PremiumS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PremiumS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ピュグヴィルとベイラ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balance</v>
          </cell>
          <cell r="L578" t="str">
            <v>バランスタイプ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ピュグヴィルとベイラ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balance</v>
          </cell>
          <cell r="L579" t="str">
            <v>バランスタイプ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PremiumS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PremiumS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PremiumN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PremiumN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PremiumN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PremiumN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green</v>
          </cell>
          <cell r="I626">
            <v>4</v>
          </cell>
          <cell r="J626" t="str">
            <v>PremiumN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green</v>
          </cell>
          <cell r="I627">
            <v>5</v>
          </cell>
          <cell r="J627" t="str">
            <v>PremiumN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ユークリット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PremiumS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ユークリット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PremiumS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PremiumSS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PremiumSS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human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human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human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human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human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human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human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human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human</v>
          </cell>
        </row>
        <row r="643">
          <cell r="A643">
            <v>642</v>
          </cell>
          <cell r="B643" t="str">
            <v>ja</v>
          </cell>
          <cell r="C643" t="str">
            <v>マーラ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PremiumS</v>
          </cell>
          <cell r="K643" t="str">
            <v>attack</v>
          </cell>
          <cell r="L643" t="str">
            <v>攻撃タイプ</v>
          </cell>
          <cell r="M643" t="str">
            <v>human</v>
          </cell>
        </row>
        <row r="644">
          <cell r="A644">
            <v>643</v>
          </cell>
          <cell r="B644" t="str">
            <v>ja</v>
          </cell>
          <cell r="C644" t="str">
            <v>マーラ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PremiumS</v>
          </cell>
          <cell r="K644" t="str">
            <v>attack</v>
          </cell>
          <cell r="L644" t="str">
            <v>攻撃タイプ</v>
          </cell>
          <cell r="M644" t="str">
            <v>human</v>
          </cell>
        </row>
        <row r="645">
          <cell r="A645">
            <v>644</v>
          </cell>
          <cell r="B645" t="str">
            <v>ja</v>
          </cell>
          <cell r="C645" t="str">
            <v>カラス天狗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PremiumS</v>
          </cell>
          <cell r="K645" t="str">
            <v>attack</v>
          </cell>
          <cell r="L645" t="str">
            <v>攻撃タイプ</v>
          </cell>
          <cell r="M645" t="str">
            <v>animal</v>
          </cell>
        </row>
        <row r="646">
          <cell r="A646">
            <v>645</v>
          </cell>
          <cell r="B646" t="str">
            <v>ja</v>
          </cell>
          <cell r="C646" t="str">
            <v>カラス天狗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PremiumS</v>
          </cell>
          <cell r="K646" t="str">
            <v>attack</v>
          </cell>
          <cell r="L646" t="str">
            <v>攻撃タイプ</v>
          </cell>
          <cell r="M646" t="str">
            <v>animal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PremiumS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PremiumS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yellow</v>
          </cell>
          <cell r="I655">
            <v>4</v>
          </cell>
          <cell r="J655" t="str">
            <v>PremiumS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yellow</v>
          </cell>
          <cell r="I656">
            <v>5</v>
          </cell>
          <cell r="J656" t="str">
            <v>PremiumS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PremiumS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PremiumS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red</v>
          </cell>
          <cell r="I659">
            <v>3</v>
          </cell>
          <cell r="J659" t="str">
            <v>PremiumS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red</v>
          </cell>
          <cell r="I660">
            <v>4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化け猫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red</v>
          </cell>
          <cell r="I661">
            <v>5</v>
          </cell>
          <cell r="J661" t="str">
            <v>PremiumSS</v>
          </cell>
          <cell r="K661" t="str">
            <v>attack</v>
          </cell>
          <cell r="L661" t="str">
            <v>攻撃タイプ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ぬらりひょん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4</v>
          </cell>
          <cell r="J662" t="str">
            <v>PremiumSS</v>
          </cell>
          <cell r="K662" t="str">
            <v>technical</v>
          </cell>
          <cell r="L662" t="str">
            <v>テクニカルタイプ</v>
          </cell>
          <cell r="M662" t="str">
            <v>unknown</v>
          </cell>
        </row>
        <row r="663">
          <cell r="A663">
            <v>662</v>
          </cell>
          <cell r="B663" t="str">
            <v>ja</v>
          </cell>
          <cell r="C663" t="str">
            <v>ぬらりひょん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green</v>
          </cell>
          <cell r="I663">
            <v>5</v>
          </cell>
          <cell r="J663" t="str">
            <v>PremiumSS</v>
          </cell>
          <cell r="K663" t="str">
            <v>technical</v>
          </cell>
          <cell r="L663" t="str">
            <v>テクニカルタイプ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3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4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デイダラボッチ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blue</v>
          </cell>
          <cell r="I666">
            <v>5</v>
          </cell>
          <cell r="J666" t="str">
            <v>PremiumS</v>
          </cell>
          <cell r="K666" t="str">
            <v>hp</v>
          </cell>
          <cell r="L666" t="str">
            <v>体力タイプ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yellow</v>
          </cell>
          <cell r="I667">
            <v>3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yellow</v>
          </cell>
          <cell r="I668">
            <v>4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座敷童子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yellow</v>
          </cell>
          <cell r="I669">
            <v>5</v>
          </cell>
          <cell r="J669" t="str">
            <v>PremiumS</v>
          </cell>
          <cell r="K669" t="str">
            <v>balance</v>
          </cell>
          <cell r="L669" t="str">
            <v>バランスタイプ</v>
          </cell>
          <cell r="M669" t="str">
            <v>unknown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3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4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アグニ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red</v>
          </cell>
          <cell r="I672">
            <v>5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3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4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ハヌマーン</v>
          </cell>
          <cell r="D675" t="str">
            <v>各属性相性良3・黄・R292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green</v>
          </cell>
          <cell r="I675">
            <v>5</v>
          </cell>
          <cell r="J675" t="str">
            <v>PremiumS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各属性相性良3・黄・R293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3</v>
          </cell>
          <cell r="J676" t="str">
            <v>PremiumS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サラスヴァティ</v>
          </cell>
          <cell r="D677" t="str">
            <v>各属性相性良3・黄・R294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blue</v>
          </cell>
          <cell r="I677">
            <v>4</v>
          </cell>
          <cell r="J677" t="str">
            <v>PremiumS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サラスヴァティ</v>
          </cell>
          <cell r="D678" t="str">
            <v>各属性相性良3・黄・R295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blue</v>
          </cell>
          <cell r="I678">
            <v>5</v>
          </cell>
          <cell r="J678" t="str">
            <v>PremiumS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ヴィシュヌ</v>
          </cell>
          <cell r="D679" t="str">
            <v>各属性相性良3・黄・R296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yellow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ヴィシュヌ</v>
          </cell>
          <cell r="D680" t="str">
            <v>各属性相性良3・黄・R297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yellow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各属性相性良3・黄・R298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yellow</v>
          </cell>
          <cell r="I681">
            <v>5</v>
          </cell>
          <cell r="J681" t="str">
            <v>PremiumS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各属性相性良3・黄・R299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6</v>
          </cell>
          <cell r="J682" t="str">
            <v>PremiumS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各属性相性良3・黄・R300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5</v>
          </cell>
          <cell r="J683" t="str">
            <v>PremiumS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各属性相性良3・黄・R301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PremiumS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各属性相性良3・黄・R302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5</v>
          </cell>
          <cell r="J685" t="str">
            <v>PremiumS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各属性相性良3・黄・R303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PremiumS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各属性相性良3・黄・R304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5</v>
          </cell>
          <cell r="J687" t="str">
            <v>PremiumS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  <row r="688">
          <cell r="A688">
            <v>687</v>
          </cell>
          <cell r="B688" t="str">
            <v>ja</v>
          </cell>
          <cell r="C688" t="str">
            <v>プレゼントケロケロ</v>
          </cell>
          <cell r="D688" t="str">
            <v>各属性相性良3・黄・R305</v>
          </cell>
          <cell r="E688" t="str">
            <v>執行者</v>
          </cell>
          <cell r="F688" t="str">
            <v>格好いい</v>
          </cell>
          <cell r="G688" t="str">
            <v>男性</v>
          </cell>
          <cell r="H688" t="str">
            <v>blue</v>
          </cell>
          <cell r="I688">
            <v>5</v>
          </cell>
          <cell r="J688" t="str">
            <v>PremiumS</v>
          </cell>
          <cell r="K688" t="str">
            <v>attack</v>
          </cell>
          <cell r="L688" t="str">
            <v>攻撃タイプ</v>
          </cell>
          <cell r="M688" t="str">
            <v>human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各属性相性良3・黄・R306</v>
          </cell>
          <cell r="E689" t="str">
            <v>執行者</v>
          </cell>
          <cell r="F689" t="str">
            <v>格好いい</v>
          </cell>
          <cell r="G689" t="str">
            <v>男性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ユークリッド R5</v>
          </cell>
          <cell r="D690" t="str">
            <v>各属性相性良3・黄・R307</v>
          </cell>
          <cell r="E690" t="str">
            <v>執行者</v>
          </cell>
          <cell r="F690" t="str">
            <v>格好いい</v>
          </cell>
          <cell r="G690" t="str">
            <v>男性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各属性相性良3・黄・R308</v>
          </cell>
          <cell r="E691" t="str">
            <v>執行者</v>
          </cell>
          <cell r="F691" t="str">
            <v>格好いい</v>
          </cell>
          <cell r="G691" t="str">
            <v>男性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各属性相性良3・黄・R309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5</v>
          </cell>
          <cell r="J692" t="str">
            <v>PremiumS</v>
          </cell>
          <cell r="K692" t="str">
            <v>attack</v>
          </cell>
          <cell r="L692" t="str">
            <v>攻撃タイプ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黒沼青葉</v>
          </cell>
          <cell r="D693" t="str">
            <v>各属性相性良3・黄・R310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PremiumS</v>
          </cell>
          <cell r="K693" t="str">
            <v>attack</v>
          </cell>
          <cell r="L693" t="str">
            <v>攻撃タイプ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各属性相性良3・黄・R311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blue</v>
          </cell>
          <cell r="I694">
            <v>5</v>
          </cell>
          <cell r="J694" t="str">
            <v>PremiumS</v>
          </cell>
          <cell r="K694" t="str">
            <v>attack</v>
          </cell>
          <cell r="L694" t="str">
            <v>攻撃タイプ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紀田正臣</v>
          </cell>
          <cell r="D695" t="str">
            <v>各属性相性良3・黄・R312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blue</v>
          </cell>
          <cell r="I695">
            <v>5</v>
          </cell>
          <cell r="J695" t="str">
            <v>PremiumS</v>
          </cell>
          <cell r="K695" t="str">
            <v>attack</v>
          </cell>
          <cell r="L695" t="str">
            <v>攻撃タイプ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各属性相性良3・黄・R313</v>
          </cell>
          <cell r="E696" t="str">
            <v>執行者</v>
          </cell>
          <cell r="F696" t="str">
            <v>格好いい</v>
          </cell>
          <cell r="G696" t="str">
            <v>男性</v>
          </cell>
          <cell r="H696" t="str">
            <v>blue</v>
          </cell>
          <cell r="I696">
            <v>5</v>
          </cell>
          <cell r="J696" t="str">
            <v>PremiumS</v>
          </cell>
          <cell r="K696" t="str">
            <v>attack</v>
          </cell>
          <cell r="L696" t="str">
            <v>攻撃タイプ</v>
          </cell>
          <cell r="M696" t="str">
            <v>human</v>
          </cell>
        </row>
        <row r="697">
          <cell r="A697">
            <v>696</v>
          </cell>
          <cell r="B697" t="str">
            <v>ja</v>
          </cell>
          <cell r="C697" t="str">
            <v>セルティ</v>
          </cell>
          <cell r="D697" t="str">
            <v>各属性相性良3・黄・R314</v>
          </cell>
          <cell r="E697" t="str">
            <v>執行者</v>
          </cell>
          <cell r="F697" t="str">
            <v>格好いい</v>
          </cell>
          <cell r="G697" t="str">
            <v>男性</v>
          </cell>
          <cell r="H697" t="str">
            <v>blue</v>
          </cell>
          <cell r="I697">
            <v>5</v>
          </cell>
          <cell r="J697" t="str">
            <v>PremiumS</v>
          </cell>
          <cell r="K697" t="str">
            <v>attack</v>
          </cell>
          <cell r="L697" t="str">
            <v>攻撃タイプ</v>
          </cell>
          <cell r="M697" t="str">
            <v>human</v>
          </cell>
        </row>
        <row r="698">
          <cell r="A698">
            <v>697</v>
          </cell>
          <cell r="B698" t="str">
            <v>ja</v>
          </cell>
          <cell r="C698" t="str">
            <v>セルティ</v>
          </cell>
          <cell r="D698" t="str">
            <v>各属性相性良3・黄・R315</v>
          </cell>
          <cell r="E698" t="str">
            <v>執行者</v>
          </cell>
          <cell r="F698" t="str">
            <v>格好いい</v>
          </cell>
          <cell r="G698" t="str">
            <v>男性</v>
          </cell>
          <cell r="H698" t="str">
            <v>blue</v>
          </cell>
          <cell r="I698">
            <v>5</v>
          </cell>
          <cell r="J698" t="str">
            <v>PremiumS</v>
          </cell>
          <cell r="K698" t="str">
            <v>attack</v>
          </cell>
          <cell r="L698" t="str">
            <v>攻撃タイプ</v>
          </cell>
          <cell r="M698" t="str">
            <v>human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各属性相性良3・黄・R316</v>
          </cell>
          <cell r="E699" t="str">
            <v>執行者</v>
          </cell>
          <cell r="F699" t="str">
            <v>格好いい</v>
          </cell>
          <cell r="G699" t="str">
            <v>男性</v>
          </cell>
          <cell r="H699" t="str">
            <v>blue</v>
          </cell>
          <cell r="I699">
            <v>5</v>
          </cell>
          <cell r="J699" t="str">
            <v>PremiumS</v>
          </cell>
          <cell r="K699" t="str">
            <v>attack</v>
          </cell>
          <cell r="L699" t="str">
            <v>攻撃タイプ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園原杏里</v>
          </cell>
          <cell r="D700" t="str">
            <v>各属性相性良3・黄・R317</v>
          </cell>
          <cell r="E700" t="str">
            <v>執行者</v>
          </cell>
          <cell r="F700" t="str">
            <v>格好いい</v>
          </cell>
          <cell r="G700" t="str">
            <v>男性</v>
          </cell>
          <cell r="H700" t="str">
            <v>blue</v>
          </cell>
          <cell r="I700">
            <v>5</v>
          </cell>
          <cell r="J700" t="str">
            <v>PremiumS</v>
          </cell>
          <cell r="K700" t="str">
            <v>attack</v>
          </cell>
          <cell r="L700" t="str">
            <v>攻撃タイプ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各属性相性良3・黄・R318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PremiumS</v>
          </cell>
          <cell r="K701" t="str">
            <v>attack</v>
          </cell>
          <cell r="L701" t="str">
            <v>攻撃タイプ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折原臨也</v>
          </cell>
          <cell r="D702" t="str">
            <v>各属性相性良3・黄・R319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5</v>
          </cell>
          <cell r="J702" t="str">
            <v>PremiumS</v>
          </cell>
          <cell r="K702" t="str">
            <v>attack</v>
          </cell>
          <cell r="L702" t="str">
            <v>攻撃タイプ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各属性相性良3・黄・R320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blue</v>
          </cell>
          <cell r="I703">
            <v>5</v>
          </cell>
          <cell r="J703" t="str">
            <v>PremiumS</v>
          </cell>
          <cell r="K703" t="str">
            <v>attack</v>
          </cell>
          <cell r="L703" t="str">
            <v>攻撃タイプ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サイモン</v>
          </cell>
          <cell r="D704" t="str">
            <v>各属性相性良3・黄・R321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blue</v>
          </cell>
          <cell r="I704">
            <v>5</v>
          </cell>
          <cell r="J704" t="str">
            <v>PremiumS</v>
          </cell>
          <cell r="K704" t="str">
            <v>attack</v>
          </cell>
          <cell r="L704" t="str">
            <v>攻撃タイプ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各属性相性良3・黄・R322</v>
          </cell>
          <cell r="E705" t="str">
            <v>執行者</v>
          </cell>
          <cell r="F705" t="str">
            <v>格好いい</v>
          </cell>
          <cell r="G705" t="str">
            <v>男性</v>
          </cell>
          <cell r="H705" t="str">
            <v>blue</v>
          </cell>
          <cell r="I705">
            <v>5</v>
          </cell>
          <cell r="J705" t="str">
            <v>PremiumS</v>
          </cell>
          <cell r="K705" t="str">
            <v>attack</v>
          </cell>
          <cell r="L705" t="str">
            <v>攻撃タイプ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贄川春奈</v>
          </cell>
          <cell r="D706" t="str">
            <v>各属性相性良3・黄・R323</v>
          </cell>
          <cell r="E706" t="str">
            <v>執行者</v>
          </cell>
          <cell r="F706" t="str">
            <v>格好いい</v>
          </cell>
          <cell r="G706" t="str">
            <v>男性</v>
          </cell>
          <cell r="H706" t="str">
            <v>blue</v>
          </cell>
          <cell r="I706">
            <v>5</v>
          </cell>
          <cell r="J706" t="str">
            <v>PremiumS</v>
          </cell>
          <cell r="K706" t="str">
            <v>attack</v>
          </cell>
          <cell r="L706" t="str">
            <v>攻撃タイプ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各属性相性良3・黄・R324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blue</v>
          </cell>
          <cell r="I707">
            <v>5</v>
          </cell>
          <cell r="J707" t="str">
            <v>PremiumS</v>
          </cell>
          <cell r="K707" t="str">
            <v>attack</v>
          </cell>
          <cell r="L707" t="str">
            <v>攻撃タイプ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岸谷新羅</v>
          </cell>
          <cell r="D708" t="str">
            <v>各属性相性良3・黄・R325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blue</v>
          </cell>
          <cell r="I708">
            <v>5</v>
          </cell>
          <cell r="J708" t="str">
            <v>PremiumS</v>
          </cell>
          <cell r="K708" t="str">
            <v>attack</v>
          </cell>
          <cell r="L708" t="str">
            <v>攻撃タイプ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門田京介</v>
          </cell>
          <cell r="D709" t="str">
            <v>各属性相性良3・黄・R326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blue</v>
          </cell>
          <cell r="I709">
            <v>5</v>
          </cell>
          <cell r="J709" t="str">
            <v>PremiumS</v>
          </cell>
          <cell r="K709" t="str">
            <v>attack</v>
          </cell>
          <cell r="L709" t="str">
            <v>攻撃タイプ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門田京介</v>
          </cell>
          <cell r="D710" t="str">
            <v>各属性相性良3・黄・R327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blue</v>
          </cell>
          <cell r="I710">
            <v>5</v>
          </cell>
          <cell r="J710" t="str">
            <v>PremiumS</v>
          </cell>
          <cell r="K710" t="str">
            <v>attack</v>
          </cell>
          <cell r="L710" t="str">
            <v>攻撃タイプ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各属性相性良3・黄・R328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</v>
          </cell>
          <cell r="K711" t="str">
            <v>attack</v>
          </cell>
          <cell r="L711" t="str">
            <v>攻撃タイプ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田中トム</v>
          </cell>
          <cell r="D712" t="str">
            <v>各属性相性良3・黄・R329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5</v>
          </cell>
          <cell r="J712" t="str">
            <v>PremiumS</v>
          </cell>
          <cell r="K712" t="str">
            <v>attack</v>
          </cell>
          <cell r="L712" t="str">
            <v>攻撃タイプ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各属性相性良3・黄・R330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</v>
          </cell>
          <cell r="K713" t="str">
            <v>attack</v>
          </cell>
          <cell r="L713" t="str">
            <v>攻撃タイプ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竜ヶ峰帝人</v>
          </cell>
          <cell r="D714" t="str">
            <v>各属性相性良3・黄・R331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5</v>
          </cell>
          <cell r="J714" t="str">
            <v>PremiumS</v>
          </cell>
          <cell r="K714" t="str">
            <v>attack</v>
          </cell>
          <cell r="L714" t="str">
            <v>攻撃タイプ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各属性相性良3・黄・R332</v>
          </cell>
          <cell r="E715" t="str">
            <v>執行者</v>
          </cell>
          <cell r="F715" t="str">
            <v>格好いい</v>
          </cell>
          <cell r="G715" t="str">
            <v>男性</v>
          </cell>
          <cell r="H715" t="str">
            <v>blue</v>
          </cell>
          <cell r="I715">
            <v>5</v>
          </cell>
          <cell r="J715" t="str">
            <v>PremiumS</v>
          </cell>
          <cell r="K715" t="str">
            <v>attack</v>
          </cell>
          <cell r="L715" t="str">
            <v>攻撃タイプ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粟楠茜</v>
          </cell>
          <cell r="D716" t="str">
            <v>各属性相性良3・黄・R333</v>
          </cell>
          <cell r="E716" t="str">
            <v>執行者</v>
          </cell>
          <cell r="F716" t="str">
            <v>格好いい</v>
          </cell>
          <cell r="G716" t="str">
            <v>男性</v>
          </cell>
          <cell r="H716" t="str">
            <v>blue</v>
          </cell>
          <cell r="I716">
            <v>5</v>
          </cell>
          <cell r="J716" t="str">
            <v>PremiumS</v>
          </cell>
          <cell r="K716" t="str">
            <v>attack</v>
          </cell>
          <cell r="L716" t="str">
            <v>攻撃タイプ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各属性相性良3・黄・R334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blue</v>
          </cell>
          <cell r="I717">
            <v>5</v>
          </cell>
          <cell r="J717" t="str">
            <v>PremiumS</v>
          </cell>
          <cell r="K717" t="str">
            <v>attack</v>
          </cell>
          <cell r="L717" t="str">
            <v>攻撃タイプ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平和島静雄</v>
          </cell>
          <cell r="D718" t="str">
            <v>各属性相性良3・黄・R335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blue</v>
          </cell>
          <cell r="I718">
            <v>5</v>
          </cell>
          <cell r="J718" t="str">
            <v>PremiumS</v>
          </cell>
          <cell r="K718" t="str">
            <v>attack</v>
          </cell>
          <cell r="L718" t="str">
            <v>攻撃タイプ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各属性相性良3・黄・R336</v>
          </cell>
          <cell r="E719" t="str">
            <v>執行者</v>
          </cell>
          <cell r="F719" t="str">
            <v>格好いい</v>
          </cell>
          <cell r="G719" t="str">
            <v>男性</v>
          </cell>
          <cell r="H719" t="str">
            <v>blue</v>
          </cell>
          <cell r="I719">
            <v>5</v>
          </cell>
          <cell r="J719" t="str">
            <v>PremiumS</v>
          </cell>
          <cell r="K719" t="str">
            <v>attack</v>
          </cell>
          <cell r="L719" t="str">
            <v>攻撃タイプ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ヴァローナ</v>
          </cell>
          <cell r="D720" t="str">
            <v>各属性相性良3・黄・R337</v>
          </cell>
          <cell r="E720" t="str">
            <v>執行者</v>
          </cell>
          <cell r="F720" t="str">
            <v>格好いい</v>
          </cell>
          <cell r="G720" t="str">
            <v>男性</v>
          </cell>
          <cell r="H720" t="str">
            <v>blue</v>
          </cell>
          <cell r="I720">
            <v>5</v>
          </cell>
          <cell r="J720" t="str">
            <v>PremiumS</v>
          </cell>
          <cell r="K720" t="str">
            <v>attack</v>
          </cell>
          <cell r="L720" t="str">
            <v>攻撃タイプ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各属性相性良3・黄・R338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5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各属性相性良3・黄・R339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各属性相性良3・黄・R340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5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各属性相性良3・黄・R341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上杉謙信</v>
          </cell>
          <cell r="D725" t="str">
            <v>各属性相性良3・黄・R342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上杉謙信</v>
          </cell>
          <cell r="D726" t="str">
            <v>各属性相性良3・黄・R343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各属性相性良3・黄・R344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各属性相性良3・黄・R345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各属性相性良3・黄・R346</v>
          </cell>
          <cell r="E729" t="str">
            <v>執行者</v>
          </cell>
          <cell r="F729" t="str">
            <v>格好いい</v>
          </cell>
          <cell r="G729" t="str">
            <v>男性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各属性相性良3・黄・R347</v>
          </cell>
          <cell r="E730" t="str">
            <v>執行者</v>
          </cell>
          <cell r="F730" t="str">
            <v>格好いい</v>
          </cell>
          <cell r="G730" t="str">
            <v>男性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各属性相性良3・黄・R348</v>
          </cell>
          <cell r="E731" t="str">
            <v>執行者</v>
          </cell>
          <cell r="F731" t="str">
            <v>格好いい</v>
          </cell>
          <cell r="G731" t="str">
            <v>男性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各属性相性良3・黄・R349</v>
          </cell>
          <cell r="E732" t="str">
            <v>執行者</v>
          </cell>
          <cell r="F732" t="str">
            <v>格好いい</v>
          </cell>
          <cell r="G732" t="str">
            <v>男性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ガラシャ</v>
          </cell>
          <cell r="D733" t="str">
            <v>各属性相性良3・黄・R350</v>
          </cell>
          <cell r="E733" t="str">
            <v>執行者</v>
          </cell>
          <cell r="F733" t="str">
            <v>格好いい</v>
          </cell>
          <cell r="G733" t="str">
            <v>男性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各属性相性良3・黄・R351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各属性相性良3・黄・R352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信玄</v>
          </cell>
          <cell r="D736" t="str">
            <v>各属性相性良3・黄・R353</v>
          </cell>
          <cell r="E736" t="str">
            <v>執行者</v>
          </cell>
          <cell r="F736" t="str">
            <v>格好いい</v>
          </cell>
          <cell r="G736" t="str">
            <v>男性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信玄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男性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オルトロス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ラドン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テュポーン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パーン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5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5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PremiumS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blue</v>
          </cell>
          <cell r="I759">
            <v>5</v>
          </cell>
          <cell r="J759" t="str">
            <v>PremiumS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blue</v>
          </cell>
          <cell r="I760">
            <v>5</v>
          </cell>
          <cell r="J760" t="str">
            <v>PremiumS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blue</v>
          </cell>
          <cell r="I761">
            <v>5</v>
          </cell>
          <cell r="J761" t="str">
            <v>PremiumS</v>
          </cell>
          <cell r="K761" t="str">
            <v>attack</v>
          </cell>
          <cell r="L761" t="str">
            <v>攻撃タイプ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blue</v>
          </cell>
          <cell r="I762">
            <v>5</v>
          </cell>
          <cell r="J762" t="str">
            <v>PremiumS</v>
          </cell>
          <cell r="K762" t="str">
            <v>attack</v>
          </cell>
          <cell r="L762" t="str">
            <v>攻撃タイプ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5</v>
          </cell>
          <cell r="J764" t="str">
            <v>PremiumS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バジリスク</v>
          </cell>
          <cell r="D765" t="str">
            <v>各属性相性良3・黄・R382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blue</v>
          </cell>
          <cell r="I765">
            <v>5</v>
          </cell>
          <cell r="J765" t="str">
            <v>PremiumS</v>
          </cell>
          <cell r="K765" t="str">
            <v>attack</v>
          </cell>
          <cell r="L765" t="str">
            <v>攻撃タイプ</v>
          </cell>
          <cell r="M765" t="str">
            <v>human</v>
          </cell>
        </row>
        <row r="766">
          <cell r="A766">
            <v>765</v>
          </cell>
          <cell r="B766" t="str">
            <v>ja</v>
          </cell>
          <cell r="C766" t="str">
            <v>バジリスク</v>
          </cell>
          <cell r="D766" t="str">
            <v>各属性相性良3・黄・R383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blue</v>
          </cell>
          <cell r="I766">
            <v>5</v>
          </cell>
          <cell r="J766" t="str">
            <v>PremiumS</v>
          </cell>
          <cell r="K766" t="str">
            <v>attack</v>
          </cell>
          <cell r="L766" t="str">
            <v>攻撃タイプ</v>
          </cell>
          <cell r="M766" t="str">
            <v>human</v>
          </cell>
        </row>
        <row r="767">
          <cell r="A767">
            <v>766</v>
          </cell>
          <cell r="B767" t="str">
            <v>ja</v>
          </cell>
          <cell r="C767" t="str">
            <v>イナバ</v>
          </cell>
          <cell r="D767" t="str">
            <v>各属性相性良3・黄・R384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blue</v>
          </cell>
          <cell r="I767">
            <v>5</v>
          </cell>
          <cell r="J767" t="str">
            <v>PremiumS</v>
          </cell>
          <cell r="K767" t="str">
            <v>attack</v>
          </cell>
          <cell r="L767" t="str">
            <v>攻撃タイプ</v>
          </cell>
          <cell r="M767" t="str">
            <v>human</v>
          </cell>
        </row>
        <row r="768">
          <cell r="A768">
            <v>767</v>
          </cell>
          <cell r="B768" t="str">
            <v>ja</v>
          </cell>
          <cell r="C768" t="str">
            <v>イナバ</v>
          </cell>
          <cell r="D768" t="str">
            <v>各属性相性良3・黄・R385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blue</v>
          </cell>
          <cell r="I768">
            <v>5</v>
          </cell>
          <cell r="J768" t="str">
            <v>PremiumS</v>
          </cell>
          <cell r="K768" t="str">
            <v>attack</v>
          </cell>
          <cell r="L768" t="str">
            <v>攻撃タイプ</v>
          </cell>
          <cell r="M768" t="str">
            <v>human</v>
          </cell>
        </row>
        <row r="769">
          <cell r="A769">
            <v>768</v>
          </cell>
          <cell r="B769" t="str">
            <v>ja</v>
          </cell>
          <cell r="C769" t="str">
            <v>イナバ</v>
          </cell>
          <cell r="D769" t="str">
            <v>各属性相性良3・黄・R386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blue</v>
          </cell>
          <cell r="I769">
            <v>5</v>
          </cell>
          <cell r="J769" t="str">
            <v>PremiumS</v>
          </cell>
          <cell r="K769" t="str">
            <v>attack</v>
          </cell>
          <cell r="L769" t="str">
            <v>攻撃タイプ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ミケランジェロ</v>
          </cell>
          <cell r="D770" t="str">
            <v>各属性相性良3・黄・R387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blue</v>
          </cell>
          <cell r="I770">
            <v>5</v>
          </cell>
          <cell r="J770" t="str">
            <v>PremiumS</v>
          </cell>
          <cell r="K770" t="str">
            <v>attack</v>
          </cell>
          <cell r="L770" t="str">
            <v>攻撃タイプ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blue</v>
          </cell>
          <cell r="I771">
            <v>5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human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blue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human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blue</v>
          </cell>
          <cell r="I773">
            <v>5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ガラハッド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blue</v>
          </cell>
          <cell r="I774">
            <v>5</v>
          </cell>
          <cell r="J774" t="str">
            <v>PremiumS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ガラハッド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blue</v>
          </cell>
          <cell r="I775">
            <v>5</v>
          </cell>
          <cell r="J775" t="str">
            <v>PremiumS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5</v>
          </cell>
          <cell r="J776" t="str">
            <v>PremiumS</v>
          </cell>
          <cell r="K776" t="str">
            <v>attack</v>
          </cell>
          <cell r="L776" t="str">
            <v>攻撃タイプ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attack</v>
          </cell>
          <cell r="L777" t="str">
            <v>攻撃タイプ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5</v>
          </cell>
          <cell r="J778" t="str">
            <v>PremiumS</v>
          </cell>
          <cell r="K778" t="str">
            <v>attack</v>
          </cell>
          <cell r="L778" t="str">
            <v>攻撃タイプ</v>
          </cell>
          <cell r="M778" t="str">
            <v>human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5</v>
          </cell>
          <cell r="J779" t="str">
            <v>PremiumS</v>
          </cell>
          <cell r="K779" t="str">
            <v>attack</v>
          </cell>
          <cell r="L779" t="str">
            <v>攻撃タイプ</v>
          </cell>
          <cell r="M779" t="str">
            <v>human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attack</v>
          </cell>
          <cell r="L780" t="str">
            <v>攻撃タイプ</v>
          </cell>
          <cell r="M780" t="str">
            <v>human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5</v>
          </cell>
          <cell r="J781" t="str">
            <v>PremiumS</v>
          </cell>
          <cell r="K781" t="str">
            <v>attack</v>
          </cell>
          <cell r="L781" t="str">
            <v>攻撃タイプ</v>
          </cell>
          <cell r="M781" t="str">
            <v>human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5</v>
          </cell>
          <cell r="J782" t="str">
            <v>PremiumS</v>
          </cell>
          <cell r="K782" t="str">
            <v>attack</v>
          </cell>
          <cell r="L782" t="str">
            <v>攻撃タイプ</v>
          </cell>
          <cell r="M782" t="str">
            <v>human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human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5</v>
          </cell>
          <cell r="J784" t="str">
            <v>PremiumS</v>
          </cell>
          <cell r="K784" t="str">
            <v>attack</v>
          </cell>
          <cell r="L784" t="str">
            <v>攻撃タイプ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5</v>
          </cell>
          <cell r="J785" t="str">
            <v>PremiumS</v>
          </cell>
          <cell r="K785" t="str">
            <v>attack</v>
          </cell>
          <cell r="L785" t="str">
            <v>攻撃タイプ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attack</v>
          </cell>
          <cell r="L786" t="str">
            <v>攻撃タイプ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blue</v>
          </cell>
          <cell r="I787">
            <v>5</v>
          </cell>
          <cell r="J787" t="str">
            <v>PremiumS</v>
          </cell>
          <cell r="K787" t="str">
            <v>attack</v>
          </cell>
          <cell r="L787" t="str">
            <v>攻撃タイプ</v>
          </cell>
          <cell r="M787" t="str">
            <v>human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blue</v>
          </cell>
          <cell r="I788">
            <v>5</v>
          </cell>
          <cell r="J788" t="str">
            <v>PremiumS</v>
          </cell>
          <cell r="K788" t="str">
            <v>attack</v>
          </cell>
          <cell r="L788" t="str">
            <v>攻撃タイプ</v>
          </cell>
          <cell r="M788" t="str">
            <v>human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blue</v>
          </cell>
          <cell r="I789">
            <v>5</v>
          </cell>
          <cell r="J789" t="str">
            <v>PremiumS</v>
          </cell>
          <cell r="K789" t="str">
            <v>attack</v>
          </cell>
          <cell r="L789" t="str">
            <v>攻撃タイプ</v>
          </cell>
          <cell r="M789" t="str">
            <v>human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blue</v>
          </cell>
          <cell r="I790">
            <v>5</v>
          </cell>
          <cell r="J790" t="str">
            <v>PremiumS</v>
          </cell>
          <cell r="K790" t="str">
            <v>attack</v>
          </cell>
          <cell r="L790" t="str">
            <v>攻撃タイプ</v>
          </cell>
          <cell r="M790" t="str">
            <v>human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</v>
          </cell>
          <cell r="K791" t="str">
            <v>attack</v>
          </cell>
          <cell r="L791" t="str">
            <v>攻撃タイプ</v>
          </cell>
          <cell r="M791" t="str">
            <v>human</v>
          </cell>
        </row>
        <row r="792">
          <cell r="A792">
            <v>791</v>
          </cell>
          <cell r="B792" t="str">
            <v>ja</v>
          </cell>
          <cell r="C792" t="str">
            <v>ノイマン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5</v>
          </cell>
          <cell r="J792" t="str">
            <v>PremiumS</v>
          </cell>
          <cell r="K792" t="str">
            <v>attack</v>
          </cell>
          <cell r="L792" t="str">
            <v>攻撃タイプ</v>
          </cell>
          <cell r="M792" t="str">
            <v>human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blue</v>
          </cell>
          <cell r="I793">
            <v>5</v>
          </cell>
          <cell r="J793" t="str">
            <v>PremiumS</v>
          </cell>
          <cell r="K793" t="str">
            <v>attack</v>
          </cell>
          <cell r="L793" t="str">
            <v>攻撃タイプ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blue</v>
          </cell>
          <cell r="I794">
            <v>5</v>
          </cell>
          <cell r="J794" t="str">
            <v>PremiumS</v>
          </cell>
          <cell r="K794" t="str">
            <v>attack</v>
          </cell>
          <cell r="L794" t="str">
            <v>攻撃タイプ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制服ハッピー</v>
          </cell>
          <cell r="D795" t="str">
            <v>各属性相性良3・黄・R412</v>
          </cell>
          <cell r="E795" t="str">
            <v>執行者</v>
          </cell>
          <cell r="F795" t="str">
            <v>格好いい</v>
          </cell>
          <cell r="G795" t="str">
            <v>男性</v>
          </cell>
          <cell r="H795" t="str">
            <v>blue</v>
          </cell>
          <cell r="I795">
            <v>5</v>
          </cell>
          <cell r="J795" t="str">
            <v>PremiumS</v>
          </cell>
          <cell r="K795" t="str">
            <v>attack</v>
          </cell>
          <cell r="L795" t="str">
            <v>攻撃タイプ</v>
          </cell>
          <cell r="M795" t="str">
            <v>human</v>
          </cell>
        </row>
        <row r="796">
          <cell r="A796">
            <v>795</v>
          </cell>
          <cell r="B796" t="str">
            <v>ja</v>
          </cell>
          <cell r="C796" t="str">
            <v>桜りんご</v>
          </cell>
          <cell r="D796" t="str">
            <v>各属性相性良3・黄・R413</v>
          </cell>
          <cell r="E796" t="str">
            <v>執行者</v>
          </cell>
          <cell r="F796" t="str">
            <v>格好いい</v>
          </cell>
          <cell r="G796" t="str">
            <v>男性</v>
          </cell>
          <cell r="H796" t="str">
            <v>blue</v>
          </cell>
          <cell r="I796">
            <v>5</v>
          </cell>
          <cell r="J796" t="str">
            <v>PremiumS</v>
          </cell>
          <cell r="K796" t="str">
            <v>attack</v>
          </cell>
          <cell r="L796" t="str">
            <v>攻撃タイプ</v>
          </cell>
          <cell r="M796" t="str">
            <v>human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</v>
          </cell>
          <cell r="K801" t="str">
            <v>attack</v>
          </cell>
          <cell r="L801" t="str">
            <v>攻撃タイプ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blue</v>
          </cell>
          <cell r="I838">
            <v>6</v>
          </cell>
          <cell r="J838" t="str">
            <v>PremiumSS</v>
          </cell>
          <cell r="K838" t="str">
            <v>attack</v>
          </cell>
          <cell r="L838" t="str">
            <v>攻撃タイプ</v>
          </cell>
          <cell r="M838" t="str">
            <v>human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E27" sqref="E27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188</v>
      </c>
      <c r="D2" s="25" t="s">
        <v>60</v>
      </c>
      <c r="E2" s="23" t="str">
        <f ca="1">B2&amp;C2&amp;D2</f>
        <v>gacha_select_tables_188.tmp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35" t="s">
        <v>71</v>
      </c>
      <c r="B3" s="33" t="s">
        <v>68</v>
      </c>
      <c r="C3" s="25" t="str">
        <f ca="1">MID(
  CELL("filename",B2),
  FIND("New_",CELL("filename",B2))+4,
  FIND(".xlsm",CELL("filename",B2))-FIND("New_",CELL("filename",B2))-4
)</f>
        <v>188</v>
      </c>
      <c r="D3" s="25" t="s">
        <v>61</v>
      </c>
      <c r="E3" s="23" t="str">
        <f ca="1">B3&amp;C3&amp;D3</f>
        <v>gacha_settle_tables_188.tmp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35" t="s">
        <v>71</v>
      </c>
      <c r="B4" s="33" t="s">
        <v>69</v>
      </c>
      <c r="C4" s="25" t="str">
        <f ca="1">MID(
  CELL("filename",B3),
  FIND("New_",CELL("filename",B3))+4,
  FIND(".xlsm",CELL("filename",B3))-FIND("New_",CELL("filename",B3))-4
)</f>
        <v>188</v>
      </c>
      <c r="D4" s="25" t="s">
        <v>61</v>
      </c>
      <c r="E4" s="23" t="str">
        <f ca="1">B4&amp;C4&amp;D4</f>
        <v>gacha_bonus_tables_188.tmp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35" t="s">
        <v>71</v>
      </c>
      <c r="B5" s="25" t="s">
        <v>65</v>
      </c>
      <c r="C5" s="25" t="str">
        <f ca="1">MID(
  CELL("filename",B4),
  FIND("New_",CELL("filename",B4))+4,
  FIND(".xlsm",CELL("filename",B4))-FIND("New_",CELL("filename",B4))-4
)</f>
        <v>188</v>
      </c>
      <c r="D5" s="25" t="s">
        <v>61</v>
      </c>
      <c r="E5" s="23" t="str">
        <f ca="1">B5&amp;C5&amp;D5</f>
        <v>gifts_tmp_188.tmp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35" t="s">
        <v>71</v>
      </c>
      <c r="B6" s="25" t="s">
        <v>66</v>
      </c>
      <c r="C6" s="25" t="str">
        <f ca="1">MID(
  CELL("filename",B5),
  FIND("New_",CELL("filename",B5))+4,
  FIND(".xlsm",CELL("filename",B5))-FIND("New_",CELL("filename",B5))-4
)</f>
        <v>188</v>
      </c>
      <c r="D6" s="25" t="s">
        <v>61</v>
      </c>
      <c r="E6" s="23" t="str">
        <f ca="1">B6&amp;C6&amp;D6</f>
        <v>gifts_i18n_188.tmp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I59"/>
  <sheetViews>
    <sheetView topLeftCell="A30" workbookViewId="0">
      <selection activeCell="F60" sqref="F60"/>
    </sheetView>
  </sheetViews>
  <sheetFormatPr baseColWidth="12" defaultRowHeight="14" x14ac:dyDescent="0"/>
  <cols>
    <col min="1" max="1" width="15.1640625" customWidth="1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C2" s="54"/>
    </row>
    <row r="3" spans="1:5">
      <c r="A3" s="15" t="str">
        <f t="shared" ref="A3:A11" si="0">0&amp;C3&amp;D3&amp;E3</f>
        <v>0PremiumW4</v>
      </c>
      <c r="B3">
        <v>7792</v>
      </c>
      <c r="C3" t="s">
        <v>72</v>
      </c>
      <c r="D3">
        <v>4</v>
      </c>
    </row>
    <row r="4" spans="1:5">
      <c r="A4" s="15" t="str">
        <f t="shared" si="0"/>
        <v>0PremiumN4</v>
      </c>
      <c r="B4">
        <v>14648</v>
      </c>
      <c r="C4" t="s">
        <v>73</v>
      </c>
      <c r="D4">
        <v>4</v>
      </c>
    </row>
    <row r="5" spans="1:5">
      <c r="A5" s="15" t="str">
        <f t="shared" si="0"/>
        <v>0PremiumS4</v>
      </c>
      <c r="B5">
        <v>14648</v>
      </c>
      <c r="C5" t="s">
        <v>74</v>
      </c>
      <c r="D5">
        <v>4</v>
      </c>
    </row>
    <row r="6" spans="1:5">
      <c r="A6" s="15" t="str">
        <f t="shared" si="0"/>
        <v>0PremiumSS4</v>
      </c>
      <c r="B6">
        <v>1709</v>
      </c>
      <c r="C6" t="s">
        <v>75</v>
      </c>
      <c r="D6">
        <v>4</v>
      </c>
    </row>
    <row r="7" spans="1:5">
      <c r="A7" s="15" t="str">
        <f t="shared" si="0"/>
        <v>0PremiumSS4new</v>
      </c>
      <c r="B7">
        <v>23500</v>
      </c>
      <c r="C7" t="s">
        <v>94</v>
      </c>
      <c r="D7">
        <v>4</v>
      </c>
      <c r="E7" t="s">
        <v>90</v>
      </c>
    </row>
    <row r="8" spans="1:5">
      <c r="A8" s="15" t="str">
        <f t="shared" si="0"/>
        <v>0PremiumN5</v>
      </c>
      <c r="B8">
        <v>935</v>
      </c>
      <c r="C8" t="s">
        <v>73</v>
      </c>
      <c r="D8">
        <v>5</v>
      </c>
    </row>
    <row r="9" spans="1:5">
      <c r="A9" s="15" t="str">
        <f t="shared" si="0"/>
        <v>0PremiumS5</v>
      </c>
      <c r="B9">
        <v>935</v>
      </c>
      <c r="C9" t="s">
        <v>74</v>
      </c>
      <c r="D9">
        <v>5</v>
      </c>
    </row>
    <row r="10" spans="1:5">
      <c r="A10" s="15" t="str">
        <f t="shared" si="0"/>
        <v>0PremiumSS5</v>
      </c>
      <c r="B10">
        <v>109</v>
      </c>
      <c r="C10" t="s">
        <v>75</v>
      </c>
      <c r="D10">
        <v>5</v>
      </c>
    </row>
    <row r="11" spans="1:5">
      <c r="A11" s="15" t="str">
        <f t="shared" si="0"/>
        <v>0PremiumSS5new</v>
      </c>
      <c r="B11">
        <v>1500</v>
      </c>
      <c r="C11" t="s">
        <v>91</v>
      </c>
      <c r="D11">
        <v>5</v>
      </c>
      <c r="E11" t="s">
        <v>90</v>
      </c>
    </row>
    <row r="12" spans="1:5">
      <c r="A12" s="53"/>
    </row>
    <row r="13" spans="1:5">
      <c r="A13" s="53"/>
    </row>
    <row r="14" spans="1:5">
      <c r="A14" s="9"/>
    </row>
    <row r="15" spans="1:5">
      <c r="A15" s="9" t="str">
        <f t="shared" ref="A15:A26" si="1">1&amp;C15&amp;D15&amp;E15</f>
        <v>1PremiumW3</v>
      </c>
      <c r="B15">
        <v>7539</v>
      </c>
      <c r="C15" t="s">
        <v>72</v>
      </c>
      <c r="D15">
        <v>3</v>
      </c>
    </row>
    <row r="16" spans="1:5">
      <c r="A16" s="9" t="str">
        <f t="shared" si="1"/>
        <v>1PremiumN3</v>
      </c>
      <c r="B16">
        <v>11309</v>
      </c>
      <c r="C16" t="s">
        <v>73</v>
      </c>
      <c r="D16">
        <v>3</v>
      </c>
    </row>
    <row r="17" spans="1:9">
      <c r="A17" s="9" t="str">
        <f t="shared" si="1"/>
        <v>1PremiumS3</v>
      </c>
      <c r="B17">
        <v>11309</v>
      </c>
      <c r="C17" t="s">
        <v>74</v>
      </c>
      <c r="D17">
        <v>3</v>
      </c>
      <c r="H17" s="50"/>
      <c r="I17" s="50"/>
    </row>
    <row r="18" spans="1:9">
      <c r="A18" s="9" t="str">
        <f t="shared" si="1"/>
        <v>1PremiumW4</v>
      </c>
      <c r="B18">
        <v>2513</v>
      </c>
      <c r="C18" t="s">
        <v>72</v>
      </c>
      <c r="D18">
        <v>4</v>
      </c>
    </row>
    <row r="19" spans="1:9">
      <c r="A19" s="9" t="str">
        <f t="shared" si="1"/>
        <v>1PremiumN4</v>
      </c>
      <c r="B19">
        <v>2827</v>
      </c>
      <c r="C19" t="s">
        <v>73</v>
      </c>
      <c r="D19">
        <v>4</v>
      </c>
    </row>
    <row r="20" spans="1:9">
      <c r="A20" s="9" t="str">
        <f t="shared" si="1"/>
        <v>1PremiumS4</v>
      </c>
      <c r="B20">
        <v>2827</v>
      </c>
      <c r="C20" t="s">
        <v>74</v>
      </c>
      <c r="D20">
        <v>4</v>
      </c>
    </row>
    <row r="21" spans="1:9">
      <c r="A21" s="9" t="str">
        <f t="shared" si="1"/>
        <v>1PremiumSS4</v>
      </c>
      <c r="B21">
        <v>1705</v>
      </c>
      <c r="C21" t="s">
        <v>75</v>
      </c>
      <c r="D21">
        <v>4</v>
      </c>
    </row>
    <row r="22" spans="1:9">
      <c r="A22" s="9" t="str">
        <f t="shared" si="1"/>
        <v>1PremiumSS4new</v>
      </c>
      <c r="B22">
        <v>4688</v>
      </c>
      <c r="C22" t="s">
        <v>91</v>
      </c>
      <c r="D22">
        <v>4</v>
      </c>
      <c r="E22" t="s">
        <v>90</v>
      </c>
    </row>
    <row r="23" spans="1:9">
      <c r="A23" s="9" t="str">
        <f t="shared" si="1"/>
        <v>1PremiumN5</v>
      </c>
      <c r="B23">
        <v>942</v>
      </c>
      <c r="C23" t="s">
        <v>73</v>
      </c>
      <c r="D23">
        <v>5</v>
      </c>
    </row>
    <row r="24" spans="1:9">
      <c r="A24" s="9" t="str">
        <f t="shared" si="1"/>
        <v>1PremiumS5</v>
      </c>
      <c r="B24">
        <v>942</v>
      </c>
      <c r="C24" t="s">
        <v>74</v>
      </c>
      <c r="D24">
        <v>5</v>
      </c>
    </row>
    <row r="25" spans="1:9">
      <c r="A25" s="9" t="str">
        <f t="shared" si="1"/>
        <v>1PremiumSS5</v>
      </c>
      <c r="B25">
        <v>114</v>
      </c>
      <c r="C25" t="s">
        <v>75</v>
      </c>
      <c r="D25">
        <v>5</v>
      </c>
    </row>
    <row r="26" spans="1:9">
      <c r="A26" s="9" t="str">
        <f t="shared" si="1"/>
        <v>1PremiumSS5new</v>
      </c>
      <c r="B26">
        <v>313</v>
      </c>
      <c r="C26" t="s">
        <v>91</v>
      </c>
      <c r="D26">
        <v>5</v>
      </c>
      <c r="E26" t="s">
        <v>89</v>
      </c>
    </row>
    <row r="27" spans="1:9">
      <c r="A27" s="53"/>
    </row>
    <row r="28" spans="1:9">
      <c r="A28" s="53"/>
    </row>
    <row r="29" spans="1:9">
      <c r="A29" s="9" t="str">
        <f>3&amp;C29&amp;D29&amp;E29</f>
        <v>3PremiumW4</v>
      </c>
      <c r="B29">
        <v>7958</v>
      </c>
      <c r="C29" t="s">
        <v>72</v>
      </c>
      <c r="D29">
        <v>4</v>
      </c>
    </row>
    <row r="30" spans="1:9">
      <c r="A30" s="9" t="str">
        <f t="shared" ref="A30:A37" si="2">3&amp;C30&amp;D30&amp;E30</f>
        <v>3PremiumN4</v>
      </c>
      <c r="B30">
        <v>14962</v>
      </c>
      <c r="C30" t="s">
        <v>73</v>
      </c>
      <c r="D30">
        <v>4</v>
      </c>
    </row>
    <row r="31" spans="1:9">
      <c r="A31" s="9" t="str">
        <f t="shared" si="2"/>
        <v>3PremiumS4</v>
      </c>
      <c r="B31">
        <v>14962</v>
      </c>
      <c r="C31" t="s">
        <v>74</v>
      </c>
      <c r="D31">
        <v>4</v>
      </c>
    </row>
    <row r="32" spans="1:9">
      <c r="A32" s="9" t="str">
        <f t="shared" si="2"/>
        <v>3PremiumSS4</v>
      </c>
      <c r="B32">
        <v>1709</v>
      </c>
      <c r="C32" t="s">
        <v>75</v>
      </c>
      <c r="D32">
        <v>4</v>
      </c>
    </row>
    <row r="33" spans="1:5">
      <c r="A33" s="9" t="str">
        <f t="shared" si="2"/>
        <v>3PremiumSS4new</v>
      </c>
      <c r="B33">
        <v>4700</v>
      </c>
      <c r="C33" t="s">
        <v>91</v>
      </c>
      <c r="D33">
        <v>4</v>
      </c>
      <c r="E33" t="s">
        <v>90</v>
      </c>
    </row>
    <row r="34" spans="1:5">
      <c r="A34" s="9" t="str">
        <f t="shared" si="2"/>
        <v>3PremiumN5</v>
      </c>
      <c r="B34">
        <v>955</v>
      </c>
      <c r="C34" t="s">
        <v>73</v>
      </c>
      <c r="D34">
        <v>5</v>
      </c>
    </row>
    <row r="35" spans="1:5">
      <c r="A35" s="9" t="str">
        <f t="shared" si="2"/>
        <v>3PremiumS5</v>
      </c>
      <c r="B35">
        <v>955</v>
      </c>
      <c r="C35" t="s">
        <v>74</v>
      </c>
      <c r="D35">
        <v>5</v>
      </c>
    </row>
    <row r="36" spans="1:5">
      <c r="A36" s="9" t="str">
        <f t="shared" si="2"/>
        <v>3PremiumSS5</v>
      </c>
      <c r="B36">
        <v>109</v>
      </c>
      <c r="C36" t="s">
        <v>75</v>
      </c>
      <c r="D36">
        <v>5</v>
      </c>
    </row>
    <row r="37" spans="1:5">
      <c r="A37" s="9" t="str">
        <f t="shared" si="2"/>
        <v>3PremiumSS5new</v>
      </c>
      <c r="B37">
        <v>300</v>
      </c>
      <c r="C37" t="s">
        <v>91</v>
      </c>
      <c r="D37">
        <v>5</v>
      </c>
      <c r="E37" t="s">
        <v>90</v>
      </c>
    </row>
    <row r="40" spans="1:5">
      <c r="A40" s="9" t="str">
        <f>4&amp;C40&amp;D40&amp;E40</f>
        <v>4PremiumW4</v>
      </c>
      <c r="B40">
        <v>7917</v>
      </c>
      <c r="C40" t="s">
        <v>72</v>
      </c>
      <c r="D40">
        <v>4</v>
      </c>
    </row>
    <row r="41" spans="1:5">
      <c r="A41" s="9" t="str">
        <f t="shared" ref="A41:A48" si="3">4&amp;C41&amp;D41&amp;E41</f>
        <v>4PremiumN4</v>
      </c>
      <c r="B41">
        <v>14883</v>
      </c>
      <c r="C41" t="s">
        <v>73</v>
      </c>
      <c r="D41">
        <v>4</v>
      </c>
    </row>
    <row r="42" spans="1:5">
      <c r="A42" s="9" t="str">
        <f t="shared" si="3"/>
        <v>4PremiumS4</v>
      </c>
      <c r="B42">
        <v>14883</v>
      </c>
      <c r="C42" t="s">
        <v>74</v>
      </c>
      <c r="D42">
        <v>4</v>
      </c>
    </row>
    <row r="43" spans="1:5">
      <c r="A43" s="9" t="str">
        <f t="shared" si="3"/>
        <v>4PremiumSS4</v>
      </c>
      <c r="B43">
        <v>1709</v>
      </c>
      <c r="C43" t="s">
        <v>75</v>
      </c>
      <c r="D43">
        <v>4</v>
      </c>
    </row>
    <row r="44" spans="1:5">
      <c r="A44" s="9" t="str">
        <f t="shared" si="3"/>
        <v>4PremiumSS4new</v>
      </c>
      <c r="B44">
        <v>9400</v>
      </c>
      <c r="C44" t="s">
        <v>91</v>
      </c>
      <c r="D44">
        <v>4</v>
      </c>
      <c r="E44" t="s">
        <v>93</v>
      </c>
    </row>
    <row r="45" spans="1:5">
      <c r="A45" s="9" t="str">
        <f t="shared" si="3"/>
        <v>4PremiumN5</v>
      </c>
      <c r="B45">
        <v>950</v>
      </c>
      <c r="C45" t="s">
        <v>73</v>
      </c>
      <c r="D45">
        <v>5</v>
      </c>
    </row>
    <row r="46" spans="1:5">
      <c r="A46" s="9" t="str">
        <f t="shared" si="3"/>
        <v>4PremiumS5</v>
      </c>
      <c r="B46">
        <v>950</v>
      </c>
      <c r="C46" t="s">
        <v>74</v>
      </c>
      <c r="D46">
        <v>5</v>
      </c>
    </row>
    <row r="47" spans="1:5">
      <c r="A47" s="9" t="str">
        <f t="shared" si="3"/>
        <v>4PremiumSS5</v>
      </c>
      <c r="B47">
        <v>109</v>
      </c>
      <c r="C47" t="s">
        <v>75</v>
      </c>
      <c r="D47">
        <v>5</v>
      </c>
    </row>
    <row r="48" spans="1:5">
      <c r="A48" s="9" t="str">
        <f t="shared" si="3"/>
        <v>4PremiumSS5new</v>
      </c>
      <c r="B48">
        <v>600</v>
      </c>
      <c r="C48" t="s">
        <v>91</v>
      </c>
      <c r="D48">
        <v>5</v>
      </c>
      <c r="E48" t="s">
        <v>92</v>
      </c>
    </row>
    <row r="49" spans="1:9">
      <c r="A49" s="53"/>
    </row>
    <row r="50" spans="1:9">
      <c r="A50" s="53"/>
    </row>
    <row r="51" spans="1:9">
      <c r="A51" s="9" t="str">
        <f>5&amp;C51&amp;D51&amp;E51</f>
        <v>5PremiumW4</v>
      </c>
      <c r="B51">
        <v>7875</v>
      </c>
      <c r="C51" t="s">
        <v>72</v>
      </c>
      <c r="D51">
        <v>4</v>
      </c>
    </row>
    <row r="52" spans="1:9">
      <c r="A52" s="9" t="str">
        <f t="shared" ref="A52:A59" si="4">5&amp;C52&amp;D52&amp;E52</f>
        <v>5PremiumN4</v>
      </c>
      <c r="B52">
        <v>14805</v>
      </c>
      <c r="C52" t="s">
        <v>73</v>
      </c>
      <c r="D52">
        <v>4</v>
      </c>
    </row>
    <row r="53" spans="1:9">
      <c r="A53" s="9" t="str">
        <f t="shared" si="4"/>
        <v>5PremiumS4</v>
      </c>
      <c r="B53">
        <v>14805</v>
      </c>
      <c r="C53" t="s">
        <v>74</v>
      </c>
      <c r="D53">
        <v>4</v>
      </c>
      <c r="F53" s="51"/>
      <c r="G53" s="51"/>
      <c r="H53" s="51"/>
      <c r="I53" s="51"/>
    </row>
    <row r="54" spans="1:9">
      <c r="A54" s="9" t="str">
        <f t="shared" si="4"/>
        <v>5PremiumSS4</v>
      </c>
      <c r="B54">
        <v>1709</v>
      </c>
      <c r="C54" t="s">
        <v>75</v>
      </c>
      <c r="D54">
        <v>4</v>
      </c>
      <c r="F54" s="52"/>
      <c r="G54" s="51"/>
      <c r="H54" s="51"/>
      <c r="I54" s="51"/>
    </row>
    <row r="55" spans="1:9">
      <c r="A55" s="9" t="str">
        <f t="shared" si="4"/>
        <v>5PremiumSS4new</v>
      </c>
      <c r="B55">
        <v>14100</v>
      </c>
      <c r="C55" t="s">
        <v>91</v>
      </c>
      <c r="D55">
        <v>4</v>
      </c>
      <c r="E55" t="s">
        <v>93</v>
      </c>
      <c r="F55" s="52"/>
      <c r="G55" s="51"/>
      <c r="H55" s="51"/>
      <c r="I55" s="51"/>
    </row>
    <row r="56" spans="1:9">
      <c r="A56" s="9" t="str">
        <f t="shared" si="4"/>
        <v>5PremiumN5</v>
      </c>
      <c r="B56">
        <v>945</v>
      </c>
      <c r="C56" t="s">
        <v>73</v>
      </c>
      <c r="D56">
        <v>5</v>
      </c>
    </row>
    <row r="57" spans="1:9">
      <c r="A57" s="9" t="str">
        <f t="shared" si="4"/>
        <v>5PremiumS5</v>
      </c>
      <c r="B57">
        <v>945</v>
      </c>
      <c r="C57" t="s">
        <v>74</v>
      </c>
      <c r="D57">
        <v>5</v>
      </c>
    </row>
    <row r="58" spans="1:9">
      <c r="A58" s="9" t="str">
        <f t="shared" si="4"/>
        <v>5PremiumSS5</v>
      </c>
      <c r="B58">
        <v>109</v>
      </c>
      <c r="C58" t="s">
        <v>75</v>
      </c>
      <c r="D58">
        <v>5</v>
      </c>
    </row>
    <row r="59" spans="1:9">
      <c r="A59" s="9" t="str">
        <f t="shared" si="4"/>
        <v>5PremiumSS5new</v>
      </c>
      <c r="B59">
        <v>900</v>
      </c>
      <c r="C59" t="s">
        <v>91</v>
      </c>
      <c r="D59">
        <v>5</v>
      </c>
      <c r="E59" t="s">
        <v>92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filterMode="1" enableFormatConditionsCalculation="0">
    <tabColor rgb="FF0000FF"/>
    <outlinePr summaryBelow="0" summaryRight="0"/>
  </sheetPr>
  <dimension ref="A1:S901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K869" sqref="K869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17</v>
      </c>
    </row>
    <row r="2" spans="1:19" ht="21" hidden="1" customHeight="1">
      <c r="A2" s="7" t="str">
        <f>B2&amp;F2</f>
        <v>1881126</v>
      </c>
      <c r="B2" s="2" t="str">
        <f>188&amp;E2</f>
        <v>1881</v>
      </c>
      <c r="C2" s="8" t="str">
        <f t="shared" ref="C2" si="0">E2&amp;H2&amp;I2</f>
        <v>1PremiumW3</v>
      </c>
      <c r="D2" s="8" t="str">
        <f>E2&amp;H2&amp;I2</f>
        <v>1PremiumW3</v>
      </c>
      <c r="E2" s="10">
        <v>1</v>
      </c>
      <c r="F2" s="6">
        <v>126</v>
      </c>
      <c r="G2" s="8" t="str">
        <f>VLOOKUP(F2,[1]characters!$A:$C,3,FALSE)</f>
        <v>骨器使い ユノ</v>
      </c>
      <c r="H2" s="8" t="str">
        <f>VLOOKUP(F2,[1]characters!$A:$J,10,FALSE)</f>
        <v>PremiumW</v>
      </c>
      <c r="I2" s="8">
        <f>VLOOKUP(F2,[1]characters!$A:$I,9,FALSE)</f>
        <v>3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VLOOKUP(D2,gacha_188_base!A:B,2,FALSE)</f>
        <v>7539</v>
      </c>
      <c r="N2" s="38">
        <f>IFERROR(VLOOKUP($F2,bug_conf_sheet!$A:$H,3,FALSE),VLOOKUP("other",bug_conf_sheet!$A:$H,3,FALSE))</f>
        <v>1</v>
      </c>
      <c r="O2" s="38">
        <f>IFERROR(VLOOKUP($F2,bug_conf_sheet!$A:$H,4,FALSE),VLOOKUP("other",bug_conf_sheet!$A:$H,4,FALSE))</f>
        <v>0</v>
      </c>
      <c r="P2" s="38">
        <f>IFERROR(VLOOKUP($F2,bug_conf_sheet!$A:$H,5,FALSE),VLOOKUP("other",bug_conf_sheet!$A:$H,5,FALSE))</f>
        <v>0</v>
      </c>
      <c r="Q2" s="38">
        <f>IFERROR(VLOOKUP($F2,bug_conf_sheet!$A:$H,6,FALSE),VLOOKUP("other",bug_conf_sheet!$A:$H,6,FALSE))</f>
        <v>0</v>
      </c>
      <c r="R2" s="38">
        <f>IFERROR(VLOOKUP($F2,bug_conf_sheet!$A:$H,7,FALSE),VLOOKUP("other",bug_conf_sheet!$A:$H,7,FALSE))</f>
        <v>0</v>
      </c>
      <c r="S2" s="38">
        <f>IFERROR(VLOOKUP($F2,bug_conf_sheet!$A:$H,8,FALSE),VLOOKUP("other",bug_conf_sheet!$A:$H,8,FALSE))</f>
        <v>1</v>
      </c>
    </row>
    <row r="3" spans="1:19" ht="21" hidden="1" customHeight="1">
      <c r="A3" s="7" t="str">
        <f t="shared" ref="A3:A66" si="1">B3&amp;F3</f>
        <v>1881127</v>
      </c>
      <c r="B3" s="2" t="str">
        <f t="shared" ref="B3:B66" si="2">188&amp;E3</f>
        <v>1881</v>
      </c>
      <c r="C3" s="8" t="str">
        <f t="shared" ref="C3:C66" si="3">E3&amp;H3&amp;I3</f>
        <v>1PremiumW4</v>
      </c>
      <c r="D3" s="8" t="str">
        <f t="shared" ref="D3:D66" si="4">E3&amp;H3&amp;I3</f>
        <v>1PremiumW4</v>
      </c>
      <c r="E3" s="10">
        <v>1</v>
      </c>
      <c r="F3" s="6">
        <v>127</v>
      </c>
      <c r="G3" s="8" t="str">
        <f>VLOOKUP(F3,[1]characters!$A:$C,3,FALSE)</f>
        <v>狂喜の賢者 ユノ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red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VLOOKUP(D3,gacha_188_base!A:B,2,FALSE)</f>
        <v>2513</v>
      </c>
      <c r="N3" s="38">
        <f>IFERROR(VLOOKUP($F3,bug_conf_sheet!$A:$H,3,FALSE),VLOOKUP("other",bug_conf_sheet!$A:$H,3,FALSE))</f>
        <v>1</v>
      </c>
      <c r="O3" s="38">
        <f>IFERROR(VLOOKUP($F3,bug_conf_sheet!$A:$H,4,FALSE),VLOOKUP("other",bug_conf_sheet!$A:$H,4,FALSE))</f>
        <v>0</v>
      </c>
      <c r="P3" s="38">
        <f>IFERROR(VLOOKUP($F3,bug_conf_sheet!$A:$H,5,FALSE),VLOOKUP("other",bug_conf_sheet!$A:$H,5,FALSE))</f>
        <v>0</v>
      </c>
      <c r="Q3" s="38">
        <f>IFERROR(VLOOKUP($F3,bug_conf_sheet!$A:$H,6,FALSE),VLOOKUP("other",bug_conf_sheet!$A:$H,6,FALSE))</f>
        <v>0</v>
      </c>
      <c r="R3" s="38">
        <f>IFERROR(VLOOKUP($F3,bug_conf_sheet!$A:$H,7,FALSE),VLOOKUP("other",bug_conf_sheet!$A:$H,7,FALSE))</f>
        <v>0</v>
      </c>
      <c r="S3" s="38">
        <f>IFERROR(VLOOKUP($F3,bug_conf_sheet!$A:$H,8,FALSE),VLOOKUP("other",bug_conf_sheet!$A:$H,8,FALSE))</f>
        <v>1</v>
      </c>
    </row>
    <row r="4" spans="1:19" ht="21" hidden="1" customHeight="1">
      <c r="A4" s="7" t="str">
        <f t="shared" si="1"/>
        <v>1881128</v>
      </c>
      <c r="B4" s="2" t="str">
        <f t="shared" si="2"/>
        <v>1881</v>
      </c>
      <c r="C4" s="8" t="str">
        <f t="shared" si="3"/>
        <v>1PremiumW3</v>
      </c>
      <c r="D4" s="8" t="str">
        <f t="shared" si="4"/>
        <v>1PremiumW3</v>
      </c>
      <c r="E4" s="10">
        <v>1</v>
      </c>
      <c r="F4" s="6">
        <v>128</v>
      </c>
      <c r="G4" s="8" t="str">
        <f>VLOOKUP(F4,[1]characters!$A:$C,3,FALSE)</f>
        <v>野生児 アマラ</v>
      </c>
      <c r="H4" s="8" t="str">
        <f>VLOOKUP(F4,[1]characters!$A:$J,10,FALSE)</f>
        <v>PremiumW</v>
      </c>
      <c r="I4" s="8">
        <f>VLOOKUP(F4,[1]characters!$A:$I,9,FALSE)</f>
        <v>3</v>
      </c>
      <c r="J4" s="8" t="str">
        <f>VLOOKUP(F4,[1]characters!$A:$H,8,FALSE)</f>
        <v>green</v>
      </c>
      <c r="K4" s="8" t="str">
        <f>VLOOKUP(F4,[1]characters!$A:$K,11,FALSE)</f>
        <v>attack</v>
      </c>
      <c r="L4" s="8" t="str">
        <f>VLOOKUP(F4,[1]characters!$A:$M,13,FALSE)</f>
        <v>human</v>
      </c>
      <c r="M4" s="16">
        <f>VLOOKUP(D4,gacha_188_base!A:B,2,FALSE)</f>
        <v>7539</v>
      </c>
      <c r="N4" s="38">
        <f>IFERROR(VLOOKUP($F4,bug_conf_sheet!$A:$H,3,FALSE),VLOOKUP("other",bug_conf_sheet!$A:$H,3,FALSE))</f>
        <v>1</v>
      </c>
      <c r="O4" s="38">
        <f>IFERROR(VLOOKUP($F4,bug_conf_sheet!$A:$H,4,FALSE),VLOOKUP("other",bug_conf_sheet!$A:$H,4,FALSE))</f>
        <v>0</v>
      </c>
      <c r="P4" s="38">
        <f>IFERROR(VLOOKUP($F4,bug_conf_sheet!$A:$H,5,FALSE),VLOOKUP("other",bug_conf_sheet!$A:$H,5,FALSE))</f>
        <v>0</v>
      </c>
      <c r="Q4" s="38">
        <f>IFERROR(VLOOKUP($F4,bug_conf_sheet!$A:$H,6,FALSE),VLOOKUP("other",bug_conf_sheet!$A:$H,6,FALSE))</f>
        <v>0</v>
      </c>
      <c r="R4" s="38">
        <f>IFERROR(VLOOKUP($F4,bug_conf_sheet!$A:$H,7,FALSE),VLOOKUP("other",bug_conf_sheet!$A:$H,7,FALSE))</f>
        <v>0</v>
      </c>
      <c r="S4" s="38">
        <f>IFERROR(VLOOKUP($F4,bug_conf_sheet!$A:$H,8,FALSE),VLOOKUP("other",bug_conf_sheet!$A:$H,8,FALSE))</f>
        <v>1</v>
      </c>
    </row>
    <row r="5" spans="1:19" ht="21" hidden="1" customHeight="1">
      <c r="A5" s="7" t="str">
        <f t="shared" si="1"/>
        <v>1881129</v>
      </c>
      <c r="B5" s="2" t="str">
        <f t="shared" si="2"/>
        <v>1881</v>
      </c>
      <c r="C5" s="8" t="str">
        <f t="shared" si="3"/>
        <v>1PremiumW4</v>
      </c>
      <c r="D5" s="8" t="str">
        <f t="shared" si="4"/>
        <v>1PremiumW4</v>
      </c>
      <c r="E5" s="10">
        <v>1</v>
      </c>
      <c r="F5" s="6">
        <v>129</v>
      </c>
      <c r="G5" s="8" t="str">
        <f>VLOOKUP(F5,[1]characters!$A:$C,3,FALSE)</f>
        <v>孤高の狼憑き アマラ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green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VLOOKUP(D5,gacha_188_base!A:B,2,FALSE)</f>
        <v>2513</v>
      </c>
      <c r="N5" s="38">
        <f>IFERROR(VLOOKUP($F5,bug_conf_sheet!$A:$H,3,FALSE),VLOOKUP("other",bug_conf_sheet!$A:$H,3,FALSE))</f>
        <v>1</v>
      </c>
      <c r="O5" s="38">
        <f>IFERROR(VLOOKUP($F5,bug_conf_sheet!$A:$H,4,FALSE),VLOOKUP("other",bug_conf_sheet!$A:$H,4,FALSE))</f>
        <v>0</v>
      </c>
      <c r="P5" s="38">
        <f>IFERROR(VLOOKUP($F5,bug_conf_sheet!$A:$H,5,FALSE),VLOOKUP("other",bug_conf_sheet!$A:$H,5,FALSE))</f>
        <v>0</v>
      </c>
      <c r="Q5" s="38">
        <f>IFERROR(VLOOKUP($F5,bug_conf_sheet!$A:$H,6,FALSE),VLOOKUP("other",bug_conf_sheet!$A:$H,6,FALSE))</f>
        <v>0</v>
      </c>
      <c r="R5" s="38">
        <f>IFERROR(VLOOKUP($F5,bug_conf_sheet!$A:$H,7,FALSE),VLOOKUP("other",bug_conf_sheet!$A:$H,7,FALSE))</f>
        <v>0</v>
      </c>
      <c r="S5" s="38">
        <f>IFERROR(VLOOKUP($F5,bug_conf_sheet!$A:$H,8,FALSE),VLOOKUP("other",bug_conf_sheet!$A:$H,8,FALSE))</f>
        <v>1</v>
      </c>
    </row>
    <row r="6" spans="1:19" ht="21" hidden="1" customHeight="1">
      <c r="A6" s="7" t="str">
        <f t="shared" si="1"/>
        <v>1881130</v>
      </c>
      <c r="B6" s="2" t="str">
        <f t="shared" si="2"/>
        <v>1881</v>
      </c>
      <c r="C6" s="8" t="str">
        <f t="shared" si="3"/>
        <v>1PremiumW3</v>
      </c>
      <c r="D6" s="8" t="str">
        <f t="shared" si="4"/>
        <v>1PremiumW3</v>
      </c>
      <c r="E6" s="10">
        <v>1</v>
      </c>
      <c r="F6" s="6">
        <v>130</v>
      </c>
      <c r="G6" s="8" t="str">
        <f>VLOOKUP(F6,[1]characters!$A:$C,3,FALSE)</f>
        <v>狼男 ローレンス</v>
      </c>
      <c r="H6" s="8" t="str">
        <f>VLOOKUP(F6,[1]characters!$A:$J,10,FALSE)</f>
        <v>PremiumW</v>
      </c>
      <c r="I6" s="8">
        <f>VLOOKUP(F6,[1]characters!$A:$I,9,FALSE)</f>
        <v>3</v>
      </c>
      <c r="J6" s="8" t="str">
        <f>VLOOKUP(F6,[1]characters!$A:$H,8,FALSE)</f>
        <v>blue</v>
      </c>
      <c r="K6" s="8" t="str">
        <f>VLOOKUP(F6,[1]characters!$A:$K,11,FALSE)</f>
        <v>attack</v>
      </c>
      <c r="L6" s="8" t="str">
        <f>VLOOKUP(F6,[1]characters!$A:$M,13,FALSE)</f>
        <v>animal</v>
      </c>
      <c r="M6" s="16">
        <f>VLOOKUP(D6,gacha_188_base!A:B,2,FALSE)</f>
        <v>7539</v>
      </c>
      <c r="N6" s="38">
        <f>IFERROR(VLOOKUP($F6,bug_conf_sheet!$A:$H,3,FALSE),VLOOKUP("other",bug_conf_sheet!$A:$H,3,FALSE))</f>
        <v>1</v>
      </c>
      <c r="O6" s="38">
        <f>IFERROR(VLOOKUP($F6,bug_conf_sheet!$A:$H,4,FALSE),VLOOKUP("other",bug_conf_sheet!$A:$H,4,FALSE))</f>
        <v>0</v>
      </c>
      <c r="P6" s="38">
        <f>IFERROR(VLOOKUP($F6,bug_conf_sheet!$A:$H,5,FALSE),VLOOKUP("other",bug_conf_sheet!$A:$H,5,FALSE))</f>
        <v>0</v>
      </c>
      <c r="Q6" s="38">
        <f>IFERROR(VLOOKUP($F6,bug_conf_sheet!$A:$H,6,FALSE),VLOOKUP("other",bug_conf_sheet!$A:$H,6,FALSE))</f>
        <v>0</v>
      </c>
      <c r="R6" s="38">
        <f>IFERROR(VLOOKUP($F6,bug_conf_sheet!$A:$H,7,FALSE),VLOOKUP("other",bug_conf_sheet!$A:$H,7,FALSE))</f>
        <v>0</v>
      </c>
      <c r="S6" s="38">
        <f>IFERROR(VLOOKUP($F6,bug_conf_sheet!$A:$H,8,FALSE),VLOOKUP("other",bug_conf_sheet!$A:$H,8,FALSE))</f>
        <v>1</v>
      </c>
    </row>
    <row r="7" spans="1:19" ht="21" hidden="1" customHeight="1">
      <c r="A7" s="7" t="str">
        <f t="shared" si="1"/>
        <v>1881131</v>
      </c>
      <c r="B7" s="2" t="str">
        <f t="shared" si="2"/>
        <v>1881</v>
      </c>
      <c r="C7" s="8" t="str">
        <f t="shared" si="3"/>
        <v>1PremiumW4</v>
      </c>
      <c r="D7" s="8" t="str">
        <f t="shared" si="4"/>
        <v>1PremiumW4</v>
      </c>
      <c r="E7" s="10">
        <v>1</v>
      </c>
      <c r="F7" s="6">
        <v>131</v>
      </c>
      <c r="G7" s="8" t="str">
        <f>VLOOKUP(F7,[1]characters!$A:$C,3,FALSE)</f>
        <v>月下の人狼 ローレンス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blue</v>
      </c>
      <c r="K7" s="8" t="str">
        <f>VLOOKUP(F7,[1]characters!$A:$K,11,FALSE)</f>
        <v>attack</v>
      </c>
      <c r="L7" s="8" t="str">
        <f>VLOOKUP(F7,[1]characters!$A:$M,13,FALSE)</f>
        <v>animal</v>
      </c>
      <c r="M7" s="16">
        <f>VLOOKUP(D7,gacha_188_base!A:B,2,FALSE)</f>
        <v>2513</v>
      </c>
      <c r="N7" s="38">
        <f>IFERROR(VLOOKUP($F7,bug_conf_sheet!$A:$H,3,FALSE),VLOOKUP("other",bug_conf_sheet!$A:$H,3,FALSE))</f>
        <v>1</v>
      </c>
      <c r="O7" s="38">
        <f>IFERROR(VLOOKUP($F7,bug_conf_sheet!$A:$H,4,FALSE),VLOOKUP("other",bug_conf_sheet!$A:$H,4,FALSE))</f>
        <v>0</v>
      </c>
      <c r="P7" s="38">
        <f>IFERROR(VLOOKUP($F7,bug_conf_sheet!$A:$H,5,FALSE),VLOOKUP("other",bug_conf_sheet!$A:$H,5,FALSE))</f>
        <v>0</v>
      </c>
      <c r="Q7" s="38">
        <f>IFERROR(VLOOKUP($F7,bug_conf_sheet!$A:$H,6,FALSE),VLOOKUP("other",bug_conf_sheet!$A:$H,6,FALSE))</f>
        <v>0</v>
      </c>
      <c r="R7" s="38">
        <f>IFERROR(VLOOKUP($F7,bug_conf_sheet!$A:$H,7,FALSE),VLOOKUP("other",bug_conf_sheet!$A:$H,7,FALSE))</f>
        <v>0</v>
      </c>
      <c r="S7" s="38">
        <f>IFERROR(VLOOKUP($F7,bug_conf_sheet!$A:$H,8,FALSE),VLOOKUP("other",bug_conf_sheet!$A:$H,8,FALSE))</f>
        <v>1</v>
      </c>
    </row>
    <row r="8" spans="1:19" ht="21" hidden="1" customHeight="1">
      <c r="A8" s="7" t="str">
        <f t="shared" si="1"/>
        <v>1881132</v>
      </c>
      <c r="B8" s="2" t="str">
        <f t="shared" si="2"/>
        <v>1881</v>
      </c>
      <c r="C8" s="8" t="str">
        <f t="shared" si="3"/>
        <v>1PremiumW3</v>
      </c>
      <c r="D8" s="8" t="str">
        <f t="shared" si="4"/>
        <v>1PremiumW3</v>
      </c>
      <c r="E8" s="10">
        <v>1</v>
      </c>
      <c r="F8" s="6">
        <v>132</v>
      </c>
      <c r="G8" s="8" t="str">
        <f>VLOOKUP(F8,[1]characters!$A:$C,3,FALSE)</f>
        <v>鳥人ハヤト</v>
      </c>
      <c r="H8" s="8" t="str">
        <f>VLOOKUP(F8,[1]characters!$A:$J,10,FALSE)</f>
        <v>PremiumW</v>
      </c>
      <c r="I8" s="8">
        <f>VLOOKUP(F8,[1]characters!$A:$I,9,FALSE)</f>
        <v>3</v>
      </c>
      <c r="J8" s="8" t="str">
        <f>VLOOKUP(F8,[1]characters!$A:$H,8,FALSE)</f>
        <v>yellow</v>
      </c>
      <c r="K8" s="8" t="str">
        <f>VLOOKUP(F8,[1]characters!$A:$K,11,FALSE)</f>
        <v>attack</v>
      </c>
      <c r="L8" s="8" t="str">
        <f>VLOOKUP(F8,[1]characters!$A:$M,13,FALSE)</f>
        <v>human</v>
      </c>
      <c r="M8" s="16">
        <f>VLOOKUP(D8,gacha_188_base!A:B,2,FALSE)</f>
        <v>7539</v>
      </c>
      <c r="N8" s="38">
        <f>IFERROR(VLOOKUP($F8,bug_conf_sheet!$A:$H,3,FALSE),VLOOKUP("other",bug_conf_sheet!$A:$H,3,FALSE))</f>
        <v>1</v>
      </c>
      <c r="O8" s="38">
        <f>IFERROR(VLOOKUP($F8,bug_conf_sheet!$A:$H,4,FALSE),VLOOKUP("other",bug_conf_sheet!$A:$H,4,FALSE))</f>
        <v>0</v>
      </c>
      <c r="P8" s="38">
        <f>IFERROR(VLOOKUP($F8,bug_conf_sheet!$A:$H,5,FALSE),VLOOKUP("other",bug_conf_sheet!$A:$H,5,FALSE))</f>
        <v>0</v>
      </c>
      <c r="Q8" s="38">
        <f>IFERROR(VLOOKUP($F8,bug_conf_sheet!$A:$H,6,FALSE),VLOOKUP("other",bug_conf_sheet!$A:$H,6,FALSE))</f>
        <v>0</v>
      </c>
      <c r="R8" s="38">
        <f>IFERROR(VLOOKUP($F8,bug_conf_sheet!$A:$H,7,FALSE),VLOOKUP("other",bug_conf_sheet!$A:$H,7,FALSE))</f>
        <v>0</v>
      </c>
      <c r="S8" s="38">
        <f>IFERROR(VLOOKUP($F8,bug_conf_sheet!$A:$H,8,FALSE),VLOOKUP("other",bug_conf_sheet!$A:$H,8,FALSE))</f>
        <v>1</v>
      </c>
    </row>
    <row r="9" spans="1:19" ht="21" hidden="1" customHeight="1">
      <c r="A9" s="7" t="str">
        <f t="shared" si="1"/>
        <v>1881133</v>
      </c>
      <c r="B9" s="2" t="str">
        <f t="shared" si="2"/>
        <v>1881</v>
      </c>
      <c r="C9" s="8" t="str">
        <f t="shared" si="3"/>
        <v>1PremiumW4</v>
      </c>
      <c r="D9" s="8" t="str">
        <f t="shared" si="4"/>
        <v>1PremiumW4</v>
      </c>
      <c r="E9" s="10">
        <v>1</v>
      </c>
      <c r="F9" s="6">
        <v>133</v>
      </c>
      <c r="G9" s="8" t="str">
        <f>VLOOKUP(F9,[1]characters!$A:$C,3,FALSE)</f>
        <v>迅雷の刀剣 ハヤト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attack</v>
      </c>
      <c r="L9" s="8" t="str">
        <f>VLOOKUP(F9,[1]characters!$A:$M,13,FALSE)</f>
        <v>human</v>
      </c>
      <c r="M9" s="16">
        <f>VLOOKUP(D9,gacha_188_base!A:B,2,FALSE)</f>
        <v>2513</v>
      </c>
      <c r="N9" s="38">
        <f>IFERROR(VLOOKUP($F9,bug_conf_sheet!$A:$H,3,FALSE),VLOOKUP("other",bug_conf_sheet!$A:$H,3,FALSE))</f>
        <v>1</v>
      </c>
      <c r="O9" s="38">
        <f>IFERROR(VLOOKUP($F9,bug_conf_sheet!$A:$H,4,FALSE),VLOOKUP("other",bug_conf_sheet!$A:$H,4,FALSE))</f>
        <v>0</v>
      </c>
      <c r="P9" s="38">
        <f>IFERROR(VLOOKUP($F9,bug_conf_sheet!$A:$H,5,FALSE),VLOOKUP("other",bug_conf_sheet!$A:$H,5,FALSE))</f>
        <v>0</v>
      </c>
      <c r="Q9" s="38">
        <f>IFERROR(VLOOKUP($F9,bug_conf_sheet!$A:$H,6,FALSE),VLOOKUP("other",bug_conf_sheet!$A:$H,6,FALSE))</f>
        <v>0</v>
      </c>
      <c r="R9" s="38">
        <f>IFERROR(VLOOKUP($F9,bug_conf_sheet!$A:$H,7,FALSE),VLOOKUP("other",bug_conf_sheet!$A:$H,7,FALSE))</f>
        <v>0</v>
      </c>
      <c r="S9" s="38">
        <f>IFERROR(VLOOKUP($F9,bug_conf_sheet!$A:$H,8,FALSE),VLOOKUP("other",bug_conf_sheet!$A:$H,8,FALSE))</f>
        <v>1</v>
      </c>
    </row>
    <row r="10" spans="1:19" ht="21" hidden="1" customHeight="1">
      <c r="A10" s="7" t="str">
        <f t="shared" si="1"/>
        <v>1881134</v>
      </c>
      <c r="B10" s="2" t="str">
        <f t="shared" si="2"/>
        <v>1881</v>
      </c>
      <c r="C10" s="8" t="str">
        <f t="shared" si="3"/>
        <v>1PremiumW3</v>
      </c>
      <c r="D10" s="8" t="str">
        <f t="shared" si="4"/>
        <v>1PremiumW3</v>
      </c>
      <c r="E10" s="10">
        <v>1</v>
      </c>
      <c r="F10" s="6">
        <v>134</v>
      </c>
      <c r="G10" s="8" t="str">
        <f>VLOOKUP(F10,[1]characters!$A:$C,3,FALSE)</f>
        <v>妖炎の夕霧</v>
      </c>
      <c r="H10" s="8" t="str">
        <f>VLOOKUP(F10,[1]characters!$A:$J,10,FALSE)</f>
        <v>PremiumW</v>
      </c>
      <c r="I10" s="8">
        <f>VLOOKUP(F10,[1]characters!$A:$I,9,FALSE)</f>
        <v>3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VLOOKUP(D10,gacha_188_base!A:B,2,FALSE)</f>
        <v>7539</v>
      </c>
      <c r="N10" s="38">
        <f>IFERROR(VLOOKUP($F10,bug_conf_sheet!$A:$H,3,FALSE),VLOOKUP("other",bug_conf_sheet!$A:$H,3,FALSE))</f>
        <v>1</v>
      </c>
      <c r="O10" s="38">
        <f>IFERROR(VLOOKUP($F10,bug_conf_sheet!$A:$H,4,FALSE),VLOOKUP("other",bug_conf_sheet!$A:$H,4,FALSE))</f>
        <v>0</v>
      </c>
      <c r="P10" s="38">
        <f>IFERROR(VLOOKUP($F10,bug_conf_sheet!$A:$H,5,FALSE),VLOOKUP("other",bug_conf_sheet!$A:$H,5,FALSE))</f>
        <v>0</v>
      </c>
      <c r="Q10" s="38">
        <f>IFERROR(VLOOKUP($F10,bug_conf_sheet!$A:$H,6,FALSE),VLOOKUP("other",bug_conf_sheet!$A:$H,6,FALSE))</f>
        <v>0</v>
      </c>
      <c r="R10" s="38">
        <f>IFERROR(VLOOKUP($F10,bug_conf_sheet!$A:$H,7,FALSE),VLOOKUP("other",bug_conf_sheet!$A:$H,7,FALSE))</f>
        <v>0</v>
      </c>
      <c r="S10" s="38">
        <f>IFERROR(VLOOKUP($F10,bug_conf_sheet!$A:$H,8,FALSE),VLOOKUP("other",bug_conf_sheet!$A:$H,8,FALSE))</f>
        <v>1</v>
      </c>
    </row>
    <row r="11" spans="1:19" ht="21" hidden="1" customHeight="1">
      <c r="A11" s="7" t="str">
        <f t="shared" si="1"/>
        <v>1881135</v>
      </c>
      <c r="B11" s="2" t="str">
        <f t="shared" si="2"/>
        <v>1881</v>
      </c>
      <c r="C11" s="8" t="str">
        <f t="shared" si="3"/>
        <v>1PremiumW4</v>
      </c>
      <c r="D11" s="8" t="str">
        <f t="shared" si="4"/>
        <v>1PremiumW4</v>
      </c>
      <c r="E11" s="10">
        <v>1</v>
      </c>
      <c r="F11" s="6">
        <v>135</v>
      </c>
      <c r="G11" s="8" t="str">
        <f>VLOOKUP(F11,[1]characters!$A:$C,3,FALSE)</f>
        <v>京の炎華夕霧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red</v>
      </c>
      <c r="K11" s="8" t="str">
        <f>VLOOKUP(F11,[1]characters!$A:$K,11,FALSE)</f>
        <v>balance</v>
      </c>
      <c r="L11" s="8" t="str">
        <f>VLOOKUP(F11,[1]characters!$A:$M,13,FALSE)</f>
        <v>human</v>
      </c>
      <c r="M11" s="16">
        <f>VLOOKUP(D11,gacha_188_base!A:B,2,FALSE)</f>
        <v>2513</v>
      </c>
      <c r="N11" s="38">
        <f>IFERROR(VLOOKUP($F11,bug_conf_sheet!$A:$H,3,FALSE),VLOOKUP("other",bug_conf_sheet!$A:$H,3,FALSE))</f>
        <v>1</v>
      </c>
      <c r="O11" s="38">
        <f>IFERROR(VLOOKUP($F11,bug_conf_sheet!$A:$H,4,FALSE),VLOOKUP("other",bug_conf_sheet!$A:$H,4,FALSE))</f>
        <v>0</v>
      </c>
      <c r="P11" s="38">
        <f>IFERROR(VLOOKUP($F11,bug_conf_sheet!$A:$H,5,FALSE),VLOOKUP("other",bug_conf_sheet!$A:$H,5,FALSE))</f>
        <v>0</v>
      </c>
      <c r="Q11" s="38">
        <f>IFERROR(VLOOKUP($F11,bug_conf_sheet!$A:$H,6,FALSE),VLOOKUP("other",bug_conf_sheet!$A:$H,6,FALSE))</f>
        <v>0</v>
      </c>
      <c r="R11" s="38">
        <f>IFERROR(VLOOKUP($F11,bug_conf_sheet!$A:$H,7,FALSE),VLOOKUP("other",bug_conf_sheet!$A:$H,7,FALSE))</f>
        <v>0</v>
      </c>
      <c r="S11" s="38">
        <f>IFERROR(VLOOKUP($F11,bug_conf_sheet!$A:$H,8,FALSE),VLOOKUP("other",bug_conf_sheet!$A:$H,8,FALSE))</f>
        <v>1</v>
      </c>
    </row>
    <row r="12" spans="1:19" ht="21" hidden="1" customHeight="1">
      <c r="A12" s="7" t="str">
        <f t="shared" si="1"/>
        <v>1881136</v>
      </c>
      <c r="B12" s="2" t="str">
        <f t="shared" si="2"/>
        <v>1881</v>
      </c>
      <c r="C12" s="8" t="str">
        <f t="shared" si="3"/>
        <v>1PremiumW3</v>
      </c>
      <c r="D12" s="8" t="str">
        <f t="shared" si="4"/>
        <v>1PremiumW3</v>
      </c>
      <c r="E12" s="10">
        <v>1</v>
      </c>
      <c r="F12" s="9">
        <v>136</v>
      </c>
      <c r="G12" s="8" t="str">
        <f>VLOOKUP(F12,[1]characters!$A:$C,3,FALSE)</f>
        <v>お針子チハヤ</v>
      </c>
      <c r="H12" s="8" t="str">
        <f>VLOOKUP(F12,[1]characters!$A:$J,10,FALSE)</f>
        <v>PremiumW</v>
      </c>
      <c r="I12" s="8">
        <f>VLOOKUP(F12,[1]characters!$A:$I,9,FALSE)</f>
        <v>3</v>
      </c>
      <c r="J12" s="8" t="str">
        <f>VLOOKUP(F12,[1]characters!$A:$H,8,FALSE)</f>
        <v>green</v>
      </c>
      <c r="K12" s="8" t="str">
        <f>VLOOKUP(F12,[1]characters!$A:$K,11,FALSE)</f>
        <v>balance</v>
      </c>
      <c r="L12" s="8" t="str">
        <f>VLOOKUP(F12,[1]characters!$A:$M,13,FALSE)</f>
        <v>human</v>
      </c>
      <c r="M12" s="16">
        <f>VLOOKUP(D12,gacha_188_base!A:B,2,FALSE)</f>
        <v>7539</v>
      </c>
      <c r="N12" s="38">
        <f>IFERROR(VLOOKUP($F12,bug_conf_sheet!$A:$H,3,FALSE),VLOOKUP("other",bug_conf_sheet!$A:$H,3,FALSE))</f>
        <v>1</v>
      </c>
      <c r="O12" s="38">
        <f>IFERROR(VLOOKUP($F12,bug_conf_sheet!$A:$H,4,FALSE),VLOOKUP("other",bug_conf_sheet!$A:$H,4,FALSE))</f>
        <v>0</v>
      </c>
      <c r="P12" s="38">
        <f>IFERROR(VLOOKUP($F12,bug_conf_sheet!$A:$H,5,FALSE),VLOOKUP("other",bug_conf_sheet!$A:$H,5,FALSE))</f>
        <v>0</v>
      </c>
      <c r="Q12" s="38">
        <f>IFERROR(VLOOKUP($F12,bug_conf_sheet!$A:$H,6,FALSE),VLOOKUP("other",bug_conf_sheet!$A:$H,6,FALSE))</f>
        <v>0</v>
      </c>
      <c r="R12" s="38">
        <f>IFERROR(VLOOKUP($F12,bug_conf_sheet!$A:$H,7,FALSE),VLOOKUP("other",bug_conf_sheet!$A:$H,7,FALSE))</f>
        <v>0</v>
      </c>
      <c r="S12" s="38">
        <f>IFERROR(VLOOKUP($F12,bug_conf_sheet!$A:$H,8,FALSE),VLOOKUP("other",bug_conf_sheet!$A:$H,8,FALSE))</f>
        <v>1</v>
      </c>
    </row>
    <row r="13" spans="1:19" ht="21" hidden="1" customHeight="1">
      <c r="A13" s="7" t="str">
        <f t="shared" si="1"/>
        <v>1881137</v>
      </c>
      <c r="B13" s="2" t="str">
        <f t="shared" si="2"/>
        <v>1881</v>
      </c>
      <c r="C13" s="8" t="str">
        <f t="shared" si="3"/>
        <v>1PremiumW4</v>
      </c>
      <c r="D13" s="8" t="str">
        <f t="shared" si="4"/>
        <v>1PremiumW4</v>
      </c>
      <c r="E13" s="10">
        <v>1</v>
      </c>
      <c r="F13" s="9">
        <v>137</v>
      </c>
      <c r="G13" s="8" t="str">
        <f>VLOOKUP(F13,[1]characters!$A:$C,3,FALSE)</f>
        <v>清福の仕立屋 チハヤ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green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VLOOKUP(D13,gacha_188_base!A:B,2,FALSE)</f>
        <v>2513</v>
      </c>
      <c r="N13" s="38">
        <f>IFERROR(VLOOKUP($F13,bug_conf_sheet!$A:$H,3,FALSE),VLOOKUP("other",bug_conf_sheet!$A:$H,3,FALSE))</f>
        <v>1</v>
      </c>
      <c r="O13" s="38">
        <f>IFERROR(VLOOKUP($F13,bug_conf_sheet!$A:$H,4,FALSE),VLOOKUP("other",bug_conf_sheet!$A:$H,4,FALSE))</f>
        <v>0</v>
      </c>
      <c r="P13" s="38">
        <f>IFERROR(VLOOKUP($F13,bug_conf_sheet!$A:$H,5,FALSE),VLOOKUP("other",bug_conf_sheet!$A:$H,5,FALSE))</f>
        <v>0</v>
      </c>
      <c r="Q13" s="38">
        <f>IFERROR(VLOOKUP($F13,bug_conf_sheet!$A:$H,6,FALSE),VLOOKUP("other",bug_conf_sheet!$A:$H,6,FALSE))</f>
        <v>0</v>
      </c>
      <c r="R13" s="38">
        <f>IFERROR(VLOOKUP($F13,bug_conf_sheet!$A:$H,7,FALSE),VLOOKUP("other",bug_conf_sheet!$A:$H,7,FALSE))</f>
        <v>0</v>
      </c>
      <c r="S13" s="38">
        <f>IFERROR(VLOOKUP($F13,bug_conf_sheet!$A:$H,8,FALSE),VLOOKUP("other",bug_conf_sheet!$A:$H,8,FALSE))</f>
        <v>1</v>
      </c>
    </row>
    <row r="14" spans="1:19" ht="21" hidden="1" customHeight="1">
      <c r="A14" s="7" t="str">
        <f t="shared" si="1"/>
        <v>1881138</v>
      </c>
      <c r="B14" s="2" t="str">
        <f t="shared" si="2"/>
        <v>1881</v>
      </c>
      <c r="C14" s="8" t="str">
        <f t="shared" si="3"/>
        <v>1PremiumW3</v>
      </c>
      <c r="D14" s="8" t="str">
        <f t="shared" si="4"/>
        <v>1PremiumW3</v>
      </c>
      <c r="E14" s="10">
        <v>1</v>
      </c>
      <c r="F14" s="6">
        <v>138</v>
      </c>
      <c r="G14" s="8" t="str">
        <f>VLOOKUP(F14,[1]characters!$A:$C,3,FALSE)</f>
        <v>蒼薙のトモエ</v>
      </c>
      <c r="H14" s="8" t="str">
        <f>VLOOKUP(F14,[1]characters!$A:$J,10,FALSE)</f>
        <v>PremiumW</v>
      </c>
      <c r="I14" s="8">
        <f>VLOOKUP(F14,[1]characters!$A:$I,9,FALSE)</f>
        <v>3</v>
      </c>
      <c r="J14" s="8" t="str">
        <f>VLOOKUP(F14,[1]characters!$A:$H,8,FALSE)</f>
        <v>blue</v>
      </c>
      <c r="K14" s="8" t="str">
        <f>VLOOKUP(F14,[1]characters!$A:$K,11,FALSE)</f>
        <v>balance</v>
      </c>
      <c r="L14" s="8" t="str">
        <f>VLOOKUP(F14,[1]characters!$A:$M,13,FALSE)</f>
        <v>human</v>
      </c>
      <c r="M14" s="16">
        <f>VLOOKUP(D14,gacha_188_base!A:B,2,FALSE)</f>
        <v>7539</v>
      </c>
      <c r="N14" s="38">
        <f>IFERROR(VLOOKUP($F14,bug_conf_sheet!$A:$H,3,FALSE),VLOOKUP("other",bug_conf_sheet!$A:$H,3,FALSE))</f>
        <v>1</v>
      </c>
      <c r="O14" s="38">
        <f>IFERROR(VLOOKUP($F14,bug_conf_sheet!$A:$H,4,FALSE),VLOOKUP("other",bug_conf_sheet!$A:$H,4,FALSE))</f>
        <v>0</v>
      </c>
      <c r="P14" s="38">
        <f>IFERROR(VLOOKUP($F14,bug_conf_sheet!$A:$H,5,FALSE),VLOOKUP("other",bug_conf_sheet!$A:$H,5,FALSE))</f>
        <v>0</v>
      </c>
      <c r="Q14" s="38">
        <f>IFERROR(VLOOKUP($F14,bug_conf_sheet!$A:$H,6,FALSE),VLOOKUP("other",bug_conf_sheet!$A:$H,6,FALSE))</f>
        <v>0</v>
      </c>
      <c r="R14" s="38">
        <f>IFERROR(VLOOKUP($F14,bug_conf_sheet!$A:$H,7,FALSE),VLOOKUP("other",bug_conf_sheet!$A:$H,7,FALSE))</f>
        <v>0</v>
      </c>
      <c r="S14" s="38">
        <f>IFERROR(VLOOKUP($F14,bug_conf_sheet!$A:$H,8,FALSE),VLOOKUP("other",bug_conf_sheet!$A:$H,8,FALSE))</f>
        <v>1</v>
      </c>
    </row>
    <row r="15" spans="1:19" ht="21" hidden="1" customHeight="1">
      <c r="A15" s="7" t="str">
        <f t="shared" si="1"/>
        <v>1881139</v>
      </c>
      <c r="B15" s="2" t="str">
        <f t="shared" si="2"/>
        <v>1881</v>
      </c>
      <c r="C15" s="8" t="str">
        <f t="shared" si="3"/>
        <v>1PremiumW4</v>
      </c>
      <c r="D15" s="8" t="str">
        <f t="shared" si="4"/>
        <v>1PremiumW4</v>
      </c>
      <c r="E15" s="10">
        <v>1</v>
      </c>
      <c r="F15" s="6">
        <v>139</v>
      </c>
      <c r="G15" s="8" t="str">
        <f>VLOOKUP(F15,[1]characters!$A:$C,3,FALSE)</f>
        <v>蒼昇刃姫 トモエ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blue</v>
      </c>
      <c r="K15" s="8" t="str">
        <f>VLOOKUP(F15,[1]characters!$A:$K,11,FALSE)</f>
        <v>balance</v>
      </c>
      <c r="L15" s="8" t="str">
        <f>VLOOKUP(F15,[1]characters!$A:$M,13,FALSE)</f>
        <v>human</v>
      </c>
      <c r="M15" s="16">
        <f>VLOOKUP(D15,gacha_188_base!A:B,2,FALSE)</f>
        <v>2513</v>
      </c>
      <c r="N15" s="38">
        <f>IFERROR(VLOOKUP($F15,bug_conf_sheet!$A:$H,3,FALSE),VLOOKUP("other",bug_conf_sheet!$A:$H,3,FALSE))</f>
        <v>1</v>
      </c>
      <c r="O15" s="38">
        <f>IFERROR(VLOOKUP($F15,bug_conf_sheet!$A:$H,4,FALSE),VLOOKUP("other",bug_conf_sheet!$A:$H,4,FALSE))</f>
        <v>0</v>
      </c>
      <c r="P15" s="38">
        <f>IFERROR(VLOOKUP($F15,bug_conf_sheet!$A:$H,5,FALSE),VLOOKUP("other",bug_conf_sheet!$A:$H,5,FALSE))</f>
        <v>0</v>
      </c>
      <c r="Q15" s="38">
        <f>IFERROR(VLOOKUP($F15,bug_conf_sheet!$A:$H,6,FALSE),VLOOKUP("other",bug_conf_sheet!$A:$H,6,FALSE))</f>
        <v>0</v>
      </c>
      <c r="R15" s="38">
        <f>IFERROR(VLOOKUP($F15,bug_conf_sheet!$A:$H,7,FALSE),VLOOKUP("other",bug_conf_sheet!$A:$H,7,FALSE))</f>
        <v>0</v>
      </c>
      <c r="S15" s="38">
        <f>IFERROR(VLOOKUP($F15,bug_conf_sheet!$A:$H,8,FALSE),VLOOKUP("other",bug_conf_sheet!$A:$H,8,FALSE))</f>
        <v>1</v>
      </c>
    </row>
    <row r="16" spans="1:19" ht="21" hidden="1" customHeight="1">
      <c r="A16" s="7" t="str">
        <f t="shared" si="1"/>
        <v>1881140</v>
      </c>
      <c r="B16" s="2" t="str">
        <f t="shared" si="2"/>
        <v>1881</v>
      </c>
      <c r="C16" s="8" t="str">
        <f t="shared" si="3"/>
        <v>1PremiumW3</v>
      </c>
      <c r="D16" s="8" t="str">
        <f t="shared" si="4"/>
        <v>1PremiumW3</v>
      </c>
      <c r="E16" s="10">
        <v>1</v>
      </c>
      <c r="F16" s="12">
        <v>140</v>
      </c>
      <c r="G16" s="8" t="str">
        <f>VLOOKUP(F16,[1]characters!$A:$C,3,FALSE)</f>
        <v>秋祭のタマモ</v>
      </c>
      <c r="H16" s="8" t="str">
        <f>VLOOKUP(F16,[1]characters!$A:$J,10,FALSE)</f>
        <v>PremiumW</v>
      </c>
      <c r="I16" s="8">
        <f>VLOOKUP(F16,[1]characters!$A:$I,9,FALSE)</f>
        <v>3</v>
      </c>
      <c r="J16" s="8" t="str">
        <f>VLOOKUP(F16,[1]characters!$A:$H,8,FALSE)</f>
        <v>yellow</v>
      </c>
      <c r="K16" s="8" t="str">
        <f>VLOOKUP(F16,[1]characters!$A:$K,11,FALSE)</f>
        <v>balance</v>
      </c>
      <c r="L16" s="8" t="str">
        <f>VLOOKUP(F16,[1]characters!$A:$M,13,FALSE)</f>
        <v>animal</v>
      </c>
      <c r="M16" s="16">
        <f>VLOOKUP(D16,gacha_188_base!A:B,2,FALSE)</f>
        <v>7539</v>
      </c>
      <c r="N16" s="38">
        <f>IFERROR(VLOOKUP($F16,bug_conf_sheet!$A:$H,3,FALSE),VLOOKUP("other",bug_conf_sheet!$A:$H,3,FALSE))</f>
        <v>1</v>
      </c>
      <c r="O16" s="38">
        <f>IFERROR(VLOOKUP($F16,bug_conf_sheet!$A:$H,4,FALSE),VLOOKUP("other",bug_conf_sheet!$A:$H,4,FALSE))</f>
        <v>0</v>
      </c>
      <c r="P16" s="38">
        <f>IFERROR(VLOOKUP($F16,bug_conf_sheet!$A:$H,5,FALSE),VLOOKUP("other",bug_conf_sheet!$A:$H,5,FALSE))</f>
        <v>0</v>
      </c>
      <c r="Q16" s="38">
        <f>IFERROR(VLOOKUP($F16,bug_conf_sheet!$A:$H,6,FALSE),VLOOKUP("other",bug_conf_sheet!$A:$H,6,FALSE))</f>
        <v>0</v>
      </c>
      <c r="R16" s="38">
        <f>IFERROR(VLOOKUP($F16,bug_conf_sheet!$A:$H,7,FALSE),VLOOKUP("other",bug_conf_sheet!$A:$H,7,FALSE))</f>
        <v>0</v>
      </c>
      <c r="S16" s="38">
        <f>IFERROR(VLOOKUP($F16,bug_conf_sheet!$A:$H,8,FALSE),VLOOKUP("other",bug_conf_sheet!$A:$H,8,FALSE))</f>
        <v>1</v>
      </c>
    </row>
    <row r="17" spans="1:19" ht="21" hidden="1" customHeight="1">
      <c r="A17" s="7" t="str">
        <f t="shared" si="1"/>
        <v>1881141</v>
      </c>
      <c r="B17" s="2" t="str">
        <f t="shared" si="2"/>
        <v>1881</v>
      </c>
      <c r="C17" s="8" t="str">
        <f t="shared" si="3"/>
        <v>1PremiumW4</v>
      </c>
      <c r="D17" s="8" t="str">
        <f t="shared" si="4"/>
        <v>1PremiumW4</v>
      </c>
      <c r="E17" s="10">
        <v>1</v>
      </c>
      <c r="F17" s="13">
        <v>141</v>
      </c>
      <c r="G17" s="8" t="str">
        <f>VLOOKUP(F17,[1]characters!$A:$C,3,FALSE)</f>
        <v>妖狐演舞 タマモ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balance</v>
      </c>
      <c r="L17" s="8" t="str">
        <f>VLOOKUP(F17,[1]characters!$A:$M,13,FALSE)</f>
        <v>animal</v>
      </c>
      <c r="M17" s="16">
        <f>VLOOKUP(D17,gacha_188_base!A:B,2,FALSE)</f>
        <v>2513</v>
      </c>
      <c r="N17" s="38">
        <f>IFERROR(VLOOKUP($F17,bug_conf_sheet!$A:$H,3,FALSE),VLOOKUP("other",bug_conf_sheet!$A:$H,3,FALSE))</f>
        <v>1</v>
      </c>
      <c r="O17" s="38">
        <f>IFERROR(VLOOKUP($F17,bug_conf_sheet!$A:$H,4,FALSE),VLOOKUP("other",bug_conf_sheet!$A:$H,4,FALSE))</f>
        <v>0</v>
      </c>
      <c r="P17" s="38">
        <f>IFERROR(VLOOKUP($F17,bug_conf_sheet!$A:$H,5,FALSE),VLOOKUP("other",bug_conf_sheet!$A:$H,5,FALSE))</f>
        <v>0</v>
      </c>
      <c r="Q17" s="38">
        <f>IFERROR(VLOOKUP($F17,bug_conf_sheet!$A:$H,6,FALSE),VLOOKUP("other",bug_conf_sheet!$A:$H,6,FALSE))</f>
        <v>0</v>
      </c>
      <c r="R17" s="38">
        <f>IFERROR(VLOOKUP($F17,bug_conf_sheet!$A:$H,7,FALSE),VLOOKUP("other",bug_conf_sheet!$A:$H,7,FALSE))</f>
        <v>0</v>
      </c>
      <c r="S17" s="38">
        <f>IFERROR(VLOOKUP($F17,bug_conf_sheet!$A:$H,8,FALSE),VLOOKUP("other",bug_conf_sheet!$A:$H,8,FALSE))</f>
        <v>1</v>
      </c>
    </row>
    <row r="18" spans="1:19" ht="21" hidden="1" customHeight="1">
      <c r="A18" s="7" t="str">
        <f t="shared" si="1"/>
        <v>1881142</v>
      </c>
      <c r="B18" s="2" t="str">
        <f t="shared" si="2"/>
        <v>1881</v>
      </c>
      <c r="C18" s="8" t="str">
        <f t="shared" si="3"/>
        <v>1PremiumW3</v>
      </c>
      <c r="D18" s="8" t="str">
        <f t="shared" si="4"/>
        <v>1PremiumW3</v>
      </c>
      <c r="E18" s="10">
        <v>1</v>
      </c>
      <c r="F18" s="6">
        <v>142</v>
      </c>
      <c r="G18" s="8" t="str">
        <f>VLOOKUP(F18,[1]characters!$A:$C,3,FALSE)</f>
        <v>赤ずきん</v>
      </c>
      <c r="H18" s="8" t="str">
        <f>VLOOKUP(F18,[1]characters!$A:$J,10,FALSE)</f>
        <v>PremiumW</v>
      </c>
      <c r="I18" s="8">
        <f>VLOOKUP(F18,[1]characters!$A:$I,9,FALSE)</f>
        <v>3</v>
      </c>
      <c r="J18" s="8" t="str">
        <f>VLOOKUP(F18,[1]characters!$A:$H,8,FALSE)</f>
        <v>red</v>
      </c>
      <c r="K18" s="8" t="str">
        <f>VLOOKUP(F18,[1]characters!$A:$K,11,FALSE)</f>
        <v>balance</v>
      </c>
      <c r="L18" s="8" t="str">
        <f>VLOOKUP(F18,[1]characters!$A:$M,13,FALSE)</f>
        <v>human</v>
      </c>
      <c r="M18" s="16">
        <f>VLOOKUP(D18,gacha_188_base!A:B,2,FALSE)</f>
        <v>7539</v>
      </c>
      <c r="N18" s="38">
        <f>IFERROR(VLOOKUP($F18,bug_conf_sheet!$A:$H,3,FALSE),VLOOKUP("other",bug_conf_sheet!$A:$H,3,FALSE))</f>
        <v>1</v>
      </c>
      <c r="O18" s="38">
        <f>IFERROR(VLOOKUP($F18,bug_conf_sheet!$A:$H,4,FALSE),VLOOKUP("other",bug_conf_sheet!$A:$H,4,FALSE))</f>
        <v>0</v>
      </c>
      <c r="P18" s="38">
        <f>IFERROR(VLOOKUP($F18,bug_conf_sheet!$A:$H,5,FALSE),VLOOKUP("other",bug_conf_sheet!$A:$H,5,FALSE))</f>
        <v>0</v>
      </c>
      <c r="Q18" s="38">
        <f>IFERROR(VLOOKUP($F18,bug_conf_sheet!$A:$H,6,FALSE),VLOOKUP("other",bug_conf_sheet!$A:$H,6,FALSE))</f>
        <v>0</v>
      </c>
      <c r="R18" s="38">
        <f>IFERROR(VLOOKUP($F18,bug_conf_sheet!$A:$H,7,FALSE),VLOOKUP("other",bug_conf_sheet!$A:$H,7,FALSE))</f>
        <v>0</v>
      </c>
      <c r="S18" s="38">
        <f>IFERROR(VLOOKUP($F18,bug_conf_sheet!$A:$H,8,FALSE),VLOOKUP("other",bug_conf_sheet!$A:$H,8,FALSE))</f>
        <v>1</v>
      </c>
    </row>
    <row r="19" spans="1:19" s="14" customFormat="1" ht="21" hidden="1" customHeight="1" thickBot="1">
      <c r="A19" s="7" t="str">
        <f t="shared" si="1"/>
        <v>1881143</v>
      </c>
      <c r="B19" s="2" t="str">
        <f t="shared" si="2"/>
        <v>1881</v>
      </c>
      <c r="C19" s="8" t="str">
        <f t="shared" si="3"/>
        <v>1PremiumW4</v>
      </c>
      <c r="D19" s="8" t="str">
        <f t="shared" si="4"/>
        <v>1PremiumW4</v>
      </c>
      <c r="E19" s="10">
        <v>1</v>
      </c>
      <c r="F19" s="6">
        <v>143</v>
      </c>
      <c r="G19" s="8" t="str">
        <f>VLOOKUP(F19,[1]characters!$A:$C,3,FALSE)</f>
        <v>深紅の死神 赤ずきん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red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VLOOKUP(D19,gacha_188_base!A:B,2,FALSE)</f>
        <v>2513</v>
      </c>
      <c r="N19" s="38">
        <f>IFERROR(VLOOKUP($F19,bug_conf_sheet!$A:$H,3,FALSE),VLOOKUP("other",bug_conf_sheet!$A:$H,3,FALSE))</f>
        <v>1</v>
      </c>
      <c r="O19" s="38">
        <f>IFERROR(VLOOKUP($F19,bug_conf_sheet!$A:$H,4,FALSE),VLOOKUP("other",bug_conf_sheet!$A:$H,4,FALSE))</f>
        <v>0</v>
      </c>
      <c r="P19" s="38">
        <f>IFERROR(VLOOKUP($F19,bug_conf_sheet!$A:$H,5,FALSE),VLOOKUP("other",bug_conf_sheet!$A:$H,5,FALSE))</f>
        <v>0</v>
      </c>
      <c r="Q19" s="38">
        <f>IFERROR(VLOOKUP($F19,bug_conf_sheet!$A:$H,6,FALSE),VLOOKUP("other",bug_conf_sheet!$A:$H,6,FALSE))</f>
        <v>0</v>
      </c>
      <c r="R19" s="38">
        <f>IFERROR(VLOOKUP($F19,bug_conf_sheet!$A:$H,7,FALSE),VLOOKUP("other",bug_conf_sheet!$A:$H,7,FALSE))</f>
        <v>0</v>
      </c>
      <c r="S19" s="38">
        <f>IFERROR(VLOOKUP($F19,bug_conf_sheet!$A:$H,8,FALSE),VLOOKUP("other",bug_conf_sheet!$A:$H,8,FALSE))</f>
        <v>1</v>
      </c>
    </row>
    <row r="20" spans="1:19" ht="21" hidden="1" customHeight="1">
      <c r="A20" s="7" t="str">
        <f t="shared" si="1"/>
        <v>1881144</v>
      </c>
      <c r="B20" s="2" t="str">
        <f t="shared" si="2"/>
        <v>1881</v>
      </c>
      <c r="C20" s="8" t="str">
        <f t="shared" si="3"/>
        <v>1PremiumW3</v>
      </c>
      <c r="D20" s="8" t="str">
        <f t="shared" si="4"/>
        <v>1PremiumW3</v>
      </c>
      <c r="E20" s="10">
        <v>1</v>
      </c>
      <c r="F20" s="12">
        <v>144</v>
      </c>
      <c r="G20" s="8" t="str">
        <f>VLOOKUP(F20,[1]characters!$A:$C,3,FALSE)</f>
        <v>かぐや</v>
      </c>
      <c r="H20" s="8" t="str">
        <f>VLOOKUP(F20,[1]characters!$A:$J,10,FALSE)</f>
        <v>PremiumW</v>
      </c>
      <c r="I20" s="8">
        <f>VLOOKUP(F20,[1]characters!$A:$I,9,FALSE)</f>
        <v>3</v>
      </c>
      <c r="J20" s="8" t="str">
        <f>VLOOKUP(F20,[1]characters!$A:$H,8,FALSE)</f>
        <v>green</v>
      </c>
      <c r="K20" s="8" t="str">
        <f>VLOOKUP(F20,[1]characters!$A:$K,11,FALSE)</f>
        <v>hp</v>
      </c>
      <c r="L20" s="8" t="str">
        <f>VLOOKUP(F20,[1]characters!$A:$M,13,FALSE)</f>
        <v>human</v>
      </c>
      <c r="M20" s="16">
        <f>VLOOKUP(D20,gacha_188_base!A:B,2,FALSE)</f>
        <v>7539</v>
      </c>
      <c r="N20" s="38">
        <f>IFERROR(VLOOKUP($F20,bug_conf_sheet!$A:$H,3,FALSE),VLOOKUP("other",bug_conf_sheet!$A:$H,3,FALSE))</f>
        <v>1</v>
      </c>
      <c r="O20" s="38">
        <f>IFERROR(VLOOKUP($F20,bug_conf_sheet!$A:$H,4,FALSE),VLOOKUP("other",bug_conf_sheet!$A:$H,4,FALSE))</f>
        <v>0</v>
      </c>
      <c r="P20" s="38">
        <f>IFERROR(VLOOKUP($F20,bug_conf_sheet!$A:$H,5,FALSE),VLOOKUP("other",bug_conf_sheet!$A:$H,5,FALSE))</f>
        <v>0</v>
      </c>
      <c r="Q20" s="38">
        <f>IFERROR(VLOOKUP($F20,bug_conf_sheet!$A:$H,6,FALSE),VLOOKUP("other",bug_conf_sheet!$A:$H,6,FALSE))</f>
        <v>0</v>
      </c>
      <c r="R20" s="38">
        <f>IFERROR(VLOOKUP($F20,bug_conf_sheet!$A:$H,7,FALSE),VLOOKUP("other",bug_conf_sheet!$A:$H,7,FALSE))</f>
        <v>0</v>
      </c>
      <c r="S20" s="38">
        <f>IFERROR(VLOOKUP($F20,bug_conf_sheet!$A:$H,8,FALSE),VLOOKUP("other",bug_conf_sheet!$A:$H,8,FALSE))</f>
        <v>1</v>
      </c>
    </row>
    <row r="21" spans="1:19" ht="21" hidden="1" customHeight="1">
      <c r="A21" s="7" t="str">
        <f t="shared" si="1"/>
        <v>1881145</v>
      </c>
      <c r="B21" s="2" t="str">
        <f t="shared" si="2"/>
        <v>1881</v>
      </c>
      <c r="C21" s="8" t="str">
        <f t="shared" si="3"/>
        <v>1PremiumW4</v>
      </c>
      <c r="D21" s="8" t="str">
        <f t="shared" si="4"/>
        <v>1PremiumW4</v>
      </c>
      <c r="E21" s="10">
        <v>1</v>
      </c>
      <c r="F21" s="6">
        <v>145</v>
      </c>
      <c r="G21" s="8" t="str">
        <f>VLOOKUP(F21,[1]characters!$A:$C,3,FALSE)</f>
        <v>魔性妖艶 かぐや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green</v>
      </c>
      <c r="K21" s="8" t="str">
        <f>VLOOKUP(F21,[1]characters!$A:$K,11,FALSE)</f>
        <v>hp</v>
      </c>
      <c r="L21" s="8" t="str">
        <f>VLOOKUP(F21,[1]characters!$A:$M,13,FALSE)</f>
        <v>human</v>
      </c>
      <c r="M21" s="16">
        <f>VLOOKUP(D21,gacha_188_base!A:B,2,FALSE)</f>
        <v>2513</v>
      </c>
      <c r="N21" s="38">
        <f>IFERROR(VLOOKUP($F21,bug_conf_sheet!$A:$H,3,FALSE),VLOOKUP("other",bug_conf_sheet!$A:$H,3,FALSE))</f>
        <v>1</v>
      </c>
      <c r="O21" s="38">
        <f>IFERROR(VLOOKUP($F21,bug_conf_sheet!$A:$H,4,FALSE),VLOOKUP("other",bug_conf_sheet!$A:$H,4,FALSE))</f>
        <v>0</v>
      </c>
      <c r="P21" s="38">
        <f>IFERROR(VLOOKUP($F21,bug_conf_sheet!$A:$H,5,FALSE),VLOOKUP("other",bug_conf_sheet!$A:$H,5,FALSE))</f>
        <v>0</v>
      </c>
      <c r="Q21" s="38">
        <f>IFERROR(VLOOKUP($F21,bug_conf_sheet!$A:$H,6,FALSE),VLOOKUP("other",bug_conf_sheet!$A:$H,6,FALSE))</f>
        <v>0</v>
      </c>
      <c r="R21" s="38">
        <f>IFERROR(VLOOKUP($F21,bug_conf_sheet!$A:$H,7,FALSE),VLOOKUP("other",bug_conf_sheet!$A:$H,7,FALSE))</f>
        <v>0</v>
      </c>
      <c r="S21" s="38">
        <f>IFERROR(VLOOKUP($F21,bug_conf_sheet!$A:$H,8,FALSE),VLOOKUP("other",bug_conf_sheet!$A:$H,8,FALSE))</f>
        <v>1</v>
      </c>
    </row>
    <row r="22" spans="1:19" ht="21" hidden="1" customHeight="1">
      <c r="A22" s="7" t="str">
        <f t="shared" si="1"/>
        <v>1881146</v>
      </c>
      <c r="B22" s="2" t="str">
        <f t="shared" si="2"/>
        <v>1881</v>
      </c>
      <c r="C22" s="8" t="str">
        <f t="shared" si="3"/>
        <v>1PremiumW3</v>
      </c>
      <c r="D22" s="8" t="str">
        <f t="shared" si="4"/>
        <v>1PremiumW3</v>
      </c>
      <c r="E22" s="10">
        <v>1</v>
      </c>
      <c r="F22" s="6">
        <v>146</v>
      </c>
      <c r="G22" s="8" t="str">
        <f>VLOOKUP(F22,[1]characters!$A:$C,3,FALSE)</f>
        <v>マーメイド</v>
      </c>
      <c r="H22" s="8" t="str">
        <f>VLOOKUP(F22,[1]characters!$A:$J,10,FALSE)</f>
        <v>PremiumW</v>
      </c>
      <c r="I22" s="8">
        <f>VLOOKUP(F22,[1]characters!$A:$I,9,FALSE)</f>
        <v>3</v>
      </c>
      <c r="J22" s="8" t="str">
        <f>VLOOKUP(F22,[1]characters!$A:$H,8,FALSE)</f>
        <v>blue</v>
      </c>
      <c r="K22" s="8" t="str">
        <f>VLOOKUP(F22,[1]characters!$A:$K,11,FALSE)</f>
        <v>hp</v>
      </c>
      <c r="L22" s="8" t="str">
        <f>VLOOKUP(F22,[1]characters!$A:$M,13,FALSE)</f>
        <v>human</v>
      </c>
      <c r="M22" s="16">
        <f>VLOOKUP(D22,gacha_188_base!A:B,2,FALSE)</f>
        <v>7539</v>
      </c>
      <c r="N22" s="38">
        <f>IFERROR(VLOOKUP($F22,bug_conf_sheet!$A:$H,3,FALSE),VLOOKUP("other",bug_conf_sheet!$A:$H,3,FALSE))</f>
        <v>1</v>
      </c>
      <c r="O22" s="38">
        <f>IFERROR(VLOOKUP($F22,bug_conf_sheet!$A:$H,4,FALSE),VLOOKUP("other",bug_conf_sheet!$A:$H,4,FALSE))</f>
        <v>0</v>
      </c>
      <c r="P22" s="38">
        <f>IFERROR(VLOOKUP($F22,bug_conf_sheet!$A:$H,5,FALSE),VLOOKUP("other",bug_conf_sheet!$A:$H,5,FALSE))</f>
        <v>0</v>
      </c>
      <c r="Q22" s="38">
        <f>IFERROR(VLOOKUP($F22,bug_conf_sheet!$A:$H,6,FALSE),VLOOKUP("other",bug_conf_sheet!$A:$H,6,FALSE))</f>
        <v>0</v>
      </c>
      <c r="R22" s="38">
        <f>IFERROR(VLOOKUP($F22,bug_conf_sheet!$A:$H,7,FALSE),VLOOKUP("other",bug_conf_sheet!$A:$H,7,FALSE))</f>
        <v>0</v>
      </c>
      <c r="S22" s="38">
        <f>IFERROR(VLOOKUP($F22,bug_conf_sheet!$A:$H,8,FALSE),VLOOKUP("other",bug_conf_sheet!$A:$H,8,FALSE))</f>
        <v>1</v>
      </c>
    </row>
    <row r="23" spans="1:19" ht="21" hidden="1" customHeight="1">
      <c r="A23" s="7" t="str">
        <f t="shared" si="1"/>
        <v>1881147</v>
      </c>
      <c r="B23" s="2" t="str">
        <f t="shared" si="2"/>
        <v>1881</v>
      </c>
      <c r="C23" s="8" t="str">
        <f t="shared" si="3"/>
        <v>1PremiumW4</v>
      </c>
      <c r="D23" s="8" t="str">
        <f t="shared" si="4"/>
        <v>1PremiumW4</v>
      </c>
      <c r="E23" s="10">
        <v>1</v>
      </c>
      <c r="F23" s="6">
        <v>147</v>
      </c>
      <c r="G23" s="8" t="str">
        <f>VLOOKUP(F23,[1]characters!$A:$C,3,FALSE)</f>
        <v>蒼き閃光 元マーメイド</v>
      </c>
      <c r="H23" s="8" t="str">
        <f>VLOOKUP(F23,[1]characters!$A:$J,10,FALSE)</f>
        <v>PremiumW</v>
      </c>
      <c r="I23" s="8">
        <f>VLOOKUP(F23,[1]characters!$A:$I,9,FALSE)</f>
        <v>4</v>
      </c>
      <c r="J23" s="8" t="str">
        <f>VLOOKUP(F23,[1]characters!$A:$H,8,FALSE)</f>
        <v>blue</v>
      </c>
      <c r="K23" s="8" t="str">
        <f>VLOOKUP(F23,[1]characters!$A:$K,11,FALSE)</f>
        <v>hp</v>
      </c>
      <c r="L23" s="8" t="str">
        <f>VLOOKUP(F23,[1]characters!$A:$M,13,FALSE)</f>
        <v>human</v>
      </c>
      <c r="M23" s="16">
        <f>VLOOKUP(D23,gacha_188_base!A:B,2,FALSE)</f>
        <v>2513</v>
      </c>
      <c r="N23" s="38">
        <f>IFERROR(VLOOKUP($F23,bug_conf_sheet!$A:$H,3,FALSE),VLOOKUP("other",bug_conf_sheet!$A:$H,3,FALSE))</f>
        <v>1</v>
      </c>
      <c r="O23" s="38">
        <f>IFERROR(VLOOKUP($F23,bug_conf_sheet!$A:$H,4,FALSE),VLOOKUP("other",bug_conf_sheet!$A:$H,4,FALSE))</f>
        <v>0</v>
      </c>
      <c r="P23" s="38">
        <f>IFERROR(VLOOKUP($F23,bug_conf_sheet!$A:$H,5,FALSE),VLOOKUP("other",bug_conf_sheet!$A:$H,5,FALSE))</f>
        <v>0</v>
      </c>
      <c r="Q23" s="38">
        <f>IFERROR(VLOOKUP($F23,bug_conf_sheet!$A:$H,6,FALSE),VLOOKUP("other",bug_conf_sheet!$A:$H,6,FALSE))</f>
        <v>0</v>
      </c>
      <c r="R23" s="38">
        <f>IFERROR(VLOOKUP($F23,bug_conf_sheet!$A:$H,7,FALSE),VLOOKUP("other",bug_conf_sheet!$A:$H,7,FALSE))</f>
        <v>0</v>
      </c>
      <c r="S23" s="38">
        <f>IFERROR(VLOOKUP($F23,bug_conf_sheet!$A:$H,8,FALSE),VLOOKUP("other",bug_conf_sheet!$A:$H,8,FALSE))</f>
        <v>1</v>
      </c>
    </row>
    <row r="24" spans="1:19" ht="21" hidden="1" customHeight="1">
      <c r="A24" s="7" t="str">
        <f t="shared" si="1"/>
        <v>1881148</v>
      </c>
      <c r="B24" s="2" t="str">
        <f t="shared" si="2"/>
        <v>1881</v>
      </c>
      <c r="C24" s="8" t="str">
        <f t="shared" si="3"/>
        <v>1PremiumW3</v>
      </c>
      <c r="D24" s="8" t="str">
        <f t="shared" si="4"/>
        <v>1PremiumW3</v>
      </c>
      <c r="E24" s="10">
        <v>1</v>
      </c>
      <c r="F24" s="6">
        <v>148</v>
      </c>
      <c r="G24" s="8" t="str">
        <f>VLOOKUP(F24,[1]characters!$A:$C,3,FALSE)</f>
        <v>シンデレラ</v>
      </c>
      <c r="H24" s="8" t="str">
        <f>VLOOKUP(F24,[1]characters!$A:$J,10,FALSE)</f>
        <v>PremiumW</v>
      </c>
      <c r="I24" s="8">
        <f>VLOOKUP(F24,[1]characters!$A:$I,9,FALSE)</f>
        <v>3</v>
      </c>
      <c r="J24" s="8" t="str">
        <f>VLOOKUP(F24,[1]characters!$A:$H,8,FALSE)</f>
        <v>yellow</v>
      </c>
      <c r="K24" s="8" t="str">
        <f>VLOOKUP(F24,[1]characters!$A:$K,11,FALSE)</f>
        <v>balance</v>
      </c>
      <c r="L24" s="8" t="str">
        <f>VLOOKUP(F24,[1]characters!$A:$M,13,FALSE)</f>
        <v>human</v>
      </c>
      <c r="M24" s="16">
        <f>VLOOKUP(D24,gacha_188_base!A:B,2,FALSE)</f>
        <v>7539</v>
      </c>
      <c r="N24" s="38">
        <f>IFERROR(VLOOKUP($F24,bug_conf_sheet!$A:$H,3,FALSE),VLOOKUP("other",bug_conf_sheet!$A:$H,3,FALSE))</f>
        <v>1</v>
      </c>
      <c r="O24" s="38">
        <f>IFERROR(VLOOKUP($F24,bug_conf_sheet!$A:$H,4,FALSE),VLOOKUP("other",bug_conf_sheet!$A:$H,4,FALSE))</f>
        <v>0</v>
      </c>
      <c r="P24" s="38">
        <f>IFERROR(VLOOKUP($F24,bug_conf_sheet!$A:$H,5,FALSE),VLOOKUP("other",bug_conf_sheet!$A:$H,5,FALSE))</f>
        <v>0</v>
      </c>
      <c r="Q24" s="38">
        <f>IFERROR(VLOOKUP($F24,bug_conf_sheet!$A:$H,6,FALSE),VLOOKUP("other",bug_conf_sheet!$A:$H,6,FALSE))</f>
        <v>0</v>
      </c>
      <c r="R24" s="38">
        <f>IFERROR(VLOOKUP($F24,bug_conf_sheet!$A:$H,7,FALSE),VLOOKUP("other",bug_conf_sheet!$A:$H,7,FALSE))</f>
        <v>0</v>
      </c>
      <c r="S24" s="38">
        <f>IFERROR(VLOOKUP($F24,bug_conf_sheet!$A:$H,8,FALSE),VLOOKUP("other",bug_conf_sheet!$A:$H,8,FALSE))</f>
        <v>1</v>
      </c>
    </row>
    <row r="25" spans="1:19" ht="21" hidden="1" customHeight="1">
      <c r="A25" s="7" t="str">
        <f t="shared" si="1"/>
        <v>1881149</v>
      </c>
      <c r="B25" s="2" t="str">
        <f t="shared" si="2"/>
        <v>1881</v>
      </c>
      <c r="C25" s="8" t="str">
        <f t="shared" si="3"/>
        <v>1PremiumW4</v>
      </c>
      <c r="D25" s="8" t="str">
        <f t="shared" si="4"/>
        <v>1PremiumW4</v>
      </c>
      <c r="E25" s="10">
        <v>1</v>
      </c>
      <c r="F25" s="6">
        <v>149</v>
      </c>
      <c r="G25" s="8" t="str">
        <f>VLOOKUP(F25,[1]characters!$A:$C,3,FALSE)</f>
        <v>雷撃蹴技を極めし者 シンデレラ</v>
      </c>
      <c r="H25" s="8" t="str">
        <f>VLOOKUP(F25,[1]characters!$A:$J,10,FALSE)</f>
        <v>PremiumW</v>
      </c>
      <c r="I25" s="8">
        <f>VLOOKUP(F25,[1]characters!$A:$I,9,FALSE)</f>
        <v>4</v>
      </c>
      <c r="J25" s="8" t="str">
        <f>VLOOKUP(F25,[1]characters!$A:$H,8,FALSE)</f>
        <v>yellow</v>
      </c>
      <c r="K25" s="8" t="str">
        <f>VLOOKUP(F25,[1]characters!$A:$K,11,FALSE)</f>
        <v>balance</v>
      </c>
      <c r="L25" s="8" t="str">
        <f>VLOOKUP(F25,[1]characters!$A:$M,13,FALSE)</f>
        <v>human</v>
      </c>
      <c r="M25" s="16">
        <f>VLOOKUP(D25,gacha_188_base!A:B,2,FALSE)</f>
        <v>2513</v>
      </c>
      <c r="N25" s="38">
        <f>IFERROR(VLOOKUP($F25,bug_conf_sheet!$A:$H,3,FALSE),VLOOKUP("other",bug_conf_sheet!$A:$H,3,FALSE))</f>
        <v>1</v>
      </c>
      <c r="O25" s="38">
        <f>IFERROR(VLOOKUP($F25,bug_conf_sheet!$A:$H,4,FALSE),VLOOKUP("other",bug_conf_sheet!$A:$H,4,FALSE))</f>
        <v>0</v>
      </c>
      <c r="P25" s="38">
        <f>IFERROR(VLOOKUP($F25,bug_conf_sheet!$A:$H,5,FALSE),VLOOKUP("other",bug_conf_sheet!$A:$H,5,FALSE))</f>
        <v>0</v>
      </c>
      <c r="Q25" s="38">
        <f>IFERROR(VLOOKUP($F25,bug_conf_sheet!$A:$H,6,FALSE),VLOOKUP("other",bug_conf_sheet!$A:$H,6,FALSE))</f>
        <v>0</v>
      </c>
      <c r="R25" s="38">
        <f>IFERROR(VLOOKUP($F25,bug_conf_sheet!$A:$H,7,FALSE),VLOOKUP("other",bug_conf_sheet!$A:$H,7,FALSE))</f>
        <v>0</v>
      </c>
      <c r="S25" s="38">
        <f>IFERROR(VLOOKUP($F25,bug_conf_sheet!$A:$H,8,FALSE),VLOOKUP("other",bug_conf_sheet!$A:$H,8,FALSE))</f>
        <v>1</v>
      </c>
    </row>
    <row r="26" spans="1:19" ht="21" hidden="1" customHeight="1">
      <c r="A26" s="7" t="str">
        <f t="shared" si="1"/>
        <v>1881150</v>
      </c>
      <c r="B26" s="2" t="str">
        <f t="shared" si="2"/>
        <v>1881</v>
      </c>
      <c r="C26" s="8" t="str">
        <f t="shared" si="3"/>
        <v>1PremiumW3</v>
      </c>
      <c r="D26" s="8" t="str">
        <f t="shared" si="4"/>
        <v>1PremiumW3</v>
      </c>
      <c r="E26" s="10">
        <v>1</v>
      </c>
      <c r="F26" s="6">
        <v>150</v>
      </c>
      <c r="G26" s="8" t="str">
        <f>VLOOKUP(F26,[1]characters!$A:$C,3,FALSE)</f>
        <v>ポイズンマスターサキ</v>
      </c>
      <c r="H26" s="8" t="str">
        <f>VLOOKUP(F26,[1]characters!$A:$J,10,FALSE)</f>
        <v>PremiumW</v>
      </c>
      <c r="I26" s="8">
        <f>VLOOKUP(F26,[1]characters!$A:$I,9,FALSE)</f>
        <v>3</v>
      </c>
      <c r="J26" s="8" t="str">
        <f>VLOOKUP(F26,[1]characters!$A:$H,8,FALSE)</f>
        <v>red</v>
      </c>
      <c r="K26" s="8" t="str">
        <f>VLOOKUP(F26,[1]characters!$A:$K,11,FALSE)</f>
        <v>technical</v>
      </c>
      <c r="L26" s="8" t="str">
        <f>VLOOKUP(F26,[1]characters!$A:$M,13,FALSE)</f>
        <v>human</v>
      </c>
      <c r="M26" s="16">
        <f>VLOOKUP(D26,gacha_188_base!A:B,2,FALSE)</f>
        <v>7539</v>
      </c>
      <c r="N26" s="38">
        <f>IFERROR(VLOOKUP($F26,bug_conf_sheet!$A:$H,3,FALSE),VLOOKUP("other",bug_conf_sheet!$A:$H,3,FALSE))</f>
        <v>1</v>
      </c>
      <c r="O26" s="38">
        <f>IFERROR(VLOOKUP($F26,bug_conf_sheet!$A:$H,4,FALSE),VLOOKUP("other",bug_conf_sheet!$A:$H,4,FALSE))</f>
        <v>0</v>
      </c>
      <c r="P26" s="38">
        <f>IFERROR(VLOOKUP($F26,bug_conf_sheet!$A:$H,5,FALSE),VLOOKUP("other",bug_conf_sheet!$A:$H,5,FALSE))</f>
        <v>0</v>
      </c>
      <c r="Q26" s="38">
        <f>IFERROR(VLOOKUP($F26,bug_conf_sheet!$A:$H,6,FALSE),VLOOKUP("other",bug_conf_sheet!$A:$H,6,FALSE))</f>
        <v>0</v>
      </c>
      <c r="R26" s="38">
        <f>IFERROR(VLOOKUP($F26,bug_conf_sheet!$A:$H,7,FALSE),VLOOKUP("other",bug_conf_sheet!$A:$H,7,FALSE))</f>
        <v>0</v>
      </c>
      <c r="S26" s="38">
        <f>IFERROR(VLOOKUP($F26,bug_conf_sheet!$A:$H,8,FALSE),VLOOKUP("other",bug_conf_sheet!$A:$H,8,FALSE))</f>
        <v>1</v>
      </c>
    </row>
    <row r="27" spans="1:19" ht="21" hidden="1" customHeight="1">
      <c r="A27" s="7" t="str">
        <f t="shared" si="1"/>
        <v>1881151</v>
      </c>
      <c r="B27" s="2" t="str">
        <f t="shared" si="2"/>
        <v>1881</v>
      </c>
      <c r="C27" s="8" t="str">
        <f t="shared" si="3"/>
        <v>1PremiumW4</v>
      </c>
      <c r="D27" s="8" t="str">
        <f t="shared" si="4"/>
        <v>1PremiumW4</v>
      </c>
      <c r="E27" s="10">
        <v>1</v>
      </c>
      <c r="F27" s="6">
        <v>151</v>
      </c>
      <c r="G27" s="8" t="str">
        <f>VLOOKUP(F27,[1]characters!$A:$C,3,FALSE)</f>
        <v>毒煙の処刑人サキ</v>
      </c>
      <c r="H27" s="8" t="str">
        <f>VLOOKUP(F27,[1]characters!$A:$J,10,FALSE)</f>
        <v>PremiumW</v>
      </c>
      <c r="I27" s="8">
        <f>VLOOKUP(F27,[1]characters!$A:$I,9,FALSE)</f>
        <v>4</v>
      </c>
      <c r="J27" s="8" t="str">
        <f>VLOOKUP(F27,[1]characters!$A:$H,8,FALSE)</f>
        <v>red</v>
      </c>
      <c r="K27" s="8" t="str">
        <f>VLOOKUP(F27,[1]characters!$A:$K,11,FALSE)</f>
        <v>technical</v>
      </c>
      <c r="L27" s="8" t="str">
        <f>VLOOKUP(F27,[1]characters!$A:$M,13,FALSE)</f>
        <v>human</v>
      </c>
      <c r="M27" s="16">
        <f>VLOOKUP(D27,gacha_188_base!A:B,2,FALSE)</f>
        <v>2513</v>
      </c>
      <c r="N27" s="38">
        <f>IFERROR(VLOOKUP($F27,bug_conf_sheet!$A:$H,3,FALSE),VLOOKUP("other",bug_conf_sheet!$A:$H,3,FALSE))</f>
        <v>1</v>
      </c>
      <c r="O27" s="38">
        <f>IFERROR(VLOOKUP($F27,bug_conf_sheet!$A:$H,4,FALSE),VLOOKUP("other",bug_conf_sheet!$A:$H,4,FALSE))</f>
        <v>0</v>
      </c>
      <c r="P27" s="38">
        <f>IFERROR(VLOOKUP($F27,bug_conf_sheet!$A:$H,5,FALSE),VLOOKUP("other",bug_conf_sheet!$A:$H,5,FALSE))</f>
        <v>0</v>
      </c>
      <c r="Q27" s="38">
        <f>IFERROR(VLOOKUP($F27,bug_conf_sheet!$A:$H,6,FALSE),VLOOKUP("other",bug_conf_sheet!$A:$H,6,FALSE))</f>
        <v>0</v>
      </c>
      <c r="R27" s="38">
        <f>IFERROR(VLOOKUP($F27,bug_conf_sheet!$A:$H,7,FALSE),VLOOKUP("other",bug_conf_sheet!$A:$H,7,FALSE))</f>
        <v>0</v>
      </c>
      <c r="S27" s="38">
        <f>IFERROR(VLOOKUP($F27,bug_conf_sheet!$A:$H,8,FALSE),VLOOKUP("other",bug_conf_sheet!$A:$H,8,FALSE))</f>
        <v>1</v>
      </c>
    </row>
    <row r="28" spans="1:19" ht="21" hidden="1" customHeight="1">
      <c r="A28" s="7" t="str">
        <f t="shared" si="1"/>
        <v>1881152</v>
      </c>
      <c r="B28" s="2" t="str">
        <f t="shared" si="2"/>
        <v>1881</v>
      </c>
      <c r="C28" s="8" t="str">
        <f t="shared" si="3"/>
        <v>1PremiumW3</v>
      </c>
      <c r="D28" s="8" t="str">
        <f t="shared" si="4"/>
        <v>1PremiumW3</v>
      </c>
      <c r="E28" s="10">
        <v>1</v>
      </c>
      <c r="F28" s="6">
        <v>152</v>
      </c>
      <c r="G28" s="8" t="str">
        <f>VLOOKUP(F28,[1]characters!$A:$C,3,FALSE)</f>
        <v>功夫少女ランラン</v>
      </c>
      <c r="H28" s="8" t="str">
        <f>VLOOKUP(F28,[1]characters!$A:$J,10,FALSE)</f>
        <v>PremiumW</v>
      </c>
      <c r="I28" s="8">
        <f>VLOOKUP(F28,[1]characters!$A:$I,9,FALSE)</f>
        <v>3</v>
      </c>
      <c r="J28" s="8" t="str">
        <f>VLOOKUP(F28,[1]characters!$A:$H,8,FALSE)</f>
        <v>green</v>
      </c>
      <c r="K28" s="8" t="str">
        <f>VLOOKUP(F28,[1]characters!$A:$K,11,FALSE)</f>
        <v>heal</v>
      </c>
      <c r="L28" s="8" t="str">
        <f>VLOOKUP(F28,[1]characters!$A:$M,13,FALSE)</f>
        <v>human</v>
      </c>
      <c r="M28" s="16">
        <f>VLOOKUP(D28,gacha_188_base!A:B,2,FALSE)</f>
        <v>7539</v>
      </c>
      <c r="N28" s="38">
        <f>IFERROR(VLOOKUP($F28,bug_conf_sheet!$A:$H,3,FALSE),VLOOKUP("other",bug_conf_sheet!$A:$H,3,FALSE))</f>
        <v>1</v>
      </c>
      <c r="O28" s="38">
        <f>IFERROR(VLOOKUP($F28,bug_conf_sheet!$A:$H,4,FALSE),VLOOKUP("other",bug_conf_sheet!$A:$H,4,FALSE))</f>
        <v>0</v>
      </c>
      <c r="P28" s="38">
        <f>IFERROR(VLOOKUP($F28,bug_conf_sheet!$A:$H,5,FALSE),VLOOKUP("other",bug_conf_sheet!$A:$H,5,FALSE))</f>
        <v>0</v>
      </c>
      <c r="Q28" s="38">
        <f>IFERROR(VLOOKUP($F28,bug_conf_sheet!$A:$H,6,FALSE),VLOOKUP("other",bug_conf_sheet!$A:$H,6,FALSE))</f>
        <v>0</v>
      </c>
      <c r="R28" s="38">
        <f>IFERROR(VLOOKUP($F28,bug_conf_sheet!$A:$H,7,FALSE),VLOOKUP("other",bug_conf_sheet!$A:$H,7,FALSE))</f>
        <v>0</v>
      </c>
      <c r="S28" s="38">
        <f>IFERROR(VLOOKUP($F28,bug_conf_sheet!$A:$H,8,FALSE),VLOOKUP("other",bug_conf_sheet!$A:$H,8,FALSE))</f>
        <v>1</v>
      </c>
    </row>
    <row r="29" spans="1:19" ht="21" hidden="1" customHeight="1">
      <c r="A29" s="7" t="str">
        <f t="shared" si="1"/>
        <v>1881153</v>
      </c>
      <c r="B29" s="2" t="str">
        <f t="shared" si="2"/>
        <v>1881</v>
      </c>
      <c r="C29" s="8" t="str">
        <f t="shared" si="3"/>
        <v>1PremiumW4</v>
      </c>
      <c r="D29" s="8" t="str">
        <f t="shared" si="4"/>
        <v>1PremiumW4</v>
      </c>
      <c r="E29" s="10">
        <v>1</v>
      </c>
      <c r="F29" s="6">
        <v>153</v>
      </c>
      <c r="G29" s="8" t="str">
        <f>VLOOKUP(F29,[1]characters!$A:$C,3,FALSE)</f>
        <v>拳聖ランラン</v>
      </c>
      <c r="H29" s="8" t="str">
        <f>VLOOKUP(F29,[1]characters!$A:$J,10,FALSE)</f>
        <v>PremiumW</v>
      </c>
      <c r="I29" s="8">
        <f>VLOOKUP(F29,[1]characters!$A:$I,9,FALSE)</f>
        <v>4</v>
      </c>
      <c r="J29" s="8" t="str">
        <f>VLOOKUP(F29,[1]characters!$A:$H,8,FALSE)</f>
        <v>green</v>
      </c>
      <c r="K29" s="8" t="str">
        <f>VLOOKUP(F29,[1]characters!$A:$K,11,FALSE)</f>
        <v>heal</v>
      </c>
      <c r="L29" s="8" t="str">
        <f>VLOOKUP(F29,[1]characters!$A:$M,13,FALSE)</f>
        <v>human</v>
      </c>
      <c r="M29" s="16">
        <f>VLOOKUP(D29,gacha_188_base!A:B,2,FALSE)</f>
        <v>2513</v>
      </c>
      <c r="N29" s="38">
        <f>IFERROR(VLOOKUP($F29,bug_conf_sheet!$A:$H,3,FALSE),VLOOKUP("other",bug_conf_sheet!$A:$H,3,FALSE))</f>
        <v>1</v>
      </c>
      <c r="O29" s="38">
        <f>IFERROR(VLOOKUP($F29,bug_conf_sheet!$A:$H,4,FALSE),VLOOKUP("other",bug_conf_sheet!$A:$H,4,FALSE))</f>
        <v>0</v>
      </c>
      <c r="P29" s="38">
        <f>IFERROR(VLOOKUP($F29,bug_conf_sheet!$A:$H,5,FALSE),VLOOKUP("other",bug_conf_sheet!$A:$H,5,FALSE))</f>
        <v>0</v>
      </c>
      <c r="Q29" s="38">
        <f>IFERROR(VLOOKUP($F29,bug_conf_sheet!$A:$H,6,FALSE),VLOOKUP("other",bug_conf_sheet!$A:$H,6,FALSE))</f>
        <v>0</v>
      </c>
      <c r="R29" s="38">
        <f>IFERROR(VLOOKUP($F29,bug_conf_sheet!$A:$H,7,FALSE),VLOOKUP("other",bug_conf_sheet!$A:$H,7,FALSE))</f>
        <v>0</v>
      </c>
      <c r="S29" s="38">
        <f>IFERROR(VLOOKUP($F29,bug_conf_sheet!$A:$H,8,FALSE),VLOOKUP("other",bug_conf_sheet!$A:$H,8,FALSE))</f>
        <v>1</v>
      </c>
    </row>
    <row r="30" spans="1:19" ht="21" hidden="1" customHeight="1">
      <c r="A30" s="7" t="str">
        <f t="shared" si="1"/>
        <v>1881154</v>
      </c>
      <c r="B30" s="2" t="str">
        <f t="shared" si="2"/>
        <v>1881</v>
      </c>
      <c r="C30" s="8" t="str">
        <f t="shared" si="3"/>
        <v>1PremiumW3</v>
      </c>
      <c r="D30" s="8" t="str">
        <f t="shared" si="4"/>
        <v>1PremiumW3</v>
      </c>
      <c r="E30" s="10">
        <v>1</v>
      </c>
      <c r="F30" s="6">
        <v>154</v>
      </c>
      <c r="G30" s="8" t="str">
        <f>VLOOKUP(F30,[1]characters!$A:$C,3,FALSE)</f>
        <v>始末屋 ハンナ</v>
      </c>
      <c r="H30" s="8" t="str">
        <f>VLOOKUP(F30,[1]characters!$A:$J,10,FALSE)</f>
        <v>PremiumW</v>
      </c>
      <c r="I30" s="8">
        <f>VLOOKUP(F30,[1]characters!$A:$I,9,FALSE)</f>
        <v>3</v>
      </c>
      <c r="J30" s="8" t="str">
        <f>VLOOKUP(F30,[1]characters!$A:$H,8,FALSE)</f>
        <v>blue</v>
      </c>
      <c r="K30" s="8" t="str">
        <f>VLOOKUP(F30,[1]characters!$A:$K,11,FALSE)</f>
        <v>heal</v>
      </c>
      <c r="L30" s="8" t="str">
        <f>VLOOKUP(F30,[1]characters!$A:$M,13,FALSE)</f>
        <v>human</v>
      </c>
      <c r="M30" s="16">
        <f>VLOOKUP(D30,gacha_188_base!A:B,2,FALSE)</f>
        <v>7539</v>
      </c>
      <c r="N30" s="38">
        <f>IFERROR(VLOOKUP($F30,bug_conf_sheet!$A:$H,3,FALSE),VLOOKUP("other",bug_conf_sheet!$A:$H,3,FALSE))</f>
        <v>1</v>
      </c>
      <c r="O30" s="38">
        <f>IFERROR(VLOOKUP($F30,bug_conf_sheet!$A:$H,4,FALSE),VLOOKUP("other",bug_conf_sheet!$A:$H,4,FALSE))</f>
        <v>0</v>
      </c>
      <c r="P30" s="38">
        <f>IFERROR(VLOOKUP($F30,bug_conf_sheet!$A:$H,5,FALSE),VLOOKUP("other",bug_conf_sheet!$A:$H,5,FALSE))</f>
        <v>0</v>
      </c>
      <c r="Q30" s="38">
        <f>IFERROR(VLOOKUP($F30,bug_conf_sheet!$A:$H,6,FALSE),VLOOKUP("other",bug_conf_sheet!$A:$H,6,FALSE))</f>
        <v>0</v>
      </c>
      <c r="R30" s="38">
        <f>IFERROR(VLOOKUP($F30,bug_conf_sheet!$A:$H,7,FALSE),VLOOKUP("other",bug_conf_sheet!$A:$H,7,FALSE))</f>
        <v>0</v>
      </c>
      <c r="S30" s="38">
        <f>IFERROR(VLOOKUP($F30,bug_conf_sheet!$A:$H,8,FALSE),VLOOKUP("other",bug_conf_sheet!$A:$H,8,FALSE))</f>
        <v>1</v>
      </c>
    </row>
    <row r="31" spans="1:19" ht="21" hidden="1" customHeight="1">
      <c r="A31" s="7" t="str">
        <f t="shared" si="1"/>
        <v>1881155</v>
      </c>
      <c r="B31" s="2" t="str">
        <f t="shared" si="2"/>
        <v>1881</v>
      </c>
      <c r="C31" s="8" t="str">
        <f t="shared" si="3"/>
        <v>1PremiumW4</v>
      </c>
      <c r="D31" s="8" t="str">
        <f t="shared" si="4"/>
        <v>1PremiumW4</v>
      </c>
      <c r="E31" s="10">
        <v>1</v>
      </c>
      <c r="F31" s="6">
        <v>155</v>
      </c>
      <c r="G31" s="8" t="str">
        <f>VLOOKUP(F31,[1]characters!$A:$C,3,FALSE)</f>
        <v>隻眼の掃除屋 ハンナ</v>
      </c>
      <c r="H31" s="8" t="str">
        <f>VLOOKUP(F31,[1]characters!$A:$J,10,FALSE)</f>
        <v>PremiumW</v>
      </c>
      <c r="I31" s="8">
        <f>VLOOKUP(F31,[1]characters!$A:$I,9,FALSE)</f>
        <v>4</v>
      </c>
      <c r="J31" s="8" t="str">
        <f>VLOOKUP(F31,[1]characters!$A:$H,8,FALSE)</f>
        <v>blue</v>
      </c>
      <c r="K31" s="8" t="str">
        <f>VLOOKUP(F31,[1]characters!$A:$K,11,FALSE)</f>
        <v>heal</v>
      </c>
      <c r="L31" s="8" t="str">
        <f>VLOOKUP(F31,[1]characters!$A:$M,13,FALSE)</f>
        <v>human</v>
      </c>
      <c r="M31" s="16">
        <f>VLOOKUP(D31,gacha_188_base!A:B,2,FALSE)</f>
        <v>2513</v>
      </c>
      <c r="N31" s="38">
        <f>IFERROR(VLOOKUP($F31,bug_conf_sheet!$A:$H,3,FALSE),VLOOKUP("other",bug_conf_sheet!$A:$H,3,FALSE))</f>
        <v>1</v>
      </c>
      <c r="O31" s="38">
        <f>IFERROR(VLOOKUP($F31,bug_conf_sheet!$A:$H,4,FALSE),VLOOKUP("other",bug_conf_sheet!$A:$H,4,FALSE))</f>
        <v>0</v>
      </c>
      <c r="P31" s="38">
        <f>IFERROR(VLOOKUP($F31,bug_conf_sheet!$A:$H,5,FALSE),VLOOKUP("other",bug_conf_sheet!$A:$H,5,FALSE))</f>
        <v>0</v>
      </c>
      <c r="Q31" s="38">
        <f>IFERROR(VLOOKUP($F31,bug_conf_sheet!$A:$H,6,FALSE),VLOOKUP("other",bug_conf_sheet!$A:$H,6,FALSE))</f>
        <v>0</v>
      </c>
      <c r="R31" s="38">
        <f>IFERROR(VLOOKUP($F31,bug_conf_sheet!$A:$H,7,FALSE),VLOOKUP("other",bug_conf_sheet!$A:$H,7,FALSE))</f>
        <v>0</v>
      </c>
      <c r="S31" s="38">
        <f>IFERROR(VLOOKUP($F31,bug_conf_sheet!$A:$H,8,FALSE),VLOOKUP("other",bug_conf_sheet!$A:$H,8,FALSE))</f>
        <v>1</v>
      </c>
    </row>
    <row r="32" spans="1:19" ht="21" hidden="1" customHeight="1">
      <c r="A32" s="7" t="str">
        <f t="shared" si="1"/>
        <v>1881156</v>
      </c>
      <c r="B32" s="2" t="str">
        <f t="shared" si="2"/>
        <v>1881</v>
      </c>
      <c r="C32" s="8" t="str">
        <f t="shared" si="3"/>
        <v>1PremiumW3</v>
      </c>
      <c r="D32" s="8" t="str">
        <f t="shared" si="4"/>
        <v>1PremiumW3</v>
      </c>
      <c r="E32" s="10">
        <v>1</v>
      </c>
      <c r="F32" s="6">
        <v>156</v>
      </c>
      <c r="G32" s="8" t="str">
        <f>VLOOKUP(F32,[1]characters!$A:$C,3,FALSE)</f>
        <v>踊り子 エレナ</v>
      </c>
      <c r="H32" s="8" t="str">
        <f>VLOOKUP(F32,[1]characters!$A:$J,10,FALSE)</f>
        <v>PremiumW</v>
      </c>
      <c r="I32" s="8">
        <f>VLOOKUP(F32,[1]characters!$A:$I,9,FALSE)</f>
        <v>3</v>
      </c>
      <c r="J32" s="8" t="str">
        <f>VLOOKUP(F32,[1]characters!$A:$H,8,FALSE)</f>
        <v>yellow</v>
      </c>
      <c r="K32" s="8" t="str">
        <f>VLOOKUP(F32,[1]characters!$A:$K,11,FALSE)</f>
        <v>heal</v>
      </c>
      <c r="L32" s="8" t="str">
        <f>VLOOKUP(F32,[1]characters!$A:$M,13,FALSE)</f>
        <v>human</v>
      </c>
      <c r="M32" s="16">
        <f>VLOOKUP(D32,gacha_188_base!A:B,2,FALSE)</f>
        <v>7539</v>
      </c>
      <c r="N32" s="38">
        <f>IFERROR(VLOOKUP($F32,bug_conf_sheet!$A:$H,3,FALSE),VLOOKUP("other",bug_conf_sheet!$A:$H,3,FALSE))</f>
        <v>1</v>
      </c>
      <c r="O32" s="38">
        <f>IFERROR(VLOOKUP($F32,bug_conf_sheet!$A:$H,4,FALSE),VLOOKUP("other",bug_conf_sheet!$A:$H,4,FALSE))</f>
        <v>0</v>
      </c>
      <c r="P32" s="38">
        <f>IFERROR(VLOOKUP($F32,bug_conf_sheet!$A:$H,5,FALSE),VLOOKUP("other",bug_conf_sheet!$A:$H,5,FALSE))</f>
        <v>0</v>
      </c>
      <c r="Q32" s="38">
        <f>IFERROR(VLOOKUP($F32,bug_conf_sheet!$A:$H,6,FALSE),VLOOKUP("other",bug_conf_sheet!$A:$H,6,FALSE))</f>
        <v>0</v>
      </c>
      <c r="R32" s="38">
        <f>IFERROR(VLOOKUP($F32,bug_conf_sheet!$A:$H,7,FALSE),VLOOKUP("other",bug_conf_sheet!$A:$H,7,FALSE))</f>
        <v>0</v>
      </c>
      <c r="S32" s="38">
        <f>IFERROR(VLOOKUP($F32,bug_conf_sheet!$A:$H,8,FALSE),VLOOKUP("other",bug_conf_sheet!$A:$H,8,FALSE))</f>
        <v>1</v>
      </c>
    </row>
    <row r="33" spans="1:19" ht="21" hidden="1" customHeight="1">
      <c r="A33" s="7" t="str">
        <f t="shared" si="1"/>
        <v>1881157</v>
      </c>
      <c r="B33" s="2" t="str">
        <f t="shared" si="2"/>
        <v>1881</v>
      </c>
      <c r="C33" s="8" t="str">
        <f t="shared" si="3"/>
        <v>1PremiumW4</v>
      </c>
      <c r="D33" s="8" t="str">
        <f t="shared" si="4"/>
        <v>1PremiumW4</v>
      </c>
      <c r="E33" s="10">
        <v>1</v>
      </c>
      <c r="F33" s="6">
        <v>157</v>
      </c>
      <c r="G33" s="8" t="str">
        <f>VLOOKUP(F33,[1]characters!$A:$C,3,FALSE)</f>
        <v>雷光舞姫 エレナ</v>
      </c>
      <c r="H33" s="8" t="str">
        <f>VLOOKUP(F33,[1]characters!$A:$J,10,FALSE)</f>
        <v>PremiumW</v>
      </c>
      <c r="I33" s="8">
        <f>VLOOKUP(F33,[1]characters!$A:$I,9,FALSE)</f>
        <v>4</v>
      </c>
      <c r="J33" s="8" t="str">
        <f>VLOOKUP(F33,[1]characters!$A:$H,8,FALSE)</f>
        <v>yellow</v>
      </c>
      <c r="K33" s="8" t="str">
        <f>VLOOKUP(F33,[1]characters!$A:$K,11,FALSE)</f>
        <v>heal</v>
      </c>
      <c r="L33" s="8" t="str">
        <f>VLOOKUP(F33,[1]characters!$A:$M,13,FALSE)</f>
        <v>human</v>
      </c>
      <c r="M33" s="16">
        <f>VLOOKUP(D33,gacha_188_base!A:B,2,FALSE)</f>
        <v>2513</v>
      </c>
      <c r="N33" s="38">
        <f>IFERROR(VLOOKUP($F33,bug_conf_sheet!$A:$H,3,FALSE),VLOOKUP("other",bug_conf_sheet!$A:$H,3,FALSE))</f>
        <v>1</v>
      </c>
      <c r="O33" s="38">
        <f>IFERROR(VLOOKUP($F33,bug_conf_sheet!$A:$H,4,FALSE),VLOOKUP("other",bug_conf_sheet!$A:$H,4,FALSE))</f>
        <v>0</v>
      </c>
      <c r="P33" s="38">
        <f>IFERROR(VLOOKUP($F33,bug_conf_sheet!$A:$H,5,FALSE),VLOOKUP("other",bug_conf_sheet!$A:$H,5,FALSE))</f>
        <v>0</v>
      </c>
      <c r="Q33" s="38">
        <f>IFERROR(VLOOKUP($F33,bug_conf_sheet!$A:$H,6,FALSE),VLOOKUP("other",bug_conf_sheet!$A:$H,6,FALSE))</f>
        <v>0</v>
      </c>
      <c r="R33" s="38">
        <f>IFERROR(VLOOKUP($F33,bug_conf_sheet!$A:$H,7,FALSE),VLOOKUP("other",bug_conf_sheet!$A:$H,7,FALSE))</f>
        <v>0</v>
      </c>
      <c r="S33" s="38">
        <f>IFERROR(VLOOKUP($F33,bug_conf_sheet!$A:$H,8,FALSE),VLOOKUP("other",bug_conf_sheet!$A:$H,8,FALSE))</f>
        <v>1</v>
      </c>
    </row>
    <row r="34" spans="1:19" ht="21" hidden="1" customHeight="1">
      <c r="A34" s="7" t="str">
        <f t="shared" si="1"/>
        <v>1881158</v>
      </c>
      <c r="B34" s="2" t="str">
        <f t="shared" si="2"/>
        <v>1881</v>
      </c>
      <c r="C34" s="8" t="str">
        <f t="shared" si="3"/>
        <v>1PremiumW3</v>
      </c>
      <c r="D34" s="8" t="str">
        <f t="shared" si="4"/>
        <v>1PremiumW3</v>
      </c>
      <c r="E34" s="10">
        <v>1</v>
      </c>
      <c r="F34" s="6">
        <v>158</v>
      </c>
      <c r="G34" s="8" t="str">
        <f>VLOOKUP(F34,[1]characters!$A:$C,3,FALSE)</f>
        <v>シスター シャルロッテ</v>
      </c>
      <c r="H34" s="8" t="str">
        <f>VLOOKUP(F34,[1]characters!$A:$J,10,FALSE)</f>
        <v>PremiumW</v>
      </c>
      <c r="I34" s="8">
        <f>VLOOKUP(F34,[1]characters!$A:$I,9,FALSE)</f>
        <v>3</v>
      </c>
      <c r="J34" s="8" t="str">
        <f>VLOOKUP(F34,[1]characters!$A:$H,8,FALSE)</f>
        <v>red</v>
      </c>
      <c r="K34" s="8" t="str">
        <f>VLOOKUP(F34,[1]characters!$A:$K,11,FALSE)</f>
        <v>heal</v>
      </c>
      <c r="L34" s="8" t="str">
        <f>VLOOKUP(F34,[1]characters!$A:$M,13,FALSE)</f>
        <v>human</v>
      </c>
      <c r="M34" s="16">
        <f>VLOOKUP(D34,gacha_188_base!A:B,2,FALSE)</f>
        <v>7539</v>
      </c>
      <c r="N34" s="38">
        <f>IFERROR(VLOOKUP($F34,bug_conf_sheet!$A:$H,3,FALSE),VLOOKUP("other",bug_conf_sheet!$A:$H,3,FALSE))</f>
        <v>1</v>
      </c>
      <c r="O34" s="38">
        <f>IFERROR(VLOOKUP($F34,bug_conf_sheet!$A:$H,4,FALSE),VLOOKUP("other",bug_conf_sheet!$A:$H,4,FALSE))</f>
        <v>0</v>
      </c>
      <c r="P34" s="38">
        <f>IFERROR(VLOOKUP($F34,bug_conf_sheet!$A:$H,5,FALSE),VLOOKUP("other",bug_conf_sheet!$A:$H,5,FALSE))</f>
        <v>0</v>
      </c>
      <c r="Q34" s="38">
        <f>IFERROR(VLOOKUP($F34,bug_conf_sheet!$A:$H,6,FALSE),VLOOKUP("other",bug_conf_sheet!$A:$H,6,FALSE))</f>
        <v>0</v>
      </c>
      <c r="R34" s="38">
        <f>IFERROR(VLOOKUP($F34,bug_conf_sheet!$A:$H,7,FALSE),VLOOKUP("other",bug_conf_sheet!$A:$H,7,FALSE))</f>
        <v>0</v>
      </c>
      <c r="S34" s="38">
        <f>IFERROR(VLOOKUP($F34,bug_conf_sheet!$A:$H,8,FALSE),VLOOKUP("other",bug_conf_sheet!$A:$H,8,FALSE))</f>
        <v>1</v>
      </c>
    </row>
    <row r="35" spans="1:19" ht="21" hidden="1" customHeight="1">
      <c r="A35" s="7" t="str">
        <f t="shared" si="1"/>
        <v>1881159</v>
      </c>
      <c r="B35" s="2" t="str">
        <f t="shared" si="2"/>
        <v>1881</v>
      </c>
      <c r="C35" s="8" t="str">
        <f t="shared" si="3"/>
        <v>1PremiumW4</v>
      </c>
      <c r="D35" s="8" t="str">
        <f t="shared" si="4"/>
        <v>1PremiumW4</v>
      </c>
      <c r="E35" s="10">
        <v>1</v>
      </c>
      <c r="F35" s="6">
        <v>159</v>
      </c>
      <c r="G35" s="8" t="str">
        <f>VLOOKUP(F35,[1]characters!$A:$C,3,FALSE)</f>
        <v>邪を狩りし者 シャルロッテ</v>
      </c>
      <c r="H35" s="8" t="str">
        <f>VLOOKUP(F35,[1]characters!$A:$J,10,FALSE)</f>
        <v>PremiumW</v>
      </c>
      <c r="I35" s="8">
        <f>VLOOKUP(F35,[1]characters!$A:$I,9,FALSE)</f>
        <v>4</v>
      </c>
      <c r="J35" s="8" t="str">
        <f>VLOOKUP(F35,[1]characters!$A:$H,8,FALSE)</f>
        <v>red</v>
      </c>
      <c r="K35" s="8" t="str">
        <f>VLOOKUP(F35,[1]characters!$A:$K,11,FALSE)</f>
        <v>heal</v>
      </c>
      <c r="L35" s="8" t="str">
        <f>VLOOKUP(F35,[1]characters!$A:$M,13,FALSE)</f>
        <v>human</v>
      </c>
      <c r="M35" s="16">
        <f>VLOOKUP(D35,gacha_188_base!A:B,2,FALSE)</f>
        <v>2513</v>
      </c>
      <c r="N35" s="38">
        <f>IFERROR(VLOOKUP($F35,bug_conf_sheet!$A:$H,3,FALSE),VLOOKUP("other",bug_conf_sheet!$A:$H,3,FALSE))</f>
        <v>1</v>
      </c>
      <c r="O35" s="38">
        <f>IFERROR(VLOOKUP($F35,bug_conf_sheet!$A:$H,4,FALSE),VLOOKUP("other",bug_conf_sheet!$A:$H,4,FALSE))</f>
        <v>0</v>
      </c>
      <c r="P35" s="38">
        <f>IFERROR(VLOOKUP($F35,bug_conf_sheet!$A:$H,5,FALSE),VLOOKUP("other",bug_conf_sheet!$A:$H,5,FALSE))</f>
        <v>0</v>
      </c>
      <c r="Q35" s="38">
        <f>IFERROR(VLOOKUP($F35,bug_conf_sheet!$A:$H,6,FALSE),VLOOKUP("other",bug_conf_sheet!$A:$H,6,FALSE))</f>
        <v>0</v>
      </c>
      <c r="R35" s="38">
        <f>IFERROR(VLOOKUP($F35,bug_conf_sheet!$A:$H,7,FALSE),VLOOKUP("other",bug_conf_sheet!$A:$H,7,FALSE))</f>
        <v>0</v>
      </c>
      <c r="S35" s="38">
        <f>IFERROR(VLOOKUP($F35,bug_conf_sheet!$A:$H,8,FALSE),VLOOKUP("other",bug_conf_sheet!$A:$H,8,FALSE))</f>
        <v>1</v>
      </c>
    </row>
    <row r="36" spans="1:19" ht="21" hidden="1" customHeight="1">
      <c r="A36" s="7" t="str">
        <f t="shared" si="1"/>
        <v>1881160</v>
      </c>
      <c r="B36" s="2" t="str">
        <f t="shared" si="2"/>
        <v>1881</v>
      </c>
      <c r="C36" s="8" t="str">
        <f t="shared" si="3"/>
        <v>1PremiumW3</v>
      </c>
      <c r="D36" s="8" t="str">
        <f t="shared" si="4"/>
        <v>1PremiumW3</v>
      </c>
      <c r="E36" s="10">
        <v>1</v>
      </c>
      <c r="F36" s="6">
        <v>160</v>
      </c>
      <c r="G36" s="8" t="str">
        <f>VLOOKUP(F36,[1]characters!$A:$C,3,FALSE)</f>
        <v>反逆者 クリエ</v>
      </c>
      <c r="H36" s="8" t="str">
        <f>VLOOKUP(F36,[1]characters!$A:$J,10,FALSE)</f>
        <v>PremiumW</v>
      </c>
      <c r="I36" s="8">
        <f>VLOOKUP(F36,[1]characters!$A:$I,9,FALSE)</f>
        <v>3</v>
      </c>
      <c r="J36" s="8" t="str">
        <f>VLOOKUP(F36,[1]characters!$A:$H,8,FALSE)</f>
        <v>green</v>
      </c>
      <c r="K36" s="8" t="str">
        <f>VLOOKUP(F36,[1]characters!$A:$K,11,FALSE)</f>
        <v>balance</v>
      </c>
      <c r="L36" s="8" t="str">
        <f>VLOOKUP(F36,[1]characters!$A:$M,13,FALSE)</f>
        <v>human</v>
      </c>
      <c r="M36" s="16">
        <f>VLOOKUP(D36,gacha_188_base!A:B,2,FALSE)</f>
        <v>7539</v>
      </c>
      <c r="N36" s="38">
        <f>IFERROR(VLOOKUP($F36,bug_conf_sheet!$A:$H,3,FALSE),VLOOKUP("other",bug_conf_sheet!$A:$H,3,FALSE))</f>
        <v>1</v>
      </c>
      <c r="O36" s="38">
        <f>IFERROR(VLOOKUP($F36,bug_conf_sheet!$A:$H,4,FALSE),VLOOKUP("other",bug_conf_sheet!$A:$H,4,FALSE))</f>
        <v>0</v>
      </c>
      <c r="P36" s="38">
        <f>IFERROR(VLOOKUP($F36,bug_conf_sheet!$A:$H,5,FALSE),VLOOKUP("other",bug_conf_sheet!$A:$H,5,FALSE))</f>
        <v>0</v>
      </c>
      <c r="Q36" s="38">
        <f>IFERROR(VLOOKUP($F36,bug_conf_sheet!$A:$H,6,FALSE),VLOOKUP("other",bug_conf_sheet!$A:$H,6,FALSE))</f>
        <v>0</v>
      </c>
      <c r="R36" s="38">
        <f>IFERROR(VLOOKUP($F36,bug_conf_sheet!$A:$H,7,FALSE),VLOOKUP("other",bug_conf_sheet!$A:$H,7,FALSE))</f>
        <v>0</v>
      </c>
      <c r="S36" s="38">
        <f>IFERROR(VLOOKUP($F36,bug_conf_sheet!$A:$H,8,FALSE),VLOOKUP("other",bug_conf_sheet!$A:$H,8,FALSE))</f>
        <v>1</v>
      </c>
    </row>
    <row r="37" spans="1:19" ht="21" hidden="1" customHeight="1">
      <c r="A37" s="7" t="str">
        <f t="shared" si="1"/>
        <v>1881161</v>
      </c>
      <c r="B37" s="2" t="str">
        <f t="shared" si="2"/>
        <v>1881</v>
      </c>
      <c r="C37" s="8" t="str">
        <f t="shared" si="3"/>
        <v>1PremiumW4</v>
      </c>
      <c r="D37" s="8" t="str">
        <f t="shared" si="4"/>
        <v>1PremiumW4</v>
      </c>
      <c r="E37" s="10">
        <v>1</v>
      </c>
      <c r="F37" s="6">
        <v>161</v>
      </c>
      <c r="G37" s="8" t="str">
        <f>VLOOKUP(F37,[1]characters!$A:$C,3,FALSE)</f>
        <v>咆哮の先導者 クリエ</v>
      </c>
      <c r="H37" s="8" t="str">
        <f>VLOOKUP(F37,[1]characters!$A:$J,10,FALSE)</f>
        <v>PremiumW</v>
      </c>
      <c r="I37" s="8">
        <f>VLOOKUP(F37,[1]characters!$A:$I,9,FALSE)</f>
        <v>4</v>
      </c>
      <c r="J37" s="8" t="str">
        <f>VLOOKUP(F37,[1]characters!$A:$H,8,FALSE)</f>
        <v>green</v>
      </c>
      <c r="K37" s="8" t="str">
        <f>VLOOKUP(F37,[1]characters!$A:$K,11,FALSE)</f>
        <v>balance</v>
      </c>
      <c r="L37" s="8" t="str">
        <f>VLOOKUP(F37,[1]characters!$A:$M,13,FALSE)</f>
        <v>human</v>
      </c>
      <c r="M37" s="16">
        <f>VLOOKUP(D37,gacha_188_base!A:B,2,FALSE)</f>
        <v>2513</v>
      </c>
      <c r="N37" s="38">
        <f>IFERROR(VLOOKUP($F37,bug_conf_sheet!$A:$H,3,FALSE),VLOOKUP("other",bug_conf_sheet!$A:$H,3,FALSE))</f>
        <v>1</v>
      </c>
      <c r="O37" s="38">
        <f>IFERROR(VLOOKUP($F37,bug_conf_sheet!$A:$H,4,FALSE),VLOOKUP("other",bug_conf_sheet!$A:$H,4,FALSE))</f>
        <v>0</v>
      </c>
      <c r="P37" s="38">
        <f>IFERROR(VLOOKUP($F37,bug_conf_sheet!$A:$H,5,FALSE),VLOOKUP("other",bug_conf_sheet!$A:$H,5,FALSE))</f>
        <v>0</v>
      </c>
      <c r="Q37" s="38">
        <f>IFERROR(VLOOKUP($F37,bug_conf_sheet!$A:$H,6,FALSE),VLOOKUP("other",bug_conf_sheet!$A:$H,6,FALSE))</f>
        <v>0</v>
      </c>
      <c r="R37" s="38">
        <f>IFERROR(VLOOKUP($F37,bug_conf_sheet!$A:$H,7,FALSE),VLOOKUP("other",bug_conf_sheet!$A:$H,7,FALSE))</f>
        <v>0</v>
      </c>
      <c r="S37" s="38">
        <f>IFERROR(VLOOKUP($F37,bug_conf_sheet!$A:$H,8,FALSE),VLOOKUP("other",bug_conf_sheet!$A:$H,8,FALSE))</f>
        <v>1</v>
      </c>
    </row>
    <row r="38" spans="1:19" ht="21" hidden="1" customHeight="1">
      <c r="A38" s="7" t="str">
        <f t="shared" si="1"/>
        <v>1881162</v>
      </c>
      <c r="B38" s="2" t="str">
        <f t="shared" si="2"/>
        <v>1881</v>
      </c>
      <c r="C38" s="8" t="str">
        <f t="shared" si="3"/>
        <v>1PremiumW3</v>
      </c>
      <c r="D38" s="8" t="str">
        <f t="shared" si="4"/>
        <v>1PremiumW3</v>
      </c>
      <c r="E38" s="10">
        <v>1</v>
      </c>
      <c r="F38" s="6">
        <v>162</v>
      </c>
      <c r="G38" s="8" t="str">
        <f>VLOOKUP(F38,[1]characters!$A:$C,3,FALSE)</f>
        <v>狂女 クララ</v>
      </c>
      <c r="H38" s="8" t="str">
        <f>VLOOKUP(F38,[1]characters!$A:$J,10,FALSE)</f>
        <v>PremiumW</v>
      </c>
      <c r="I38" s="8">
        <f>VLOOKUP(F38,[1]characters!$A:$I,9,FALSE)</f>
        <v>3</v>
      </c>
      <c r="J38" s="8" t="str">
        <f>VLOOKUP(F38,[1]characters!$A:$H,8,FALSE)</f>
        <v>blue</v>
      </c>
      <c r="K38" s="8" t="str">
        <f>VLOOKUP(F38,[1]characters!$A:$K,11,FALSE)</f>
        <v>attack</v>
      </c>
      <c r="L38" s="8" t="str">
        <f>VLOOKUP(F38,[1]characters!$A:$M,13,FALSE)</f>
        <v>human</v>
      </c>
      <c r="M38" s="16">
        <f>VLOOKUP(D38,gacha_188_base!A:B,2,FALSE)</f>
        <v>7539</v>
      </c>
      <c r="N38" s="38">
        <f>IFERROR(VLOOKUP($F38,bug_conf_sheet!$A:$H,3,FALSE),VLOOKUP("other",bug_conf_sheet!$A:$H,3,FALSE))</f>
        <v>1</v>
      </c>
      <c r="O38" s="38">
        <f>IFERROR(VLOOKUP($F38,bug_conf_sheet!$A:$H,4,FALSE),VLOOKUP("other",bug_conf_sheet!$A:$H,4,FALSE))</f>
        <v>0</v>
      </c>
      <c r="P38" s="38">
        <f>IFERROR(VLOOKUP($F38,bug_conf_sheet!$A:$H,5,FALSE),VLOOKUP("other",bug_conf_sheet!$A:$H,5,FALSE))</f>
        <v>0</v>
      </c>
      <c r="Q38" s="38">
        <f>IFERROR(VLOOKUP($F38,bug_conf_sheet!$A:$H,6,FALSE),VLOOKUP("other",bug_conf_sheet!$A:$H,6,FALSE))</f>
        <v>0</v>
      </c>
      <c r="R38" s="38">
        <f>IFERROR(VLOOKUP($F38,bug_conf_sheet!$A:$H,7,FALSE),VLOOKUP("other",bug_conf_sheet!$A:$H,7,FALSE))</f>
        <v>0</v>
      </c>
      <c r="S38" s="38">
        <f>IFERROR(VLOOKUP($F38,bug_conf_sheet!$A:$H,8,FALSE),VLOOKUP("other",bug_conf_sheet!$A:$H,8,FALSE))</f>
        <v>1</v>
      </c>
    </row>
    <row r="39" spans="1:19" ht="21" hidden="1" customHeight="1">
      <c r="A39" s="7" t="str">
        <f t="shared" si="1"/>
        <v>1881163</v>
      </c>
      <c r="B39" s="2" t="str">
        <f t="shared" si="2"/>
        <v>1881</v>
      </c>
      <c r="C39" s="8" t="str">
        <f t="shared" si="3"/>
        <v>1PremiumW4</v>
      </c>
      <c r="D39" s="8" t="str">
        <f t="shared" si="4"/>
        <v>1PremiumW4</v>
      </c>
      <c r="E39" s="10">
        <v>1</v>
      </c>
      <c r="F39" s="6">
        <v>163</v>
      </c>
      <c r="G39" s="8" t="str">
        <f>VLOOKUP(F39,[1]characters!$A:$C,3,FALSE)</f>
        <v>冷酷な狂嬢 クララ</v>
      </c>
      <c r="H39" s="8" t="str">
        <f>VLOOKUP(F39,[1]characters!$A:$J,10,FALSE)</f>
        <v>PremiumW</v>
      </c>
      <c r="I39" s="8">
        <f>VLOOKUP(F39,[1]characters!$A:$I,9,FALSE)</f>
        <v>4</v>
      </c>
      <c r="J39" s="8" t="str">
        <f>VLOOKUP(F39,[1]characters!$A:$H,8,FALSE)</f>
        <v>blue</v>
      </c>
      <c r="K39" s="8" t="str">
        <f>VLOOKUP(F39,[1]characters!$A:$K,11,FALSE)</f>
        <v>attack</v>
      </c>
      <c r="L39" s="8" t="str">
        <f>VLOOKUP(F39,[1]characters!$A:$M,13,FALSE)</f>
        <v>human</v>
      </c>
      <c r="M39" s="16">
        <f>VLOOKUP(D39,gacha_188_base!A:B,2,FALSE)</f>
        <v>2513</v>
      </c>
      <c r="N39" s="38">
        <f>IFERROR(VLOOKUP($F39,bug_conf_sheet!$A:$H,3,FALSE),VLOOKUP("other",bug_conf_sheet!$A:$H,3,FALSE))</f>
        <v>1</v>
      </c>
      <c r="O39" s="38">
        <f>IFERROR(VLOOKUP($F39,bug_conf_sheet!$A:$H,4,FALSE),VLOOKUP("other",bug_conf_sheet!$A:$H,4,FALSE))</f>
        <v>0</v>
      </c>
      <c r="P39" s="38">
        <f>IFERROR(VLOOKUP($F39,bug_conf_sheet!$A:$H,5,FALSE),VLOOKUP("other",bug_conf_sheet!$A:$H,5,FALSE))</f>
        <v>0</v>
      </c>
      <c r="Q39" s="38">
        <f>IFERROR(VLOOKUP($F39,bug_conf_sheet!$A:$H,6,FALSE),VLOOKUP("other",bug_conf_sheet!$A:$H,6,FALSE))</f>
        <v>0</v>
      </c>
      <c r="R39" s="38">
        <f>IFERROR(VLOOKUP($F39,bug_conf_sheet!$A:$H,7,FALSE),VLOOKUP("other",bug_conf_sheet!$A:$H,7,FALSE))</f>
        <v>0</v>
      </c>
      <c r="S39" s="38">
        <f>IFERROR(VLOOKUP($F39,bug_conf_sheet!$A:$H,8,FALSE),VLOOKUP("other",bug_conf_sheet!$A:$H,8,FALSE))</f>
        <v>1</v>
      </c>
    </row>
    <row r="40" spans="1:19" ht="21" hidden="1" customHeight="1">
      <c r="A40" s="7" t="str">
        <f t="shared" si="1"/>
        <v>1881164</v>
      </c>
      <c r="B40" s="2" t="str">
        <f t="shared" si="2"/>
        <v>1881</v>
      </c>
      <c r="C40" s="8" t="str">
        <f t="shared" si="3"/>
        <v>1PremiumW3</v>
      </c>
      <c r="D40" s="8" t="str">
        <f t="shared" si="4"/>
        <v>1PremiumW3</v>
      </c>
      <c r="E40" s="10">
        <v>1</v>
      </c>
      <c r="F40" s="6">
        <v>164</v>
      </c>
      <c r="G40" s="8" t="str">
        <f>VLOOKUP(F40,[1]characters!$A:$C,3,FALSE)</f>
        <v>イブとトモダチ</v>
      </c>
      <c r="H40" s="8" t="str">
        <f>VLOOKUP(F40,[1]characters!$A:$J,10,FALSE)</f>
        <v>PremiumW</v>
      </c>
      <c r="I40" s="8">
        <f>VLOOKUP(F40,[1]characters!$A:$I,9,FALSE)</f>
        <v>3</v>
      </c>
      <c r="J40" s="8" t="str">
        <f>VLOOKUP(F40,[1]characters!$A:$H,8,FALSE)</f>
        <v>yellow</v>
      </c>
      <c r="K40" s="8" t="str">
        <f>VLOOKUP(F40,[1]characters!$A:$K,11,FALSE)</f>
        <v>technical</v>
      </c>
      <c r="L40" s="8" t="str">
        <f>VLOOKUP(F40,[1]characters!$A:$M,13,FALSE)</f>
        <v>human</v>
      </c>
      <c r="M40" s="16">
        <f>VLOOKUP(D40,gacha_188_base!A:B,2,FALSE)</f>
        <v>7539</v>
      </c>
      <c r="N40" s="38">
        <f>IFERROR(VLOOKUP($F40,bug_conf_sheet!$A:$H,3,FALSE),VLOOKUP("other",bug_conf_sheet!$A:$H,3,FALSE))</f>
        <v>1</v>
      </c>
      <c r="O40" s="38">
        <f>IFERROR(VLOOKUP($F40,bug_conf_sheet!$A:$H,4,FALSE),VLOOKUP("other",bug_conf_sheet!$A:$H,4,FALSE))</f>
        <v>0</v>
      </c>
      <c r="P40" s="38">
        <f>IFERROR(VLOOKUP($F40,bug_conf_sheet!$A:$H,5,FALSE),VLOOKUP("other",bug_conf_sheet!$A:$H,5,FALSE))</f>
        <v>0</v>
      </c>
      <c r="Q40" s="38">
        <f>IFERROR(VLOOKUP($F40,bug_conf_sheet!$A:$H,6,FALSE),VLOOKUP("other",bug_conf_sheet!$A:$H,6,FALSE))</f>
        <v>0</v>
      </c>
      <c r="R40" s="38">
        <f>IFERROR(VLOOKUP($F40,bug_conf_sheet!$A:$H,7,FALSE),VLOOKUP("other",bug_conf_sheet!$A:$H,7,FALSE))</f>
        <v>0</v>
      </c>
      <c r="S40" s="38">
        <f>IFERROR(VLOOKUP($F40,bug_conf_sheet!$A:$H,8,FALSE),VLOOKUP("other",bug_conf_sheet!$A:$H,8,FALSE))</f>
        <v>1</v>
      </c>
    </row>
    <row r="41" spans="1:19" ht="21" hidden="1" customHeight="1">
      <c r="A41" s="7" t="str">
        <f t="shared" si="1"/>
        <v>1881165</v>
      </c>
      <c r="B41" s="2" t="str">
        <f t="shared" si="2"/>
        <v>1881</v>
      </c>
      <c r="C41" s="8" t="str">
        <f t="shared" si="3"/>
        <v>1PremiumW4</v>
      </c>
      <c r="D41" s="8" t="str">
        <f t="shared" si="4"/>
        <v>1PremiumW4</v>
      </c>
      <c r="E41" s="10">
        <v>1</v>
      </c>
      <c r="F41" s="6">
        <v>165</v>
      </c>
      <c r="G41" s="8" t="str">
        <f>VLOOKUP(F41,[1]characters!$A:$C,3,FALSE)</f>
        <v>イブとたったひとりのトモダチ</v>
      </c>
      <c r="H41" s="8" t="str">
        <f>VLOOKUP(F41,[1]characters!$A:$J,10,FALSE)</f>
        <v>PremiumW</v>
      </c>
      <c r="I41" s="8">
        <f>VLOOKUP(F41,[1]characters!$A:$I,9,FALSE)</f>
        <v>4</v>
      </c>
      <c r="J41" s="8" t="str">
        <f>VLOOKUP(F41,[1]characters!$A:$H,8,FALSE)</f>
        <v>yellow</v>
      </c>
      <c r="K41" s="8" t="str">
        <f>VLOOKUP(F41,[1]characters!$A:$K,11,FALSE)</f>
        <v>technical</v>
      </c>
      <c r="L41" s="8" t="str">
        <f>VLOOKUP(F41,[1]characters!$A:$M,13,FALSE)</f>
        <v>human</v>
      </c>
      <c r="M41" s="16">
        <f>VLOOKUP(D41,gacha_188_base!A:B,2,FALSE)</f>
        <v>2513</v>
      </c>
      <c r="N41" s="38">
        <f>IFERROR(VLOOKUP($F41,bug_conf_sheet!$A:$H,3,FALSE),VLOOKUP("other",bug_conf_sheet!$A:$H,3,FALSE))</f>
        <v>1</v>
      </c>
      <c r="O41" s="38">
        <f>IFERROR(VLOOKUP($F41,bug_conf_sheet!$A:$H,4,FALSE),VLOOKUP("other",bug_conf_sheet!$A:$H,4,FALSE))</f>
        <v>0</v>
      </c>
      <c r="P41" s="38">
        <f>IFERROR(VLOOKUP($F41,bug_conf_sheet!$A:$H,5,FALSE),VLOOKUP("other",bug_conf_sheet!$A:$H,5,FALSE))</f>
        <v>0</v>
      </c>
      <c r="Q41" s="38">
        <f>IFERROR(VLOOKUP($F41,bug_conf_sheet!$A:$H,6,FALSE),VLOOKUP("other",bug_conf_sheet!$A:$H,6,FALSE))</f>
        <v>0</v>
      </c>
      <c r="R41" s="38">
        <f>IFERROR(VLOOKUP($F41,bug_conf_sheet!$A:$H,7,FALSE),VLOOKUP("other",bug_conf_sheet!$A:$H,7,FALSE))</f>
        <v>0</v>
      </c>
      <c r="S41" s="38">
        <f>IFERROR(VLOOKUP($F41,bug_conf_sheet!$A:$H,8,FALSE),VLOOKUP("other",bug_conf_sheet!$A:$H,8,FALSE))</f>
        <v>1</v>
      </c>
    </row>
    <row r="42" spans="1:19" ht="21" hidden="1" customHeight="1">
      <c r="A42" s="7" t="str">
        <f t="shared" si="1"/>
        <v>1881166</v>
      </c>
      <c r="B42" s="2" t="str">
        <f t="shared" si="2"/>
        <v>1881</v>
      </c>
      <c r="C42" s="8" t="str">
        <f t="shared" si="3"/>
        <v>1PremiumN3</v>
      </c>
      <c r="D42" s="8" t="str">
        <f t="shared" si="4"/>
        <v>1PremiumN3</v>
      </c>
      <c r="E42" s="10">
        <v>1</v>
      </c>
      <c r="F42" s="6">
        <v>166</v>
      </c>
      <c r="G42" s="8" t="str">
        <f>VLOOKUP(F42,[1]characters!$A:$C,3,FALSE)</f>
        <v>ベリアル</v>
      </c>
      <c r="H42" s="8" t="str">
        <f>VLOOKUP(F42,[1]characters!$A:$J,10,FALSE)</f>
        <v>PremiumN</v>
      </c>
      <c r="I42" s="8">
        <f>VLOOKUP(F42,[1]characters!$A:$I,9,FALSE)</f>
        <v>3</v>
      </c>
      <c r="J42" s="8" t="str">
        <f>VLOOKUP(F42,[1]characters!$A:$H,8,FALSE)</f>
        <v>red</v>
      </c>
      <c r="K42" s="8" t="str">
        <f>VLOOKUP(F42,[1]characters!$A:$K,11,FALSE)</f>
        <v>attack</v>
      </c>
      <c r="L42" s="8" t="str">
        <f>VLOOKUP(F42,[1]characters!$A:$M,13,FALSE)</f>
        <v>god</v>
      </c>
      <c r="M42" s="16">
        <f>VLOOKUP(D42,gacha_188_base!A:B,2,FALSE)</f>
        <v>11309</v>
      </c>
      <c r="N42" s="38">
        <f>IFERROR(VLOOKUP($F42,bug_conf_sheet!$A:$H,3,FALSE),VLOOKUP("other",bug_conf_sheet!$A:$H,3,FALSE))</f>
        <v>1</v>
      </c>
      <c r="O42" s="38">
        <f>IFERROR(VLOOKUP($F42,bug_conf_sheet!$A:$H,4,FALSE),VLOOKUP("other",bug_conf_sheet!$A:$H,4,FALSE))</f>
        <v>0</v>
      </c>
      <c r="P42" s="38">
        <f>IFERROR(VLOOKUP($F42,bug_conf_sheet!$A:$H,5,FALSE),VLOOKUP("other",bug_conf_sheet!$A:$H,5,FALSE))</f>
        <v>0</v>
      </c>
      <c r="Q42" s="38">
        <f>IFERROR(VLOOKUP($F42,bug_conf_sheet!$A:$H,6,FALSE),VLOOKUP("other",bug_conf_sheet!$A:$H,6,FALSE))</f>
        <v>0</v>
      </c>
      <c r="R42" s="38">
        <f>IFERROR(VLOOKUP($F42,bug_conf_sheet!$A:$H,7,FALSE),VLOOKUP("other",bug_conf_sheet!$A:$H,7,FALSE))</f>
        <v>0</v>
      </c>
      <c r="S42" s="38">
        <f>IFERROR(VLOOKUP($F42,bug_conf_sheet!$A:$H,8,FALSE),VLOOKUP("other",bug_conf_sheet!$A:$H,8,FALSE))</f>
        <v>1</v>
      </c>
    </row>
    <row r="43" spans="1:19" ht="21" hidden="1" customHeight="1">
      <c r="A43" s="7" t="str">
        <f t="shared" si="1"/>
        <v>1881167</v>
      </c>
      <c r="B43" s="2" t="str">
        <f t="shared" si="2"/>
        <v>1881</v>
      </c>
      <c r="C43" s="8" t="str">
        <f t="shared" si="3"/>
        <v>1PremiumN4</v>
      </c>
      <c r="D43" s="8" t="str">
        <f t="shared" si="4"/>
        <v>1PremiumN4</v>
      </c>
      <c r="E43" s="10">
        <v>1</v>
      </c>
      <c r="F43" s="6">
        <v>167</v>
      </c>
      <c r="G43" s="8" t="str">
        <f>VLOOKUP(F43,[1]characters!$A:$C,3,FALSE)</f>
        <v>逆徒 ベリアル</v>
      </c>
      <c r="H43" s="8" t="str">
        <f>VLOOKUP(F43,[1]characters!$A:$J,10,FALSE)</f>
        <v>PremiumN</v>
      </c>
      <c r="I43" s="8">
        <f>VLOOKUP(F43,[1]characters!$A:$I,9,FALSE)</f>
        <v>4</v>
      </c>
      <c r="J43" s="8" t="str">
        <f>VLOOKUP(F43,[1]characters!$A:$H,8,FALSE)</f>
        <v>red</v>
      </c>
      <c r="K43" s="8" t="str">
        <f>VLOOKUP(F43,[1]characters!$A:$K,11,FALSE)</f>
        <v>attack</v>
      </c>
      <c r="L43" s="8" t="str">
        <f>VLOOKUP(F43,[1]characters!$A:$M,13,FALSE)</f>
        <v>god</v>
      </c>
      <c r="M43" s="16">
        <f>VLOOKUP(D43,gacha_188_base!A:B,2,FALSE)</f>
        <v>2827</v>
      </c>
      <c r="N43" s="38">
        <f>IFERROR(VLOOKUP($F43,bug_conf_sheet!$A:$H,3,FALSE),VLOOKUP("other",bug_conf_sheet!$A:$H,3,FALSE))</f>
        <v>1</v>
      </c>
      <c r="O43" s="38">
        <f>IFERROR(VLOOKUP($F43,bug_conf_sheet!$A:$H,4,FALSE),VLOOKUP("other",bug_conf_sheet!$A:$H,4,FALSE))</f>
        <v>0</v>
      </c>
      <c r="P43" s="38">
        <f>IFERROR(VLOOKUP($F43,bug_conf_sheet!$A:$H,5,FALSE),VLOOKUP("other",bug_conf_sheet!$A:$H,5,FALSE))</f>
        <v>0</v>
      </c>
      <c r="Q43" s="38">
        <f>IFERROR(VLOOKUP($F43,bug_conf_sheet!$A:$H,6,FALSE),VLOOKUP("other",bug_conf_sheet!$A:$H,6,FALSE))</f>
        <v>0</v>
      </c>
      <c r="R43" s="38">
        <f>IFERROR(VLOOKUP($F43,bug_conf_sheet!$A:$H,7,FALSE),VLOOKUP("other",bug_conf_sheet!$A:$H,7,FALSE))</f>
        <v>0</v>
      </c>
      <c r="S43" s="38">
        <f>IFERROR(VLOOKUP($F43,bug_conf_sheet!$A:$H,8,FALSE),VLOOKUP("other",bug_conf_sheet!$A:$H,8,FALSE))</f>
        <v>1</v>
      </c>
    </row>
    <row r="44" spans="1:19" ht="21" customHeight="1">
      <c r="A44" s="7" t="str">
        <f t="shared" si="1"/>
        <v>1881168</v>
      </c>
      <c r="B44" s="2" t="str">
        <f t="shared" si="2"/>
        <v>1881</v>
      </c>
      <c r="C44" s="8" t="str">
        <f t="shared" si="3"/>
        <v>1PremiumN5</v>
      </c>
      <c r="D44" s="8" t="str">
        <f t="shared" si="4"/>
        <v>1PremiumN5</v>
      </c>
      <c r="E44" s="10">
        <v>1</v>
      </c>
      <c r="F44" s="6">
        <v>168</v>
      </c>
      <c r="G44" s="8" t="str">
        <f>VLOOKUP(F44,[1]characters!$A:$C,3,FALSE)</f>
        <v>猛進の大逆者 ベリアル</v>
      </c>
      <c r="H44" s="8" t="str">
        <f>VLOOKUP(F44,[1]characters!$A:$J,10,FALSE)</f>
        <v>PremiumN</v>
      </c>
      <c r="I44" s="8">
        <f>VLOOKUP(F44,[1]characters!$A:$I,9,FALSE)</f>
        <v>5</v>
      </c>
      <c r="J44" s="8" t="str">
        <f>VLOOKUP(F44,[1]characters!$A:$H,8,FALSE)</f>
        <v>red</v>
      </c>
      <c r="K44" s="8" t="str">
        <f>VLOOKUP(F44,[1]characters!$A:$K,11,FALSE)</f>
        <v>attack</v>
      </c>
      <c r="L44" s="8" t="str">
        <f>VLOOKUP(F44,[1]characters!$A:$M,13,FALSE)</f>
        <v>god</v>
      </c>
      <c r="M44" s="16">
        <f>VLOOKUP(D44,gacha_188_base!A:B,2,FALSE)</f>
        <v>942</v>
      </c>
      <c r="N44" s="38">
        <f>IFERROR(VLOOKUP($F44,bug_conf_sheet!$A:$H,3,FALSE),VLOOKUP("other",bug_conf_sheet!$A:$H,3,FALSE))</f>
        <v>1</v>
      </c>
      <c r="O44" s="38">
        <f>IFERROR(VLOOKUP($F44,bug_conf_sheet!$A:$H,4,FALSE),VLOOKUP("other",bug_conf_sheet!$A:$H,4,FALSE))</f>
        <v>0</v>
      </c>
      <c r="P44" s="38">
        <f>IFERROR(VLOOKUP($F44,bug_conf_sheet!$A:$H,5,FALSE),VLOOKUP("other",bug_conf_sheet!$A:$H,5,FALSE))</f>
        <v>0</v>
      </c>
      <c r="Q44" s="38">
        <f>IFERROR(VLOOKUP($F44,bug_conf_sheet!$A:$H,6,FALSE),VLOOKUP("other",bug_conf_sheet!$A:$H,6,FALSE))</f>
        <v>0</v>
      </c>
      <c r="R44" s="38">
        <f>IFERROR(VLOOKUP($F44,bug_conf_sheet!$A:$H,7,FALSE),VLOOKUP("other",bug_conf_sheet!$A:$H,7,FALSE))</f>
        <v>0</v>
      </c>
      <c r="S44" s="38">
        <f>IFERROR(VLOOKUP($F44,bug_conf_sheet!$A:$H,8,FALSE),VLOOKUP("other",bug_conf_sheet!$A:$H,8,FALSE))</f>
        <v>1</v>
      </c>
    </row>
    <row r="45" spans="1:19" ht="21" hidden="1" customHeight="1">
      <c r="A45" s="7" t="str">
        <f t="shared" si="1"/>
        <v>1881169</v>
      </c>
      <c r="B45" s="2" t="str">
        <f t="shared" si="2"/>
        <v>1881</v>
      </c>
      <c r="C45" s="8" t="str">
        <f t="shared" si="3"/>
        <v>1PremiumN3</v>
      </c>
      <c r="D45" s="8" t="str">
        <f t="shared" si="4"/>
        <v>1PremiumN3</v>
      </c>
      <c r="E45" s="10">
        <v>1</v>
      </c>
      <c r="F45" s="6">
        <v>169</v>
      </c>
      <c r="G45" s="8" t="str">
        <f>VLOOKUP(F45,[1]characters!$A:$C,3,FALSE)</f>
        <v>オセ</v>
      </c>
      <c r="H45" s="8" t="str">
        <f>VLOOKUP(F45,[1]characters!$A:$J,10,FALSE)</f>
        <v>PremiumN</v>
      </c>
      <c r="I45" s="8">
        <f>VLOOKUP(F45,[1]characters!$A:$I,9,FALSE)</f>
        <v>3</v>
      </c>
      <c r="J45" s="8" t="str">
        <f>VLOOKUP(F45,[1]characters!$A:$H,8,FALSE)</f>
        <v>green</v>
      </c>
      <c r="K45" s="8" t="str">
        <f>VLOOKUP(F45,[1]characters!$A:$K,11,FALSE)</f>
        <v>attack</v>
      </c>
      <c r="L45" s="8" t="str">
        <f>VLOOKUP(F45,[1]characters!$A:$M,13,FALSE)</f>
        <v>god</v>
      </c>
      <c r="M45" s="16">
        <f>VLOOKUP(D45,gacha_188_base!A:B,2,FALSE)</f>
        <v>11309</v>
      </c>
      <c r="N45" s="38">
        <f>IFERROR(VLOOKUP($F45,bug_conf_sheet!$A:$H,3,FALSE),VLOOKUP("other",bug_conf_sheet!$A:$H,3,FALSE))</f>
        <v>1</v>
      </c>
      <c r="O45" s="38">
        <f>IFERROR(VLOOKUP($F45,bug_conf_sheet!$A:$H,4,FALSE),VLOOKUP("other",bug_conf_sheet!$A:$H,4,FALSE))</f>
        <v>0</v>
      </c>
      <c r="P45" s="38">
        <f>IFERROR(VLOOKUP($F45,bug_conf_sheet!$A:$H,5,FALSE),VLOOKUP("other",bug_conf_sheet!$A:$H,5,FALSE))</f>
        <v>0</v>
      </c>
      <c r="Q45" s="38">
        <f>IFERROR(VLOOKUP($F45,bug_conf_sheet!$A:$H,6,FALSE),VLOOKUP("other",bug_conf_sheet!$A:$H,6,FALSE))</f>
        <v>0</v>
      </c>
      <c r="R45" s="38">
        <f>IFERROR(VLOOKUP($F45,bug_conf_sheet!$A:$H,7,FALSE),VLOOKUP("other",bug_conf_sheet!$A:$H,7,FALSE))</f>
        <v>0</v>
      </c>
      <c r="S45" s="38">
        <f>IFERROR(VLOOKUP($F45,bug_conf_sheet!$A:$H,8,FALSE),VLOOKUP("other",bug_conf_sheet!$A:$H,8,FALSE))</f>
        <v>1</v>
      </c>
    </row>
    <row r="46" spans="1:19" ht="21" hidden="1" customHeight="1">
      <c r="A46" s="7" t="str">
        <f t="shared" si="1"/>
        <v>1881170</v>
      </c>
      <c r="B46" s="2" t="str">
        <f t="shared" si="2"/>
        <v>1881</v>
      </c>
      <c r="C46" s="8" t="str">
        <f t="shared" si="3"/>
        <v>1PremiumN4</v>
      </c>
      <c r="D46" s="8" t="str">
        <f t="shared" si="4"/>
        <v>1PremiumN4</v>
      </c>
      <c r="E46" s="10">
        <v>1</v>
      </c>
      <c r="F46" s="6">
        <v>170</v>
      </c>
      <c r="G46" s="8" t="str">
        <f>VLOOKUP(F46,[1]characters!$A:$C,3,FALSE)</f>
        <v>識徒 オセ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green</v>
      </c>
      <c r="K46" s="8" t="str">
        <f>VLOOKUP(F46,[1]characters!$A:$K,11,FALSE)</f>
        <v>attack</v>
      </c>
      <c r="L46" s="8" t="str">
        <f>VLOOKUP(F46,[1]characters!$A:$M,13,FALSE)</f>
        <v>god</v>
      </c>
      <c r="M46" s="16">
        <f>VLOOKUP(D46,gacha_188_base!A:B,2,FALSE)</f>
        <v>2827</v>
      </c>
      <c r="N46" s="38">
        <f>IFERROR(VLOOKUP($F46,bug_conf_sheet!$A:$H,3,FALSE),VLOOKUP("other",bug_conf_sheet!$A:$H,3,FALSE))</f>
        <v>1</v>
      </c>
      <c r="O46" s="38">
        <f>IFERROR(VLOOKUP($F46,bug_conf_sheet!$A:$H,4,FALSE),VLOOKUP("other",bug_conf_sheet!$A:$H,4,FALSE))</f>
        <v>0</v>
      </c>
      <c r="P46" s="38">
        <f>IFERROR(VLOOKUP($F46,bug_conf_sheet!$A:$H,5,FALSE),VLOOKUP("other",bug_conf_sheet!$A:$H,5,FALSE))</f>
        <v>0</v>
      </c>
      <c r="Q46" s="38">
        <f>IFERROR(VLOOKUP($F46,bug_conf_sheet!$A:$H,6,FALSE),VLOOKUP("other",bug_conf_sheet!$A:$H,6,FALSE))</f>
        <v>0</v>
      </c>
      <c r="R46" s="38">
        <f>IFERROR(VLOOKUP($F46,bug_conf_sheet!$A:$H,7,FALSE),VLOOKUP("other",bug_conf_sheet!$A:$H,7,FALSE))</f>
        <v>0</v>
      </c>
      <c r="S46" s="38">
        <f>IFERROR(VLOOKUP($F46,bug_conf_sheet!$A:$H,8,FALSE),VLOOKUP("other",bug_conf_sheet!$A:$H,8,FALSE))</f>
        <v>1</v>
      </c>
    </row>
    <row r="47" spans="1:19" ht="21" customHeight="1">
      <c r="A47" s="7" t="str">
        <f t="shared" si="1"/>
        <v>1881171</v>
      </c>
      <c r="B47" s="2" t="str">
        <f t="shared" si="2"/>
        <v>1881</v>
      </c>
      <c r="C47" s="8" t="str">
        <f t="shared" si="3"/>
        <v>1PremiumN5</v>
      </c>
      <c r="D47" s="8" t="str">
        <f t="shared" si="4"/>
        <v>1PremiumN5</v>
      </c>
      <c r="E47" s="10">
        <v>1</v>
      </c>
      <c r="F47" s="6">
        <v>171</v>
      </c>
      <c r="G47" s="8" t="str">
        <f>VLOOKUP(F47,[1]characters!$A:$C,3,FALSE)</f>
        <v>精解の預知者 オセ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green</v>
      </c>
      <c r="K47" s="8" t="str">
        <f>VLOOKUP(F47,[1]characters!$A:$K,11,FALSE)</f>
        <v>attack</v>
      </c>
      <c r="L47" s="8" t="str">
        <f>VLOOKUP(F47,[1]characters!$A:$M,13,FALSE)</f>
        <v>god</v>
      </c>
      <c r="M47" s="16">
        <f>VLOOKUP(D47,gacha_188_base!A:B,2,FALSE)</f>
        <v>942</v>
      </c>
      <c r="N47" s="38">
        <f>IFERROR(VLOOKUP($F47,bug_conf_sheet!$A:$H,3,FALSE),VLOOKUP("other",bug_conf_sheet!$A:$H,3,FALSE))</f>
        <v>1</v>
      </c>
      <c r="O47" s="38">
        <f>IFERROR(VLOOKUP($F47,bug_conf_sheet!$A:$H,4,FALSE),VLOOKUP("other",bug_conf_sheet!$A:$H,4,FALSE))</f>
        <v>0</v>
      </c>
      <c r="P47" s="38">
        <f>IFERROR(VLOOKUP($F47,bug_conf_sheet!$A:$H,5,FALSE),VLOOKUP("other",bug_conf_sheet!$A:$H,5,FALSE))</f>
        <v>0</v>
      </c>
      <c r="Q47" s="38">
        <f>IFERROR(VLOOKUP($F47,bug_conf_sheet!$A:$H,6,FALSE),VLOOKUP("other",bug_conf_sheet!$A:$H,6,FALSE))</f>
        <v>0</v>
      </c>
      <c r="R47" s="38">
        <f>IFERROR(VLOOKUP($F47,bug_conf_sheet!$A:$H,7,FALSE),VLOOKUP("other",bug_conf_sheet!$A:$H,7,FALSE))</f>
        <v>0</v>
      </c>
      <c r="S47" s="38">
        <f>IFERROR(VLOOKUP($F47,bug_conf_sheet!$A:$H,8,FALSE),VLOOKUP("other",bug_conf_sheet!$A:$H,8,FALSE))</f>
        <v>1</v>
      </c>
    </row>
    <row r="48" spans="1:19" ht="21" hidden="1" customHeight="1">
      <c r="A48" s="7" t="str">
        <f t="shared" si="1"/>
        <v>1881172</v>
      </c>
      <c r="B48" s="2" t="str">
        <f t="shared" si="2"/>
        <v>1881</v>
      </c>
      <c r="C48" s="8" t="str">
        <f t="shared" si="3"/>
        <v>1PremiumN3</v>
      </c>
      <c r="D48" s="8" t="str">
        <f t="shared" si="4"/>
        <v>1PremiumN3</v>
      </c>
      <c r="E48" s="10">
        <v>1</v>
      </c>
      <c r="F48" s="6">
        <v>172</v>
      </c>
      <c r="G48" s="8" t="str">
        <f>VLOOKUP(F48,[1]characters!$A:$C,3,FALSE)</f>
        <v>フォルネウス</v>
      </c>
      <c r="H48" s="8" t="str">
        <f>VLOOKUP(F48,[1]characters!$A:$J,10,FALSE)</f>
        <v>PremiumN</v>
      </c>
      <c r="I48" s="8">
        <f>VLOOKUP(F48,[1]characters!$A:$I,9,FALSE)</f>
        <v>3</v>
      </c>
      <c r="J48" s="8" t="str">
        <f>VLOOKUP(F48,[1]characters!$A:$H,8,FALSE)</f>
        <v>blue</v>
      </c>
      <c r="K48" s="8" t="str">
        <f>VLOOKUP(F48,[1]characters!$A:$K,11,FALSE)</f>
        <v>attack</v>
      </c>
      <c r="L48" s="8" t="str">
        <f>VLOOKUP(F48,[1]characters!$A:$M,13,FALSE)</f>
        <v>god</v>
      </c>
      <c r="M48" s="16">
        <f>VLOOKUP(D48,gacha_188_base!A:B,2,FALSE)</f>
        <v>11309</v>
      </c>
      <c r="N48" s="38">
        <f>IFERROR(VLOOKUP($F48,bug_conf_sheet!$A:$H,3,FALSE),VLOOKUP("other",bug_conf_sheet!$A:$H,3,FALSE))</f>
        <v>1</v>
      </c>
      <c r="O48" s="38">
        <f>IFERROR(VLOOKUP($F48,bug_conf_sheet!$A:$H,4,FALSE),VLOOKUP("other",bug_conf_sheet!$A:$H,4,FALSE))</f>
        <v>0</v>
      </c>
      <c r="P48" s="38">
        <f>IFERROR(VLOOKUP($F48,bug_conf_sheet!$A:$H,5,FALSE),VLOOKUP("other",bug_conf_sheet!$A:$H,5,FALSE))</f>
        <v>0</v>
      </c>
      <c r="Q48" s="38">
        <f>IFERROR(VLOOKUP($F48,bug_conf_sheet!$A:$H,6,FALSE),VLOOKUP("other",bug_conf_sheet!$A:$H,6,FALSE))</f>
        <v>0</v>
      </c>
      <c r="R48" s="38">
        <f>IFERROR(VLOOKUP($F48,bug_conf_sheet!$A:$H,7,FALSE),VLOOKUP("other",bug_conf_sheet!$A:$H,7,FALSE))</f>
        <v>0</v>
      </c>
      <c r="S48" s="38">
        <f>IFERROR(VLOOKUP($F48,bug_conf_sheet!$A:$H,8,FALSE),VLOOKUP("other",bug_conf_sheet!$A:$H,8,FALSE))</f>
        <v>1</v>
      </c>
    </row>
    <row r="49" spans="1:19" ht="21" hidden="1" customHeight="1">
      <c r="A49" s="7" t="str">
        <f t="shared" si="1"/>
        <v>1881173</v>
      </c>
      <c r="B49" s="2" t="str">
        <f t="shared" si="2"/>
        <v>1881</v>
      </c>
      <c r="C49" s="8" t="str">
        <f t="shared" si="3"/>
        <v>1PremiumN4</v>
      </c>
      <c r="D49" s="8" t="str">
        <f t="shared" si="4"/>
        <v>1PremiumN4</v>
      </c>
      <c r="E49" s="10">
        <v>1</v>
      </c>
      <c r="F49" s="6">
        <v>173</v>
      </c>
      <c r="G49" s="8" t="str">
        <f>VLOOKUP(F49,[1]characters!$A:$C,3,FALSE)</f>
        <v>公爵 フォルネウス</v>
      </c>
      <c r="H49" s="8" t="str">
        <f>VLOOKUP(F49,[1]characters!$A:$J,10,FALSE)</f>
        <v>PremiumN</v>
      </c>
      <c r="I49" s="8">
        <f>VLOOKUP(F49,[1]characters!$A:$I,9,FALSE)</f>
        <v>4</v>
      </c>
      <c r="J49" s="8" t="str">
        <f>VLOOKUP(F49,[1]characters!$A:$H,8,FALSE)</f>
        <v>blue</v>
      </c>
      <c r="K49" s="8" t="str">
        <f>VLOOKUP(F49,[1]characters!$A:$K,11,FALSE)</f>
        <v>attack</v>
      </c>
      <c r="L49" s="8" t="str">
        <f>VLOOKUP(F49,[1]characters!$A:$M,13,FALSE)</f>
        <v>god</v>
      </c>
      <c r="M49" s="16">
        <f>VLOOKUP(D49,gacha_188_base!A:B,2,FALSE)</f>
        <v>2827</v>
      </c>
      <c r="N49" s="38">
        <f>IFERROR(VLOOKUP($F49,bug_conf_sheet!$A:$H,3,FALSE),VLOOKUP("other",bug_conf_sheet!$A:$H,3,FALSE))</f>
        <v>1</v>
      </c>
      <c r="O49" s="38">
        <f>IFERROR(VLOOKUP($F49,bug_conf_sheet!$A:$H,4,FALSE),VLOOKUP("other",bug_conf_sheet!$A:$H,4,FALSE))</f>
        <v>0</v>
      </c>
      <c r="P49" s="38">
        <f>IFERROR(VLOOKUP($F49,bug_conf_sheet!$A:$H,5,FALSE),VLOOKUP("other",bug_conf_sheet!$A:$H,5,FALSE))</f>
        <v>0</v>
      </c>
      <c r="Q49" s="38">
        <f>IFERROR(VLOOKUP($F49,bug_conf_sheet!$A:$H,6,FALSE),VLOOKUP("other",bug_conf_sheet!$A:$H,6,FALSE))</f>
        <v>0</v>
      </c>
      <c r="R49" s="38">
        <f>IFERROR(VLOOKUP($F49,bug_conf_sheet!$A:$H,7,FALSE),VLOOKUP("other",bug_conf_sheet!$A:$H,7,FALSE))</f>
        <v>0</v>
      </c>
      <c r="S49" s="38">
        <f>IFERROR(VLOOKUP($F49,bug_conf_sheet!$A:$H,8,FALSE),VLOOKUP("other",bug_conf_sheet!$A:$H,8,FALSE))</f>
        <v>1</v>
      </c>
    </row>
    <row r="50" spans="1:19" ht="21" customHeight="1">
      <c r="A50" s="7" t="str">
        <f t="shared" si="1"/>
        <v>1881174</v>
      </c>
      <c r="B50" s="2" t="str">
        <f t="shared" si="2"/>
        <v>1881</v>
      </c>
      <c r="C50" s="8" t="str">
        <f t="shared" si="3"/>
        <v>1PremiumN5</v>
      </c>
      <c r="D50" s="8" t="str">
        <f t="shared" si="4"/>
        <v>1PremiumN5</v>
      </c>
      <c r="E50" s="10">
        <v>1</v>
      </c>
      <c r="F50" s="6">
        <v>174</v>
      </c>
      <c r="G50" s="8" t="str">
        <f>VLOOKUP(F50,[1]characters!$A:$C,3,FALSE)</f>
        <v>偽愛の大公爵 フォルネウス</v>
      </c>
      <c r="H50" s="8" t="str">
        <f>VLOOKUP(F50,[1]characters!$A:$J,10,FALSE)</f>
        <v>PremiumN</v>
      </c>
      <c r="I50" s="8">
        <f>VLOOKUP(F50,[1]characters!$A:$I,9,FALSE)</f>
        <v>5</v>
      </c>
      <c r="J50" s="8" t="str">
        <f>VLOOKUP(F50,[1]characters!$A:$H,8,FALSE)</f>
        <v>blue</v>
      </c>
      <c r="K50" s="8" t="str">
        <f>VLOOKUP(F50,[1]characters!$A:$K,11,FALSE)</f>
        <v>attack</v>
      </c>
      <c r="L50" s="8" t="str">
        <f>VLOOKUP(F50,[1]characters!$A:$M,13,FALSE)</f>
        <v>god</v>
      </c>
      <c r="M50" s="16">
        <f>VLOOKUP(D50,gacha_188_base!A:B,2,FALSE)</f>
        <v>942</v>
      </c>
      <c r="N50" s="38">
        <f>IFERROR(VLOOKUP($F50,bug_conf_sheet!$A:$H,3,FALSE),VLOOKUP("other",bug_conf_sheet!$A:$H,3,FALSE))</f>
        <v>1</v>
      </c>
      <c r="O50" s="38">
        <f>IFERROR(VLOOKUP($F50,bug_conf_sheet!$A:$H,4,FALSE),VLOOKUP("other",bug_conf_sheet!$A:$H,4,FALSE))</f>
        <v>0</v>
      </c>
      <c r="P50" s="38">
        <f>IFERROR(VLOOKUP($F50,bug_conf_sheet!$A:$H,5,FALSE),VLOOKUP("other",bug_conf_sheet!$A:$H,5,FALSE))</f>
        <v>0</v>
      </c>
      <c r="Q50" s="38">
        <f>IFERROR(VLOOKUP($F50,bug_conf_sheet!$A:$H,6,FALSE),VLOOKUP("other",bug_conf_sheet!$A:$H,6,FALSE))</f>
        <v>0</v>
      </c>
      <c r="R50" s="38">
        <f>IFERROR(VLOOKUP($F50,bug_conf_sheet!$A:$H,7,FALSE),VLOOKUP("other",bug_conf_sheet!$A:$H,7,FALSE))</f>
        <v>0</v>
      </c>
      <c r="S50" s="38">
        <f>IFERROR(VLOOKUP($F50,bug_conf_sheet!$A:$H,8,FALSE),VLOOKUP("other",bug_conf_sheet!$A:$H,8,FALSE))</f>
        <v>1</v>
      </c>
    </row>
    <row r="51" spans="1:19" ht="21" hidden="1" customHeight="1">
      <c r="A51" s="7" t="str">
        <f t="shared" si="1"/>
        <v>1881175</v>
      </c>
      <c r="B51" s="2" t="str">
        <f t="shared" si="2"/>
        <v>1881</v>
      </c>
      <c r="C51" s="8" t="str">
        <f t="shared" si="3"/>
        <v>1PremiumN3</v>
      </c>
      <c r="D51" s="8" t="str">
        <f t="shared" si="4"/>
        <v>1PremiumN3</v>
      </c>
      <c r="E51" s="10">
        <v>1</v>
      </c>
      <c r="F51" s="6">
        <v>175</v>
      </c>
      <c r="G51" s="8" t="str">
        <f>VLOOKUP(F51,[1]characters!$A:$C,3,FALSE)</f>
        <v>バフォメット</v>
      </c>
      <c r="H51" s="8" t="str">
        <f>VLOOKUP(F51,[1]characters!$A:$J,10,FALSE)</f>
        <v>PremiumN</v>
      </c>
      <c r="I51" s="8">
        <f>VLOOKUP(F51,[1]characters!$A:$I,9,FALSE)</f>
        <v>3</v>
      </c>
      <c r="J51" s="8" t="str">
        <f>VLOOKUP(F51,[1]characters!$A:$H,8,FALSE)</f>
        <v>yellow</v>
      </c>
      <c r="K51" s="8" t="str">
        <f>VLOOKUP(F51,[1]characters!$A:$K,11,FALSE)</f>
        <v>attack</v>
      </c>
      <c r="L51" s="8" t="str">
        <f>VLOOKUP(F51,[1]characters!$A:$M,13,FALSE)</f>
        <v>god</v>
      </c>
      <c r="M51" s="16">
        <f>VLOOKUP(D51,gacha_188_base!A:B,2,FALSE)</f>
        <v>11309</v>
      </c>
      <c r="N51" s="38">
        <f>IFERROR(VLOOKUP($F51,bug_conf_sheet!$A:$H,3,FALSE),VLOOKUP("other",bug_conf_sheet!$A:$H,3,FALSE))</f>
        <v>1</v>
      </c>
      <c r="O51" s="38">
        <f>IFERROR(VLOOKUP($F51,bug_conf_sheet!$A:$H,4,FALSE),VLOOKUP("other",bug_conf_sheet!$A:$H,4,FALSE))</f>
        <v>0</v>
      </c>
      <c r="P51" s="38">
        <f>IFERROR(VLOOKUP($F51,bug_conf_sheet!$A:$H,5,FALSE),VLOOKUP("other",bug_conf_sheet!$A:$H,5,FALSE))</f>
        <v>0</v>
      </c>
      <c r="Q51" s="38">
        <f>IFERROR(VLOOKUP($F51,bug_conf_sheet!$A:$H,6,FALSE),VLOOKUP("other",bug_conf_sheet!$A:$H,6,FALSE))</f>
        <v>0</v>
      </c>
      <c r="R51" s="38">
        <f>IFERROR(VLOOKUP($F51,bug_conf_sheet!$A:$H,7,FALSE),VLOOKUP("other",bug_conf_sheet!$A:$H,7,FALSE))</f>
        <v>0</v>
      </c>
      <c r="S51" s="38">
        <f>IFERROR(VLOOKUP($F51,bug_conf_sheet!$A:$H,8,FALSE),VLOOKUP("other",bug_conf_sheet!$A:$H,8,FALSE))</f>
        <v>1</v>
      </c>
    </row>
    <row r="52" spans="1:19" ht="21" hidden="1" customHeight="1">
      <c r="A52" s="7" t="str">
        <f t="shared" si="1"/>
        <v>1881176</v>
      </c>
      <c r="B52" s="2" t="str">
        <f t="shared" si="2"/>
        <v>1881</v>
      </c>
      <c r="C52" s="8" t="str">
        <f t="shared" si="3"/>
        <v>1PremiumN4</v>
      </c>
      <c r="D52" s="8" t="str">
        <f t="shared" si="4"/>
        <v>1PremiumN4</v>
      </c>
      <c r="E52" s="10">
        <v>1</v>
      </c>
      <c r="F52" s="6">
        <v>176</v>
      </c>
      <c r="G52" s="8" t="str">
        <f>VLOOKUP(F52,[1]characters!$A:$C,3,FALSE)</f>
        <v>異教徒 バフォメット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attack</v>
      </c>
      <c r="L52" s="8" t="str">
        <f>VLOOKUP(F52,[1]characters!$A:$M,13,FALSE)</f>
        <v>god</v>
      </c>
      <c r="M52" s="16">
        <f>VLOOKUP(D52,gacha_188_base!A:B,2,FALSE)</f>
        <v>2827</v>
      </c>
      <c r="N52" s="38">
        <f>IFERROR(VLOOKUP($F52,bug_conf_sheet!$A:$H,3,FALSE),VLOOKUP("other",bug_conf_sheet!$A:$H,3,FALSE))</f>
        <v>1</v>
      </c>
      <c r="O52" s="38">
        <f>IFERROR(VLOOKUP($F52,bug_conf_sheet!$A:$H,4,FALSE),VLOOKUP("other",bug_conf_sheet!$A:$H,4,FALSE))</f>
        <v>0</v>
      </c>
      <c r="P52" s="38">
        <f>IFERROR(VLOOKUP($F52,bug_conf_sheet!$A:$H,5,FALSE),VLOOKUP("other",bug_conf_sheet!$A:$H,5,FALSE))</f>
        <v>0</v>
      </c>
      <c r="Q52" s="38">
        <f>IFERROR(VLOOKUP($F52,bug_conf_sheet!$A:$H,6,FALSE),VLOOKUP("other",bug_conf_sheet!$A:$H,6,FALSE))</f>
        <v>0</v>
      </c>
      <c r="R52" s="38">
        <f>IFERROR(VLOOKUP($F52,bug_conf_sheet!$A:$H,7,FALSE),VLOOKUP("other",bug_conf_sheet!$A:$H,7,FALSE))</f>
        <v>0</v>
      </c>
      <c r="S52" s="38">
        <f>IFERROR(VLOOKUP($F52,bug_conf_sheet!$A:$H,8,FALSE),VLOOKUP("other",bug_conf_sheet!$A:$H,8,FALSE))</f>
        <v>1</v>
      </c>
    </row>
    <row r="53" spans="1:19" ht="21" customHeight="1">
      <c r="A53" s="7" t="str">
        <f t="shared" si="1"/>
        <v>1881177</v>
      </c>
      <c r="B53" s="2" t="str">
        <f t="shared" si="2"/>
        <v>1881</v>
      </c>
      <c r="C53" s="8" t="str">
        <f t="shared" si="3"/>
        <v>1PremiumN5</v>
      </c>
      <c r="D53" s="8" t="str">
        <f t="shared" si="4"/>
        <v>1PremiumN5</v>
      </c>
      <c r="E53" s="10">
        <v>1</v>
      </c>
      <c r="F53" s="6">
        <v>177</v>
      </c>
      <c r="G53" s="8" t="str">
        <f>VLOOKUP(F53,[1]characters!$A:$C,3,FALSE)</f>
        <v>黒魔の異端師 バフォメット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attack</v>
      </c>
      <c r="L53" s="8" t="str">
        <f>VLOOKUP(F53,[1]characters!$A:$M,13,FALSE)</f>
        <v>god</v>
      </c>
      <c r="M53" s="16">
        <f>VLOOKUP(D53,gacha_188_base!A:B,2,FALSE)</f>
        <v>942</v>
      </c>
      <c r="N53" s="38">
        <f>IFERROR(VLOOKUP($F53,bug_conf_sheet!$A:$H,3,FALSE),VLOOKUP("other",bug_conf_sheet!$A:$H,3,FALSE))</f>
        <v>1</v>
      </c>
      <c r="O53" s="38">
        <f>IFERROR(VLOOKUP($F53,bug_conf_sheet!$A:$H,4,FALSE),VLOOKUP("other",bug_conf_sheet!$A:$H,4,FALSE))</f>
        <v>0</v>
      </c>
      <c r="P53" s="38">
        <f>IFERROR(VLOOKUP($F53,bug_conf_sheet!$A:$H,5,FALSE),VLOOKUP("other",bug_conf_sheet!$A:$H,5,FALSE))</f>
        <v>0</v>
      </c>
      <c r="Q53" s="38">
        <f>IFERROR(VLOOKUP($F53,bug_conf_sheet!$A:$H,6,FALSE),VLOOKUP("other",bug_conf_sheet!$A:$H,6,FALSE))</f>
        <v>0</v>
      </c>
      <c r="R53" s="38">
        <f>IFERROR(VLOOKUP($F53,bug_conf_sheet!$A:$H,7,FALSE),VLOOKUP("other",bug_conf_sheet!$A:$H,7,FALSE))</f>
        <v>0</v>
      </c>
      <c r="S53" s="38">
        <f>IFERROR(VLOOKUP($F53,bug_conf_sheet!$A:$H,8,FALSE),VLOOKUP("other",bug_conf_sheet!$A:$H,8,FALSE))</f>
        <v>1</v>
      </c>
    </row>
    <row r="54" spans="1:19" ht="21" hidden="1" customHeight="1">
      <c r="A54" s="7" t="str">
        <f t="shared" si="1"/>
        <v>1881178</v>
      </c>
      <c r="B54" s="2" t="str">
        <f t="shared" si="2"/>
        <v>1881</v>
      </c>
      <c r="C54" s="8" t="str">
        <f t="shared" si="3"/>
        <v>1PremiumN3</v>
      </c>
      <c r="D54" s="8" t="str">
        <f t="shared" si="4"/>
        <v>1PremiumN3</v>
      </c>
      <c r="E54" s="10">
        <v>1</v>
      </c>
      <c r="F54" s="6">
        <v>178</v>
      </c>
      <c r="G54" s="8" t="str">
        <f>VLOOKUP(F54,[1]characters!$A:$C,3,FALSE)</f>
        <v>ケルベロス</v>
      </c>
      <c r="H54" s="8" t="str">
        <f>VLOOKUP(F54,[1]characters!$A:$J,10,FALSE)</f>
        <v>PremiumN</v>
      </c>
      <c r="I54" s="8">
        <f>VLOOKUP(F54,[1]characters!$A:$I,9,FALSE)</f>
        <v>3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animal</v>
      </c>
      <c r="M54" s="16">
        <f>VLOOKUP(D54,gacha_188_base!A:B,2,FALSE)</f>
        <v>11309</v>
      </c>
      <c r="N54" s="38">
        <f>IFERROR(VLOOKUP($F54,bug_conf_sheet!$A:$H,3,FALSE),VLOOKUP("other",bug_conf_sheet!$A:$H,3,FALSE))</f>
        <v>1</v>
      </c>
      <c r="O54" s="38">
        <f>IFERROR(VLOOKUP($F54,bug_conf_sheet!$A:$H,4,FALSE),VLOOKUP("other",bug_conf_sheet!$A:$H,4,FALSE))</f>
        <v>0</v>
      </c>
      <c r="P54" s="38">
        <f>IFERROR(VLOOKUP($F54,bug_conf_sheet!$A:$H,5,FALSE),VLOOKUP("other",bug_conf_sheet!$A:$H,5,FALSE))</f>
        <v>0</v>
      </c>
      <c r="Q54" s="38">
        <f>IFERROR(VLOOKUP($F54,bug_conf_sheet!$A:$H,6,FALSE),VLOOKUP("other",bug_conf_sheet!$A:$H,6,FALSE))</f>
        <v>0</v>
      </c>
      <c r="R54" s="38">
        <f>IFERROR(VLOOKUP($F54,bug_conf_sheet!$A:$H,7,FALSE),VLOOKUP("other",bug_conf_sheet!$A:$H,7,FALSE))</f>
        <v>0</v>
      </c>
      <c r="S54" s="38">
        <f>IFERROR(VLOOKUP($F54,bug_conf_sheet!$A:$H,8,FALSE),VLOOKUP("other",bug_conf_sheet!$A:$H,8,FALSE))</f>
        <v>1</v>
      </c>
    </row>
    <row r="55" spans="1:19" ht="21" hidden="1" customHeight="1">
      <c r="A55" s="7" t="str">
        <f t="shared" si="1"/>
        <v>1881179</v>
      </c>
      <c r="B55" s="2" t="str">
        <f t="shared" si="2"/>
        <v>1881</v>
      </c>
      <c r="C55" s="8" t="str">
        <f t="shared" si="3"/>
        <v>1PremiumN4</v>
      </c>
      <c r="D55" s="8" t="str">
        <f t="shared" si="4"/>
        <v>1PremiumN4</v>
      </c>
      <c r="E55" s="10">
        <v>1</v>
      </c>
      <c r="F55" s="6">
        <v>179</v>
      </c>
      <c r="G55" s="8" t="str">
        <f>VLOOKUP(F55,[1]characters!$A:$C,3,FALSE)</f>
        <v>番犬 ケルベロス</v>
      </c>
      <c r="H55" s="8" t="str">
        <f>VLOOKUP(F55,[1]characters!$A:$J,10,FALSE)</f>
        <v>PremiumN</v>
      </c>
      <c r="I55" s="8">
        <f>VLOOKUP(F55,[1]characters!$A:$I,9,FALSE)</f>
        <v>4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animal</v>
      </c>
      <c r="M55" s="16">
        <f>VLOOKUP(D55,gacha_188_base!A:B,2,FALSE)</f>
        <v>2827</v>
      </c>
      <c r="N55" s="38">
        <f>IFERROR(VLOOKUP($F55,bug_conf_sheet!$A:$H,3,FALSE),VLOOKUP("other",bug_conf_sheet!$A:$H,3,FALSE))</f>
        <v>1</v>
      </c>
      <c r="O55" s="38">
        <f>IFERROR(VLOOKUP($F55,bug_conf_sheet!$A:$H,4,FALSE),VLOOKUP("other",bug_conf_sheet!$A:$H,4,FALSE))</f>
        <v>0</v>
      </c>
      <c r="P55" s="38">
        <f>IFERROR(VLOOKUP($F55,bug_conf_sheet!$A:$H,5,FALSE),VLOOKUP("other",bug_conf_sheet!$A:$H,5,FALSE))</f>
        <v>0</v>
      </c>
      <c r="Q55" s="38">
        <f>IFERROR(VLOOKUP($F55,bug_conf_sheet!$A:$H,6,FALSE),VLOOKUP("other",bug_conf_sheet!$A:$H,6,FALSE))</f>
        <v>0</v>
      </c>
      <c r="R55" s="38">
        <f>IFERROR(VLOOKUP($F55,bug_conf_sheet!$A:$H,7,FALSE),VLOOKUP("other",bug_conf_sheet!$A:$H,7,FALSE))</f>
        <v>0</v>
      </c>
      <c r="S55" s="38">
        <f>IFERROR(VLOOKUP($F55,bug_conf_sheet!$A:$H,8,FALSE),VLOOKUP("other",bug_conf_sheet!$A:$H,8,FALSE))</f>
        <v>1</v>
      </c>
    </row>
    <row r="56" spans="1:19" ht="21" customHeight="1">
      <c r="A56" s="7" t="str">
        <f t="shared" si="1"/>
        <v>1881180</v>
      </c>
      <c r="B56" s="2" t="str">
        <f t="shared" si="2"/>
        <v>1881</v>
      </c>
      <c r="C56" s="8" t="str">
        <f t="shared" si="3"/>
        <v>1PremiumN5</v>
      </c>
      <c r="D56" s="8" t="str">
        <f t="shared" si="4"/>
        <v>1PremiumN5</v>
      </c>
      <c r="E56" s="10">
        <v>1</v>
      </c>
      <c r="F56" s="6">
        <v>180</v>
      </c>
      <c r="G56" s="8" t="str">
        <f>VLOOKUP(F56,[1]characters!$A:$C,3,FALSE)</f>
        <v>地獄の大門番 ケルベロス</v>
      </c>
      <c r="H56" s="8" t="str">
        <f>VLOOKUP(F56,[1]characters!$A:$J,10,FALSE)</f>
        <v>PremiumN</v>
      </c>
      <c r="I56" s="8">
        <f>VLOOKUP(F56,[1]characters!$A:$I,9,FALSE)</f>
        <v>5</v>
      </c>
      <c r="J56" s="8" t="str">
        <f>VLOOKUP(F56,[1]characters!$A:$H,8,FALSE)</f>
        <v>red</v>
      </c>
      <c r="K56" s="8" t="str">
        <f>VLOOKUP(F56,[1]characters!$A:$K,11,FALSE)</f>
        <v>balance</v>
      </c>
      <c r="L56" s="8" t="str">
        <f>VLOOKUP(F56,[1]characters!$A:$M,13,FALSE)</f>
        <v>animal</v>
      </c>
      <c r="M56" s="16">
        <f>VLOOKUP(D56,gacha_188_base!A:B,2,FALSE)</f>
        <v>942</v>
      </c>
      <c r="N56" s="38">
        <f>IFERROR(VLOOKUP($F56,bug_conf_sheet!$A:$H,3,FALSE),VLOOKUP("other",bug_conf_sheet!$A:$H,3,FALSE))</f>
        <v>1</v>
      </c>
      <c r="O56" s="38">
        <f>IFERROR(VLOOKUP($F56,bug_conf_sheet!$A:$H,4,FALSE),VLOOKUP("other",bug_conf_sheet!$A:$H,4,FALSE))</f>
        <v>0</v>
      </c>
      <c r="P56" s="38">
        <f>IFERROR(VLOOKUP($F56,bug_conf_sheet!$A:$H,5,FALSE),VLOOKUP("other",bug_conf_sheet!$A:$H,5,FALSE))</f>
        <v>0</v>
      </c>
      <c r="Q56" s="38">
        <f>IFERROR(VLOOKUP($F56,bug_conf_sheet!$A:$H,6,FALSE),VLOOKUP("other",bug_conf_sheet!$A:$H,6,FALSE))</f>
        <v>0</v>
      </c>
      <c r="R56" s="38">
        <f>IFERROR(VLOOKUP($F56,bug_conf_sheet!$A:$H,7,FALSE),VLOOKUP("other",bug_conf_sheet!$A:$H,7,FALSE))</f>
        <v>0</v>
      </c>
      <c r="S56" s="38">
        <f>IFERROR(VLOOKUP($F56,bug_conf_sheet!$A:$H,8,FALSE),VLOOKUP("other",bug_conf_sheet!$A:$H,8,FALSE))</f>
        <v>1</v>
      </c>
    </row>
    <row r="57" spans="1:19" ht="21" hidden="1" customHeight="1">
      <c r="A57" s="7" t="str">
        <f t="shared" si="1"/>
        <v>1881181</v>
      </c>
      <c r="B57" s="2" t="str">
        <f t="shared" si="2"/>
        <v>1881</v>
      </c>
      <c r="C57" s="8" t="str">
        <f t="shared" si="3"/>
        <v>1PremiumN3</v>
      </c>
      <c r="D57" s="8" t="str">
        <f t="shared" si="4"/>
        <v>1PremiumN3</v>
      </c>
      <c r="E57" s="10">
        <v>1</v>
      </c>
      <c r="F57" s="6">
        <v>181</v>
      </c>
      <c r="G57" s="8" t="str">
        <f>VLOOKUP(F57,[1]characters!$A:$C,3,FALSE)</f>
        <v>ベヒモス</v>
      </c>
      <c r="H57" s="8" t="str">
        <f>VLOOKUP(F57,[1]characters!$A:$J,10,FALSE)</f>
        <v>PremiumN</v>
      </c>
      <c r="I57" s="8">
        <f>VLOOKUP(F57,[1]characters!$A:$I,9,FALSE)</f>
        <v>3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animal</v>
      </c>
      <c r="M57" s="16">
        <f>VLOOKUP(D57,gacha_188_base!A:B,2,FALSE)</f>
        <v>11309</v>
      </c>
      <c r="N57" s="38">
        <f>IFERROR(VLOOKUP($F57,bug_conf_sheet!$A:$H,3,FALSE),VLOOKUP("other",bug_conf_sheet!$A:$H,3,FALSE))</f>
        <v>1</v>
      </c>
      <c r="O57" s="38">
        <f>IFERROR(VLOOKUP($F57,bug_conf_sheet!$A:$H,4,FALSE),VLOOKUP("other",bug_conf_sheet!$A:$H,4,FALSE))</f>
        <v>0</v>
      </c>
      <c r="P57" s="38">
        <f>IFERROR(VLOOKUP($F57,bug_conf_sheet!$A:$H,5,FALSE),VLOOKUP("other",bug_conf_sheet!$A:$H,5,FALSE))</f>
        <v>0</v>
      </c>
      <c r="Q57" s="38">
        <f>IFERROR(VLOOKUP($F57,bug_conf_sheet!$A:$H,6,FALSE),VLOOKUP("other",bug_conf_sheet!$A:$H,6,FALSE))</f>
        <v>0</v>
      </c>
      <c r="R57" s="38">
        <f>IFERROR(VLOOKUP($F57,bug_conf_sheet!$A:$H,7,FALSE),VLOOKUP("other",bug_conf_sheet!$A:$H,7,FALSE))</f>
        <v>0</v>
      </c>
      <c r="S57" s="38">
        <f>IFERROR(VLOOKUP($F57,bug_conf_sheet!$A:$H,8,FALSE),VLOOKUP("other",bug_conf_sheet!$A:$H,8,FALSE))</f>
        <v>1</v>
      </c>
    </row>
    <row r="58" spans="1:19" ht="21" hidden="1" customHeight="1">
      <c r="A58" s="7" t="str">
        <f t="shared" si="1"/>
        <v>1881182</v>
      </c>
      <c r="B58" s="2" t="str">
        <f t="shared" si="2"/>
        <v>1881</v>
      </c>
      <c r="C58" s="8" t="str">
        <f t="shared" si="3"/>
        <v>1PremiumN4</v>
      </c>
      <c r="D58" s="8" t="str">
        <f t="shared" si="4"/>
        <v>1PremiumN4</v>
      </c>
      <c r="E58" s="10">
        <v>1</v>
      </c>
      <c r="F58" s="6">
        <v>182</v>
      </c>
      <c r="G58" s="8" t="str">
        <f>VLOOKUP(F58,[1]characters!$A:$C,3,FALSE)</f>
        <v>放蕩者 ベヒモス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green</v>
      </c>
      <c r="K58" s="8" t="str">
        <f>VLOOKUP(F58,[1]characters!$A:$K,11,FALSE)</f>
        <v>hp</v>
      </c>
      <c r="L58" s="8" t="str">
        <f>VLOOKUP(F58,[1]characters!$A:$M,13,FALSE)</f>
        <v>animal</v>
      </c>
      <c r="M58" s="16">
        <f>VLOOKUP(D58,gacha_188_base!A:B,2,FALSE)</f>
        <v>2827</v>
      </c>
      <c r="N58" s="38">
        <f>IFERROR(VLOOKUP($F58,bug_conf_sheet!$A:$H,3,FALSE),VLOOKUP("other",bug_conf_sheet!$A:$H,3,FALSE))</f>
        <v>1</v>
      </c>
      <c r="O58" s="38">
        <f>IFERROR(VLOOKUP($F58,bug_conf_sheet!$A:$H,4,FALSE),VLOOKUP("other",bug_conf_sheet!$A:$H,4,FALSE))</f>
        <v>0</v>
      </c>
      <c r="P58" s="38">
        <f>IFERROR(VLOOKUP($F58,bug_conf_sheet!$A:$H,5,FALSE),VLOOKUP("other",bug_conf_sheet!$A:$H,5,FALSE))</f>
        <v>0</v>
      </c>
      <c r="Q58" s="38">
        <f>IFERROR(VLOOKUP($F58,bug_conf_sheet!$A:$H,6,FALSE),VLOOKUP("other",bug_conf_sheet!$A:$H,6,FALSE))</f>
        <v>0</v>
      </c>
      <c r="R58" s="38">
        <f>IFERROR(VLOOKUP($F58,bug_conf_sheet!$A:$H,7,FALSE),VLOOKUP("other",bug_conf_sheet!$A:$H,7,FALSE))</f>
        <v>0</v>
      </c>
      <c r="S58" s="38">
        <f>IFERROR(VLOOKUP($F58,bug_conf_sheet!$A:$H,8,FALSE),VLOOKUP("other",bug_conf_sheet!$A:$H,8,FALSE))</f>
        <v>1</v>
      </c>
    </row>
    <row r="59" spans="1:19" ht="21" customHeight="1">
      <c r="A59" s="7" t="str">
        <f t="shared" si="1"/>
        <v>1881183</v>
      </c>
      <c r="B59" s="2" t="str">
        <f t="shared" si="2"/>
        <v>1881</v>
      </c>
      <c r="C59" s="8" t="str">
        <f t="shared" si="3"/>
        <v>1PremiumN5</v>
      </c>
      <c r="D59" s="8" t="str">
        <f t="shared" si="4"/>
        <v>1PremiumN5</v>
      </c>
      <c r="E59" s="10">
        <v>1</v>
      </c>
      <c r="F59" s="6">
        <v>183</v>
      </c>
      <c r="G59" s="8" t="str">
        <f>VLOOKUP(F59,[1]characters!$A:$C,3,FALSE)</f>
        <v>鈍重な彷徨者 ベヒモス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green</v>
      </c>
      <c r="K59" s="8" t="str">
        <f>VLOOKUP(F59,[1]characters!$A:$K,11,FALSE)</f>
        <v>hp</v>
      </c>
      <c r="L59" s="8" t="str">
        <f>VLOOKUP(F59,[1]characters!$A:$M,13,FALSE)</f>
        <v>animal</v>
      </c>
      <c r="M59" s="16">
        <f>VLOOKUP(D59,gacha_188_base!A:B,2,FALSE)</f>
        <v>942</v>
      </c>
      <c r="N59" s="38">
        <f>IFERROR(VLOOKUP($F59,bug_conf_sheet!$A:$H,3,FALSE),VLOOKUP("other",bug_conf_sheet!$A:$H,3,FALSE))</f>
        <v>1</v>
      </c>
      <c r="O59" s="38">
        <f>IFERROR(VLOOKUP($F59,bug_conf_sheet!$A:$H,4,FALSE),VLOOKUP("other",bug_conf_sheet!$A:$H,4,FALSE))</f>
        <v>0</v>
      </c>
      <c r="P59" s="38">
        <f>IFERROR(VLOOKUP($F59,bug_conf_sheet!$A:$H,5,FALSE),VLOOKUP("other",bug_conf_sheet!$A:$H,5,FALSE))</f>
        <v>0</v>
      </c>
      <c r="Q59" s="38">
        <f>IFERROR(VLOOKUP($F59,bug_conf_sheet!$A:$H,6,FALSE),VLOOKUP("other",bug_conf_sheet!$A:$H,6,FALSE))</f>
        <v>0</v>
      </c>
      <c r="R59" s="38">
        <f>IFERROR(VLOOKUP($F59,bug_conf_sheet!$A:$H,7,FALSE),VLOOKUP("other",bug_conf_sheet!$A:$H,7,FALSE))</f>
        <v>0</v>
      </c>
      <c r="S59" s="38">
        <f>IFERROR(VLOOKUP($F59,bug_conf_sheet!$A:$H,8,FALSE),VLOOKUP("other",bug_conf_sheet!$A:$H,8,FALSE))</f>
        <v>1</v>
      </c>
    </row>
    <row r="60" spans="1:19" ht="21" hidden="1" customHeight="1">
      <c r="A60" s="7" t="str">
        <f t="shared" si="1"/>
        <v>1881184</v>
      </c>
      <c r="B60" s="2" t="str">
        <f t="shared" si="2"/>
        <v>1881</v>
      </c>
      <c r="C60" s="8" t="str">
        <f t="shared" si="3"/>
        <v>1PremiumN3</v>
      </c>
      <c r="D60" s="8" t="str">
        <f t="shared" si="4"/>
        <v>1PremiumN3</v>
      </c>
      <c r="E60" s="10">
        <v>1</v>
      </c>
      <c r="F60" s="6">
        <v>184</v>
      </c>
      <c r="G60" s="8" t="str">
        <f>VLOOKUP(F60,[1]characters!$A:$C,3,FALSE)</f>
        <v>クラーケン</v>
      </c>
      <c r="H60" s="8" t="str">
        <f>VLOOKUP(F60,[1]characters!$A:$J,10,FALSE)</f>
        <v>PremiumN</v>
      </c>
      <c r="I60" s="8">
        <f>VLOOKUP(F60,[1]characters!$A:$I,9,FALSE)</f>
        <v>3</v>
      </c>
      <c r="J60" s="8" t="str">
        <f>VLOOKUP(F60,[1]characters!$A:$H,8,FALSE)</f>
        <v>blue</v>
      </c>
      <c r="K60" s="8" t="str">
        <f>VLOOKUP(F60,[1]characters!$A:$K,11,FALSE)</f>
        <v>heal</v>
      </c>
      <c r="L60" s="8" t="str">
        <f>VLOOKUP(F60,[1]characters!$A:$M,13,FALSE)</f>
        <v>animal</v>
      </c>
      <c r="M60" s="16">
        <f>VLOOKUP(D60,gacha_188_base!A:B,2,FALSE)</f>
        <v>11309</v>
      </c>
      <c r="N60" s="38">
        <f>IFERROR(VLOOKUP($F60,bug_conf_sheet!$A:$H,3,FALSE),VLOOKUP("other",bug_conf_sheet!$A:$H,3,FALSE))</f>
        <v>1</v>
      </c>
      <c r="O60" s="38">
        <f>IFERROR(VLOOKUP($F60,bug_conf_sheet!$A:$H,4,FALSE),VLOOKUP("other",bug_conf_sheet!$A:$H,4,FALSE))</f>
        <v>0</v>
      </c>
      <c r="P60" s="38">
        <f>IFERROR(VLOOKUP($F60,bug_conf_sheet!$A:$H,5,FALSE),VLOOKUP("other",bug_conf_sheet!$A:$H,5,FALSE))</f>
        <v>0</v>
      </c>
      <c r="Q60" s="38">
        <f>IFERROR(VLOOKUP($F60,bug_conf_sheet!$A:$H,6,FALSE),VLOOKUP("other",bug_conf_sheet!$A:$H,6,FALSE))</f>
        <v>0</v>
      </c>
      <c r="R60" s="38">
        <f>IFERROR(VLOOKUP($F60,bug_conf_sheet!$A:$H,7,FALSE),VLOOKUP("other",bug_conf_sheet!$A:$H,7,FALSE))</f>
        <v>0</v>
      </c>
      <c r="S60" s="38">
        <f>IFERROR(VLOOKUP($F60,bug_conf_sheet!$A:$H,8,FALSE),VLOOKUP("other",bug_conf_sheet!$A:$H,8,FALSE))</f>
        <v>1</v>
      </c>
    </row>
    <row r="61" spans="1:19" ht="21" hidden="1" customHeight="1">
      <c r="A61" s="7" t="str">
        <f t="shared" si="1"/>
        <v>1881185</v>
      </c>
      <c r="B61" s="2" t="str">
        <f t="shared" si="2"/>
        <v>1881</v>
      </c>
      <c r="C61" s="8" t="str">
        <f t="shared" si="3"/>
        <v>1PremiumN4</v>
      </c>
      <c r="D61" s="8" t="str">
        <f t="shared" si="4"/>
        <v>1PremiumN4</v>
      </c>
      <c r="E61" s="10">
        <v>1</v>
      </c>
      <c r="F61" s="6">
        <v>185</v>
      </c>
      <c r="G61" s="8" t="str">
        <f>VLOOKUP(F61,[1]characters!$A:$C,3,FALSE)</f>
        <v>海姫 クラーケン</v>
      </c>
      <c r="H61" s="8" t="str">
        <f>VLOOKUP(F61,[1]characters!$A:$J,10,FALSE)</f>
        <v>PremiumN</v>
      </c>
      <c r="I61" s="8">
        <f>VLOOKUP(F61,[1]characters!$A:$I,9,FALSE)</f>
        <v>4</v>
      </c>
      <c r="J61" s="8" t="str">
        <f>VLOOKUP(F61,[1]characters!$A:$H,8,FALSE)</f>
        <v>blue</v>
      </c>
      <c r="K61" s="8" t="str">
        <f>VLOOKUP(F61,[1]characters!$A:$K,11,FALSE)</f>
        <v>heal</v>
      </c>
      <c r="L61" s="8" t="str">
        <f>VLOOKUP(F61,[1]characters!$A:$M,13,FALSE)</f>
        <v>animal</v>
      </c>
      <c r="M61" s="16">
        <f>VLOOKUP(D61,gacha_188_base!A:B,2,FALSE)</f>
        <v>2827</v>
      </c>
      <c r="N61" s="38">
        <f>IFERROR(VLOOKUP($F61,bug_conf_sheet!$A:$H,3,FALSE),VLOOKUP("other",bug_conf_sheet!$A:$H,3,FALSE))</f>
        <v>1</v>
      </c>
      <c r="O61" s="38">
        <f>IFERROR(VLOOKUP($F61,bug_conf_sheet!$A:$H,4,FALSE),VLOOKUP("other",bug_conf_sheet!$A:$H,4,FALSE))</f>
        <v>0</v>
      </c>
      <c r="P61" s="38">
        <f>IFERROR(VLOOKUP($F61,bug_conf_sheet!$A:$H,5,FALSE),VLOOKUP("other",bug_conf_sheet!$A:$H,5,FALSE))</f>
        <v>0</v>
      </c>
      <c r="Q61" s="38">
        <f>IFERROR(VLOOKUP($F61,bug_conf_sheet!$A:$H,6,FALSE),VLOOKUP("other",bug_conf_sheet!$A:$H,6,FALSE))</f>
        <v>0</v>
      </c>
      <c r="R61" s="38">
        <f>IFERROR(VLOOKUP($F61,bug_conf_sheet!$A:$H,7,FALSE),VLOOKUP("other",bug_conf_sheet!$A:$H,7,FALSE))</f>
        <v>0</v>
      </c>
      <c r="S61" s="38">
        <f>IFERROR(VLOOKUP($F61,bug_conf_sheet!$A:$H,8,FALSE),VLOOKUP("other",bug_conf_sheet!$A:$H,8,FALSE))</f>
        <v>1</v>
      </c>
    </row>
    <row r="62" spans="1:19" ht="21" customHeight="1">
      <c r="A62" s="7" t="str">
        <f t="shared" si="1"/>
        <v>1881186</v>
      </c>
      <c r="B62" s="2" t="str">
        <f t="shared" si="2"/>
        <v>1881</v>
      </c>
      <c r="C62" s="8" t="str">
        <f t="shared" si="3"/>
        <v>1PremiumN5</v>
      </c>
      <c r="D62" s="8" t="str">
        <f t="shared" si="4"/>
        <v>1PremiumN5</v>
      </c>
      <c r="E62" s="10">
        <v>1</v>
      </c>
      <c r="F62" s="9">
        <v>186</v>
      </c>
      <c r="G62" s="8" t="str">
        <f>VLOOKUP(F62,[1]characters!$A:$C,3,FALSE)</f>
        <v>誇り高き多触姫・クラーケン</v>
      </c>
      <c r="H62" s="8" t="str">
        <f>VLOOKUP(F62,[1]characters!$A:$J,10,FALSE)</f>
        <v>PremiumN</v>
      </c>
      <c r="I62" s="8">
        <f>VLOOKUP(F62,[1]characters!$A:$I,9,FALSE)</f>
        <v>5</v>
      </c>
      <c r="J62" s="8" t="str">
        <f>VLOOKUP(F62,[1]characters!$A:$H,8,FALSE)</f>
        <v>blue</v>
      </c>
      <c r="K62" s="8" t="str">
        <f>VLOOKUP(F62,[1]characters!$A:$K,11,FALSE)</f>
        <v>heal</v>
      </c>
      <c r="L62" s="8" t="str">
        <f>VLOOKUP(F62,[1]characters!$A:$M,13,FALSE)</f>
        <v>animal</v>
      </c>
      <c r="M62" s="16">
        <f>VLOOKUP(D62,gacha_188_base!A:B,2,FALSE)</f>
        <v>942</v>
      </c>
      <c r="N62" s="38">
        <f>IFERROR(VLOOKUP($F62,bug_conf_sheet!$A:$H,3,FALSE),VLOOKUP("other",bug_conf_sheet!$A:$H,3,FALSE))</f>
        <v>1</v>
      </c>
      <c r="O62" s="38">
        <f>IFERROR(VLOOKUP($F62,bug_conf_sheet!$A:$H,4,FALSE),VLOOKUP("other",bug_conf_sheet!$A:$H,4,FALSE))</f>
        <v>0</v>
      </c>
      <c r="P62" s="38">
        <f>IFERROR(VLOOKUP($F62,bug_conf_sheet!$A:$H,5,FALSE),VLOOKUP("other",bug_conf_sheet!$A:$H,5,FALSE))</f>
        <v>0</v>
      </c>
      <c r="Q62" s="38">
        <f>IFERROR(VLOOKUP($F62,bug_conf_sheet!$A:$H,6,FALSE),VLOOKUP("other",bug_conf_sheet!$A:$H,6,FALSE))</f>
        <v>0</v>
      </c>
      <c r="R62" s="38">
        <f>IFERROR(VLOOKUP($F62,bug_conf_sheet!$A:$H,7,FALSE),VLOOKUP("other",bug_conf_sheet!$A:$H,7,FALSE))</f>
        <v>0</v>
      </c>
      <c r="S62" s="38">
        <f>IFERROR(VLOOKUP($F62,bug_conf_sheet!$A:$H,8,FALSE),VLOOKUP("other",bug_conf_sheet!$A:$H,8,FALSE))</f>
        <v>1</v>
      </c>
    </row>
    <row r="63" spans="1:19" ht="21" hidden="1" customHeight="1">
      <c r="A63" s="7" t="str">
        <f t="shared" si="1"/>
        <v>1881187</v>
      </c>
      <c r="B63" s="2" t="str">
        <f t="shared" si="2"/>
        <v>1881</v>
      </c>
      <c r="C63" s="8" t="str">
        <f t="shared" si="3"/>
        <v>1PremiumN3</v>
      </c>
      <c r="D63" s="8" t="str">
        <f t="shared" si="4"/>
        <v>1PremiumN3</v>
      </c>
      <c r="E63" s="10">
        <v>1</v>
      </c>
      <c r="F63" s="9">
        <v>187</v>
      </c>
      <c r="G63" s="8" t="str">
        <f>VLOOKUP(F63,[1]characters!$A:$C,3,FALSE)</f>
        <v>ホルス</v>
      </c>
      <c r="H63" s="8" t="str">
        <f>VLOOKUP(F63,[1]characters!$A:$J,10,FALSE)</f>
        <v>PremiumN</v>
      </c>
      <c r="I63" s="8">
        <f>VLOOKUP(F63,[1]characters!$A:$I,9,FALSE)</f>
        <v>3</v>
      </c>
      <c r="J63" s="8" t="str">
        <f>VLOOKUP(F63,[1]characters!$A:$H,8,FALSE)</f>
        <v>yellow</v>
      </c>
      <c r="K63" s="8" t="str">
        <f>VLOOKUP(F63,[1]characters!$A:$K,11,FALSE)</f>
        <v>attack</v>
      </c>
      <c r="L63" s="8" t="str">
        <f>VLOOKUP(F63,[1]characters!$A:$M,13,FALSE)</f>
        <v>animal</v>
      </c>
      <c r="M63" s="16">
        <f>VLOOKUP(D63,gacha_188_base!A:B,2,FALSE)</f>
        <v>11309</v>
      </c>
      <c r="N63" s="38">
        <f>IFERROR(VLOOKUP($F63,bug_conf_sheet!$A:$H,3,FALSE),VLOOKUP("other",bug_conf_sheet!$A:$H,3,FALSE))</f>
        <v>1</v>
      </c>
      <c r="O63" s="38">
        <f>IFERROR(VLOOKUP($F63,bug_conf_sheet!$A:$H,4,FALSE),VLOOKUP("other",bug_conf_sheet!$A:$H,4,FALSE))</f>
        <v>0</v>
      </c>
      <c r="P63" s="38">
        <f>IFERROR(VLOOKUP($F63,bug_conf_sheet!$A:$H,5,FALSE),VLOOKUP("other",bug_conf_sheet!$A:$H,5,FALSE))</f>
        <v>0</v>
      </c>
      <c r="Q63" s="38">
        <f>IFERROR(VLOOKUP($F63,bug_conf_sheet!$A:$H,6,FALSE),VLOOKUP("other",bug_conf_sheet!$A:$H,6,FALSE))</f>
        <v>0</v>
      </c>
      <c r="R63" s="38">
        <f>IFERROR(VLOOKUP($F63,bug_conf_sheet!$A:$H,7,FALSE),VLOOKUP("other",bug_conf_sheet!$A:$H,7,FALSE))</f>
        <v>0</v>
      </c>
      <c r="S63" s="38">
        <f>IFERROR(VLOOKUP($F63,bug_conf_sheet!$A:$H,8,FALSE),VLOOKUP("other",bug_conf_sheet!$A:$H,8,FALSE))</f>
        <v>1</v>
      </c>
    </row>
    <row r="64" spans="1:19" ht="21" hidden="1" customHeight="1">
      <c r="A64" s="7" t="str">
        <f t="shared" si="1"/>
        <v>1881188</v>
      </c>
      <c r="B64" s="2" t="str">
        <f t="shared" si="2"/>
        <v>1881</v>
      </c>
      <c r="C64" s="8" t="str">
        <f t="shared" si="3"/>
        <v>1PremiumN4</v>
      </c>
      <c r="D64" s="8" t="str">
        <f t="shared" si="4"/>
        <v>1PremiumN4</v>
      </c>
      <c r="E64" s="10">
        <v>1</v>
      </c>
      <c r="F64" s="9">
        <v>188</v>
      </c>
      <c r="G64" s="8" t="str">
        <f>VLOOKUP(F64,[1]characters!$A:$C,3,FALSE)</f>
        <v>猛禽 ホルス</v>
      </c>
      <c r="H64" s="8" t="str">
        <f>VLOOKUP(F64,[1]characters!$A:$J,10,FALSE)</f>
        <v>PremiumN</v>
      </c>
      <c r="I64" s="8">
        <f>VLOOKUP(F64,[1]characters!$A:$I,9,FALSE)</f>
        <v>4</v>
      </c>
      <c r="J64" s="8" t="str">
        <f>VLOOKUP(F64,[1]characters!$A:$H,8,FALSE)</f>
        <v>yellow</v>
      </c>
      <c r="K64" s="8" t="str">
        <f>VLOOKUP(F64,[1]characters!$A:$K,11,FALSE)</f>
        <v>attack</v>
      </c>
      <c r="L64" s="8" t="str">
        <f>VLOOKUP(F64,[1]characters!$A:$M,13,FALSE)</f>
        <v>animal</v>
      </c>
      <c r="M64" s="16">
        <f>VLOOKUP(D64,gacha_188_base!A:B,2,FALSE)</f>
        <v>2827</v>
      </c>
      <c r="N64" s="38">
        <f>IFERROR(VLOOKUP($F64,bug_conf_sheet!$A:$H,3,FALSE),VLOOKUP("other",bug_conf_sheet!$A:$H,3,FALSE))</f>
        <v>1</v>
      </c>
      <c r="O64" s="38">
        <f>IFERROR(VLOOKUP($F64,bug_conf_sheet!$A:$H,4,FALSE),VLOOKUP("other",bug_conf_sheet!$A:$H,4,FALSE))</f>
        <v>0</v>
      </c>
      <c r="P64" s="38">
        <f>IFERROR(VLOOKUP($F64,bug_conf_sheet!$A:$H,5,FALSE),VLOOKUP("other",bug_conf_sheet!$A:$H,5,FALSE))</f>
        <v>0</v>
      </c>
      <c r="Q64" s="38">
        <f>IFERROR(VLOOKUP($F64,bug_conf_sheet!$A:$H,6,FALSE),VLOOKUP("other",bug_conf_sheet!$A:$H,6,FALSE))</f>
        <v>0</v>
      </c>
      <c r="R64" s="38">
        <f>IFERROR(VLOOKUP($F64,bug_conf_sheet!$A:$H,7,FALSE),VLOOKUP("other",bug_conf_sheet!$A:$H,7,FALSE))</f>
        <v>0</v>
      </c>
      <c r="S64" s="38">
        <f>IFERROR(VLOOKUP($F64,bug_conf_sheet!$A:$H,8,FALSE),VLOOKUP("other",bug_conf_sheet!$A:$H,8,FALSE))</f>
        <v>1</v>
      </c>
    </row>
    <row r="65" spans="1:19" ht="21" customHeight="1">
      <c r="A65" s="7" t="str">
        <f t="shared" si="1"/>
        <v>1881189</v>
      </c>
      <c r="B65" s="2" t="str">
        <f t="shared" si="2"/>
        <v>1881</v>
      </c>
      <c r="C65" s="8" t="str">
        <f t="shared" si="3"/>
        <v>1PremiumN5</v>
      </c>
      <c r="D65" s="8" t="str">
        <f t="shared" si="4"/>
        <v>1PremiumN5</v>
      </c>
      <c r="E65" s="10">
        <v>1</v>
      </c>
      <c r="F65" s="9">
        <v>189</v>
      </c>
      <c r="G65" s="8" t="str">
        <f>VLOOKUP(F65,[1]characters!$A:$C,3,FALSE)</f>
        <v>迅雷の王禽 ホルス</v>
      </c>
      <c r="H65" s="8" t="str">
        <f>VLOOKUP(F65,[1]characters!$A:$J,10,FALSE)</f>
        <v>PremiumN</v>
      </c>
      <c r="I65" s="8">
        <f>VLOOKUP(F65,[1]characters!$A:$I,9,FALSE)</f>
        <v>5</v>
      </c>
      <c r="J65" s="8" t="str">
        <f>VLOOKUP(F65,[1]characters!$A:$H,8,FALSE)</f>
        <v>yellow</v>
      </c>
      <c r="K65" s="8" t="str">
        <f>VLOOKUP(F65,[1]characters!$A:$K,11,FALSE)</f>
        <v>attack</v>
      </c>
      <c r="L65" s="8" t="str">
        <f>VLOOKUP(F65,[1]characters!$A:$M,13,FALSE)</f>
        <v>animal</v>
      </c>
      <c r="M65" s="16">
        <f>VLOOKUP(D65,gacha_188_base!A:B,2,FALSE)</f>
        <v>942</v>
      </c>
      <c r="N65" s="38">
        <f>IFERROR(VLOOKUP($F65,bug_conf_sheet!$A:$H,3,FALSE),VLOOKUP("other",bug_conf_sheet!$A:$H,3,FALSE))</f>
        <v>1</v>
      </c>
      <c r="O65" s="38">
        <f>IFERROR(VLOOKUP($F65,bug_conf_sheet!$A:$H,4,FALSE),VLOOKUP("other",bug_conf_sheet!$A:$H,4,FALSE))</f>
        <v>0</v>
      </c>
      <c r="P65" s="38">
        <f>IFERROR(VLOOKUP($F65,bug_conf_sheet!$A:$H,5,FALSE),VLOOKUP("other",bug_conf_sheet!$A:$H,5,FALSE))</f>
        <v>0</v>
      </c>
      <c r="Q65" s="38">
        <f>IFERROR(VLOOKUP($F65,bug_conf_sheet!$A:$H,6,FALSE),VLOOKUP("other",bug_conf_sheet!$A:$H,6,FALSE))</f>
        <v>0</v>
      </c>
      <c r="R65" s="38">
        <f>IFERROR(VLOOKUP($F65,bug_conf_sheet!$A:$H,7,FALSE),VLOOKUP("other",bug_conf_sheet!$A:$H,7,FALSE))</f>
        <v>0</v>
      </c>
      <c r="S65" s="38">
        <f>IFERROR(VLOOKUP($F65,bug_conf_sheet!$A:$H,8,FALSE),VLOOKUP("other",bug_conf_sheet!$A:$H,8,FALSE))</f>
        <v>1</v>
      </c>
    </row>
    <row r="66" spans="1:19" s="11" customFormat="1" ht="21" hidden="1" customHeight="1" thickBot="1">
      <c r="A66" s="7" t="str">
        <f t="shared" si="1"/>
        <v>1881190</v>
      </c>
      <c r="B66" s="2" t="str">
        <f t="shared" si="2"/>
        <v>1881</v>
      </c>
      <c r="C66" s="8" t="str">
        <f t="shared" si="3"/>
        <v>1PremiumN3</v>
      </c>
      <c r="D66" s="8" t="str">
        <f t="shared" si="4"/>
        <v>1PremiumN3</v>
      </c>
      <c r="E66" s="10">
        <v>1</v>
      </c>
      <c r="F66" s="6">
        <v>190</v>
      </c>
      <c r="G66" s="8" t="str">
        <f>VLOOKUP(F66,[1]characters!$A:$C,3,FALSE)</f>
        <v>卑弥呼</v>
      </c>
      <c r="H66" s="8" t="str">
        <f>VLOOKUP(F66,[1]characters!$A:$J,10,FALSE)</f>
        <v>PremiumN</v>
      </c>
      <c r="I66" s="8">
        <f>VLOOKUP(F66,[1]characters!$A:$I,9,FALSE)</f>
        <v>3</v>
      </c>
      <c r="J66" s="8" t="str">
        <f>VLOOKUP(F66,[1]characters!$A:$H,8,FALSE)</f>
        <v>red</v>
      </c>
      <c r="K66" s="8" t="str">
        <f>VLOOKUP(F66,[1]characters!$A:$K,11,FALSE)</f>
        <v>balance</v>
      </c>
      <c r="L66" s="8" t="str">
        <f>VLOOKUP(F66,[1]characters!$A:$M,13,FALSE)</f>
        <v>human</v>
      </c>
      <c r="M66" s="16">
        <f>VLOOKUP(D66,gacha_188_base!A:B,2,FALSE)</f>
        <v>11309</v>
      </c>
      <c r="N66" s="38">
        <f>IFERROR(VLOOKUP($F66,bug_conf_sheet!$A:$H,3,FALSE),VLOOKUP("other",bug_conf_sheet!$A:$H,3,FALSE))</f>
        <v>1</v>
      </c>
      <c r="O66" s="38">
        <f>IFERROR(VLOOKUP($F66,bug_conf_sheet!$A:$H,4,FALSE),VLOOKUP("other",bug_conf_sheet!$A:$H,4,FALSE))</f>
        <v>0</v>
      </c>
      <c r="P66" s="38">
        <f>IFERROR(VLOOKUP($F66,bug_conf_sheet!$A:$H,5,FALSE),VLOOKUP("other",bug_conf_sheet!$A:$H,5,FALSE))</f>
        <v>0</v>
      </c>
      <c r="Q66" s="38">
        <f>IFERROR(VLOOKUP($F66,bug_conf_sheet!$A:$H,6,FALSE),VLOOKUP("other",bug_conf_sheet!$A:$H,6,FALSE))</f>
        <v>0</v>
      </c>
      <c r="R66" s="38">
        <f>IFERROR(VLOOKUP($F66,bug_conf_sheet!$A:$H,7,FALSE),VLOOKUP("other",bug_conf_sheet!$A:$H,7,FALSE))</f>
        <v>0</v>
      </c>
      <c r="S66" s="38">
        <f>IFERROR(VLOOKUP($F66,bug_conf_sheet!$A:$H,8,FALSE),VLOOKUP("other",bug_conf_sheet!$A:$H,8,FALSE))</f>
        <v>1</v>
      </c>
    </row>
    <row r="67" spans="1:19" ht="21" hidden="1" customHeight="1">
      <c r="A67" s="7" t="str">
        <f t="shared" ref="A67:A130" si="5">B67&amp;F67</f>
        <v>1881191</v>
      </c>
      <c r="B67" s="2" t="str">
        <f t="shared" ref="B67:B130" si="6">188&amp;E67</f>
        <v>1881</v>
      </c>
      <c r="C67" s="8" t="str">
        <f t="shared" ref="C67:C130" si="7">E67&amp;H67&amp;I67</f>
        <v>1PremiumN4</v>
      </c>
      <c r="D67" s="8" t="str">
        <f t="shared" ref="D67:D130" si="8">E67&amp;H67&amp;I67</f>
        <v>1PremiumN4</v>
      </c>
      <c r="E67" s="10">
        <v>1</v>
      </c>
      <c r="F67" s="6">
        <v>191</v>
      </c>
      <c r="G67" s="8" t="str">
        <f>VLOOKUP(F67,[1]characters!$A:$C,3,FALSE)</f>
        <v>始祖 卑弥呼</v>
      </c>
      <c r="H67" s="8" t="str">
        <f>VLOOKUP(F67,[1]characters!$A:$J,10,FALSE)</f>
        <v>PremiumN</v>
      </c>
      <c r="I67" s="8">
        <f>VLOOKUP(F67,[1]characters!$A:$I,9,FALSE)</f>
        <v>4</v>
      </c>
      <c r="J67" s="8" t="str">
        <f>VLOOKUP(F67,[1]characters!$A:$H,8,FALSE)</f>
        <v>red</v>
      </c>
      <c r="K67" s="8" t="str">
        <f>VLOOKUP(F67,[1]characters!$A:$K,11,FALSE)</f>
        <v>balance</v>
      </c>
      <c r="L67" s="8" t="str">
        <f>VLOOKUP(F67,[1]characters!$A:$M,13,FALSE)</f>
        <v>human</v>
      </c>
      <c r="M67" s="16">
        <f>VLOOKUP(D67,gacha_188_base!A:B,2,FALSE)</f>
        <v>2827</v>
      </c>
      <c r="N67" s="38">
        <f>IFERROR(VLOOKUP($F67,bug_conf_sheet!$A:$H,3,FALSE),VLOOKUP("other",bug_conf_sheet!$A:$H,3,FALSE))</f>
        <v>1</v>
      </c>
      <c r="O67" s="38">
        <f>IFERROR(VLOOKUP($F67,bug_conf_sheet!$A:$H,4,FALSE),VLOOKUP("other",bug_conf_sheet!$A:$H,4,FALSE))</f>
        <v>0</v>
      </c>
      <c r="P67" s="38">
        <f>IFERROR(VLOOKUP($F67,bug_conf_sheet!$A:$H,5,FALSE),VLOOKUP("other",bug_conf_sheet!$A:$H,5,FALSE))</f>
        <v>0</v>
      </c>
      <c r="Q67" s="38">
        <f>IFERROR(VLOOKUP($F67,bug_conf_sheet!$A:$H,6,FALSE),VLOOKUP("other",bug_conf_sheet!$A:$H,6,FALSE))</f>
        <v>0</v>
      </c>
      <c r="R67" s="38">
        <f>IFERROR(VLOOKUP($F67,bug_conf_sheet!$A:$H,7,FALSE),VLOOKUP("other",bug_conf_sheet!$A:$H,7,FALSE))</f>
        <v>0</v>
      </c>
      <c r="S67" s="38">
        <f>IFERROR(VLOOKUP($F67,bug_conf_sheet!$A:$H,8,FALSE),VLOOKUP("other",bug_conf_sheet!$A:$H,8,FALSE))</f>
        <v>1</v>
      </c>
    </row>
    <row r="68" spans="1:19" ht="21" customHeight="1">
      <c r="A68" s="7" t="str">
        <f t="shared" si="5"/>
        <v>1881192</v>
      </c>
      <c r="B68" s="2" t="str">
        <f t="shared" si="6"/>
        <v>1881</v>
      </c>
      <c r="C68" s="8" t="str">
        <f t="shared" si="7"/>
        <v>1PremiumN5</v>
      </c>
      <c r="D68" s="8" t="str">
        <f t="shared" si="8"/>
        <v>1PremiumN5</v>
      </c>
      <c r="E68" s="10">
        <v>1</v>
      </c>
      <c r="F68" s="6">
        <v>192</v>
      </c>
      <c r="G68" s="8" t="str">
        <f>VLOOKUP(F68,[1]characters!$A:$C,3,FALSE)</f>
        <v>荘厳なる始祖帝 卑弥呼</v>
      </c>
      <c r="H68" s="8" t="str">
        <f>VLOOKUP(F68,[1]characters!$A:$J,10,FALSE)</f>
        <v>PremiumN</v>
      </c>
      <c r="I68" s="8">
        <f>VLOOKUP(F68,[1]characters!$A:$I,9,FALSE)</f>
        <v>5</v>
      </c>
      <c r="J68" s="8" t="str">
        <f>VLOOKUP(F68,[1]characters!$A:$H,8,FALSE)</f>
        <v>red</v>
      </c>
      <c r="K68" s="8" t="str">
        <f>VLOOKUP(F68,[1]characters!$A:$K,11,FALSE)</f>
        <v>balance</v>
      </c>
      <c r="L68" s="8" t="str">
        <f>VLOOKUP(F68,[1]characters!$A:$M,13,FALSE)</f>
        <v>human</v>
      </c>
      <c r="M68" s="16">
        <f>VLOOKUP(D68,gacha_188_base!A:B,2,FALSE)</f>
        <v>942</v>
      </c>
      <c r="N68" s="38">
        <f>IFERROR(VLOOKUP($F68,bug_conf_sheet!$A:$H,3,FALSE),VLOOKUP("other",bug_conf_sheet!$A:$H,3,FALSE))</f>
        <v>1</v>
      </c>
      <c r="O68" s="38">
        <f>IFERROR(VLOOKUP($F68,bug_conf_sheet!$A:$H,4,FALSE),VLOOKUP("other",bug_conf_sheet!$A:$H,4,FALSE))</f>
        <v>0</v>
      </c>
      <c r="P68" s="38">
        <f>IFERROR(VLOOKUP($F68,bug_conf_sheet!$A:$H,5,FALSE),VLOOKUP("other",bug_conf_sheet!$A:$H,5,FALSE))</f>
        <v>0</v>
      </c>
      <c r="Q68" s="38">
        <f>IFERROR(VLOOKUP($F68,bug_conf_sheet!$A:$H,6,FALSE),VLOOKUP("other",bug_conf_sheet!$A:$H,6,FALSE))</f>
        <v>0</v>
      </c>
      <c r="R68" s="38">
        <f>IFERROR(VLOOKUP($F68,bug_conf_sheet!$A:$H,7,FALSE),VLOOKUP("other",bug_conf_sheet!$A:$H,7,FALSE))</f>
        <v>0</v>
      </c>
      <c r="S68" s="38">
        <f>IFERROR(VLOOKUP($F68,bug_conf_sheet!$A:$H,8,FALSE),VLOOKUP("other",bug_conf_sheet!$A:$H,8,FALSE))</f>
        <v>1</v>
      </c>
    </row>
    <row r="69" spans="1:19" ht="21" hidden="1" customHeight="1">
      <c r="A69" s="7" t="str">
        <f t="shared" si="5"/>
        <v>1881193</v>
      </c>
      <c r="B69" s="2" t="str">
        <f t="shared" si="6"/>
        <v>1881</v>
      </c>
      <c r="C69" s="8" t="str">
        <f t="shared" si="7"/>
        <v>1PremiumN3</v>
      </c>
      <c r="D69" s="8" t="str">
        <f t="shared" si="8"/>
        <v>1PremiumN3</v>
      </c>
      <c r="E69" s="10">
        <v>1</v>
      </c>
      <c r="F69" s="6">
        <v>193</v>
      </c>
      <c r="G69" s="8" t="str">
        <f>VLOOKUP(F69,[1]characters!$A:$C,3,FALSE)</f>
        <v>ロビンフッド</v>
      </c>
      <c r="H69" s="8" t="str">
        <f>VLOOKUP(F69,[1]characters!$A:$J,10,FALSE)</f>
        <v>PremiumN</v>
      </c>
      <c r="I69" s="8">
        <f>VLOOKUP(F69,[1]characters!$A:$I,9,FALSE)</f>
        <v>3</v>
      </c>
      <c r="J69" s="8" t="str">
        <f>VLOOKUP(F69,[1]characters!$A:$H,8,FALSE)</f>
        <v>green</v>
      </c>
      <c r="K69" s="8" t="str">
        <f>VLOOKUP(F69,[1]characters!$A:$K,11,FALSE)</f>
        <v>balance</v>
      </c>
      <c r="L69" s="8" t="str">
        <f>VLOOKUP(F69,[1]characters!$A:$M,13,FALSE)</f>
        <v>human</v>
      </c>
      <c r="M69" s="16">
        <f>VLOOKUP(D69,gacha_188_base!A:B,2,FALSE)</f>
        <v>11309</v>
      </c>
      <c r="N69" s="38">
        <f>IFERROR(VLOOKUP($F69,bug_conf_sheet!$A:$H,3,FALSE),VLOOKUP("other",bug_conf_sheet!$A:$H,3,FALSE))</f>
        <v>1</v>
      </c>
      <c r="O69" s="38">
        <f>IFERROR(VLOOKUP($F69,bug_conf_sheet!$A:$H,4,FALSE),VLOOKUP("other",bug_conf_sheet!$A:$H,4,FALSE))</f>
        <v>0</v>
      </c>
      <c r="P69" s="38">
        <f>IFERROR(VLOOKUP($F69,bug_conf_sheet!$A:$H,5,FALSE),VLOOKUP("other",bug_conf_sheet!$A:$H,5,FALSE))</f>
        <v>0</v>
      </c>
      <c r="Q69" s="38">
        <f>IFERROR(VLOOKUP($F69,bug_conf_sheet!$A:$H,6,FALSE),VLOOKUP("other",bug_conf_sheet!$A:$H,6,FALSE))</f>
        <v>0</v>
      </c>
      <c r="R69" s="38">
        <f>IFERROR(VLOOKUP($F69,bug_conf_sheet!$A:$H,7,FALSE),VLOOKUP("other",bug_conf_sheet!$A:$H,7,FALSE))</f>
        <v>0</v>
      </c>
      <c r="S69" s="38">
        <f>IFERROR(VLOOKUP($F69,bug_conf_sheet!$A:$H,8,FALSE),VLOOKUP("other",bug_conf_sheet!$A:$H,8,FALSE))</f>
        <v>1</v>
      </c>
    </row>
    <row r="70" spans="1:19" ht="21" hidden="1" customHeight="1">
      <c r="A70" s="7" t="str">
        <f t="shared" si="5"/>
        <v>1881194</v>
      </c>
      <c r="B70" s="2" t="str">
        <f t="shared" si="6"/>
        <v>1881</v>
      </c>
      <c r="C70" s="8" t="str">
        <f t="shared" si="7"/>
        <v>1PremiumN4</v>
      </c>
      <c r="D70" s="8" t="str">
        <f t="shared" si="8"/>
        <v>1PremiumN4</v>
      </c>
      <c r="E70" s="10">
        <v>1</v>
      </c>
      <c r="F70" s="12">
        <v>194</v>
      </c>
      <c r="G70" s="8" t="str">
        <f>VLOOKUP(F70,[1]characters!$A:$C,3,FALSE)</f>
        <v>スナイパー ロビンフッド</v>
      </c>
      <c r="H70" s="8" t="str">
        <f>VLOOKUP(F70,[1]characters!$A:$J,10,FALSE)</f>
        <v>PremiumN</v>
      </c>
      <c r="I70" s="8">
        <f>VLOOKUP(F70,[1]characters!$A:$I,9,FALSE)</f>
        <v>4</v>
      </c>
      <c r="J70" s="8" t="str">
        <f>VLOOKUP(F70,[1]characters!$A:$H,8,FALSE)</f>
        <v>green</v>
      </c>
      <c r="K70" s="8" t="str">
        <f>VLOOKUP(F70,[1]characters!$A:$K,11,FALSE)</f>
        <v>balance</v>
      </c>
      <c r="L70" s="8" t="str">
        <f>VLOOKUP(F70,[1]characters!$A:$M,13,FALSE)</f>
        <v>human</v>
      </c>
      <c r="M70" s="16">
        <f>VLOOKUP(D70,gacha_188_base!A:B,2,FALSE)</f>
        <v>2827</v>
      </c>
      <c r="N70" s="38">
        <f>IFERROR(VLOOKUP($F70,bug_conf_sheet!$A:$H,3,FALSE),VLOOKUP("other",bug_conf_sheet!$A:$H,3,FALSE))</f>
        <v>1</v>
      </c>
      <c r="O70" s="38">
        <f>IFERROR(VLOOKUP($F70,bug_conf_sheet!$A:$H,4,FALSE),VLOOKUP("other",bug_conf_sheet!$A:$H,4,FALSE))</f>
        <v>0</v>
      </c>
      <c r="P70" s="38">
        <f>IFERROR(VLOOKUP($F70,bug_conf_sheet!$A:$H,5,FALSE),VLOOKUP("other",bug_conf_sheet!$A:$H,5,FALSE))</f>
        <v>0</v>
      </c>
      <c r="Q70" s="38">
        <f>IFERROR(VLOOKUP($F70,bug_conf_sheet!$A:$H,6,FALSE),VLOOKUP("other",bug_conf_sheet!$A:$H,6,FALSE))</f>
        <v>0</v>
      </c>
      <c r="R70" s="38">
        <f>IFERROR(VLOOKUP($F70,bug_conf_sheet!$A:$H,7,FALSE),VLOOKUP("other",bug_conf_sheet!$A:$H,7,FALSE))</f>
        <v>0</v>
      </c>
      <c r="S70" s="38">
        <f>IFERROR(VLOOKUP($F70,bug_conf_sheet!$A:$H,8,FALSE),VLOOKUP("other",bug_conf_sheet!$A:$H,8,FALSE))</f>
        <v>1</v>
      </c>
    </row>
    <row r="71" spans="1:19" ht="21" customHeight="1">
      <c r="A71" s="7" t="str">
        <f t="shared" si="5"/>
        <v>1881195</v>
      </c>
      <c r="B71" s="2" t="str">
        <f t="shared" si="6"/>
        <v>1881</v>
      </c>
      <c r="C71" s="8" t="str">
        <f t="shared" si="7"/>
        <v>1PremiumN5</v>
      </c>
      <c r="D71" s="8" t="str">
        <f t="shared" si="8"/>
        <v>1PremiumN5</v>
      </c>
      <c r="E71" s="10">
        <v>1</v>
      </c>
      <c r="F71" s="6">
        <v>195</v>
      </c>
      <c r="G71" s="8" t="str">
        <f>VLOOKUP(F71,[1]characters!$A:$C,3,FALSE)</f>
        <v>グランドハンター ロビンフッド</v>
      </c>
      <c r="H71" s="8" t="str">
        <f>VLOOKUP(F71,[1]characters!$A:$J,10,FALSE)</f>
        <v>PremiumN</v>
      </c>
      <c r="I71" s="8">
        <f>VLOOKUP(F71,[1]characters!$A:$I,9,FALSE)</f>
        <v>5</v>
      </c>
      <c r="J71" s="8" t="str">
        <f>VLOOKUP(F71,[1]characters!$A:$H,8,FALSE)</f>
        <v>green</v>
      </c>
      <c r="K71" s="8" t="str">
        <f>VLOOKUP(F71,[1]characters!$A:$K,11,FALSE)</f>
        <v>balance</v>
      </c>
      <c r="L71" s="8" t="str">
        <f>VLOOKUP(F71,[1]characters!$A:$M,13,FALSE)</f>
        <v>human</v>
      </c>
      <c r="M71" s="16">
        <f>VLOOKUP(D71,gacha_188_base!A:B,2,FALSE)</f>
        <v>942</v>
      </c>
      <c r="N71" s="38">
        <f>IFERROR(VLOOKUP($F71,bug_conf_sheet!$A:$H,3,FALSE),VLOOKUP("other",bug_conf_sheet!$A:$H,3,FALSE))</f>
        <v>1</v>
      </c>
      <c r="O71" s="38">
        <f>IFERROR(VLOOKUP($F71,bug_conf_sheet!$A:$H,4,FALSE),VLOOKUP("other",bug_conf_sheet!$A:$H,4,FALSE))</f>
        <v>0</v>
      </c>
      <c r="P71" s="38">
        <f>IFERROR(VLOOKUP($F71,bug_conf_sheet!$A:$H,5,FALSE),VLOOKUP("other",bug_conf_sheet!$A:$H,5,FALSE))</f>
        <v>0</v>
      </c>
      <c r="Q71" s="38">
        <f>IFERROR(VLOOKUP($F71,bug_conf_sheet!$A:$H,6,FALSE),VLOOKUP("other",bug_conf_sheet!$A:$H,6,FALSE))</f>
        <v>0</v>
      </c>
      <c r="R71" s="38">
        <f>IFERROR(VLOOKUP($F71,bug_conf_sheet!$A:$H,7,FALSE),VLOOKUP("other",bug_conf_sheet!$A:$H,7,FALSE))</f>
        <v>0</v>
      </c>
      <c r="S71" s="38">
        <f>IFERROR(VLOOKUP($F71,bug_conf_sheet!$A:$H,8,FALSE),VLOOKUP("other",bug_conf_sheet!$A:$H,8,FALSE))</f>
        <v>1</v>
      </c>
    </row>
    <row r="72" spans="1:19" ht="21" hidden="1" customHeight="1">
      <c r="A72" s="7" t="str">
        <f t="shared" si="5"/>
        <v>1881196</v>
      </c>
      <c r="B72" s="2" t="str">
        <f t="shared" si="6"/>
        <v>1881</v>
      </c>
      <c r="C72" s="8" t="str">
        <f t="shared" si="7"/>
        <v>1PremiumN3</v>
      </c>
      <c r="D72" s="8" t="str">
        <f t="shared" si="8"/>
        <v>1PremiumN3</v>
      </c>
      <c r="E72" s="10">
        <v>1</v>
      </c>
      <c r="F72" s="12">
        <v>196</v>
      </c>
      <c r="G72" s="8" t="str">
        <f>VLOOKUP(F72,[1]characters!$A:$C,3,FALSE)</f>
        <v>アキレス</v>
      </c>
      <c r="H72" s="8" t="str">
        <f>VLOOKUP(F72,[1]characters!$A:$J,10,FALSE)</f>
        <v>PremiumN</v>
      </c>
      <c r="I72" s="8">
        <f>VLOOKUP(F72,[1]characters!$A:$I,9,FALSE)</f>
        <v>3</v>
      </c>
      <c r="J72" s="8" t="str">
        <f>VLOOKUP(F72,[1]characters!$A:$H,8,FALSE)</f>
        <v>yellow</v>
      </c>
      <c r="K72" s="8" t="str">
        <f>VLOOKUP(F72,[1]characters!$A:$K,11,FALSE)</f>
        <v>balance</v>
      </c>
      <c r="L72" s="8" t="str">
        <f>VLOOKUP(F72,[1]characters!$A:$M,13,FALSE)</f>
        <v>human</v>
      </c>
      <c r="M72" s="16">
        <f>VLOOKUP(D72,gacha_188_base!A:B,2,FALSE)</f>
        <v>11309</v>
      </c>
      <c r="N72" s="38">
        <f>IFERROR(VLOOKUP($F72,bug_conf_sheet!$A:$H,3,FALSE),VLOOKUP("other",bug_conf_sheet!$A:$H,3,FALSE))</f>
        <v>1</v>
      </c>
      <c r="O72" s="38">
        <f>IFERROR(VLOOKUP($F72,bug_conf_sheet!$A:$H,4,FALSE),VLOOKUP("other",bug_conf_sheet!$A:$H,4,FALSE))</f>
        <v>0</v>
      </c>
      <c r="P72" s="38">
        <f>IFERROR(VLOOKUP($F72,bug_conf_sheet!$A:$H,5,FALSE),VLOOKUP("other",bug_conf_sheet!$A:$H,5,FALSE))</f>
        <v>0</v>
      </c>
      <c r="Q72" s="38">
        <f>IFERROR(VLOOKUP($F72,bug_conf_sheet!$A:$H,6,FALSE),VLOOKUP("other",bug_conf_sheet!$A:$H,6,FALSE))</f>
        <v>0</v>
      </c>
      <c r="R72" s="38">
        <f>IFERROR(VLOOKUP($F72,bug_conf_sheet!$A:$H,7,FALSE),VLOOKUP("other",bug_conf_sheet!$A:$H,7,FALSE))</f>
        <v>0</v>
      </c>
      <c r="S72" s="38">
        <f>IFERROR(VLOOKUP($F72,bug_conf_sheet!$A:$H,8,FALSE),VLOOKUP("other",bug_conf_sheet!$A:$H,8,FALSE))</f>
        <v>1</v>
      </c>
    </row>
    <row r="73" spans="1:19" ht="21" hidden="1" customHeight="1">
      <c r="A73" s="7" t="str">
        <f t="shared" si="5"/>
        <v>1881197</v>
      </c>
      <c r="B73" s="2" t="str">
        <f t="shared" si="6"/>
        <v>1881</v>
      </c>
      <c r="C73" s="8" t="str">
        <f t="shared" si="7"/>
        <v>1PremiumN4</v>
      </c>
      <c r="D73" s="8" t="str">
        <f t="shared" si="8"/>
        <v>1PremiumN4</v>
      </c>
      <c r="E73" s="10">
        <v>1</v>
      </c>
      <c r="F73" s="13">
        <v>197</v>
      </c>
      <c r="G73" s="8" t="str">
        <f>VLOOKUP(F73,[1]characters!$A:$C,3,FALSE)</f>
        <v>鉄腕 アキレス</v>
      </c>
      <c r="H73" s="8" t="str">
        <f>VLOOKUP(F73,[1]characters!$A:$J,10,FALSE)</f>
        <v>PremiumN</v>
      </c>
      <c r="I73" s="8">
        <f>VLOOKUP(F73,[1]characters!$A:$I,9,FALSE)</f>
        <v>4</v>
      </c>
      <c r="J73" s="8" t="str">
        <f>VLOOKUP(F73,[1]characters!$A:$H,8,FALSE)</f>
        <v>yellow</v>
      </c>
      <c r="K73" s="8" t="str">
        <f>VLOOKUP(F73,[1]characters!$A:$K,11,FALSE)</f>
        <v>balance</v>
      </c>
      <c r="L73" s="8" t="str">
        <f>VLOOKUP(F73,[1]characters!$A:$M,13,FALSE)</f>
        <v>human</v>
      </c>
      <c r="M73" s="16">
        <f>VLOOKUP(D73,gacha_188_base!A:B,2,FALSE)</f>
        <v>2827</v>
      </c>
      <c r="N73" s="38">
        <f>IFERROR(VLOOKUP($F73,bug_conf_sheet!$A:$H,3,FALSE),VLOOKUP("other",bug_conf_sheet!$A:$H,3,FALSE))</f>
        <v>1</v>
      </c>
      <c r="O73" s="38">
        <f>IFERROR(VLOOKUP($F73,bug_conf_sheet!$A:$H,4,FALSE),VLOOKUP("other",bug_conf_sheet!$A:$H,4,FALSE))</f>
        <v>0</v>
      </c>
      <c r="P73" s="38">
        <f>IFERROR(VLOOKUP($F73,bug_conf_sheet!$A:$H,5,FALSE),VLOOKUP("other",bug_conf_sheet!$A:$H,5,FALSE))</f>
        <v>0</v>
      </c>
      <c r="Q73" s="38">
        <f>IFERROR(VLOOKUP($F73,bug_conf_sheet!$A:$H,6,FALSE),VLOOKUP("other",bug_conf_sheet!$A:$H,6,FALSE))</f>
        <v>0</v>
      </c>
      <c r="R73" s="38">
        <f>IFERROR(VLOOKUP($F73,bug_conf_sheet!$A:$H,7,FALSE),VLOOKUP("other",bug_conf_sheet!$A:$H,7,FALSE))</f>
        <v>0</v>
      </c>
      <c r="S73" s="38">
        <f>IFERROR(VLOOKUP($F73,bug_conf_sheet!$A:$H,8,FALSE),VLOOKUP("other",bug_conf_sheet!$A:$H,8,FALSE))</f>
        <v>1</v>
      </c>
    </row>
    <row r="74" spans="1:19" ht="21" customHeight="1">
      <c r="A74" s="7" t="str">
        <f t="shared" si="5"/>
        <v>1881198</v>
      </c>
      <c r="B74" s="2" t="str">
        <f t="shared" si="6"/>
        <v>1881</v>
      </c>
      <c r="C74" s="8" t="str">
        <f t="shared" si="7"/>
        <v>1PremiumN5</v>
      </c>
      <c r="D74" s="8" t="str">
        <f t="shared" si="8"/>
        <v>1PremiumN5</v>
      </c>
      <c r="E74" s="10">
        <v>1</v>
      </c>
      <c r="F74" s="6">
        <v>198</v>
      </c>
      <c r="G74" s="8" t="str">
        <f>VLOOKUP(F74,[1]characters!$A:$C,3,FALSE)</f>
        <v>砕骨の剛腕 アキレス</v>
      </c>
      <c r="H74" s="8" t="str">
        <f>VLOOKUP(F74,[1]characters!$A:$J,10,FALSE)</f>
        <v>PremiumN</v>
      </c>
      <c r="I74" s="8">
        <f>VLOOKUP(F74,[1]characters!$A:$I,9,FALSE)</f>
        <v>5</v>
      </c>
      <c r="J74" s="8" t="str">
        <f>VLOOKUP(F74,[1]characters!$A:$H,8,FALSE)</f>
        <v>yellow</v>
      </c>
      <c r="K74" s="8" t="str">
        <f>VLOOKUP(F74,[1]characters!$A:$K,11,FALSE)</f>
        <v>balance</v>
      </c>
      <c r="L74" s="8" t="str">
        <f>VLOOKUP(F74,[1]characters!$A:$M,13,FALSE)</f>
        <v>human</v>
      </c>
      <c r="M74" s="16">
        <f>VLOOKUP(D74,gacha_188_base!A:B,2,FALSE)</f>
        <v>942</v>
      </c>
      <c r="N74" s="38">
        <f>IFERROR(VLOOKUP($F74,bug_conf_sheet!$A:$H,3,FALSE),VLOOKUP("other",bug_conf_sheet!$A:$H,3,FALSE))</f>
        <v>1</v>
      </c>
      <c r="O74" s="38">
        <f>IFERROR(VLOOKUP($F74,bug_conf_sheet!$A:$H,4,FALSE),VLOOKUP("other",bug_conf_sheet!$A:$H,4,FALSE))</f>
        <v>0</v>
      </c>
      <c r="P74" s="38">
        <f>IFERROR(VLOOKUP($F74,bug_conf_sheet!$A:$H,5,FALSE),VLOOKUP("other",bug_conf_sheet!$A:$H,5,FALSE))</f>
        <v>0</v>
      </c>
      <c r="Q74" s="38">
        <f>IFERROR(VLOOKUP($F74,bug_conf_sheet!$A:$H,6,FALSE),VLOOKUP("other",bug_conf_sheet!$A:$H,6,FALSE))</f>
        <v>0</v>
      </c>
      <c r="R74" s="38">
        <f>IFERROR(VLOOKUP($F74,bug_conf_sheet!$A:$H,7,FALSE),VLOOKUP("other",bug_conf_sheet!$A:$H,7,FALSE))</f>
        <v>0</v>
      </c>
      <c r="S74" s="38">
        <f>IFERROR(VLOOKUP($F74,bug_conf_sheet!$A:$H,8,FALSE),VLOOKUP("other",bug_conf_sheet!$A:$H,8,FALSE))</f>
        <v>1</v>
      </c>
    </row>
    <row r="75" spans="1:19" ht="21" hidden="1" customHeight="1">
      <c r="A75" s="7" t="str">
        <f t="shared" si="5"/>
        <v>1881199</v>
      </c>
      <c r="B75" s="2" t="str">
        <f t="shared" si="6"/>
        <v>1881</v>
      </c>
      <c r="C75" s="8" t="str">
        <f t="shared" si="7"/>
        <v>1PremiumN3</v>
      </c>
      <c r="D75" s="8" t="str">
        <f t="shared" si="8"/>
        <v>1PremiumN3</v>
      </c>
      <c r="E75" s="10">
        <v>1</v>
      </c>
      <c r="F75" s="6">
        <v>199</v>
      </c>
      <c r="G75" s="8" t="str">
        <f>VLOOKUP(F75,[1]characters!$A:$C,3,FALSE)</f>
        <v>ジークフリート</v>
      </c>
      <c r="H75" s="8" t="str">
        <f>VLOOKUP(F75,[1]characters!$A:$J,10,FALSE)</f>
        <v>PremiumN</v>
      </c>
      <c r="I75" s="8">
        <f>VLOOKUP(F75,[1]characters!$A:$I,9,FALSE)</f>
        <v>3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human</v>
      </c>
      <c r="M75" s="16">
        <f>VLOOKUP(D75,gacha_188_base!A:B,2,FALSE)</f>
        <v>11309</v>
      </c>
      <c r="N75" s="38">
        <f>IFERROR(VLOOKUP($F75,bug_conf_sheet!$A:$H,3,FALSE),VLOOKUP("other",bug_conf_sheet!$A:$H,3,FALSE))</f>
        <v>1</v>
      </c>
      <c r="O75" s="38">
        <f>IFERROR(VLOOKUP($F75,bug_conf_sheet!$A:$H,4,FALSE),VLOOKUP("other",bug_conf_sheet!$A:$H,4,FALSE))</f>
        <v>0</v>
      </c>
      <c r="P75" s="38">
        <f>IFERROR(VLOOKUP($F75,bug_conf_sheet!$A:$H,5,FALSE),VLOOKUP("other",bug_conf_sheet!$A:$H,5,FALSE))</f>
        <v>0</v>
      </c>
      <c r="Q75" s="38">
        <f>IFERROR(VLOOKUP($F75,bug_conf_sheet!$A:$H,6,FALSE),VLOOKUP("other",bug_conf_sheet!$A:$H,6,FALSE))</f>
        <v>0</v>
      </c>
      <c r="R75" s="38">
        <f>IFERROR(VLOOKUP($F75,bug_conf_sheet!$A:$H,7,FALSE),VLOOKUP("other",bug_conf_sheet!$A:$H,7,FALSE))</f>
        <v>0</v>
      </c>
      <c r="S75" s="38">
        <f>IFERROR(VLOOKUP($F75,bug_conf_sheet!$A:$H,8,FALSE),VLOOKUP("other",bug_conf_sheet!$A:$H,8,FALSE))</f>
        <v>1</v>
      </c>
    </row>
    <row r="76" spans="1:19" ht="21" hidden="1" customHeight="1">
      <c r="A76" s="7" t="str">
        <f t="shared" si="5"/>
        <v>1881200</v>
      </c>
      <c r="B76" s="2" t="str">
        <f t="shared" si="6"/>
        <v>1881</v>
      </c>
      <c r="C76" s="8" t="str">
        <f t="shared" si="7"/>
        <v>1PremiumN4</v>
      </c>
      <c r="D76" s="8" t="str">
        <f t="shared" si="8"/>
        <v>1PremiumN4</v>
      </c>
      <c r="E76" s="10">
        <v>1</v>
      </c>
      <c r="F76" s="6">
        <v>200</v>
      </c>
      <c r="G76" s="8" t="str">
        <f>VLOOKUP(F76,[1]characters!$A:$C,3,FALSE)</f>
        <v>大剣士 ジークフリート</v>
      </c>
      <c r="H76" s="8" t="str">
        <f>VLOOKUP(F76,[1]characters!$A:$J,10,FALSE)</f>
        <v>PremiumN</v>
      </c>
      <c r="I76" s="8">
        <f>VLOOKUP(F76,[1]characters!$A:$I,9,FALSE)</f>
        <v>4</v>
      </c>
      <c r="J76" s="8" t="str">
        <f>VLOOKUP(F76,[1]characters!$A:$H,8,FALSE)</f>
        <v>blue</v>
      </c>
      <c r="K76" s="8" t="str">
        <f>VLOOKUP(F76,[1]characters!$A:$K,11,FALSE)</f>
        <v>balance</v>
      </c>
      <c r="L76" s="8" t="str">
        <f>VLOOKUP(F76,[1]characters!$A:$M,13,FALSE)</f>
        <v>human</v>
      </c>
      <c r="M76" s="16">
        <f>VLOOKUP(D76,gacha_188_base!A:B,2,FALSE)</f>
        <v>2827</v>
      </c>
      <c r="N76" s="38">
        <f>IFERROR(VLOOKUP($F76,bug_conf_sheet!$A:$H,3,FALSE),VLOOKUP("other",bug_conf_sheet!$A:$H,3,FALSE))</f>
        <v>1</v>
      </c>
      <c r="O76" s="38">
        <f>IFERROR(VLOOKUP($F76,bug_conf_sheet!$A:$H,4,FALSE),VLOOKUP("other",bug_conf_sheet!$A:$H,4,FALSE))</f>
        <v>0</v>
      </c>
      <c r="P76" s="38">
        <f>IFERROR(VLOOKUP($F76,bug_conf_sheet!$A:$H,5,FALSE),VLOOKUP("other",bug_conf_sheet!$A:$H,5,FALSE))</f>
        <v>0</v>
      </c>
      <c r="Q76" s="38">
        <f>IFERROR(VLOOKUP($F76,bug_conf_sheet!$A:$H,6,FALSE),VLOOKUP("other",bug_conf_sheet!$A:$H,6,FALSE))</f>
        <v>0</v>
      </c>
      <c r="R76" s="38">
        <f>IFERROR(VLOOKUP($F76,bug_conf_sheet!$A:$H,7,FALSE),VLOOKUP("other",bug_conf_sheet!$A:$H,7,FALSE))</f>
        <v>0</v>
      </c>
      <c r="S76" s="38">
        <f>IFERROR(VLOOKUP($F76,bug_conf_sheet!$A:$H,8,FALSE),VLOOKUP("other",bug_conf_sheet!$A:$H,8,FALSE))</f>
        <v>1</v>
      </c>
    </row>
    <row r="77" spans="1:19" ht="21" customHeight="1">
      <c r="A77" s="7" t="str">
        <f t="shared" si="5"/>
        <v>1881201</v>
      </c>
      <c r="B77" s="2" t="str">
        <f t="shared" si="6"/>
        <v>1881</v>
      </c>
      <c r="C77" s="8" t="str">
        <f t="shared" si="7"/>
        <v>1PremiumN5</v>
      </c>
      <c r="D77" s="8" t="str">
        <f t="shared" si="8"/>
        <v>1PremiumN5</v>
      </c>
      <c r="E77" s="10">
        <v>1</v>
      </c>
      <c r="F77" s="5">
        <v>201</v>
      </c>
      <c r="G77" s="8" t="str">
        <f>VLOOKUP(F77,[1]characters!$A:$C,3,FALSE)</f>
        <v>斬空の大破剣 ジークフリート</v>
      </c>
      <c r="H77" s="8" t="str">
        <f>VLOOKUP(F77,[1]characters!$A:$J,10,FALSE)</f>
        <v>PremiumN</v>
      </c>
      <c r="I77" s="8">
        <f>VLOOKUP(F77,[1]characters!$A:$I,9,FALSE)</f>
        <v>5</v>
      </c>
      <c r="J77" s="8" t="str">
        <f>VLOOKUP(F77,[1]characters!$A:$H,8,FALSE)</f>
        <v>blue</v>
      </c>
      <c r="K77" s="8" t="str">
        <f>VLOOKUP(F77,[1]characters!$A:$K,11,FALSE)</f>
        <v>balance</v>
      </c>
      <c r="L77" s="8" t="str">
        <f>VLOOKUP(F77,[1]characters!$A:$M,13,FALSE)</f>
        <v>human</v>
      </c>
      <c r="M77" s="16">
        <f>VLOOKUP(D77,gacha_188_base!A:B,2,FALSE)</f>
        <v>942</v>
      </c>
      <c r="N77" s="38">
        <f>IFERROR(VLOOKUP($F77,bug_conf_sheet!$A:$H,3,FALSE),VLOOKUP("other",bug_conf_sheet!$A:$H,3,FALSE))</f>
        <v>1</v>
      </c>
      <c r="O77" s="38">
        <f>IFERROR(VLOOKUP($F77,bug_conf_sheet!$A:$H,4,FALSE),VLOOKUP("other",bug_conf_sheet!$A:$H,4,FALSE))</f>
        <v>0</v>
      </c>
      <c r="P77" s="38">
        <f>IFERROR(VLOOKUP($F77,bug_conf_sheet!$A:$H,5,FALSE),VLOOKUP("other",bug_conf_sheet!$A:$H,5,FALSE))</f>
        <v>0</v>
      </c>
      <c r="Q77" s="38">
        <f>IFERROR(VLOOKUP($F77,bug_conf_sheet!$A:$H,6,FALSE),VLOOKUP("other",bug_conf_sheet!$A:$H,6,FALSE))</f>
        <v>0</v>
      </c>
      <c r="R77" s="38">
        <f>IFERROR(VLOOKUP($F77,bug_conf_sheet!$A:$H,7,FALSE),VLOOKUP("other",bug_conf_sheet!$A:$H,7,FALSE))</f>
        <v>0</v>
      </c>
      <c r="S77" s="38">
        <f>IFERROR(VLOOKUP($F77,bug_conf_sheet!$A:$H,8,FALSE),VLOOKUP("other",bug_conf_sheet!$A:$H,8,FALSE))</f>
        <v>1</v>
      </c>
    </row>
    <row r="78" spans="1:19" ht="21" hidden="1" customHeight="1">
      <c r="A78" s="7" t="str">
        <f t="shared" si="5"/>
        <v>1881202</v>
      </c>
      <c r="B78" s="2" t="str">
        <f t="shared" si="6"/>
        <v>1881</v>
      </c>
      <c r="C78" s="8" t="str">
        <f t="shared" si="7"/>
        <v>1PremiumN3</v>
      </c>
      <c r="D78" s="8" t="str">
        <f t="shared" si="8"/>
        <v>1PremiumN3</v>
      </c>
      <c r="E78" s="10">
        <v>1</v>
      </c>
      <c r="F78" s="5">
        <v>202</v>
      </c>
      <c r="G78" s="8" t="str">
        <f>VLOOKUP(F78,[1]characters!$A:$C,3,FALSE)</f>
        <v>プロメテウス</v>
      </c>
      <c r="H78" s="8" t="str">
        <f>VLOOKUP(F78,[1]characters!$A:$J,10,FALSE)</f>
        <v>PremiumN</v>
      </c>
      <c r="I78" s="8">
        <f>VLOOKUP(F78,[1]characters!$A:$I,9,FALSE)</f>
        <v>3</v>
      </c>
      <c r="J78" s="8" t="str">
        <f>VLOOKUP(F78,[1]characters!$A:$H,8,FALSE)</f>
        <v>red</v>
      </c>
      <c r="K78" s="8" t="str">
        <f>VLOOKUP(F78,[1]characters!$A:$K,11,FALSE)</f>
        <v>hp</v>
      </c>
      <c r="L78" s="8" t="str">
        <f>VLOOKUP(F78,[1]characters!$A:$M,13,FALSE)</f>
        <v>god</v>
      </c>
      <c r="M78" s="16">
        <f>VLOOKUP(D78,gacha_188_base!A:B,2,FALSE)</f>
        <v>11309</v>
      </c>
      <c r="N78" s="38">
        <f>IFERROR(VLOOKUP($F78,bug_conf_sheet!$A:$H,3,FALSE),VLOOKUP("other",bug_conf_sheet!$A:$H,3,FALSE))</f>
        <v>1</v>
      </c>
      <c r="O78" s="38">
        <f>IFERROR(VLOOKUP($F78,bug_conf_sheet!$A:$H,4,FALSE),VLOOKUP("other",bug_conf_sheet!$A:$H,4,FALSE))</f>
        <v>0</v>
      </c>
      <c r="P78" s="38">
        <f>IFERROR(VLOOKUP($F78,bug_conf_sheet!$A:$H,5,FALSE),VLOOKUP("other",bug_conf_sheet!$A:$H,5,FALSE))</f>
        <v>0</v>
      </c>
      <c r="Q78" s="38">
        <f>IFERROR(VLOOKUP($F78,bug_conf_sheet!$A:$H,6,FALSE),VLOOKUP("other",bug_conf_sheet!$A:$H,6,FALSE))</f>
        <v>0</v>
      </c>
      <c r="R78" s="38">
        <f>IFERROR(VLOOKUP($F78,bug_conf_sheet!$A:$H,7,FALSE),VLOOKUP("other",bug_conf_sheet!$A:$H,7,FALSE))</f>
        <v>0</v>
      </c>
      <c r="S78" s="38">
        <f>IFERROR(VLOOKUP($F78,bug_conf_sheet!$A:$H,8,FALSE),VLOOKUP("other",bug_conf_sheet!$A:$H,8,FALSE))</f>
        <v>1</v>
      </c>
    </row>
    <row r="79" spans="1:19" ht="21" hidden="1" customHeight="1">
      <c r="A79" s="7" t="str">
        <f t="shared" si="5"/>
        <v>1881203</v>
      </c>
      <c r="B79" s="2" t="str">
        <f t="shared" si="6"/>
        <v>1881</v>
      </c>
      <c r="C79" s="8" t="str">
        <f t="shared" si="7"/>
        <v>1PremiumN4</v>
      </c>
      <c r="D79" s="8" t="str">
        <f t="shared" si="8"/>
        <v>1PremiumN4</v>
      </c>
      <c r="E79" s="10">
        <v>1</v>
      </c>
      <c r="F79" s="5">
        <v>203</v>
      </c>
      <c r="G79" s="8" t="str">
        <f>VLOOKUP(F79,[1]characters!$A:$C,3,FALSE)</f>
        <v>焔神 プロメテウス</v>
      </c>
      <c r="H79" s="8" t="str">
        <f>VLOOKUP(F79,[1]characters!$A:$J,10,FALSE)</f>
        <v>PremiumN</v>
      </c>
      <c r="I79" s="8">
        <f>VLOOKUP(F79,[1]characters!$A:$I,9,FALSE)</f>
        <v>4</v>
      </c>
      <c r="J79" s="8" t="str">
        <f>VLOOKUP(F79,[1]characters!$A:$H,8,FALSE)</f>
        <v>red</v>
      </c>
      <c r="K79" s="8" t="str">
        <f>VLOOKUP(F79,[1]characters!$A:$K,11,FALSE)</f>
        <v>hp</v>
      </c>
      <c r="L79" s="8" t="str">
        <f>VLOOKUP(F79,[1]characters!$A:$M,13,FALSE)</f>
        <v>god</v>
      </c>
      <c r="M79" s="16">
        <f>VLOOKUP(D79,gacha_188_base!A:B,2,FALSE)</f>
        <v>2827</v>
      </c>
      <c r="N79" s="38">
        <f>IFERROR(VLOOKUP($F79,bug_conf_sheet!$A:$H,3,FALSE),VLOOKUP("other",bug_conf_sheet!$A:$H,3,FALSE))</f>
        <v>1</v>
      </c>
      <c r="O79" s="38">
        <f>IFERROR(VLOOKUP($F79,bug_conf_sheet!$A:$H,4,FALSE),VLOOKUP("other",bug_conf_sheet!$A:$H,4,FALSE))</f>
        <v>0</v>
      </c>
      <c r="P79" s="38">
        <f>IFERROR(VLOOKUP($F79,bug_conf_sheet!$A:$H,5,FALSE),VLOOKUP("other",bug_conf_sheet!$A:$H,5,FALSE))</f>
        <v>0</v>
      </c>
      <c r="Q79" s="38">
        <f>IFERROR(VLOOKUP($F79,bug_conf_sheet!$A:$H,6,FALSE),VLOOKUP("other",bug_conf_sheet!$A:$H,6,FALSE))</f>
        <v>0</v>
      </c>
      <c r="R79" s="38">
        <f>IFERROR(VLOOKUP($F79,bug_conf_sheet!$A:$H,7,FALSE),VLOOKUP("other",bug_conf_sheet!$A:$H,7,FALSE))</f>
        <v>0</v>
      </c>
      <c r="S79" s="38">
        <f>IFERROR(VLOOKUP($F79,bug_conf_sheet!$A:$H,8,FALSE),VLOOKUP("other",bug_conf_sheet!$A:$H,8,FALSE))</f>
        <v>1</v>
      </c>
    </row>
    <row r="80" spans="1:19" ht="21" customHeight="1">
      <c r="A80" s="7" t="str">
        <f t="shared" si="5"/>
        <v>1881204</v>
      </c>
      <c r="B80" s="2" t="str">
        <f t="shared" si="6"/>
        <v>1881</v>
      </c>
      <c r="C80" s="8" t="str">
        <f t="shared" si="7"/>
        <v>1PremiumN5</v>
      </c>
      <c r="D80" s="8" t="str">
        <f t="shared" si="8"/>
        <v>1PremiumN5</v>
      </c>
      <c r="E80" s="10">
        <v>1</v>
      </c>
      <c r="F80" s="5">
        <v>204</v>
      </c>
      <c r="G80" s="8" t="str">
        <f>VLOOKUP(F80,[1]characters!$A:$C,3,FALSE)</f>
        <v>慟哭の巨焔 プロメテウス</v>
      </c>
      <c r="H80" s="8" t="str">
        <f>VLOOKUP(F80,[1]characters!$A:$J,10,FALSE)</f>
        <v>PremiumN</v>
      </c>
      <c r="I80" s="8">
        <f>VLOOKUP(F80,[1]characters!$A:$I,9,FALSE)</f>
        <v>5</v>
      </c>
      <c r="J80" s="8" t="str">
        <f>VLOOKUP(F80,[1]characters!$A:$H,8,FALSE)</f>
        <v>red</v>
      </c>
      <c r="K80" s="8" t="str">
        <f>VLOOKUP(F80,[1]characters!$A:$K,11,FALSE)</f>
        <v>hp</v>
      </c>
      <c r="L80" s="8" t="str">
        <f>VLOOKUP(F80,[1]characters!$A:$M,13,FALSE)</f>
        <v>god</v>
      </c>
      <c r="M80" s="16">
        <f>VLOOKUP(D80,gacha_188_base!A:B,2,FALSE)</f>
        <v>942</v>
      </c>
      <c r="N80" s="38">
        <f>IFERROR(VLOOKUP($F80,bug_conf_sheet!$A:$H,3,FALSE),VLOOKUP("other",bug_conf_sheet!$A:$H,3,FALSE))</f>
        <v>1</v>
      </c>
      <c r="O80" s="38">
        <f>IFERROR(VLOOKUP($F80,bug_conf_sheet!$A:$H,4,FALSE),VLOOKUP("other",bug_conf_sheet!$A:$H,4,FALSE))</f>
        <v>0</v>
      </c>
      <c r="P80" s="38">
        <f>IFERROR(VLOOKUP($F80,bug_conf_sheet!$A:$H,5,FALSE),VLOOKUP("other",bug_conf_sheet!$A:$H,5,FALSE))</f>
        <v>0</v>
      </c>
      <c r="Q80" s="38">
        <f>IFERROR(VLOOKUP($F80,bug_conf_sheet!$A:$H,6,FALSE),VLOOKUP("other",bug_conf_sheet!$A:$H,6,FALSE))</f>
        <v>0</v>
      </c>
      <c r="R80" s="38">
        <f>IFERROR(VLOOKUP($F80,bug_conf_sheet!$A:$H,7,FALSE),VLOOKUP("other",bug_conf_sheet!$A:$H,7,FALSE))</f>
        <v>0</v>
      </c>
      <c r="S80" s="38">
        <f>IFERROR(VLOOKUP($F80,bug_conf_sheet!$A:$H,8,FALSE),VLOOKUP("other",bug_conf_sheet!$A:$H,8,FALSE))</f>
        <v>1</v>
      </c>
    </row>
    <row r="81" spans="1:19" ht="21" hidden="1" customHeight="1">
      <c r="A81" s="7" t="str">
        <f t="shared" si="5"/>
        <v>1881205</v>
      </c>
      <c r="B81" s="2" t="str">
        <f t="shared" si="6"/>
        <v>1881</v>
      </c>
      <c r="C81" s="8" t="str">
        <f t="shared" si="7"/>
        <v>1PremiumN3</v>
      </c>
      <c r="D81" s="8" t="str">
        <f t="shared" si="8"/>
        <v>1PremiumN3</v>
      </c>
      <c r="E81" s="10">
        <v>1</v>
      </c>
      <c r="F81" s="5">
        <v>205</v>
      </c>
      <c r="G81" s="8" t="str">
        <f>VLOOKUP(F81,[1]characters!$A:$C,3,FALSE)</f>
        <v>アフロディーテ</v>
      </c>
      <c r="H81" s="8" t="str">
        <f>VLOOKUP(F81,[1]characters!$A:$J,10,FALSE)</f>
        <v>PremiumN</v>
      </c>
      <c r="I81" s="8">
        <f>VLOOKUP(F81,[1]characters!$A:$I,9,FALSE)</f>
        <v>3</v>
      </c>
      <c r="J81" s="8" t="str">
        <f>VLOOKUP(F81,[1]characters!$A:$H,8,FALSE)</f>
        <v>green</v>
      </c>
      <c r="K81" s="8" t="str">
        <f>VLOOKUP(F81,[1]characters!$A:$K,11,FALSE)</f>
        <v>hp</v>
      </c>
      <c r="L81" s="8" t="str">
        <f>VLOOKUP(F81,[1]characters!$A:$M,13,FALSE)</f>
        <v>god</v>
      </c>
      <c r="M81" s="16">
        <f>VLOOKUP(D81,gacha_188_base!A:B,2,FALSE)</f>
        <v>11309</v>
      </c>
      <c r="N81" s="38">
        <f>IFERROR(VLOOKUP($F81,bug_conf_sheet!$A:$H,3,FALSE),VLOOKUP("other",bug_conf_sheet!$A:$H,3,FALSE))</f>
        <v>1</v>
      </c>
      <c r="O81" s="38">
        <f>IFERROR(VLOOKUP($F81,bug_conf_sheet!$A:$H,4,FALSE),VLOOKUP("other",bug_conf_sheet!$A:$H,4,FALSE))</f>
        <v>0</v>
      </c>
      <c r="P81" s="38">
        <f>IFERROR(VLOOKUP($F81,bug_conf_sheet!$A:$H,5,FALSE),VLOOKUP("other",bug_conf_sheet!$A:$H,5,FALSE))</f>
        <v>0</v>
      </c>
      <c r="Q81" s="38">
        <f>IFERROR(VLOOKUP($F81,bug_conf_sheet!$A:$H,6,FALSE),VLOOKUP("other",bug_conf_sheet!$A:$H,6,FALSE))</f>
        <v>0</v>
      </c>
      <c r="R81" s="38">
        <f>IFERROR(VLOOKUP($F81,bug_conf_sheet!$A:$H,7,FALSE),VLOOKUP("other",bug_conf_sheet!$A:$H,7,FALSE))</f>
        <v>0</v>
      </c>
      <c r="S81" s="38">
        <f>IFERROR(VLOOKUP($F81,bug_conf_sheet!$A:$H,8,FALSE),VLOOKUP("other",bug_conf_sheet!$A:$H,8,FALSE))</f>
        <v>1</v>
      </c>
    </row>
    <row r="82" spans="1:19" ht="21" hidden="1" customHeight="1">
      <c r="A82" s="7" t="str">
        <f t="shared" si="5"/>
        <v>1881206</v>
      </c>
      <c r="B82" s="2" t="str">
        <f t="shared" si="6"/>
        <v>1881</v>
      </c>
      <c r="C82" s="8" t="str">
        <f t="shared" si="7"/>
        <v>1PremiumN4</v>
      </c>
      <c r="D82" s="8" t="str">
        <f t="shared" si="8"/>
        <v>1PremiumN4</v>
      </c>
      <c r="E82" s="10">
        <v>1</v>
      </c>
      <c r="F82" s="5">
        <v>206</v>
      </c>
      <c r="G82" s="8" t="str">
        <f>VLOOKUP(F82,[1]characters!$A:$C,3,FALSE)</f>
        <v>美神 アフロディーテ</v>
      </c>
      <c r="H82" s="8" t="str">
        <f>VLOOKUP(F82,[1]characters!$A:$J,10,FALSE)</f>
        <v>PremiumN</v>
      </c>
      <c r="I82" s="8">
        <f>VLOOKUP(F82,[1]characters!$A:$I,9,FALSE)</f>
        <v>4</v>
      </c>
      <c r="J82" s="8" t="str">
        <f>VLOOKUP(F82,[1]characters!$A:$H,8,FALSE)</f>
        <v>green</v>
      </c>
      <c r="K82" s="8" t="str">
        <f>VLOOKUP(F82,[1]characters!$A:$K,11,FALSE)</f>
        <v>hp</v>
      </c>
      <c r="L82" s="8" t="str">
        <f>VLOOKUP(F82,[1]characters!$A:$M,13,FALSE)</f>
        <v>god</v>
      </c>
      <c r="M82" s="16">
        <f>VLOOKUP(D82,gacha_188_base!A:B,2,FALSE)</f>
        <v>2827</v>
      </c>
      <c r="N82" s="38">
        <f>IFERROR(VLOOKUP($F82,bug_conf_sheet!$A:$H,3,FALSE),VLOOKUP("other",bug_conf_sheet!$A:$H,3,FALSE))</f>
        <v>1</v>
      </c>
      <c r="O82" s="38">
        <f>IFERROR(VLOOKUP($F82,bug_conf_sheet!$A:$H,4,FALSE),VLOOKUP("other",bug_conf_sheet!$A:$H,4,FALSE))</f>
        <v>0</v>
      </c>
      <c r="P82" s="38">
        <f>IFERROR(VLOOKUP($F82,bug_conf_sheet!$A:$H,5,FALSE),VLOOKUP("other",bug_conf_sheet!$A:$H,5,FALSE))</f>
        <v>0</v>
      </c>
      <c r="Q82" s="38">
        <f>IFERROR(VLOOKUP($F82,bug_conf_sheet!$A:$H,6,FALSE),VLOOKUP("other",bug_conf_sheet!$A:$H,6,FALSE))</f>
        <v>0</v>
      </c>
      <c r="R82" s="38">
        <f>IFERROR(VLOOKUP($F82,bug_conf_sheet!$A:$H,7,FALSE),VLOOKUP("other",bug_conf_sheet!$A:$H,7,FALSE))</f>
        <v>0</v>
      </c>
      <c r="S82" s="38">
        <f>IFERROR(VLOOKUP($F82,bug_conf_sheet!$A:$H,8,FALSE),VLOOKUP("other",bug_conf_sheet!$A:$H,8,FALSE))</f>
        <v>1</v>
      </c>
    </row>
    <row r="83" spans="1:19" ht="21" customHeight="1">
      <c r="A83" s="7" t="str">
        <f t="shared" si="5"/>
        <v>1881207</v>
      </c>
      <c r="B83" s="2" t="str">
        <f t="shared" si="6"/>
        <v>1881</v>
      </c>
      <c r="C83" s="8" t="str">
        <f t="shared" si="7"/>
        <v>1PremiumN5</v>
      </c>
      <c r="D83" s="8" t="str">
        <f t="shared" si="8"/>
        <v>1PremiumN5</v>
      </c>
      <c r="E83" s="10">
        <v>1</v>
      </c>
      <c r="F83" s="5">
        <v>207</v>
      </c>
      <c r="G83" s="8" t="str">
        <f>VLOOKUP(F83,[1]characters!$A:$C,3,FALSE)</f>
        <v>豊穣の麗神・アフロディーテ</v>
      </c>
      <c r="H83" s="8" t="str">
        <f>VLOOKUP(F83,[1]characters!$A:$J,10,FALSE)</f>
        <v>PremiumN</v>
      </c>
      <c r="I83" s="8">
        <f>VLOOKUP(F83,[1]characters!$A:$I,9,FALSE)</f>
        <v>5</v>
      </c>
      <c r="J83" s="8" t="str">
        <f>VLOOKUP(F83,[1]characters!$A:$H,8,FALSE)</f>
        <v>green</v>
      </c>
      <c r="K83" s="8" t="str">
        <f>VLOOKUP(F83,[1]characters!$A:$K,11,FALSE)</f>
        <v>hp</v>
      </c>
      <c r="L83" s="8" t="str">
        <f>VLOOKUP(F83,[1]characters!$A:$M,13,FALSE)</f>
        <v>god</v>
      </c>
      <c r="M83" s="16">
        <f>VLOOKUP(D83,gacha_188_base!A:B,2,FALSE)</f>
        <v>942</v>
      </c>
      <c r="N83" s="38">
        <f>IFERROR(VLOOKUP($F83,bug_conf_sheet!$A:$H,3,FALSE),VLOOKUP("other",bug_conf_sheet!$A:$H,3,FALSE))</f>
        <v>1</v>
      </c>
      <c r="O83" s="38">
        <f>IFERROR(VLOOKUP($F83,bug_conf_sheet!$A:$H,4,FALSE),VLOOKUP("other",bug_conf_sheet!$A:$H,4,FALSE))</f>
        <v>0</v>
      </c>
      <c r="P83" s="38">
        <f>IFERROR(VLOOKUP($F83,bug_conf_sheet!$A:$H,5,FALSE),VLOOKUP("other",bug_conf_sheet!$A:$H,5,FALSE))</f>
        <v>0</v>
      </c>
      <c r="Q83" s="38">
        <f>IFERROR(VLOOKUP($F83,bug_conf_sheet!$A:$H,6,FALSE),VLOOKUP("other",bug_conf_sheet!$A:$H,6,FALSE))</f>
        <v>0</v>
      </c>
      <c r="R83" s="38">
        <f>IFERROR(VLOOKUP($F83,bug_conf_sheet!$A:$H,7,FALSE),VLOOKUP("other",bug_conf_sheet!$A:$H,7,FALSE))</f>
        <v>0</v>
      </c>
      <c r="S83" s="38">
        <f>IFERROR(VLOOKUP($F83,bug_conf_sheet!$A:$H,8,FALSE),VLOOKUP("other",bug_conf_sheet!$A:$H,8,FALSE))</f>
        <v>1</v>
      </c>
    </row>
    <row r="84" spans="1:19" ht="21" hidden="1" customHeight="1">
      <c r="A84" s="7" t="str">
        <f t="shared" si="5"/>
        <v>1881208</v>
      </c>
      <c r="B84" s="2" t="str">
        <f t="shared" si="6"/>
        <v>1881</v>
      </c>
      <c r="C84" s="8" t="str">
        <f t="shared" si="7"/>
        <v>1PremiumN3</v>
      </c>
      <c r="D84" s="8" t="str">
        <f t="shared" si="8"/>
        <v>1PremiumN3</v>
      </c>
      <c r="E84" s="10">
        <v>1</v>
      </c>
      <c r="F84" s="5">
        <v>208</v>
      </c>
      <c r="G84" s="8" t="str">
        <f>VLOOKUP(F84,[1]characters!$A:$C,3,FALSE)</f>
        <v>テティス</v>
      </c>
      <c r="H84" s="8" t="str">
        <f>VLOOKUP(F84,[1]characters!$A:$J,10,FALSE)</f>
        <v>PremiumN</v>
      </c>
      <c r="I84" s="8">
        <f>VLOOKUP(F84,[1]characters!$A:$I,9,FALSE)</f>
        <v>3</v>
      </c>
      <c r="J84" s="8" t="str">
        <f>VLOOKUP(F84,[1]characters!$A:$H,8,FALSE)</f>
        <v>blue</v>
      </c>
      <c r="K84" s="8" t="str">
        <f>VLOOKUP(F84,[1]characters!$A:$K,11,FALSE)</f>
        <v>hp</v>
      </c>
      <c r="L84" s="8" t="str">
        <f>VLOOKUP(F84,[1]characters!$A:$M,13,FALSE)</f>
        <v>god</v>
      </c>
      <c r="M84" s="16">
        <f>VLOOKUP(D84,gacha_188_base!A:B,2,FALSE)</f>
        <v>11309</v>
      </c>
      <c r="N84" s="38">
        <f>IFERROR(VLOOKUP($F84,bug_conf_sheet!$A:$H,3,FALSE),VLOOKUP("other",bug_conf_sheet!$A:$H,3,FALSE))</f>
        <v>1</v>
      </c>
      <c r="O84" s="38">
        <f>IFERROR(VLOOKUP($F84,bug_conf_sheet!$A:$H,4,FALSE),VLOOKUP("other",bug_conf_sheet!$A:$H,4,FALSE))</f>
        <v>0</v>
      </c>
      <c r="P84" s="38">
        <f>IFERROR(VLOOKUP($F84,bug_conf_sheet!$A:$H,5,FALSE),VLOOKUP("other",bug_conf_sheet!$A:$H,5,FALSE))</f>
        <v>0</v>
      </c>
      <c r="Q84" s="38">
        <f>IFERROR(VLOOKUP($F84,bug_conf_sheet!$A:$H,6,FALSE),VLOOKUP("other",bug_conf_sheet!$A:$H,6,FALSE))</f>
        <v>0</v>
      </c>
      <c r="R84" s="38">
        <f>IFERROR(VLOOKUP($F84,bug_conf_sheet!$A:$H,7,FALSE),VLOOKUP("other",bug_conf_sheet!$A:$H,7,FALSE))</f>
        <v>0</v>
      </c>
      <c r="S84" s="38">
        <f>IFERROR(VLOOKUP($F84,bug_conf_sheet!$A:$H,8,FALSE),VLOOKUP("other",bug_conf_sheet!$A:$H,8,FALSE))</f>
        <v>1</v>
      </c>
    </row>
    <row r="85" spans="1:19" ht="21" hidden="1" customHeight="1">
      <c r="A85" s="7" t="str">
        <f t="shared" si="5"/>
        <v>1881209</v>
      </c>
      <c r="B85" s="2" t="str">
        <f t="shared" si="6"/>
        <v>1881</v>
      </c>
      <c r="C85" s="8" t="str">
        <f t="shared" si="7"/>
        <v>1PremiumN4</v>
      </c>
      <c r="D85" s="8" t="str">
        <f t="shared" si="8"/>
        <v>1PremiumN4</v>
      </c>
      <c r="E85" s="10">
        <v>1</v>
      </c>
      <c r="F85" s="5">
        <v>209</v>
      </c>
      <c r="G85" s="8" t="str">
        <f>VLOOKUP(F85,[1]characters!$A:$C,3,FALSE)</f>
        <v>孤神 テティス</v>
      </c>
      <c r="H85" s="8" t="str">
        <f>VLOOKUP(F85,[1]characters!$A:$J,10,FALSE)</f>
        <v>PremiumN</v>
      </c>
      <c r="I85" s="8">
        <f>VLOOKUP(F85,[1]characters!$A:$I,9,FALSE)</f>
        <v>4</v>
      </c>
      <c r="J85" s="8" t="str">
        <f>VLOOKUP(F85,[1]characters!$A:$H,8,FALSE)</f>
        <v>blue</v>
      </c>
      <c r="K85" s="8" t="str">
        <f>VLOOKUP(F85,[1]characters!$A:$K,11,FALSE)</f>
        <v>hp</v>
      </c>
      <c r="L85" s="8" t="str">
        <f>VLOOKUP(F85,[1]characters!$A:$M,13,FALSE)</f>
        <v>god</v>
      </c>
      <c r="M85" s="16">
        <f>VLOOKUP(D85,gacha_188_base!A:B,2,FALSE)</f>
        <v>2827</v>
      </c>
      <c r="N85" s="38">
        <f>IFERROR(VLOOKUP($F85,bug_conf_sheet!$A:$H,3,FALSE),VLOOKUP("other",bug_conf_sheet!$A:$H,3,FALSE))</f>
        <v>1</v>
      </c>
      <c r="O85" s="38">
        <f>IFERROR(VLOOKUP($F85,bug_conf_sheet!$A:$H,4,FALSE),VLOOKUP("other",bug_conf_sheet!$A:$H,4,FALSE))</f>
        <v>0</v>
      </c>
      <c r="P85" s="38">
        <f>IFERROR(VLOOKUP($F85,bug_conf_sheet!$A:$H,5,FALSE),VLOOKUP("other",bug_conf_sheet!$A:$H,5,FALSE))</f>
        <v>0</v>
      </c>
      <c r="Q85" s="38">
        <f>IFERROR(VLOOKUP($F85,bug_conf_sheet!$A:$H,6,FALSE),VLOOKUP("other",bug_conf_sheet!$A:$H,6,FALSE))</f>
        <v>0</v>
      </c>
      <c r="R85" s="38">
        <f>IFERROR(VLOOKUP($F85,bug_conf_sheet!$A:$H,7,FALSE),VLOOKUP("other",bug_conf_sheet!$A:$H,7,FALSE))</f>
        <v>0</v>
      </c>
      <c r="S85" s="38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1881210</v>
      </c>
      <c r="B86" s="2" t="str">
        <f t="shared" si="6"/>
        <v>1881</v>
      </c>
      <c r="C86" s="8" t="str">
        <f t="shared" si="7"/>
        <v>1PremiumN5</v>
      </c>
      <c r="D86" s="8" t="str">
        <f t="shared" si="8"/>
        <v>1PremiumN5</v>
      </c>
      <c r="E86" s="10">
        <v>1</v>
      </c>
      <c r="F86" s="5">
        <v>210</v>
      </c>
      <c r="G86" s="8" t="str">
        <f>VLOOKUP(F86,[1]characters!$A:$C,3,FALSE)</f>
        <v>海底の孤高神 テティス</v>
      </c>
      <c r="H86" s="8" t="str">
        <f>VLOOKUP(F86,[1]characters!$A:$J,10,FALSE)</f>
        <v>PremiumN</v>
      </c>
      <c r="I86" s="8">
        <f>VLOOKUP(F86,[1]characters!$A:$I,9,FALSE)</f>
        <v>5</v>
      </c>
      <c r="J86" s="8" t="str">
        <f>VLOOKUP(F86,[1]characters!$A:$H,8,FALSE)</f>
        <v>blue</v>
      </c>
      <c r="K86" s="8" t="str">
        <f>VLOOKUP(F86,[1]characters!$A:$K,11,FALSE)</f>
        <v>hp</v>
      </c>
      <c r="L86" s="8" t="str">
        <f>VLOOKUP(F86,[1]characters!$A:$M,13,FALSE)</f>
        <v>god</v>
      </c>
      <c r="M86" s="16">
        <f>VLOOKUP(D86,gacha_188_base!A:B,2,FALSE)</f>
        <v>942</v>
      </c>
      <c r="N86" s="38">
        <f>IFERROR(VLOOKUP($F86,bug_conf_sheet!$A:$H,3,FALSE),VLOOKUP("other",bug_conf_sheet!$A:$H,3,FALSE))</f>
        <v>1</v>
      </c>
      <c r="O86" s="38">
        <f>IFERROR(VLOOKUP($F86,bug_conf_sheet!$A:$H,4,FALSE),VLOOKUP("other",bug_conf_sheet!$A:$H,4,FALSE))</f>
        <v>0</v>
      </c>
      <c r="P86" s="38">
        <f>IFERROR(VLOOKUP($F86,bug_conf_sheet!$A:$H,5,FALSE),VLOOKUP("other",bug_conf_sheet!$A:$H,5,FALSE))</f>
        <v>0</v>
      </c>
      <c r="Q86" s="38">
        <f>IFERROR(VLOOKUP($F86,bug_conf_sheet!$A:$H,6,FALSE),VLOOKUP("other",bug_conf_sheet!$A:$H,6,FALSE))</f>
        <v>0</v>
      </c>
      <c r="R86" s="38">
        <f>IFERROR(VLOOKUP($F86,bug_conf_sheet!$A:$H,7,FALSE),VLOOKUP("other",bug_conf_sheet!$A:$H,7,FALSE))</f>
        <v>0</v>
      </c>
      <c r="S86" s="38">
        <f>IFERROR(VLOOKUP($F86,bug_conf_sheet!$A:$H,8,FALSE),VLOOKUP("other",bug_conf_sheet!$A:$H,8,FALSE))</f>
        <v>1</v>
      </c>
    </row>
    <row r="87" spans="1:19" ht="21" hidden="1" customHeight="1">
      <c r="A87" s="7" t="str">
        <f t="shared" si="5"/>
        <v>1881211</v>
      </c>
      <c r="B87" s="2" t="str">
        <f t="shared" si="6"/>
        <v>1881</v>
      </c>
      <c r="C87" s="8" t="str">
        <f t="shared" si="7"/>
        <v>1PremiumN3</v>
      </c>
      <c r="D87" s="8" t="str">
        <f t="shared" si="8"/>
        <v>1PremiumN3</v>
      </c>
      <c r="E87" s="10">
        <v>1</v>
      </c>
      <c r="F87" s="5">
        <v>211</v>
      </c>
      <c r="G87" s="8" t="str">
        <f>VLOOKUP(F87,[1]characters!$A:$C,3,FALSE)</f>
        <v>アストライアー</v>
      </c>
      <c r="H87" s="8" t="str">
        <f>VLOOKUP(F87,[1]characters!$A:$J,10,FALSE)</f>
        <v>PremiumN</v>
      </c>
      <c r="I87" s="8">
        <f>VLOOKUP(F87,[1]characters!$A:$I,9,FALSE)</f>
        <v>3</v>
      </c>
      <c r="J87" s="8" t="str">
        <f>VLOOKUP(F87,[1]characters!$A:$H,8,FALSE)</f>
        <v>yellow</v>
      </c>
      <c r="K87" s="8" t="str">
        <f>VLOOKUP(F87,[1]characters!$A:$K,11,FALSE)</f>
        <v>balance</v>
      </c>
      <c r="L87" s="8" t="str">
        <f>VLOOKUP(F87,[1]characters!$A:$M,13,FALSE)</f>
        <v>god</v>
      </c>
      <c r="M87" s="16">
        <f>VLOOKUP(D87,gacha_188_base!A:B,2,FALSE)</f>
        <v>11309</v>
      </c>
      <c r="N87" s="38">
        <f>IFERROR(VLOOKUP($F87,bug_conf_sheet!$A:$H,3,FALSE),VLOOKUP("other",bug_conf_sheet!$A:$H,3,FALSE))</f>
        <v>1</v>
      </c>
      <c r="O87" s="38">
        <f>IFERROR(VLOOKUP($F87,bug_conf_sheet!$A:$H,4,FALSE),VLOOKUP("other",bug_conf_sheet!$A:$H,4,FALSE))</f>
        <v>0</v>
      </c>
      <c r="P87" s="38">
        <f>IFERROR(VLOOKUP($F87,bug_conf_sheet!$A:$H,5,FALSE),VLOOKUP("other",bug_conf_sheet!$A:$H,5,FALSE))</f>
        <v>0</v>
      </c>
      <c r="Q87" s="38">
        <f>IFERROR(VLOOKUP($F87,bug_conf_sheet!$A:$H,6,FALSE),VLOOKUP("other",bug_conf_sheet!$A:$H,6,FALSE))</f>
        <v>0</v>
      </c>
      <c r="R87" s="38">
        <f>IFERROR(VLOOKUP($F87,bug_conf_sheet!$A:$H,7,FALSE),VLOOKUP("other",bug_conf_sheet!$A:$H,7,FALSE))</f>
        <v>0</v>
      </c>
      <c r="S87" s="38">
        <f>IFERROR(VLOOKUP($F87,bug_conf_sheet!$A:$H,8,FALSE),VLOOKUP("other",bug_conf_sheet!$A:$H,8,FALSE))</f>
        <v>1</v>
      </c>
    </row>
    <row r="88" spans="1:19" ht="21" hidden="1" customHeight="1">
      <c r="A88" s="7" t="str">
        <f t="shared" si="5"/>
        <v>1881212</v>
      </c>
      <c r="B88" s="2" t="str">
        <f t="shared" si="6"/>
        <v>1881</v>
      </c>
      <c r="C88" s="8" t="str">
        <f t="shared" si="7"/>
        <v>1PremiumN4</v>
      </c>
      <c r="D88" s="8" t="str">
        <f t="shared" si="8"/>
        <v>1PremiumN4</v>
      </c>
      <c r="E88" s="10">
        <v>1</v>
      </c>
      <c r="F88" s="5">
        <v>212</v>
      </c>
      <c r="G88" s="8" t="str">
        <f>VLOOKUP(F88,[1]characters!$A:$C,3,FALSE)</f>
        <v>星神 アストライアー</v>
      </c>
      <c r="H88" s="8" t="str">
        <f>VLOOKUP(F88,[1]characters!$A:$J,10,FALSE)</f>
        <v>PremiumN</v>
      </c>
      <c r="I88" s="8">
        <f>VLOOKUP(F88,[1]characters!$A:$I,9,FALSE)</f>
        <v>4</v>
      </c>
      <c r="J88" s="8" t="str">
        <f>VLOOKUP(F88,[1]characters!$A:$H,8,FALSE)</f>
        <v>yellow</v>
      </c>
      <c r="K88" s="8" t="str">
        <f>VLOOKUP(F88,[1]characters!$A:$K,11,FALSE)</f>
        <v>balance</v>
      </c>
      <c r="L88" s="8" t="str">
        <f>VLOOKUP(F88,[1]characters!$A:$M,13,FALSE)</f>
        <v>god</v>
      </c>
      <c r="M88" s="16">
        <f>VLOOKUP(D88,gacha_188_base!A:B,2,FALSE)</f>
        <v>2827</v>
      </c>
      <c r="N88" s="38">
        <f>IFERROR(VLOOKUP($F88,bug_conf_sheet!$A:$H,3,FALSE),VLOOKUP("other",bug_conf_sheet!$A:$H,3,FALSE))</f>
        <v>1</v>
      </c>
      <c r="O88" s="38">
        <f>IFERROR(VLOOKUP($F88,bug_conf_sheet!$A:$H,4,FALSE),VLOOKUP("other",bug_conf_sheet!$A:$H,4,FALSE))</f>
        <v>0</v>
      </c>
      <c r="P88" s="38">
        <f>IFERROR(VLOOKUP($F88,bug_conf_sheet!$A:$H,5,FALSE),VLOOKUP("other",bug_conf_sheet!$A:$H,5,FALSE))</f>
        <v>0</v>
      </c>
      <c r="Q88" s="38">
        <f>IFERROR(VLOOKUP($F88,bug_conf_sheet!$A:$H,6,FALSE),VLOOKUP("other",bug_conf_sheet!$A:$H,6,FALSE))</f>
        <v>0</v>
      </c>
      <c r="R88" s="38">
        <f>IFERROR(VLOOKUP($F88,bug_conf_sheet!$A:$H,7,FALSE),VLOOKUP("other",bug_conf_sheet!$A:$H,7,FALSE))</f>
        <v>0</v>
      </c>
      <c r="S88" s="38">
        <f>IFERROR(VLOOKUP($F88,bug_conf_sheet!$A:$H,8,FALSE),VLOOKUP("other",bug_conf_sheet!$A:$H,8,FALSE))</f>
        <v>1</v>
      </c>
    </row>
    <row r="89" spans="1:19" ht="21" customHeight="1">
      <c r="A89" s="7" t="str">
        <f t="shared" si="5"/>
        <v>1881213</v>
      </c>
      <c r="B89" s="2" t="str">
        <f t="shared" si="6"/>
        <v>1881</v>
      </c>
      <c r="C89" s="8" t="str">
        <f t="shared" si="7"/>
        <v>1PremiumN5</v>
      </c>
      <c r="D89" s="8" t="str">
        <f t="shared" si="8"/>
        <v>1PremiumN5</v>
      </c>
      <c r="E89" s="10">
        <v>1</v>
      </c>
      <c r="F89" s="5">
        <v>213</v>
      </c>
      <c r="G89" s="8" t="str">
        <f>VLOOKUP(F89,[1]characters!$A:$C,3,FALSE)</f>
        <v>満天の星降神 アストライアー</v>
      </c>
      <c r="H89" s="8" t="str">
        <f>VLOOKUP(F89,[1]characters!$A:$J,10,FALSE)</f>
        <v>PremiumN</v>
      </c>
      <c r="I89" s="8">
        <f>VLOOKUP(F89,[1]characters!$A:$I,9,FALSE)</f>
        <v>5</v>
      </c>
      <c r="J89" s="8" t="str">
        <f>VLOOKUP(F89,[1]characters!$A:$H,8,FALSE)</f>
        <v>yellow</v>
      </c>
      <c r="K89" s="8" t="str">
        <f>VLOOKUP(F89,[1]characters!$A:$K,11,FALSE)</f>
        <v>balance</v>
      </c>
      <c r="L89" s="8" t="str">
        <f>VLOOKUP(F89,[1]characters!$A:$M,13,FALSE)</f>
        <v>god</v>
      </c>
      <c r="M89" s="16">
        <f>VLOOKUP(D89,gacha_188_base!A:B,2,FALSE)</f>
        <v>942</v>
      </c>
      <c r="N89" s="38">
        <f>IFERROR(VLOOKUP($F89,bug_conf_sheet!$A:$H,3,FALSE),VLOOKUP("other",bug_conf_sheet!$A:$H,3,FALSE))</f>
        <v>1</v>
      </c>
      <c r="O89" s="38">
        <f>IFERROR(VLOOKUP($F89,bug_conf_sheet!$A:$H,4,FALSE),VLOOKUP("other",bug_conf_sheet!$A:$H,4,FALSE))</f>
        <v>0</v>
      </c>
      <c r="P89" s="38">
        <f>IFERROR(VLOOKUP($F89,bug_conf_sheet!$A:$H,5,FALSE),VLOOKUP("other",bug_conf_sheet!$A:$H,5,FALSE))</f>
        <v>0</v>
      </c>
      <c r="Q89" s="38">
        <f>IFERROR(VLOOKUP($F89,bug_conf_sheet!$A:$H,6,FALSE),VLOOKUP("other",bug_conf_sheet!$A:$H,6,FALSE))</f>
        <v>0</v>
      </c>
      <c r="R89" s="38">
        <f>IFERROR(VLOOKUP($F89,bug_conf_sheet!$A:$H,7,FALSE),VLOOKUP("other",bug_conf_sheet!$A:$H,7,FALSE))</f>
        <v>0</v>
      </c>
      <c r="S89" s="38">
        <f>IFERROR(VLOOKUP($F89,bug_conf_sheet!$A:$H,8,FALSE),VLOOKUP("other",bug_conf_sheet!$A:$H,8,FALSE))</f>
        <v>1</v>
      </c>
    </row>
    <row r="90" spans="1:19" ht="21" hidden="1" customHeight="1">
      <c r="A90" s="7" t="str">
        <f t="shared" si="5"/>
        <v>1881214</v>
      </c>
      <c r="B90" s="2" t="str">
        <f t="shared" si="6"/>
        <v>1881</v>
      </c>
      <c r="C90" s="8" t="str">
        <f t="shared" si="7"/>
        <v>1PremiumN3</v>
      </c>
      <c r="D90" s="8" t="str">
        <f t="shared" si="8"/>
        <v>1PremiumN3</v>
      </c>
      <c r="E90" s="10">
        <v>1</v>
      </c>
      <c r="F90" s="5">
        <v>214</v>
      </c>
      <c r="G90" s="8" t="str">
        <f>VLOOKUP(F90,[1]characters!$A:$C,3,FALSE)</f>
        <v>アズラエル</v>
      </c>
      <c r="H90" s="8" t="str">
        <f>VLOOKUP(F90,[1]characters!$A:$J,10,FALSE)</f>
        <v>PremiumN</v>
      </c>
      <c r="I90" s="8">
        <f>VLOOKUP(F90,[1]characters!$A:$I,9,FALSE)</f>
        <v>3</v>
      </c>
      <c r="J90" s="8" t="str">
        <f>VLOOKUP(F90,[1]characters!$A:$H,8,FALSE)</f>
        <v>red</v>
      </c>
      <c r="K90" s="8" t="str">
        <f>VLOOKUP(F90,[1]characters!$A:$K,11,FALSE)</f>
        <v>balance</v>
      </c>
      <c r="L90" s="8" t="str">
        <f>VLOOKUP(F90,[1]characters!$A:$M,13,FALSE)</f>
        <v>god</v>
      </c>
      <c r="M90" s="16">
        <f>VLOOKUP(D90,gacha_188_base!A:B,2,FALSE)</f>
        <v>11309</v>
      </c>
      <c r="N90" s="38">
        <f>IFERROR(VLOOKUP($F90,bug_conf_sheet!$A:$H,3,FALSE),VLOOKUP("other",bug_conf_sheet!$A:$H,3,FALSE))</f>
        <v>1</v>
      </c>
      <c r="O90" s="38">
        <f>IFERROR(VLOOKUP($F90,bug_conf_sheet!$A:$H,4,FALSE),VLOOKUP("other",bug_conf_sheet!$A:$H,4,FALSE))</f>
        <v>0</v>
      </c>
      <c r="P90" s="38">
        <f>IFERROR(VLOOKUP($F90,bug_conf_sheet!$A:$H,5,FALSE),VLOOKUP("other",bug_conf_sheet!$A:$H,5,FALSE))</f>
        <v>0</v>
      </c>
      <c r="Q90" s="38">
        <f>IFERROR(VLOOKUP($F90,bug_conf_sheet!$A:$H,6,FALSE),VLOOKUP("other",bug_conf_sheet!$A:$H,6,FALSE))</f>
        <v>0</v>
      </c>
      <c r="R90" s="38">
        <f>IFERROR(VLOOKUP($F90,bug_conf_sheet!$A:$H,7,FALSE),VLOOKUP("other",bug_conf_sheet!$A:$H,7,FALSE))</f>
        <v>0</v>
      </c>
      <c r="S90" s="38">
        <f>IFERROR(VLOOKUP($F90,bug_conf_sheet!$A:$H,8,FALSE),VLOOKUP("other",bug_conf_sheet!$A:$H,8,FALSE))</f>
        <v>1</v>
      </c>
    </row>
    <row r="91" spans="1:19" ht="21" hidden="1" customHeight="1">
      <c r="A91" s="7" t="str">
        <f t="shared" si="5"/>
        <v>1881215</v>
      </c>
      <c r="B91" s="2" t="str">
        <f t="shared" si="6"/>
        <v>1881</v>
      </c>
      <c r="C91" s="8" t="str">
        <f t="shared" si="7"/>
        <v>1PremiumN4</v>
      </c>
      <c r="D91" s="8" t="str">
        <f t="shared" si="8"/>
        <v>1PremiumN4</v>
      </c>
      <c r="E91" s="10">
        <v>1</v>
      </c>
      <c r="F91" s="5">
        <v>215</v>
      </c>
      <c r="G91" s="8" t="str">
        <f>VLOOKUP(F91,[1]characters!$A:$C,3,FALSE)</f>
        <v>死導者 アズラエル</v>
      </c>
      <c r="H91" s="8" t="str">
        <f>VLOOKUP(F91,[1]characters!$A:$J,10,FALSE)</f>
        <v>PremiumN</v>
      </c>
      <c r="I91" s="8">
        <f>VLOOKUP(F91,[1]characters!$A:$I,9,FALSE)</f>
        <v>4</v>
      </c>
      <c r="J91" s="8" t="str">
        <f>VLOOKUP(F91,[1]characters!$A:$H,8,FALSE)</f>
        <v>red</v>
      </c>
      <c r="K91" s="8" t="str">
        <f>VLOOKUP(F91,[1]characters!$A:$K,11,FALSE)</f>
        <v>balance</v>
      </c>
      <c r="L91" s="8" t="str">
        <f>VLOOKUP(F91,[1]characters!$A:$M,13,FALSE)</f>
        <v>god</v>
      </c>
      <c r="M91" s="16">
        <f>VLOOKUP(D91,gacha_188_base!A:B,2,FALSE)</f>
        <v>2827</v>
      </c>
      <c r="N91" s="38">
        <f>IFERROR(VLOOKUP($F91,bug_conf_sheet!$A:$H,3,FALSE),VLOOKUP("other",bug_conf_sheet!$A:$H,3,FALSE))</f>
        <v>1</v>
      </c>
      <c r="O91" s="38">
        <f>IFERROR(VLOOKUP($F91,bug_conf_sheet!$A:$H,4,FALSE),VLOOKUP("other",bug_conf_sheet!$A:$H,4,FALSE))</f>
        <v>0</v>
      </c>
      <c r="P91" s="38">
        <f>IFERROR(VLOOKUP($F91,bug_conf_sheet!$A:$H,5,FALSE),VLOOKUP("other",bug_conf_sheet!$A:$H,5,FALSE))</f>
        <v>0</v>
      </c>
      <c r="Q91" s="38">
        <f>IFERROR(VLOOKUP($F91,bug_conf_sheet!$A:$H,6,FALSE),VLOOKUP("other",bug_conf_sheet!$A:$H,6,FALSE))</f>
        <v>0</v>
      </c>
      <c r="R91" s="38">
        <f>IFERROR(VLOOKUP($F91,bug_conf_sheet!$A:$H,7,FALSE),VLOOKUP("other",bug_conf_sheet!$A:$H,7,FALSE))</f>
        <v>0</v>
      </c>
      <c r="S91" s="38">
        <f>IFERROR(VLOOKUP($F91,bug_conf_sheet!$A:$H,8,FALSE),VLOOKUP("other",bug_conf_sheet!$A:$H,8,FALSE))</f>
        <v>1</v>
      </c>
    </row>
    <row r="92" spans="1:19" ht="21" customHeight="1">
      <c r="A92" s="7" t="str">
        <f t="shared" si="5"/>
        <v>1881216</v>
      </c>
      <c r="B92" s="2" t="str">
        <f t="shared" si="6"/>
        <v>1881</v>
      </c>
      <c r="C92" s="8" t="str">
        <f t="shared" si="7"/>
        <v>1PremiumN5</v>
      </c>
      <c r="D92" s="8" t="str">
        <f t="shared" si="8"/>
        <v>1PremiumN5</v>
      </c>
      <c r="E92" s="10">
        <v>1</v>
      </c>
      <c r="F92" s="5">
        <v>216</v>
      </c>
      <c r="G92" s="8" t="str">
        <f>VLOOKUP(F92,[1]characters!$A:$C,3,FALSE)</f>
        <v>百読の死導司書 アズラエル</v>
      </c>
      <c r="H92" s="8" t="str">
        <f>VLOOKUP(F92,[1]characters!$A:$J,10,FALSE)</f>
        <v>PremiumN</v>
      </c>
      <c r="I92" s="8">
        <f>VLOOKUP(F92,[1]characters!$A:$I,9,FALSE)</f>
        <v>5</v>
      </c>
      <c r="J92" s="8" t="str">
        <f>VLOOKUP(F92,[1]characters!$A:$H,8,FALSE)</f>
        <v>red</v>
      </c>
      <c r="K92" s="8" t="str">
        <f>VLOOKUP(F92,[1]characters!$A:$K,11,FALSE)</f>
        <v>balance</v>
      </c>
      <c r="L92" s="8" t="str">
        <f>VLOOKUP(F92,[1]characters!$A:$M,13,FALSE)</f>
        <v>god</v>
      </c>
      <c r="M92" s="16">
        <f>VLOOKUP(D92,gacha_188_base!A:B,2,FALSE)</f>
        <v>942</v>
      </c>
      <c r="N92" s="38">
        <f>IFERROR(VLOOKUP($F92,bug_conf_sheet!$A:$H,3,FALSE),VLOOKUP("other",bug_conf_sheet!$A:$H,3,FALSE))</f>
        <v>1</v>
      </c>
      <c r="O92" s="38">
        <f>IFERROR(VLOOKUP($F92,bug_conf_sheet!$A:$H,4,FALSE),VLOOKUP("other",bug_conf_sheet!$A:$H,4,FALSE))</f>
        <v>0</v>
      </c>
      <c r="P92" s="38">
        <f>IFERROR(VLOOKUP($F92,bug_conf_sheet!$A:$H,5,FALSE),VLOOKUP("other",bug_conf_sheet!$A:$H,5,FALSE))</f>
        <v>0</v>
      </c>
      <c r="Q92" s="38">
        <f>IFERROR(VLOOKUP($F92,bug_conf_sheet!$A:$H,6,FALSE),VLOOKUP("other",bug_conf_sheet!$A:$H,6,FALSE))</f>
        <v>0</v>
      </c>
      <c r="R92" s="38">
        <f>IFERROR(VLOOKUP($F92,bug_conf_sheet!$A:$H,7,FALSE),VLOOKUP("other",bug_conf_sheet!$A:$H,7,FALSE))</f>
        <v>0</v>
      </c>
      <c r="S92" s="38">
        <f>IFERROR(VLOOKUP($F92,bug_conf_sheet!$A:$H,8,FALSE),VLOOKUP("other",bug_conf_sheet!$A:$H,8,FALSE))</f>
        <v>1</v>
      </c>
    </row>
    <row r="93" spans="1:19" ht="21" hidden="1" customHeight="1">
      <c r="A93" s="7" t="str">
        <f t="shared" si="5"/>
        <v>1881217</v>
      </c>
      <c r="B93" s="2" t="str">
        <f t="shared" si="6"/>
        <v>1881</v>
      </c>
      <c r="C93" s="8" t="str">
        <f t="shared" si="7"/>
        <v>1PremiumN3</v>
      </c>
      <c r="D93" s="8" t="str">
        <f t="shared" si="8"/>
        <v>1PremiumN3</v>
      </c>
      <c r="E93" s="10">
        <v>1</v>
      </c>
      <c r="F93" s="5">
        <v>217</v>
      </c>
      <c r="G93" s="8" t="str">
        <f>VLOOKUP(F93,[1]characters!$A:$C,3,FALSE)</f>
        <v>ケツァクアトル</v>
      </c>
      <c r="H93" s="8" t="str">
        <f>VLOOKUP(F93,[1]characters!$A:$J,10,FALSE)</f>
        <v>PremiumN</v>
      </c>
      <c r="I93" s="8">
        <f>VLOOKUP(F93,[1]characters!$A:$I,9,FALSE)</f>
        <v>3</v>
      </c>
      <c r="J93" s="8" t="str">
        <f>VLOOKUP(F93,[1]characters!$A:$H,8,FALSE)</f>
        <v>green</v>
      </c>
      <c r="K93" s="8" t="str">
        <f>VLOOKUP(F93,[1]characters!$A:$K,11,FALSE)</f>
        <v>hp</v>
      </c>
      <c r="L93" s="8" t="str">
        <f>VLOOKUP(F93,[1]characters!$A:$M,13,FALSE)</f>
        <v>dragon</v>
      </c>
      <c r="M93" s="16">
        <f>VLOOKUP(D93,gacha_188_base!A:B,2,FALSE)</f>
        <v>11309</v>
      </c>
      <c r="N93" s="38">
        <f>IFERROR(VLOOKUP($F93,bug_conf_sheet!$A:$H,3,FALSE),VLOOKUP("other",bug_conf_sheet!$A:$H,3,FALSE))</f>
        <v>1</v>
      </c>
      <c r="O93" s="38">
        <f>IFERROR(VLOOKUP($F93,bug_conf_sheet!$A:$H,4,FALSE),VLOOKUP("other",bug_conf_sheet!$A:$H,4,FALSE))</f>
        <v>0</v>
      </c>
      <c r="P93" s="38">
        <f>IFERROR(VLOOKUP($F93,bug_conf_sheet!$A:$H,5,FALSE),VLOOKUP("other",bug_conf_sheet!$A:$H,5,FALSE))</f>
        <v>0</v>
      </c>
      <c r="Q93" s="38">
        <f>IFERROR(VLOOKUP($F93,bug_conf_sheet!$A:$H,6,FALSE),VLOOKUP("other",bug_conf_sheet!$A:$H,6,FALSE))</f>
        <v>0</v>
      </c>
      <c r="R93" s="38">
        <f>IFERROR(VLOOKUP($F93,bug_conf_sheet!$A:$H,7,FALSE),VLOOKUP("other",bug_conf_sheet!$A:$H,7,FALSE))</f>
        <v>0</v>
      </c>
      <c r="S93" s="38">
        <f>IFERROR(VLOOKUP($F93,bug_conf_sheet!$A:$H,8,FALSE),VLOOKUP("other",bug_conf_sheet!$A:$H,8,FALSE))</f>
        <v>1</v>
      </c>
    </row>
    <row r="94" spans="1:19" ht="21" hidden="1" customHeight="1">
      <c r="A94" s="7" t="str">
        <f t="shared" si="5"/>
        <v>1881218</v>
      </c>
      <c r="B94" s="2" t="str">
        <f t="shared" si="6"/>
        <v>1881</v>
      </c>
      <c r="C94" s="8" t="str">
        <f t="shared" si="7"/>
        <v>1PremiumN4</v>
      </c>
      <c r="D94" s="8" t="str">
        <f t="shared" si="8"/>
        <v>1PremiumN4</v>
      </c>
      <c r="E94" s="10">
        <v>1</v>
      </c>
      <c r="F94" s="5">
        <v>218</v>
      </c>
      <c r="G94" s="8" t="str">
        <f>VLOOKUP(F94,[1]characters!$A:$C,3,FALSE)</f>
        <v>聖蛇 ケツァクアトル</v>
      </c>
      <c r="H94" s="8" t="str">
        <f>VLOOKUP(F94,[1]characters!$A:$J,10,FALSE)</f>
        <v>PremiumN</v>
      </c>
      <c r="I94" s="8">
        <f>VLOOKUP(F94,[1]characters!$A:$I,9,FALSE)</f>
        <v>4</v>
      </c>
      <c r="J94" s="8" t="str">
        <f>VLOOKUP(F94,[1]characters!$A:$H,8,FALSE)</f>
        <v>green</v>
      </c>
      <c r="K94" s="8" t="str">
        <f>VLOOKUP(F94,[1]characters!$A:$K,11,FALSE)</f>
        <v>hp</v>
      </c>
      <c r="L94" s="8" t="str">
        <f>VLOOKUP(F94,[1]characters!$A:$M,13,FALSE)</f>
        <v>dragon</v>
      </c>
      <c r="M94" s="16">
        <f>VLOOKUP(D94,gacha_188_base!A:B,2,FALSE)</f>
        <v>2827</v>
      </c>
      <c r="N94" s="38">
        <f>IFERROR(VLOOKUP($F94,bug_conf_sheet!$A:$H,3,FALSE),VLOOKUP("other",bug_conf_sheet!$A:$H,3,FALSE))</f>
        <v>1</v>
      </c>
      <c r="O94" s="38">
        <f>IFERROR(VLOOKUP($F94,bug_conf_sheet!$A:$H,4,FALSE),VLOOKUP("other",bug_conf_sheet!$A:$H,4,FALSE))</f>
        <v>0</v>
      </c>
      <c r="P94" s="38">
        <f>IFERROR(VLOOKUP($F94,bug_conf_sheet!$A:$H,5,FALSE),VLOOKUP("other",bug_conf_sheet!$A:$H,5,FALSE))</f>
        <v>0</v>
      </c>
      <c r="Q94" s="38">
        <f>IFERROR(VLOOKUP($F94,bug_conf_sheet!$A:$H,6,FALSE),VLOOKUP("other",bug_conf_sheet!$A:$H,6,FALSE))</f>
        <v>0</v>
      </c>
      <c r="R94" s="38">
        <f>IFERROR(VLOOKUP($F94,bug_conf_sheet!$A:$H,7,FALSE),VLOOKUP("other",bug_conf_sheet!$A:$H,7,FALSE))</f>
        <v>0</v>
      </c>
      <c r="S94" s="38">
        <f>IFERROR(VLOOKUP($F94,bug_conf_sheet!$A:$H,8,FALSE),VLOOKUP("other",bug_conf_sheet!$A:$H,8,FALSE))</f>
        <v>1</v>
      </c>
    </row>
    <row r="95" spans="1:19" ht="21" customHeight="1">
      <c r="A95" s="7" t="str">
        <f t="shared" si="5"/>
        <v>1881219</v>
      </c>
      <c r="B95" s="2" t="str">
        <f t="shared" si="6"/>
        <v>1881</v>
      </c>
      <c r="C95" s="8" t="str">
        <f t="shared" si="7"/>
        <v>1PremiumN5</v>
      </c>
      <c r="D95" s="8" t="str">
        <f t="shared" si="8"/>
        <v>1PremiumN5</v>
      </c>
      <c r="E95" s="10">
        <v>1</v>
      </c>
      <c r="F95" s="5">
        <v>219</v>
      </c>
      <c r="G95" s="8" t="str">
        <f>VLOOKUP(F95,[1]characters!$A:$C,3,FALSE)</f>
        <v>覇翼の聖蛇竜 ケツァクアトル</v>
      </c>
      <c r="H95" s="8" t="str">
        <f>VLOOKUP(F95,[1]characters!$A:$J,10,FALSE)</f>
        <v>PremiumN</v>
      </c>
      <c r="I95" s="8">
        <f>VLOOKUP(F95,[1]characters!$A:$I,9,FALSE)</f>
        <v>5</v>
      </c>
      <c r="J95" s="8" t="str">
        <f>VLOOKUP(F95,[1]characters!$A:$H,8,FALSE)</f>
        <v>green</v>
      </c>
      <c r="K95" s="8" t="str">
        <f>VLOOKUP(F95,[1]characters!$A:$K,11,FALSE)</f>
        <v>hp</v>
      </c>
      <c r="L95" s="8" t="str">
        <f>VLOOKUP(F95,[1]characters!$A:$M,13,FALSE)</f>
        <v>dragon</v>
      </c>
      <c r="M95" s="16">
        <f>VLOOKUP(D95,gacha_188_base!A:B,2,FALSE)</f>
        <v>942</v>
      </c>
      <c r="N95" s="38">
        <f>IFERROR(VLOOKUP($F95,bug_conf_sheet!$A:$H,3,FALSE),VLOOKUP("other",bug_conf_sheet!$A:$H,3,FALSE))</f>
        <v>1</v>
      </c>
      <c r="O95" s="38">
        <f>IFERROR(VLOOKUP($F95,bug_conf_sheet!$A:$H,4,FALSE),VLOOKUP("other",bug_conf_sheet!$A:$H,4,FALSE))</f>
        <v>0</v>
      </c>
      <c r="P95" s="38">
        <f>IFERROR(VLOOKUP($F95,bug_conf_sheet!$A:$H,5,FALSE),VLOOKUP("other",bug_conf_sheet!$A:$H,5,FALSE))</f>
        <v>0</v>
      </c>
      <c r="Q95" s="38">
        <f>IFERROR(VLOOKUP($F95,bug_conf_sheet!$A:$H,6,FALSE),VLOOKUP("other",bug_conf_sheet!$A:$H,6,FALSE))</f>
        <v>0</v>
      </c>
      <c r="R95" s="38">
        <f>IFERROR(VLOOKUP($F95,bug_conf_sheet!$A:$H,7,FALSE),VLOOKUP("other",bug_conf_sheet!$A:$H,7,FALSE))</f>
        <v>0</v>
      </c>
      <c r="S95" s="38">
        <f>IFERROR(VLOOKUP($F95,bug_conf_sheet!$A:$H,8,FALSE),VLOOKUP("other",bug_conf_sheet!$A:$H,8,FALSE))</f>
        <v>1</v>
      </c>
    </row>
    <row r="96" spans="1:19" ht="21" hidden="1" customHeight="1">
      <c r="A96" s="7" t="str">
        <f t="shared" si="5"/>
        <v>1881220</v>
      </c>
      <c r="B96" s="2" t="str">
        <f t="shared" si="6"/>
        <v>1881</v>
      </c>
      <c r="C96" s="8" t="str">
        <f t="shared" si="7"/>
        <v>1PremiumN3</v>
      </c>
      <c r="D96" s="8" t="str">
        <f t="shared" si="8"/>
        <v>1PremiumN3</v>
      </c>
      <c r="E96" s="10">
        <v>1</v>
      </c>
      <c r="F96" s="5">
        <v>220</v>
      </c>
      <c r="G96" s="8" t="str">
        <f>VLOOKUP(F96,[1]characters!$A:$C,3,FALSE)</f>
        <v>ルキフグス</v>
      </c>
      <c r="H96" s="8" t="str">
        <f>VLOOKUP(F96,[1]characters!$A:$J,10,FALSE)</f>
        <v>PremiumN</v>
      </c>
      <c r="I96" s="8">
        <f>VLOOKUP(F96,[1]characters!$A:$I,9,FALSE)</f>
        <v>3</v>
      </c>
      <c r="J96" s="8" t="str">
        <f>VLOOKUP(F96,[1]characters!$A:$H,8,FALSE)</f>
        <v>blue</v>
      </c>
      <c r="K96" s="8" t="str">
        <f>VLOOKUP(F96,[1]characters!$A:$K,11,FALSE)</f>
        <v>balance</v>
      </c>
      <c r="L96" s="8" t="str">
        <f>VLOOKUP(F96,[1]characters!$A:$M,13,FALSE)</f>
        <v>god</v>
      </c>
      <c r="M96" s="16">
        <f>VLOOKUP(D96,gacha_188_base!A:B,2,FALSE)</f>
        <v>11309</v>
      </c>
      <c r="N96" s="38">
        <f>IFERROR(VLOOKUP($F96,bug_conf_sheet!$A:$H,3,FALSE),VLOOKUP("other",bug_conf_sheet!$A:$H,3,FALSE))</f>
        <v>1</v>
      </c>
      <c r="O96" s="38">
        <f>IFERROR(VLOOKUP($F96,bug_conf_sheet!$A:$H,4,FALSE),VLOOKUP("other",bug_conf_sheet!$A:$H,4,FALSE))</f>
        <v>0</v>
      </c>
      <c r="P96" s="38">
        <f>IFERROR(VLOOKUP($F96,bug_conf_sheet!$A:$H,5,FALSE),VLOOKUP("other",bug_conf_sheet!$A:$H,5,FALSE))</f>
        <v>0</v>
      </c>
      <c r="Q96" s="38">
        <f>IFERROR(VLOOKUP($F96,bug_conf_sheet!$A:$H,6,FALSE),VLOOKUP("other",bug_conf_sheet!$A:$H,6,FALSE))</f>
        <v>0</v>
      </c>
      <c r="R96" s="38">
        <f>IFERROR(VLOOKUP($F96,bug_conf_sheet!$A:$H,7,FALSE),VLOOKUP("other",bug_conf_sheet!$A:$H,7,FALSE))</f>
        <v>0</v>
      </c>
      <c r="S96" s="38">
        <f>IFERROR(VLOOKUP($F96,bug_conf_sheet!$A:$H,8,FALSE),VLOOKUP("other",bug_conf_sheet!$A:$H,8,FALSE))</f>
        <v>1</v>
      </c>
    </row>
    <row r="97" spans="1:19" ht="21" hidden="1" customHeight="1">
      <c r="A97" s="7" t="str">
        <f t="shared" si="5"/>
        <v>1881221</v>
      </c>
      <c r="B97" s="2" t="str">
        <f t="shared" si="6"/>
        <v>1881</v>
      </c>
      <c r="C97" s="8" t="str">
        <f t="shared" si="7"/>
        <v>1PremiumN4</v>
      </c>
      <c r="D97" s="8" t="str">
        <f t="shared" si="8"/>
        <v>1PremiumN4</v>
      </c>
      <c r="E97" s="10">
        <v>1</v>
      </c>
      <c r="F97" s="5">
        <v>221</v>
      </c>
      <c r="G97" s="8" t="str">
        <f>VLOOKUP(F97,[1]characters!$A:$C,3,FALSE)</f>
        <v>宰相 ルキフグス</v>
      </c>
      <c r="H97" s="8" t="str">
        <f>VLOOKUP(F97,[1]characters!$A:$J,10,FALSE)</f>
        <v>PremiumN</v>
      </c>
      <c r="I97" s="8">
        <f>VLOOKUP(F97,[1]characters!$A:$I,9,FALSE)</f>
        <v>4</v>
      </c>
      <c r="J97" s="8" t="str">
        <f>VLOOKUP(F97,[1]characters!$A:$H,8,FALSE)</f>
        <v>blue</v>
      </c>
      <c r="K97" s="8" t="str">
        <f>VLOOKUP(F97,[1]characters!$A:$K,11,FALSE)</f>
        <v>balance</v>
      </c>
      <c r="L97" s="8" t="str">
        <f>VLOOKUP(F97,[1]characters!$A:$M,13,FALSE)</f>
        <v>god</v>
      </c>
      <c r="M97" s="16">
        <f>VLOOKUP(D97,gacha_188_base!A:B,2,FALSE)</f>
        <v>2827</v>
      </c>
      <c r="N97" s="38">
        <f>IFERROR(VLOOKUP($F97,bug_conf_sheet!$A:$H,3,FALSE),VLOOKUP("other",bug_conf_sheet!$A:$H,3,FALSE))</f>
        <v>1</v>
      </c>
      <c r="O97" s="38">
        <f>IFERROR(VLOOKUP($F97,bug_conf_sheet!$A:$H,4,FALSE),VLOOKUP("other",bug_conf_sheet!$A:$H,4,FALSE))</f>
        <v>0</v>
      </c>
      <c r="P97" s="38">
        <f>IFERROR(VLOOKUP($F97,bug_conf_sheet!$A:$H,5,FALSE),VLOOKUP("other",bug_conf_sheet!$A:$H,5,FALSE))</f>
        <v>0</v>
      </c>
      <c r="Q97" s="38">
        <f>IFERROR(VLOOKUP($F97,bug_conf_sheet!$A:$H,6,FALSE),VLOOKUP("other",bug_conf_sheet!$A:$H,6,FALSE))</f>
        <v>0</v>
      </c>
      <c r="R97" s="38">
        <f>IFERROR(VLOOKUP($F97,bug_conf_sheet!$A:$H,7,FALSE),VLOOKUP("other",bug_conf_sheet!$A:$H,7,FALSE))</f>
        <v>0</v>
      </c>
      <c r="S97" s="38">
        <f>IFERROR(VLOOKUP($F97,bug_conf_sheet!$A:$H,8,FALSE),VLOOKUP("other",bug_conf_sheet!$A:$H,8,FALSE))</f>
        <v>1</v>
      </c>
    </row>
    <row r="98" spans="1:19" ht="21" customHeight="1">
      <c r="A98" s="7" t="str">
        <f t="shared" si="5"/>
        <v>1881222</v>
      </c>
      <c r="B98" s="2" t="str">
        <f t="shared" si="6"/>
        <v>1881</v>
      </c>
      <c r="C98" s="8" t="str">
        <f t="shared" si="7"/>
        <v>1PremiumN5</v>
      </c>
      <c r="D98" s="8" t="str">
        <f t="shared" si="8"/>
        <v>1PremiumN5</v>
      </c>
      <c r="E98" s="10">
        <v>1</v>
      </c>
      <c r="F98" s="5">
        <v>222</v>
      </c>
      <c r="G98" s="8" t="str">
        <f>VLOOKUP(F98,[1]characters!$A:$C,3,FALSE)</f>
        <v>避光の鉄鎖宰相 ルキフグス</v>
      </c>
      <c r="H98" s="8" t="str">
        <f>VLOOKUP(F98,[1]characters!$A:$J,10,FALSE)</f>
        <v>PremiumN</v>
      </c>
      <c r="I98" s="8">
        <f>VLOOKUP(F98,[1]characters!$A:$I,9,FALSE)</f>
        <v>5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god</v>
      </c>
      <c r="M98" s="16">
        <f>VLOOKUP(D98,gacha_188_base!A:B,2,FALSE)</f>
        <v>942</v>
      </c>
      <c r="N98" s="38">
        <f>IFERROR(VLOOKUP($F98,bug_conf_sheet!$A:$H,3,FALSE),VLOOKUP("other",bug_conf_sheet!$A:$H,3,FALSE))</f>
        <v>1</v>
      </c>
      <c r="O98" s="38">
        <f>IFERROR(VLOOKUP($F98,bug_conf_sheet!$A:$H,4,FALSE),VLOOKUP("other",bug_conf_sheet!$A:$H,4,FALSE))</f>
        <v>0</v>
      </c>
      <c r="P98" s="38">
        <f>IFERROR(VLOOKUP($F98,bug_conf_sheet!$A:$H,5,FALSE),VLOOKUP("other",bug_conf_sheet!$A:$H,5,FALSE))</f>
        <v>0</v>
      </c>
      <c r="Q98" s="38">
        <f>IFERROR(VLOOKUP($F98,bug_conf_sheet!$A:$H,6,FALSE),VLOOKUP("other",bug_conf_sheet!$A:$H,6,FALSE))</f>
        <v>0</v>
      </c>
      <c r="R98" s="38">
        <f>IFERROR(VLOOKUP($F98,bug_conf_sheet!$A:$H,7,FALSE),VLOOKUP("other",bug_conf_sheet!$A:$H,7,FALSE))</f>
        <v>0</v>
      </c>
      <c r="S98" s="38">
        <f>IFERROR(VLOOKUP($F98,bug_conf_sheet!$A:$H,8,FALSE),VLOOKUP("other",bug_conf_sheet!$A:$H,8,FALSE))</f>
        <v>1</v>
      </c>
    </row>
    <row r="99" spans="1:19" ht="21" hidden="1" customHeight="1">
      <c r="A99" s="7" t="str">
        <f t="shared" si="5"/>
        <v>1881223</v>
      </c>
      <c r="B99" s="2" t="str">
        <f t="shared" si="6"/>
        <v>1881</v>
      </c>
      <c r="C99" s="8" t="str">
        <f t="shared" si="7"/>
        <v>1PremiumN3</v>
      </c>
      <c r="D99" s="8" t="str">
        <f t="shared" si="8"/>
        <v>1PremiumN3</v>
      </c>
      <c r="E99" s="10">
        <v>1</v>
      </c>
      <c r="F99" s="5">
        <v>223</v>
      </c>
      <c r="G99" s="8" t="str">
        <f>VLOOKUP(F99,[1]characters!$A:$C,3,FALSE)</f>
        <v>ヘラクレス</v>
      </c>
      <c r="H99" s="8" t="str">
        <f>VLOOKUP(F99,[1]characters!$A:$J,10,FALSE)</f>
        <v>PremiumN</v>
      </c>
      <c r="I99" s="8">
        <f>VLOOKUP(F99,[1]characters!$A:$I,9,FALSE)</f>
        <v>3</v>
      </c>
      <c r="J99" s="8" t="str">
        <f>VLOOKUP(F99,[1]characters!$A:$H,8,FALSE)</f>
        <v>yellow</v>
      </c>
      <c r="K99" s="8" t="str">
        <f>VLOOKUP(F99,[1]characters!$A:$K,11,FALSE)</f>
        <v>balance</v>
      </c>
      <c r="L99" s="8" t="str">
        <f>VLOOKUP(F99,[1]characters!$A:$M,13,FALSE)</f>
        <v>human</v>
      </c>
      <c r="M99" s="16">
        <f>VLOOKUP(D99,gacha_188_base!A:B,2,FALSE)</f>
        <v>11309</v>
      </c>
      <c r="N99" s="38">
        <f>IFERROR(VLOOKUP($F99,bug_conf_sheet!$A:$H,3,FALSE),VLOOKUP("other",bug_conf_sheet!$A:$H,3,FALSE))</f>
        <v>1</v>
      </c>
      <c r="O99" s="38">
        <f>IFERROR(VLOOKUP($F99,bug_conf_sheet!$A:$H,4,FALSE),VLOOKUP("other",bug_conf_sheet!$A:$H,4,FALSE))</f>
        <v>0</v>
      </c>
      <c r="P99" s="38">
        <f>IFERROR(VLOOKUP($F99,bug_conf_sheet!$A:$H,5,FALSE),VLOOKUP("other",bug_conf_sheet!$A:$H,5,FALSE))</f>
        <v>0</v>
      </c>
      <c r="Q99" s="38">
        <f>IFERROR(VLOOKUP($F99,bug_conf_sheet!$A:$H,6,FALSE),VLOOKUP("other",bug_conf_sheet!$A:$H,6,FALSE))</f>
        <v>0</v>
      </c>
      <c r="R99" s="38">
        <f>IFERROR(VLOOKUP($F99,bug_conf_sheet!$A:$H,7,FALSE),VLOOKUP("other",bug_conf_sheet!$A:$H,7,FALSE))</f>
        <v>0</v>
      </c>
      <c r="S99" s="38">
        <f>IFERROR(VLOOKUP($F99,bug_conf_sheet!$A:$H,8,FALSE),VLOOKUP("other",bug_conf_sheet!$A:$H,8,FALSE))</f>
        <v>1</v>
      </c>
    </row>
    <row r="100" spans="1:19" ht="21" hidden="1" customHeight="1">
      <c r="A100" s="7" t="str">
        <f t="shared" si="5"/>
        <v>1881224</v>
      </c>
      <c r="B100" s="2" t="str">
        <f t="shared" si="6"/>
        <v>1881</v>
      </c>
      <c r="C100" s="8" t="str">
        <f t="shared" si="7"/>
        <v>1PremiumN4</v>
      </c>
      <c r="D100" s="8" t="str">
        <f t="shared" si="8"/>
        <v>1PremiumN4</v>
      </c>
      <c r="E100" s="10">
        <v>1</v>
      </c>
      <c r="F100" s="5">
        <v>224</v>
      </c>
      <c r="G100" s="8" t="str">
        <f>VLOOKUP(F100,[1]characters!$A:$C,3,FALSE)</f>
        <v>巨腕 ヘラクレス</v>
      </c>
      <c r="H100" s="8" t="str">
        <f>VLOOKUP(F100,[1]characters!$A:$J,10,FALSE)</f>
        <v>PremiumN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balance</v>
      </c>
      <c r="L100" s="8" t="str">
        <f>VLOOKUP(F100,[1]characters!$A:$M,13,FALSE)</f>
        <v>human</v>
      </c>
      <c r="M100" s="16">
        <f>VLOOKUP(D100,gacha_188_base!A:B,2,FALSE)</f>
        <v>2827</v>
      </c>
      <c r="N100" s="38">
        <f>IFERROR(VLOOKUP($F100,bug_conf_sheet!$A:$H,3,FALSE),VLOOKUP("other",bug_conf_sheet!$A:$H,3,FALSE))</f>
        <v>1</v>
      </c>
      <c r="O100" s="38">
        <f>IFERROR(VLOOKUP($F100,bug_conf_sheet!$A:$H,4,FALSE),VLOOKUP("other",bug_conf_sheet!$A:$H,4,FALSE))</f>
        <v>0</v>
      </c>
      <c r="P100" s="38">
        <f>IFERROR(VLOOKUP($F100,bug_conf_sheet!$A:$H,5,FALSE),VLOOKUP("other",bug_conf_sheet!$A:$H,5,FALSE))</f>
        <v>0</v>
      </c>
      <c r="Q100" s="38">
        <f>IFERROR(VLOOKUP($F100,bug_conf_sheet!$A:$H,6,FALSE),VLOOKUP("other",bug_conf_sheet!$A:$H,6,FALSE))</f>
        <v>0</v>
      </c>
      <c r="R100" s="38">
        <f>IFERROR(VLOOKUP($F100,bug_conf_sheet!$A:$H,7,FALSE),VLOOKUP("other",bug_conf_sheet!$A:$H,7,FALSE))</f>
        <v>0</v>
      </c>
      <c r="S100" s="38">
        <f>IFERROR(VLOOKUP($F100,bug_conf_sheet!$A:$H,8,FALSE),VLOOKUP("other",bug_conf_sheet!$A:$H,8,FALSE))</f>
        <v>1</v>
      </c>
    </row>
    <row r="101" spans="1:19" ht="21" customHeight="1">
      <c r="A101" s="7" t="str">
        <f t="shared" si="5"/>
        <v>1881225</v>
      </c>
      <c r="B101" s="2" t="str">
        <f t="shared" si="6"/>
        <v>1881</v>
      </c>
      <c r="C101" s="8" t="str">
        <f t="shared" si="7"/>
        <v>1PremiumN5</v>
      </c>
      <c r="D101" s="8" t="str">
        <f t="shared" si="8"/>
        <v>1PremiumN5</v>
      </c>
      <c r="E101" s="10">
        <v>1</v>
      </c>
      <c r="F101" s="5">
        <v>225</v>
      </c>
      <c r="G101" s="8" t="str">
        <f>VLOOKUP(F101,[1]characters!$A:$C,3,FALSE)</f>
        <v>咆哮の巨獅腕 ヘラクレス</v>
      </c>
      <c r="H101" s="8" t="str">
        <f>VLOOKUP(F101,[1]characters!$A:$J,10,FALSE)</f>
        <v>PremiumN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balance</v>
      </c>
      <c r="L101" s="8" t="str">
        <f>VLOOKUP(F101,[1]characters!$A:$M,13,FALSE)</f>
        <v>human</v>
      </c>
      <c r="M101" s="16">
        <f>VLOOKUP(D101,gacha_188_base!A:B,2,FALSE)</f>
        <v>942</v>
      </c>
      <c r="N101" s="38">
        <f>IFERROR(VLOOKUP($F101,bug_conf_sheet!$A:$H,3,FALSE),VLOOKUP("other",bug_conf_sheet!$A:$H,3,FALSE))</f>
        <v>1</v>
      </c>
      <c r="O101" s="38">
        <f>IFERROR(VLOOKUP($F101,bug_conf_sheet!$A:$H,4,FALSE),VLOOKUP("other",bug_conf_sheet!$A:$H,4,FALSE))</f>
        <v>0</v>
      </c>
      <c r="P101" s="38">
        <f>IFERROR(VLOOKUP($F101,bug_conf_sheet!$A:$H,5,FALSE),VLOOKUP("other",bug_conf_sheet!$A:$H,5,FALSE))</f>
        <v>0</v>
      </c>
      <c r="Q101" s="38">
        <f>IFERROR(VLOOKUP($F101,bug_conf_sheet!$A:$H,6,FALSE),VLOOKUP("other",bug_conf_sheet!$A:$H,6,FALSE))</f>
        <v>0</v>
      </c>
      <c r="R101" s="38">
        <f>IFERROR(VLOOKUP($F101,bug_conf_sheet!$A:$H,7,FALSE),VLOOKUP("other",bug_conf_sheet!$A:$H,7,FALSE))</f>
        <v>0</v>
      </c>
      <c r="S101" s="38">
        <f>IFERROR(VLOOKUP($F101,bug_conf_sheet!$A:$H,8,FALSE),VLOOKUP("other",bug_conf_sheet!$A:$H,8,FALSE))</f>
        <v>1</v>
      </c>
    </row>
    <row r="102" spans="1:19" ht="21" hidden="1" customHeight="1">
      <c r="A102" s="7" t="str">
        <f t="shared" si="5"/>
        <v>1881226</v>
      </c>
      <c r="B102" s="2" t="str">
        <f t="shared" si="6"/>
        <v>1881</v>
      </c>
      <c r="C102" s="8" t="str">
        <f t="shared" si="7"/>
        <v>1PremiumS3</v>
      </c>
      <c r="D102" s="8" t="str">
        <f t="shared" si="8"/>
        <v>1PremiumS3</v>
      </c>
      <c r="E102" s="10">
        <v>1</v>
      </c>
      <c r="F102" s="5">
        <v>226</v>
      </c>
      <c r="G102" s="8" t="str">
        <f>VLOOKUP(F102,[1]characters!$A:$C,3,FALSE)</f>
        <v>アレス</v>
      </c>
      <c r="H102" s="8" t="str">
        <f>VLOOKUP(F102,[1]characters!$A:$J,10,FALSE)</f>
        <v>PremiumS</v>
      </c>
      <c r="I102" s="8">
        <f>VLOOKUP(F102,[1]characters!$A:$I,9,FALSE)</f>
        <v>3</v>
      </c>
      <c r="J102" s="8" t="str">
        <f>VLOOKUP(F102,[1]characters!$A:$H,8,FALSE)</f>
        <v>red</v>
      </c>
      <c r="K102" s="8" t="str">
        <f>VLOOKUP(F102,[1]characters!$A:$K,11,FALSE)</f>
        <v>attack</v>
      </c>
      <c r="L102" s="8" t="str">
        <f>VLOOKUP(F102,[1]characters!$A:$M,13,FALSE)</f>
        <v>god</v>
      </c>
      <c r="M102" s="16">
        <f>VLOOKUP(D102,gacha_188_base!A:B,2,FALSE)</f>
        <v>11309</v>
      </c>
      <c r="N102" s="38">
        <f>IFERROR(VLOOKUP($F102,bug_conf_sheet!$A:$H,3,FALSE),VLOOKUP("other",bug_conf_sheet!$A:$H,3,FALSE))</f>
        <v>1</v>
      </c>
      <c r="O102" s="38">
        <f>IFERROR(VLOOKUP($F102,bug_conf_sheet!$A:$H,4,FALSE),VLOOKUP("other",bug_conf_sheet!$A:$H,4,FALSE))</f>
        <v>0</v>
      </c>
      <c r="P102" s="38">
        <f>IFERROR(VLOOKUP($F102,bug_conf_sheet!$A:$H,5,FALSE),VLOOKUP("other",bug_conf_sheet!$A:$H,5,FALSE))</f>
        <v>0</v>
      </c>
      <c r="Q102" s="38">
        <f>IFERROR(VLOOKUP($F102,bug_conf_sheet!$A:$H,6,FALSE),VLOOKUP("other",bug_conf_sheet!$A:$H,6,FALSE))</f>
        <v>0</v>
      </c>
      <c r="R102" s="38">
        <f>IFERROR(VLOOKUP($F102,bug_conf_sheet!$A:$H,7,FALSE),VLOOKUP("other",bug_conf_sheet!$A:$H,7,FALSE))</f>
        <v>0</v>
      </c>
      <c r="S102" s="38">
        <f>IFERROR(VLOOKUP($F102,bug_conf_sheet!$A:$H,8,FALSE),VLOOKUP("other",bug_conf_sheet!$A:$H,8,FALSE))</f>
        <v>1</v>
      </c>
    </row>
    <row r="103" spans="1:19" ht="21" hidden="1" customHeight="1">
      <c r="A103" s="7" t="str">
        <f t="shared" si="5"/>
        <v>1881227</v>
      </c>
      <c r="B103" s="2" t="str">
        <f t="shared" si="6"/>
        <v>1881</v>
      </c>
      <c r="C103" s="8" t="str">
        <f t="shared" si="7"/>
        <v>1PremiumS4</v>
      </c>
      <c r="D103" s="8" t="str">
        <f t="shared" si="8"/>
        <v>1PremiumS4</v>
      </c>
      <c r="E103" s="10">
        <v>1</v>
      </c>
      <c r="F103" s="5">
        <v>227</v>
      </c>
      <c r="G103" s="8" t="str">
        <f>VLOOKUP(F103,[1]characters!$A:$C,3,FALSE)</f>
        <v>滅弾 アレス</v>
      </c>
      <c r="H103" s="8" t="str">
        <f>VLOOKUP(F103,[1]characters!$A:$J,10,FALSE)</f>
        <v>PremiumS</v>
      </c>
      <c r="I103" s="8">
        <f>VLOOKUP(F103,[1]characters!$A:$I,9,FALSE)</f>
        <v>4</v>
      </c>
      <c r="J103" s="8" t="str">
        <f>VLOOKUP(F103,[1]characters!$A:$H,8,FALSE)</f>
        <v>red</v>
      </c>
      <c r="K103" s="8" t="str">
        <f>VLOOKUP(F103,[1]characters!$A:$K,11,FALSE)</f>
        <v>attack</v>
      </c>
      <c r="L103" s="8" t="str">
        <f>VLOOKUP(F103,[1]characters!$A:$M,13,FALSE)</f>
        <v>god</v>
      </c>
      <c r="M103" s="16">
        <f>VLOOKUP(D103,gacha_188_base!A:B,2,FALSE)</f>
        <v>2827</v>
      </c>
      <c r="N103" s="38">
        <f>IFERROR(VLOOKUP($F103,bug_conf_sheet!$A:$H,3,FALSE),VLOOKUP("other",bug_conf_sheet!$A:$H,3,FALSE))</f>
        <v>1</v>
      </c>
      <c r="O103" s="38">
        <f>IFERROR(VLOOKUP($F103,bug_conf_sheet!$A:$H,4,FALSE),VLOOKUP("other",bug_conf_sheet!$A:$H,4,FALSE))</f>
        <v>0</v>
      </c>
      <c r="P103" s="38">
        <f>IFERROR(VLOOKUP($F103,bug_conf_sheet!$A:$H,5,FALSE),VLOOKUP("other",bug_conf_sheet!$A:$H,5,FALSE))</f>
        <v>0</v>
      </c>
      <c r="Q103" s="38">
        <f>IFERROR(VLOOKUP($F103,bug_conf_sheet!$A:$H,6,FALSE),VLOOKUP("other",bug_conf_sheet!$A:$H,6,FALSE))</f>
        <v>0</v>
      </c>
      <c r="R103" s="38">
        <f>IFERROR(VLOOKUP($F103,bug_conf_sheet!$A:$H,7,FALSE),VLOOKUP("other",bug_conf_sheet!$A:$H,7,FALSE))</f>
        <v>0</v>
      </c>
      <c r="S103" s="38">
        <f>IFERROR(VLOOKUP($F103,bug_conf_sheet!$A:$H,8,FALSE),VLOOKUP("other",bug_conf_sheet!$A:$H,8,FALSE))</f>
        <v>1</v>
      </c>
    </row>
    <row r="104" spans="1:19" ht="21" customHeight="1">
      <c r="A104" s="7" t="str">
        <f t="shared" si="5"/>
        <v>1881228</v>
      </c>
      <c r="B104" s="2" t="str">
        <f t="shared" si="6"/>
        <v>1881</v>
      </c>
      <c r="C104" s="8" t="str">
        <f t="shared" si="7"/>
        <v>1PremiumS5</v>
      </c>
      <c r="D104" s="8" t="str">
        <f t="shared" si="8"/>
        <v>1PremiumS5</v>
      </c>
      <c r="E104" s="10">
        <v>1</v>
      </c>
      <c r="F104" s="5">
        <v>228</v>
      </c>
      <c r="G104" s="8" t="str">
        <f>VLOOKUP(F104,[1]characters!$A:$C,3,FALSE)</f>
        <v>殲滅の掃射砲 アレス</v>
      </c>
      <c r="H104" s="8" t="str">
        <f>VLOOKUP(F104,[1]characters!$A:$J,10,FALSE)</f>
        <v>PremiumS</v>
      </c>
      <c r="I104" s="8">
        <f>VLOOKUP(F104,[1]characters!$A:$I,9,FALSE)</f>
        <v>5</v>
      </c>
      <c r="J104" s="8" t="str">
        <f>VLOOKUP(F104,[1]characters!$A:$H,8,FALSE)</f>
        <v>red</v>
      </c>
      <c r="K104" s="8" t="str">
        <f>VLOOKUP(F104,[1]characters!$A:$K,11,FALSE)</f>
        <v>attack</v>
      </c>
      <c r="L104" s="8" t="str">
        <f>VLOOKUP(F104,[1]characters!$A:$M,13,FALSE)</f>
        <v>god</v>
      </c>
      <c r="M104" s="16">
        <f>VLOOKUP(D104,gacha_188_base!A:B,2,FALSE)</f>
        <v>942</v>
      </c>
      <c r="N104" s="38">
        <f>IFERROR(VLOOKUP($F104,bug_conf_sheet!$A:$H,3,FALSE),VLOOKUP("other",bug_conf_sheet!$A:$H,3,FALSE))</f>
        <v>1</v>
      </c>
      <c r="O104" s="38">
        <f>IFERROR(VLOOKUP($F104,bug_conf_sheet!$A:$H,4,FALSE),VLOOKUP("other",bug_conf_sheet!$A:$H,4,FALSE))</f>
        <v>0</v>
      </c>
      <c r="P104" s="38">
        <f>IFERROR(VLOOKUP($F104,bug_conf_sheet!$A:$H,5,FALSE),VLOOKUP("other",bug_conf_sheet!$A:$H,5,FALSE))</f>
        <v>0</v>
      </c>
      <c r="Q104" s="38">
        <f>IFERROR(VLOOKUP($F104,bug_conf_sheet!$A:$H,6,FALSE),VLOOKUP("other",bug_conf_sheet!$A:$H,6,FALSE))</f>
        <v>0</v>
      </c>
      <c r="R104" s="38">
        <f>IFERROR(VLOOKUP($F104,bug_conf_sheet!$A:$H,7,FALSE),VLOOKUP("other",bug_conf_sheet!$A:$H,7,FALSE))</f>
        <v>0</v>
      </c>
      <c r="S104" s="38">
        <f>IFERROR(VLOOKUP($F104,bug_conf_sheet!$A:$H,8,FALSE),VLOOKUP("other",bug_conf_sheet!$A:$H,8,FALSE))</f>
        <v>1</v>
      </c>
    </row>
    <row r="105" spans="1:19" ht="21" hidden="1" customHeight="1">
      <c r="A105" s="7" t="str">
        <f t="shared" si="5"/>
        <v>1881229</v>
      </c>
      <c r="B105" s="2" t="str">
        <f t="shared" si="6"/>
        <v>1881</v>
      </c>
      <c r="C105" s="8" t="str">
        <f t="shared" si="7"/>
        <v>1PremiumS3</v>
      </c>
      <c r="D105" s="8" t="str">
        <f t="shared" si="8"/>
        <v>1PremiumS3</v>
      </c>
      <c r="E105" s="10">
        <v>1</v>
      </c>
      <c r="F105" s="5">
        <v>229</v>
      </c>
      <c r="G105" s="8" t="str">
        <f>VLOOKUP(F105,[1]characters!$A:$C,3,FALSE)</f>
        <v>ヨルムンガンド</v>
      </c>
      <c r="H105" s="8" t="str">
        <f>VLOOKUP(F105,[1]characters!$A:$J,10,FALSE)</f>
        <v>PremiumS</v>
      </c>
      <c r="I105" s="8">
        <f>VLOOKUP(F105,[1]characters!$A:$I,9,FALSE)</f>
        <v>3</v>
      </c>
      <c r="J105" s="8" t="str">
        <f>VLOOKUP(F105,[1]characters!$A:$H,8,FALSE)</f>
        <v>green</v>
      </c>
      <c r="K105" s="8" t="str">
        <f>VLOOKUP(F105,[1]characters!$A:$K,11,FALSE)</f>
        <v>technical</v>
      </c>
      <c r="L105" s="8" t="str">
        <f>VLOOKUP(F105,[1]characters!$A:$M,13,FALSE)</f>
        <v>dragon</v>
      </c>
      <c r="M105" s="16">
        <f>VLOOKUP(D105,gacha_188_base!A:B,2,FALSE)</f>
        <v>11309</v>
      </c>
      <c r="N105" s="38">
        <f>IFERROR(VLOOKUP($F105,bug_conf_sheet!$A:$H,3,FALSE),VLOOKUP("other",bug_conf_sheet!$A:$H,3,FALSE))</f>
        <v>1</v>
      </c>
      <c r="O105" s="38">
        <f>IFERROR(VLOOKUP($F105,bug_conf_sheet!$A:$H,4,FALSE),VLOOKUP("other",bug_conf_sheet!$A:$H,4,FALSE))</f>
        <v>0</v>
      </c>
      <c r="P105" s="38">
        <f>IFERROR(VLOOKUP($F105,bug_conf_sheet!$A:$H,5,FALSE),VLOOKUP("other",bug_conf_sheet!$A:$H,5,FALSE))</f>
        <v>0</v>
      </c>
      <c r="Q105" s="38">
        <f>IFERROR(VLOOKUP($F105,bug_conf_sheet!$A:$H,6,FALSE),VLOOKUP("other",bug_conf_sheet!$A:$H,6,FALSE))</f>
        <v>0</v>
      </c>
      <c r="R105" s="38">
        <f>IFERROR(VLOOKUP($F105,bug_conf_sheet!$A:$H,7,FALSE),VLOOKUP("other",bug_conf_sheet!$A:$H,7,FALSE))</f>
        <v>0</v>
      </c>
      <c r="S105" s="38">
        <f>IFERROR(VLOOKUP($F105,bug_conf_sheet!$A:$H,8,FALSE),VLOOKUP("other",bug_conf_sheet!$A:$H,8,FALSE))</f>
        <v>1</v>
      </c>
    </row>
    <row r="106" spans="1:19" ht="21" hidden="1" customHeight="1">
      <c r="A106" s="7" t="str">
        <f t="shared" si="5"/>
        <v>1881230</v>
      </c>
      <c r="B106" s="2" t="str">
        <f t="shared" si="6"/>
        <v>1881</v>
      </c>
      <c r="C106" s="8" t="str">
        <f t="shared" si="7"/>
        <v>1PremiumS4</v>
      </c>
      <c r="D106" s="8" t="str">
        <f t="shared" si="8"/>
        <v>1PremiumS4</v>
      </c>
      <c r="E106" s="10">
        <v>1</v>
      </c>
      <c r="F106" s="5">
        <v>230</v>
      </c>
      <c r="G106" s="8" t="str">
        <f>VLOOKUP(F106,[1]characters!$A:$C,3,FALSE)</f>
        <v>毒銃 ヨルムンガンド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green</v>
      </c>
      <c r="K106" s="8" t="str">
        <f>VLOOKUP(F106,[1]characters!$A:$K,11,FALSE)</f>
        <v>technical</v>
      </c>
      <c r="L106" s="8" t="str">
        <f>VLOOKUP(F106,[1]characters!$A:$M,13,FALSE)</f>
        <v>dragon</v>
      </c>
      <c r="M106" s="16">
        <f>VLOOKUP(D106,gacha_188_base!A:B,2,FALSE)</f>
        <v>2827</v>
      </c>
      <c r="N106" s="38">
        <f>IFERROR(VLOOKUP($F106,bug_conf_sheet!$A:$H,3,FALSE),VLOOKUP("other",bug_conf_sheet!$A:$H,3,FALSE))</f>
        <v>1</v>
      </c>
      <c r="O106" s="38">
        <f>IFERROR(VLOOKUP($F106,bug_conf_sheet!$A:$H,4,FALSE),VLOOKUP("other",bug_conf_sheet!$A:$H,4,FALSE))</f>
        <v>0</v>
      </c>
      <c r="P106" s="38">
        <f>IFERROR(VLOOKUP($F106,bug_conf_sheet!$A:$H,5,FALSE),VLOOKUP("other",bug_conf_sheet!$A:$H,5,FALSE))</f>
        <v>0</v>
      </c>
      <c r="Q106" s="38">
        <f>IFERROR(VLOOKUP($F106,bug_conf_sheet!$A:$H,6,FALSE),VLOOKUP("other",bug_conf_sheet!$A:$H,6,FALSE))</f>
        <v>0</v>
      </c>
      <c r="R106" s="38">
        <f>IFERROR(VLOOKUP($F106,bug_conf_sheet!$A:$H,7,FALSE),VLOOKUP("other",bug_conf_sheet!$A:$H,7,FALSE))</f>
        <v>0</v>
      </c>
      <c r="S106" s="38">
        <f>IFERROR(VLOOKUP($F106,bug_conf_sheet!$A:$H,8,FALSE),VLOOKUP("other",bug_conf_sheet!$A:$H,8,FALSE))</f>
        <v>1</v>
      </c>
    </row>
    <row r="107" spans="1:19" ht="21" customHeight="1">
      <c r="A107" s="7" t="str">
        <f t="shared" si="5"/>
        <v>1881231</v>
      </c>
      <c r="B107" s="2" t="str">
        <f t="shared" si="6"/>
        <v>1881</v>
      </c>
      <c r="C107" s="8" t="str">
        <f t="shared" si="7"/>
        <v>1PremiumS5</v>
      </c>
      <c r="D107" s="8" t="str">
        <f t="shared" si="8"/>
        <v>1PremiumS5</v>
      </c>
      <c r="E107" s="10">
        <v>1</v>
      </c>
      <c r="F107" s="5">
        <v>231</v>
      </c>
      <c r="G107" s="8" t="str">
        <f>VLOOKUP(F107,[1]characters!$A:$C,3,FALSE)</f>
        <v>必中の咬銃 ヨルムンガンド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green</v>
      </c>
      <c r="K107" s="8" t="str">
        <f>VLOOKUP(F107,[1]characters!$A:$K,11,FALSE)</f>
        <v>technical</v>
      </c>
      <c r="L107" s="8" t="str">
        <f>VLOOKUP(F107,[1]characters!$A:$M,13,FALSE)</f>
        <v>dragon</v>
      </c>
      <c r="M107" s="16">
        <f>VLOOKUP(D107,gacha_188_base!A:B,2,FALSE)</f>
        <v>942</v>
      </c>
      <c r="N107" s="38">
        <f>IFERROR(VLOOKUP($F107,bug_conf_sheet!$A:$H,3,FALSE),VLOOKUP("other",bug_conf_sheet!$A:$H,3,FALSE))</f>
        <v>1</v>
      </c>
      <c r="O107" s="38">
        <f>IFERROR(VLOOKUP($F107,bug_conf_sheet!$A:$H,4,FALSE),VLOOKUP("other",bug_conf_sheet!$A:$H,4,FALSE))</f>
        <v>0</v>
      </c>
      <c r="P107" s="38">
        <f>IFERROR(VLOOKUP($F107,bug_conf_sheet!$A:$H,5,FALSE),VLOOKUP("other",bug_conf_sheet!$A:$H,5,FALSE))</f>
        <v>0</v>
      </c>
      <c r="Q107" s="38">
        <f>IFERROR(VLOOKUP($F107,bug_conf_sheet!$A:$H,6,FALSE),VLOOKUP("other",bug_conf_sheet!$A:$H,6,FALSE))</f>
        <v>0</v>
      </c>
      <c r="R107" s="38">
        <f>IFERROR(VLOOKUP($F107,bug_conf_sheet!$A:$H,7,FALSE),VLOOKUP("other",bug_conf_sheet!$A:$H,7,FALSE))</f>
        <v>0</v>
      </c>
      <c r="S107" s="38">
        <f>IFERROR(VLOOKUP($F107,bug_conf_sheet!$A:$H,8,FALSE),VLOOKUP("other",bug_conf_sheet!$A:$H,8,FALSE))</f>
        <v>1</v>
      </c>
    </row>
    <row r="108" spans="1:19" ht="21" hidden="1" customHeight="1">
      <c r="A108" s="7" t="str">
        <f t="shared" si="5"/>
        <v>1881232</v>
      </c>
      <c r="B108" s="2" t="str">
        <f t="shared" si="6"/>
        <v>1881</v>
      </c>
      <c r="C108" s="8" t="str">
        <f t="shared" si="7"/>
        <v>1PremiumS3</v>
      </c>
      <c r="D108" s="8" t="str">
        <f t="shared" si="8"/>
        <v>1PremiumS3</v>
      </c>
      <c r="E108" s="10">
        <v>1</v>
      </c>
      <c r="F108" s="5">
        <v>232</v>
      </c>
      <c r="G108" s="8" t="str">
        <f>VLOOKUP(F108,[1]characters!$A:$C,3,FALSE)</f>
        <v>パーシヴァル</v>
      </c>
      <c r="H108" s="8" t="str">
        <f>VLOOKUP(F108,[1]characters!$A:$J,10,FALSE)</f>
        <v>PremiumS</v>
      </c>
      <c r="I108" s="8">
        <f>VLOOKUP(F108,[1]characters!$A:$I,9,FALSE)</f>
        <v>3</v>
      </c>
      <c r="J108" s="8" t="str">
        <f>VLOOKUP(F108,[1]characters!$A:$H,8,FALSE)</f>
        <v>blue</v>
      </c>
      <c r="K108" s="8" t="str">
        <f>VLOOKUP(F108,[1]characters!$A:$K,11,FALSE)</f>
        <v>technical</v>
      </c>
      <c r="L108" s="8" t="str">
        <f>VLOOKUP(F108,[1]characters!$A:$M,13,FALSE)</f>
        <v>human</v>
      </c>
      <c r="M108" s="16">
        <f>VLOOKUP(D108,gacha_188_base!A:B,2,FALSE)</f>
        <v>11309</v>
      </c>
      <c r="N108" s="38">
        <f>IFERROR(VLOOKUP($F108,bug_conf_sheet!$A:$H,3,FALSE),VLOOKUP("other",bug_conf_sheet!$A:$H,3,FALSE))</f>
        <v>1</v>
      </c>
      <c r="O108" s="38">
        <f>IFERROR(VLOOKUP($F108,bug_conf_sheet!$A:$H,4,FALSE),VLOOKUP("other",bug_conf_sheet!$A:$H,4,FALSE))</f>
        <v>0</v>
      </c>
      <c r="P108" s="38">
        <f>IFERROR(VLOOKUP($F108,bug_conf_sheet!$A:$H,5,FALSE),VLOOKUP("other",bug_conf_sheet!$A:$H,5,FALSE))</f>
        <v>0</v>
      </c>
      <c r="Q108" s="38">
        <f>IFERROR(VLOOKUP($F108,bug_conf_sheet!$A:$H,6,FALSE),VLOOKUP("other",bug_conf_sheet!$A:$H,6,FALSE))</f>
        <v>0</v>
      </c>
      <c r="R108" s="38">
        <f>IFERROR(VLOOKUP($F108,bug_conf_sheet!$A:$H,7,FALSE),VLOOKUP("other",bug_conf_sheet!$A:$H,7,FALSE))</f>
        <v>0</v>
      </c>
      <c r="S108" s="38">
        <f>IFERROR(VLOOKUP($F108,bug_conf_sheet!$A:$H,8,FALSE),VLOOKUP("other",bug_conf_sheet!$A:$H,8,FALSE))</f>
        <v>1</v>
      </c>
    </row>
    <row r="109" spans="1:19" ht="21" hidden="1" customHeight="1">
      <c r="A109" s="7" t="str">
        <f t="shared" si="5"/>
        <v>1881233</v>
      </c>
      <c r="B109" s="2" t="str">
        <f t="shared" si="6"/>
        <v>1881</v>
      </c>
      <c r="C109" s="8" t="str">
        <f t="shared" si="7"/>
        <v>1PremiumS4</v>
      </c>
      <c r="D109" s="8" t="str">
        <f t="shared" si="8"/>
        <v>1PremiumS4</v>
      </c>
      <c r="E109" s="10">
        <v>1</v>
      </c>
      <c r="F109" s="5">
        <v>233</v>
      </c>
      <c r="G109" s="8" t="str">
        <f>VLOOKUP(F109,[1]characters!$A:$C,3,FALSE)</f>
        <v>遂行 パーシヴァル</v>
      </c>
      <c r="H109" s="8" t="str">
        <f>VLOOKUP(F109,[1]characters!$A:$J,10,FALSE)</f>
        <v>PremiumS</v>
      </c>
      <c r="I109" s="8">
        <f>VLOOKUP(F109,[1]characters!$A:$I,9,FALSE)</f>
        <v>4</v>
      </c>
      <c r="J109" s="8" t="str">
        <f>VLOOKUP(F109,[1]characters!$A:$H,8,FALSE)</f>
        <v>blue</v>
      </c>
      <c r="K109" s="8" t="str">
        <f>VLOOKUP(F109,[1]characters!$A:$K,11,FALSE)</f>
        <v>technical</v>
      </c>
      <c r="L109" s="8" t="str">
        <f>VLOOKUP(F109,[1]characters!$A:$M,13,FALSE)</f>
        <v>human</v>
      </c>
      <c r="M109" s="16">
        <f>VLOOKUP(D109,gacha_188_base!A:B,2,FALSE)</f>
        <v>2827</v>
      </c>
      <c r="N109" s="38">
        <f>IFERROR(VLOOKUP($F109,bug_conf_sheet!$A:$H,3,FALSE),VLOOKUP("other",bug_conf_sheet!$A:$H,3,FALSE))</f>
        <v>1</v>
      </c>
      <c r="O109" s="38">
        <f>IFERROR(VLOOKUP($F109,bug_conf_sheet!$A:$H,4,FALSE),VLOOKUP("other",bug_conf_sheet!$A:$H,4,FALSE))</f>
        <v>0</v>
      </c>
      <c r="P109" s="38">
        <f>IFERROR(VLOOKUP($F109,bug_conf_sheet!$A:$H,5,FALSE),VLOOKUP("other",bug_conf_sheet!$A:$H,5,FALSE))</f>
        <v>0</v>
      </c>
      <c r="Q109" s="38">
        <f>IFERROR(VLOOKUP($F109,bug_conf_sheet!$A:$H,6,FALSE),VLOOKUP("other",bug_conf_sheet!$A:$H,6,FALSE))</f>
        <v>0</v>
      </c>
      <c r="R109" s="38">
        <f>IFERROR(VLOOKUP($F109,bug_conf_sheet!$A:$H,7,FALSE),VLOOKUP("other",bug_conf_sheet!$A:$H,7,FALSE))</f>
        <v>0</v>
      </c>
      <c r="S109" s="38">
        <f>IFERROR(VLOOKUP($F109,bug_conf_sheet!$A:$H,8,FALSE),VLOOKUP("other",bug_conf_sheet!$A:$H,8,FALSE))</f>
        <v>1</v>
      </c>
    </row>
    <row r="110" spans="1:19" ht="21" customHeight="1">
      <c r="A110" s="7" t="str">
        <f t="shared" si="5"/>
        <v>1881234</v>
      </c>
      <c r="B110" s="2" t="str">
        <f t="shared" si="6"/>
        <v>1881</v>
      </c>
      <c r="C110" s="8" t="str">
        <f t="shared" si="7"/>
        <v>1PremiumS5</v>
      </c>
      <c r="D110" s="8" t="str">
        <f t="shared" si="8"/>
        <v>1PremiumS5</v>
      </c>
      <c r="E110" s="10">
        <v>1</v>
      </c>
      <c r="F110" s="5">
        <v>234</v>
      </c>
      <c r="G110" s="8" t="str">
        <f>VLOOKUP(F110,[1]characters!$A:$C,3,FALSE)</f>
        <v>精密なる照準 パーシヴァル</v>
      </c>
      <c r="H110" s="8" t="str">
        <f>VLOOKUP(F110,[1]characters!$A:$J,10,FALSE)</f>
        <v>PremiumS</v>
      </c>
      <c r="I110" s="8">
        <f>VLOOKUP(F110,[1]characters!$A:$I,9,FALSE)</f>
        <v>5</v>
      </c>
      <c r="J110" s="8" t="str">
        <f>VLOOKUP(F110,[1]characters!$A:$H,8,FALSE)</f>
        <v>blue</v>
      </c>
      <c r="K110" s="8" t="str">
        <f>VLOOKUP(F110,[1]characters!$A:$K,11,FALSE)</f>
        <v>technical</v>
      </c>
      <c r="L110" s="8" t="str">
        <f>VLOOKUP(F110,[1]characters!$A:$M,13,FALSE)</f>
        <v>human</v>
      </c>
      <c r="M110" s="16">
        <f>VLOOKUP(D110,gacha_188_base!A:B,2,FALSE)</f>
        <v>942</v>
      </c>
      <c r="N110" s="38">
        <f>IFERROR(VLOOKUP($F110,bug_conf_sheet!$A:$H,3,FALSE),VLOOKUP("other",bug_conf_sheet!$A:$H,3,FALSE))</f>
        <v>1</v>
      </c>
      <c r="O110" s="38">
        <f>IFERROR(VLOOKUP($F110,bug_conf_sheet!$A:$H,4,FALSE),VLOOKUP("other",bug_conf_sheet!$A:$H,4,FALSE))</f>
        <v>0</v>
      </c>
      <c r="P110" s="38">
        <f>IFERROR(VLOOKUP($F110,bug_conf_sheet!$A:$H,5,FALSE),VLOOKUP("other",bug_conf_sheet!$A:$H,5,FALSE))</f>
        <v>0</v>
      </c>
      <c r="Q110" s="38">
        <f>IFERROR(VLOOKUP($F110,bug_conf_sheet!$A:$H,6,FALSE),VLOOKUP("other",bug_conf_sheet!$A:$H,6,FALSE))</f>
        <v>0</v>
      </c>
      <c r="R110" s="38">
        <f>IFERROR(VLOOKUP($F110,bug_conf_sheet!$A:$H,7,FALSE),VLOOKUP("other",bug_conf_sheet!$A:$H,7,FALSE))</f>
        <v>0</v>
      </c>
      <c r="S110" s="38">
        <f>IFERROR(VLOOKUP($F110,bug_conf_sheet!$A:$H,8,FALSE),VLOOKUP("other",bug_conf_sheet!$A:$H,8,FALSE))</f>
        <v>1</v>
      </c>
    </row>
    <row r="111" spans="1:19" ht="21" hidden="1" customHeight="1">
      <c r="A111" s="7" t="str">
        <f t="shared" si="5"/>
        <v>1881235</v>
      </c>
      <c r="B111" s="2" t="str">
        <f t="shared" si="6"/>
        <v>1881</v>
      </c>
      <c r="C111" s="8" t="str">
        <f t="shared" si="7"/>
        <v>1PremiumS3</v>
      </c>
      <c r="D111" s="8" t="str">
        <f t="shared" si="8"/>
        <v>1PremiumS3</v>
      </c>
      <c r="E111" s="10">
        <v>1</v>
      </c>
      <c r="F111" s="5">
        <v>235</v>
      </c>
      <c r="G111" s="8" t="str">
        <f>VLOOKUP(F111,[1]characters!$A:$C,3,FALSE)</f>
        <v>イザナミ</v>
      </c>
      <c r="H111" s="8" t="str">
        <f>VLOOKUP(F111,[1]characters!$A:$J,10,FALSE)</f>
        <v>PremiumS</v>
      </c>
      <c r="I111" s="8">
        <f>VLOOKUP(F111,[1]characters!$A:$I,9,FALSE)</f>
        <v>3</v>
      </c>
      <c r="J111" s="8" t="str">
        <f>VLOOKUP(F111,[1]characters!$A:$H,8,FALSE)</f>
        <v>yellow</v>
      </c>
      <c r="K111" s="8" t="str">
        <f>VLOOKUP(F111,[1]characters!$A:$K,11,FALSE)</f>
        <v>attack</v>
      </c>
      <c r="L111" s="8" t="str">
        <f>VLOOKUP(F111,[1]characters!$A:$M,13,FALSE)</f>
        <v>god</v>
      </c>
      <c r="M111" s="16">
        <f>VLOOKUP(D111,gacha_188_base!A:B,2,FALSE)</f>
        <v>11309</v>
      </c>
      <c r="N111" s="38">
        <f>IFERROR(VLOOKUP($F111,bug_conf_sheet!$A:$H,3,FALSE),VLOOKUP("other",bug_conf_sheet!$A:$H,3,FALSE))</f>
        <v>1</v>
      </c>
      <c r="O111" s="38">
        <f>IFERROR(VLOOKUP($F111,bug_conf_sheet!$A:$H,4,FALSE),VLOOKUP("other",bug_conf_sheet!$A:$H,4,FALSE))</f>
        <v>0</v>
      </c>
      <c r="P111" s="38">
        <f>IFERROR(VLOOKUP($F111,bug_conf_sheet!$A:$H,5,FALSE),VLOOKUP("other",bug_conf_sheet!$A:$H,5,FALSE))</f>
        <v>0</v>
      </c>
      <c r="Q111" s="38">
        <f>IFERROR(VLOOKUP($F111,bug_conf_sheet!$A:$H,6,FALSE),VLOOKUP("other",bug_conf_sheet!$A:$H,6,FALSE))</f>
        <v>0</v>
      </c>
      <c r="R111" s="38">
        <f>IFERROR(VLOOKUP($F111,bug_conf_sheet!$A:$H,7,FALSE),VLOOKUP("other",bug_conf_sheet!$A:$H,7,FALSE))</f>
        <v>0</v>
      </c>
      <c r="S111" s="38">
        <f>IFERROR(VLOOKUP($F111,bug_conf_sheet!$A:$H,8,FALSE),VLOOKUP("other",bug_conf_sheet!$A:$H,8,FALSE))</f>
        <v>1</v>
      </c>
    </row>
    <row r="112" spans="1:19" ht="21" hidden="1" customHeight="1">
      <c r="A112" s="7" t="str">
        <f t="shared" si="5"/>
        <v>1881236</v>
      </c>
      <c r="B112" s="2" t="str">
        <f t="shared" si="6"/>
        <v>1881</v>
      </c>
      <c r="C112" s="8" t="str">
        <f t="shared" si="7"/>
        <v>1PremiumS4</v>
      </c>
      <c r="D112" s="8" t="str">
        <f t="shared" si="8"/>
        <v>1PremiumS4</v>
      </c>
      <c r="E112" s="10">
        <v>1</v>
      </c>
      <c r="F112" s="5">
        <v>236</v>
      </c>
      <c r="G112" s="8" t="str">
        <f>VLOOKUP(F112,[1]characters!$A:$C,3,FALSE)</f>
        <v>神産 イザナミ</v>
      </c>
      <c r="H112" s="8" t="str">
        <f>VLOOKUP(F112,[1]characters!$A:$J,10,FALSE)</f>
        <v>PremiumS</v>
      </c>
      <c r="I112" s="8">
        <f>VLOOKUP(F112,[1]characters!$A:$I,9,FALSE)</f>
        <v>4</v>
      </c>
      <c r="J112" s="8" t="str">
        <f>VLOOKUP(F112,[1]characters!$A:$H,8,FALSE)</f>
        <v>yellow</v>
      </c>
      <c r="K112" s="8" t="str">
        <f>VLOOKUP(F112,[1]characters!$A:$K,11,FALSE)</f>
        <v>attack</v>
      </c>
      <c r="L112" s="8" t="str">
        <f>VLOOKUP(F112,[1]characters!$A:$M,13,FALSE)</f>
        <v>god</v>
      </c>
      <c r="M112" s="16">
        <f>VLOOKUP(D112,gacha_188_base!A:B,2,FALSE)</f>
        <v>2827</v>
      </c>
      <c r="N112" s="38">
        <f>IFERROR(VLOOKUP($F112,bug_conf_sheet!$A:$H,3,FALSE),VLOOKUP("other",bug_conf_sheet!$A:$H,3,FALSE))</f>
        <v>1</v>
      </c>
      <c r="O112" s="38">
        <f>IFERROR(VLOOKUP($F112,bug_conf_sheet!$A:$H,4,FALSE),VLOOKUP("other",bug_conf_sheet!$A:$H,4,FALSE))</f>
        <v>0</v>
      </c>
      <c r="P112" s="38">
        <f>IFERROR(VLOOKUP($F112,bug_conf_sheet!$A:$H,5,FALSE),VLOOKUP("other",bug_conf_sheet!$A:$H,5,FALSE))</f>
        <v>0</v>
      </c>
      <c r="Q112" s="38">
        <f>IFERROR(VLOOKUP($F112,bug_conf_sheet!$A:$H,6,FALSE),VLOOKUP("other",bug_conf_sheet!$A:$H,6,FALSE))</f>
        <v>0</v>
      </c>
      <c r="R112" s="38">
        <f>IFERROR(VLOOKUP($F112,bug_conf_sheet!$A:$H,7,FALSE),VLOOKUP("other",bug_conf_sheet!$A:$H,7,FALSE))</f>
        <v>0</v>
      </c>
      <c r="S112" s="38">
        <f>IFERROR(VLOOKUP($F112,bug_conf_sheet!$A:$H,8,FALSE),VLOOKUP("other",bug_conf_sheet!$A:$H,8,FALSE))</f>
        <v>1</v>
      </c>
    </row>
    <row r="113" spans="1:19" ht="21" customHeight="1">
      <c r="A113" s="7" t="str">
        <f t="shared" si="5"/>
        <v>1881237</v>
      </c>
      <c r="B113" s="2" t="str">
        <f t="shared" si="6"/>
        <v>1881</v>
      </c>
      <c r="C113" s="8" t="str">
        <f t="shared" si="7"/>
        <v>1PremiumS5</v>
      </c>
      <c r="D113" s="8" t="str">
        <f t="shared" si="8"/>
        <v>1PremiumS5</v>
      </c>
      <c r="E113" s="10">
        <v>1</v>
      </c>
      <c r="F113" s="5">
        <v>237</v>
      </c>
      <c r="G113" s="8" t="str">
        <f>VLOOKUP(F113,[1]characters!$A:$C,3,FALSE)</f>
        <v>森羅万象の神母 イザナミ</v>
      </c>
      <c r="H113" s="8" t="str">
        <f>VLOOKUP(F113,[1]characters!$A:$J,10,FALSE)</f>
        <v>PremiumS</v>
      </c>
      <c r="I113" s="8">
        <f>VLOOKUP(F113,[1]characters!$A:$I,9,FALSE)</f>
        <v>5</v>
      </c>
      <c r="J113" s="8" t="str">
        <f>VLOOKUP(F113,[1]characters!$A:$H,8,FALSE)</f>
        <v>yellow</v>
      </c>
      <c r="K113" s="8" t="str">
        <f>VLOOKUP(F113,[1]characters!$A:$K,11,FALSE)</f>
        <v>attack</v>
      </c>
      <c r="L113" s="8" t="str">
        <f>VLOOKUP(F113,[1]characters!$A:$M,13,FALSE)</f>
        <v>god</v>
      </c>
      <c r="M113" s="16">
        <f>VLOOKUP(D113,gacha_188_base!A:B,2,FALSE)</f>
        <v>942</v>
      </c>
      <c r="N113" s="38">
        <f>IFERROR(VLOOKUP($F113,bug_conf_sheet!$A:$H,3,FALSE),VLOOKUP("other",bug_conf_sheet!$A:$H,3,FALSE))</f>
        <v>1</v>
      </c>
      <c r="O113" s="38">
        <f>IFERROR(VLOOKUP($F113,bug_conf_sheet!$A:$H,4,FALSE),VLOOKUP("other",bug_conf_sheet!$A:$H,4,FALSE))</f>
        <v>0</v>
      </c>
      <c r="P113" s="38">
        <f>IFERROR(VLOOKUP($F113,bug_conf_sheet!$A:$H,5,FALSE),VLOOKUP("other",bug_conf_sheet!$A:$H,5,FALSE))</f>
        <v>0</v>
      </c>
      <c r="Q113" s="38">
        <f>IFERROR(VLOOKUP($F113,bug_conf_sheet!$A:$H,6,FALSE),VLOOKUP("other",bug_conf_sheet!$A:$H,6,FALSE))</f>
        <v>0</v>
      </c>
      <c r="R113" s="38">
        <f>IFERROR(VLOOKUP($F113,bug_conf_sheet!$A:$H,7,FALSE),VLOOKUP("other",bug_conf_sheet!$A:$H,7,FALSE))</f>
        <v>0</v>
      </c>
      <c r="S113" s="38">
        <f>IFERROR(VLOOKUP($F113,bug_conf_sheet!$A:$H,8,FALSE),VLOOKUP("other",bug_conf_sheet!$A:$H,8,FALSE))</f>
        <v>1</v>
      </c>
    </row>
    <row r="114" spans="1:19" ht="21" hidden="1" customHeight="1">
      <c r="A114" s="7" t="str">
        <f t="shared" si="5"/>
        <v>1881238</v>
      </c>
      <c r="B114" s="2" t="str">
        <f t="shared" si="6"/>
        <v>1881</v>
      </c>
      <c r="C114" s="8" t="str">
        <f t="shared" si="7"/>
        <v>1PremiumS3</v>
      </c>
      <c r="D114" s="8" t="str">
        <f t="shared" si="8"/>
        <v>1PremiumS3</v>
      </c>
      <c r="E114" s="10">
        <v>1</v>
      </c>
      <c r="F114" s="5">
        <v>238</v>
      </c>
      <c r="G114" s="8" t="str">
        <f>VLOOKUP(F114,[1]characters!$A:$C,3,FALSE)</f>
        <v>ウリエル</v>
      </c>
      <c r="H114" s="8" t="str">
        <f>VLOOKUP(F114,[1]characters!$A:$J,10,FALSE)</f>
        <v>PremiumS</v>
      </c>
      <c r="I114" s="8">
        <f>VLOOKUP(F114,[1]characters!$A:$I,9,FALSE)</f>
        <v>3</v>
      </c>
      <c r="J114" s="8" t="str">
        <f>VLOOKUP(F114,[1]characters!$A:$H,8,FALSE)</f>
        <v>red</v>
      </c>
      <c r="K114" s="8" t="str">
        <f>VLOOKUP(F114,[1]characters!$A:$K,11,FALSE)</f>
        <v>hp</v>
      </c>
      <c r="L114" s="8" t="str">
        <f>VLOOKUP(F114,[1]characters!$A:$M,13,FALSE)</f>
        <v>machine</v>
      </c>
      <c r="M114" s="16">
        <f>VLOOKUP(D114,gacha_188_base!A:B,2,FALSE)</f>
        <v>11309</v>
      </c>
      <c r="N114" s="38">
        <f>IFERROR(VLOOKUP($F114,bug_conf_sheet!$A:$H,3,FALSE),VLOOKUP("other",bug_conf_sheet!$A:$H,3,FALSE))</f>
        <v>1</v>
      </c>
      <c r="O114" s="38">
        <f>IFERROR(VLOOKUP($F114,bug_conf_sheet!$A:$H,4,FALSE),VLOOKUP("other",bug_conf_sheet!$A:$H,4,FALSE))</f>
        <v>0</v>
      </c>
      <c r="P114" s="38">
        <f>IFERROR(VLOOKUP($F114,bug_conf_sheet!$A:$H,5,FALSE),VLOOKUP("other",bug_conf_sheet!$A:$H,5,FALSE))</f>
        <v>0</v>
      </c>
      <c r="Q114" s="38">
        <f>IFERROR(VLOOKUP($F114,bug_conf_sheet!$A:$H,6,FALSE),VLOOKUP("other",bug_conf_sheet!$A:$H,6,FALSE))</f>
        <v>0</v>
      </c>
      <c r="R114" s="38">
        <f>IFERROR(VLOOKUP($F114,bug_conf_sheet!$A:$H,7,FALSE),VLOOKUP("other",bug_conf_sheet!$A:$H,7,FALSE))</f>
        <v>0</v>
      </c>
      <c r="S114" s="38">
        <f>IFERROR(VLOOKUP($F114,bug_conf_sheet!$A:$H,8,FALSE),VLOOKUP("other",bug_conf_sheet!$A:$H,8,FALSE))</f>
        <v>1</v>
      </c>
    </row>
    <row r="115" spans="1:19" ht="21" hidden="1" customHeight="1">
      <c r="A115" s="7" t="str">
        <f t="shared" si="5"/>
        <v>1881239</v>
      </c>
      <c r="B115" s="2" t="str">
        <f t="shared" si="6"/>
        <v>1881</v>
      </c>
      <c r="C115" s="8" t="str">
        <f t="shared" si="7"/>
        <v>1PremiumS4</v>
      </c>
      <c r="D115" s="8" t="str">
        <f t="shared" si="8"/>
        <v>1PremiumS4</v>
      </c>
      <c r="E115" s="10">
        <v>1</v>
      </c>
      <c r="F115" s="5">
        <v>239</v>
      </c>
      <c r="G115" s="8" t="str">
        <f>VLOOKUP(F115,[1]characters!$A:$C,3,FALSE)</f>
        <v>豪炎の天使 ウリエル</v>
      </c>
      <c r="H115" s="8" t="str">
        <f>VLOOKUP(F115,[1]characters!$A:$J,10,FALSE)</f>
        <v>PremiumS</v>
      </c>
      <c r="I115" s="8">
        <f>VLOOKUP(F115,[1]characters!$A:$I,9,FALSE)</f>
        <v>4</v>
      </c>
      <c r="J115" s="8" t="str">
        <f>VLOOKUP(F115,[1]characters!$A:$H,8,FALSE)</f>
        <v>red</v>
      </c>
      <c r="K115" s="8" t="str">
        <f>VLOOKUP(F115,[1]characters!$A:$K,11,FALSE)</f>
        <v>hp</v>
      </c>
      <c r="L115" s="8" t="str">
        <f>VLOOKUP(F115,[1]characters!$A:$M,13,FALSE)</f>
        <v>machine</v>
      </c>
      <c r="M115" s="16">
        <f>VLOOKUP(D115,gacha_188_base!A:B,2,FALSE)</f>
        <v>2827</v>
      </c>
      <c r="N115" s="38">
        <f>IFERROR(VLOOKUP($F115,bug_conf_sheet!$A:$H,3,FALSE),VLOOKUP("other",bug_conf_sheet!$A:$H,3,FALSE))</f>
        <v>1</v>
      </c>
      <c r="O115" s="38">
        <f>IFERROR(VLOOKUP($F115,bug_conf_sheet!$A:$H,4,FALSE),VLOOKUP("other",bug_conf_sheet!$A:$H,4,FALSE))</f>
        <v>0</v>
      </c>
      <c r="P115" s="38">
        <f>IFERROR(VLOOKUP($F115,bug_conf_sheet!$A:$H,5,FALSE),VLOOKUP("other",bug_conf_sheet!$A:$H,5,FALSE))</f>
        <v>0</v>
      </c>
      <c r="Q115" s="38">
        <f>IFERROR(VLOOKUP($F115,bug_conf_sheet!$A:$H,6,FALSE),VLOOKUP("other",bug_conf_sheet!$A:$H,6,FALSE))</f>
        <v>0</v>
      </c>
      <c r="R115" s="38">
        <f>IFERROR(VLOOKUP($F115,bug_conf_sheet!$A:$H,7,FALSE),VLOOKUP("other",bug_conf_sheet!$A:$H,7,FALSE))</f>
        <v>0</v>
      </c>
      <c r="S115" s="38">
        <f>IFERROR(VLOOKUP($F115,bug_conf_sheet!$A:$H,8,FALSE),VLOOKUP("other",bug_conf_sheet!$A:$H,8,FALSE))</f>
        <v>1</v>
      </c>
    </row>
    <row r="116" spans="1:19" ht="21" customHeight="1">
      <c r="A116" s="7" t="str">
        <f t="shared" si="5"/>
        <v>1881240</v>
      </c>
      <c r="B116" s="2" t="str">
        <f t="shared" si="6"/>
        <v>1881</v>
      </c>
      <c r="C116" s="8" t="str">
        <f t="shared" si="7"/>
        <v>1PremiumS5</v>
      </c>
      <c r="D116" s="8" t="str">
        <f t="shared" si="8"/>
        <v>1PremiumS5</v>
      </c>
      <c r="E116" s="10">
        <v>1</v>
      </c>
      <c r="F116" s="5">
        <v>240</v>
      </c>
      <c r="G116" s="8" t="str">
        <f>VLOOKUP(F116,[1]characters!$A:$C,3,FALSE)</f>
        <v>轟炎の天使 ウリエル・スレイヤー</v>
      </c>
      <c r="H116" s="8" t="str">
        <f>VLOOKUP(F116,[1]characters!$A:$J,10,FALSE)</f>
        <v>PremiumS</v>
      </c>
      <c r="I116" s="8">
        <f>VLOOKUP(F116,[1]characters!$A:$I,9,FALSE)</f>
        <v>5</v>
      </c>
      <c r="J116" s="8" t="str">
        <f>VLOOKUP(F116,[1]characters!$A:$H,8,FALSE)</f>
        <v>red</v>
      </c>
      <c r="K116" s="8" t="str">
        <f>VLOOKUP(F116,[1]characters!$A:$K,11,FALSE)</f>
        <v>hp</v>
      </c>
      <c r="L116" s="8" t="str">
        <f>VLOOKUP(F116,[1]characters!$A:$M,13,FALSE)</f>
        <v>machine</v>
      </c>
      <c r="M116" s="16">
        <f>VLOOKUP(D116,gacha_188_base!A:B,2,FALSE)</f>
        <v>942</v>
      </c>
      <c r="N116" s="38">
        <f>IFERROR(VLOOKUP($F116,bug_conf_sheet!$A:$H,3,FALSE),VLOOKUP("other",bug_conf_sheet!$A:$H,3,FALSE))</f>
        <v>1</v>
      </c>
      <c r="O116" s="38">
        <f>IFERROR(VLOOKUP($F116,bug_conf_sheet!$A:$H,4,FALSE),VLOOKUP("other",bug_conf_sheet!$A:$H,4,FALSE))</f>
        <v>0</v>
      </c>
      <c r="P116" s="38">
        <f>IFERROR(VLOOKUP($F116,bug_conf_sheet!$A:$H,5,FALSE),VLOOKUP("other",bug_conf_sheet!$A:$H,5,FALSE))</f>
        <v>0</v>
      </c>
      <c r="Q116" s="38">
        <f>IFERROR(VLOOKUP($F116,bug_conf_sheet!$A:$H,6,FALSE),VLOOKUP("other",bug_conf_sheet!$A:$H,6,FALSE))</f>
        <v>0</v>
      </c>
      <c r="R116" s="38">
        <f>IFERROR(VLOOKUP($F116,bug_conf_sheet!$A:$H,7,FALSE),VLOOKUP("other",bug_conf_sheet!$A:$H,7,FALSE))</f>
        <v>0</v>
      </c>
      <c r="S116" s="38">
        <f>IFERROR(VLOOKUP($F116,bug_conf_sheet!$A:$H,8,FALSE),VLOOKUP("other",bug_conf_sheet!$A:$H,8,FALSE))</f>
        <v>1</v>
      </c>
    </row>
    <row r="117" spans="1:19" ht="21" hidden="1" customHeight="1">
      <c r="A117" s="7" t="str">
        <f t="shared" si="5"/>
        <v>1881241</v>
      </c>
      <c r="B117" s="2" t="str">
        <f t="shared" si="6"/>
        <v>1881</v>
      </c>
      <c r="C117" s="8" t="str">
        <f t="shared" si="7"/>
        <v>1PremiumS3</v>
      </c>
      <c r="D117" s="8" t="str">
        <f t="shared" si="8"/>
        <v>1PremiumS3</v>
      </c>
      <c r="E117" s="10">
        <v>1</v>
      </c>
      <c r="F117" s="5">
        <v>241</v>
      </c>
      <c r="G117" s="8" t="str">
        <f>VLOOKUP(F117,[1]characters!$A:$C,3,FALSE)</f>
        <v>ガブリエル</v>
      </c>
      <c r="H117" s="8" t="str">
        <f>VLOOKUP(F117,[1]characters!$A:$J,10,FALSE)</f>
        <v>PremiumS</v>
      </c>
      <c r="I117" s="8">
        <f>VLOOKUP(F117,[1]characters!$A:$I,9,FALSE)</f>
        <v>3</v>
      </c>
      <c r="J117" s="8" t="str">
        <f>VLOOKUP(F117,[1]characters!$A:$H,8,FALSE)</f>
        <v>green</v>
      </c>
      <c r="K117" s="8" t="str">
        <f>VLOOKUP(F117,[1]characters!$A:$K,11,FALSE)</f>
        <v>balance</v>
      </c>
      <c r="L117" s="8" t="str">
        <f>VLOOKUP(F117,[1]characters!$A:$M,13,FALSE)</f>
        <v>machine</v>
      </c>
      <c r="M117" s="16">
        <f>VLOOKUP(D117,gacha_188_base!A:B,2,FALSE)</f>
        <v>11309</v>
      </c>
      <c r="N117" s="38">
        <f>IFERROR(VLOOKUP($F117,bug_conf_sheet!$A:$H,3,FALSE),VLOOKUP("other",bug_conf_sheet!$A:$H,3,FALSE))</f>
        <v>1</v>
      </c>
      <c r="O117" s="38">
        <f>IFERROR(VLOOKUP($F117,bug_conf_sheet!$A:$H,4,FALSE),VLOOKUP("other",bug_conf_sheet!$A:$H,4,FALSE))</f>
        <v>0</v>
      </c>
      <c r="P117" s="38">
        <f>IFERROR(VLOOKUP($F117,bug_conf_sheet!$A:$H,5,FALSE),VLOOKUP("other",bug_conf_sheet!$A:$H,5,FALSE))</f>
        <v>0</v>
      </c>
      <c r="Q117" s="38">
        <f>IFERROR(VLOOKUP($F117,bug_conf_sheet!$A:$H,6,FALSE),VLOOKUP("other",bug_conf_sheet!$A:$H,6,FALSE))</f>
        <v>0</v>
      </c>
      <c r="R117" s="38">
        <f>IFERROR(VLOOKUP($F117,bug_conf_sheet!$A:$H,7,FALSE),VLOOKUP("other",bug_conf_sheet!$A:$H,7,FALSE))</f>
        <v>0</v>
      </c>
      <c r="S117" s="38">
        <f>IFERROR(VLOOKUP($F117,bug_conf_sheet!$A:$H,8,FALSE),VLOOKUP("other",bug_conf_sheet!$A:$H,8,FALSE))</f>
        <v>1</v>
      </c>
    </row>
    <row r="118" spans="1:19" ht="21" hidden="1" customHeight="1">
      <c r="A118" s="7" t="str">
        <f t="shared" si="5"/>
        <v>1881242</v>
      </c>
      <c r="B118" s="2" t="str">
        <f t="shared" si="6"/>
        <v>1881</v>
      </c>
      <c r="C118" s="8" t="str">
        <f t="shared" si="7"/>
        <v>1PremiumS4</v>
      </c>
      <c r="D118" s="8" t="str">
        <f t="shared" si="8"/>
        <v>1PremiumS4</v>
      </c>
      <c r="E118" s="10">
        <v>1</v>
      </c>
      <c r="F118" s="5">
        <v>242</v>
      </c>
      <c r="G118" s="8" t="str">
        <f>VLOOKUP(F118,[1]characters!$A:$C,3,FALSE)</f>
        <v>百花の天使 ガブリエル</v>
      </c>
      <c r="H118" s="8" t="str">
        <f>VLOOKUP(F118,[1]characters!$A:$J,10,FALSE)</f>
        <v>PremiumS</v>
      </c>
      <c r="I118" s="8">
        <f>VLOOKUP(F118,[1]characters!$A:$I,9,FALSE)</f>
        <v>4</v>
      </c>
      <c r="J118" s="8" t="str">
        <f>VLOOKUP(F118,[1]characters!$A:$H,8,FALSE)</f>
        <v>green</v>
      </c>
      <c r="K118" s="8" t="str">
        <f>VLOOKUP(F118,[1]characters!$A:$K,11,FALSE)</f>
        <v>balance</v>
      </c>
      <c r="L118" s="8" t="str">
        <f>VLOOKUP(F118,[1]characters!$A:$M,13,FALSE)</f>
        <v>machine</v>
      </c>
      <c r="M118" s="16">
        <f>VLOOKUP(D118,gacha_188_base!A:B,2,FALSE)</f>
        <v>2827</v>
      </c>
      <c r="N118" s="38">
        <f>IFERROR(VLOOKUP($F118,bug_conf_sheet!$A:$H,3,FALSE),VLOOKUP("other",bug_conf_sheet!$A:$H,3,FALSE))</f>
        <v>1</v>
      </c>
      <c r="O118" s="38">
        <f>IFERROR(VLOOKUP($F118,bug_conf_sheet!$A:$H,4,FALSE),VLOOKUP("other",bug_conf_sheet!$A:$H,4,FALSE))</f>
        <v>0</v>
      </c>
      <c r="P118" s="38">
        <f>IFERROR(VLOOKUP($F118,bug_conf_sheet!$A:$H,5,FALSE),VLOOKUP("other",bug_conf_sheet!$A:$H,5,FALSE))</f>
        <v>0</v>
      </c>
      <c r="Q118" s="38">
        <f>IFERROR(VLOOKUP($F118,bug_conf_sheet!$A:$H,6,FALSE),VLOOKUP("other",bug_conf_sheet!$A:$H,6,FALSE))</f>
        <v>0</v>
      </c>
      <c r="R118" s="38">
        <f>IFERROR(VLOOKUP($F118,bug_conf_sheet!$A:$H,7,FALSE),VLOOKUP("other",bug_conf_sheet!$A:$H,7,FALSE))</f>
        <v>0</v>
      </c>
      <c r="S118" s="38">
        <f>IFERROR(VLOOKUP($F118,bug_conf_sheet!$A:$H,8,FALSE),VLOOKUP("other",bug_conf_sheet!$A:$H,8,FALSE))</f>
        <v>1</v>
      </c>
    </row>
    <row r="119" spans="1:19" ht="21" customHeight="1">
      <c r="A119" s="7" t="str">
        <f t="shared" si="5"/>
        <v>1881243</v>
      </c>
      <c r="B119" s="2" t="str">
        <f t="shared" si="6"/>
        <v>1881</v>
      </c>
      <c r="C119" s="8" t="str">
        <f t="shared" si="7"/>
        <v>1PremiumS5</v>
      </c>
      <c r="D119" s="8" t="str">
        <f t="shared" si="8"/>
        <v>1PremiumS5</v>
      </c>
      <c r="E119" s="10">
        <v>1</v>
      </c>
      <c r="F119" s="5">
        <v>243</v>
      </c>
      <c r="G119" s="8" t="str">
        <f>VLOOKUP(F119,[1]characters!$A:$C,3,FALSE)</f>
        <v>万花の天使 ガブリエル・ブルーム</v>
      </c>
      <c r="H119" s="8" t="str">
        <f>VLOOKUP(F119,[1]characters!$A:$J,10,FALSE)</f>
        <v>PremiumS</v>
      </c>
      <c r="I119" s="8">
        <f>VLOOKUP(F119,[1]characters!$A:$I,9,FALSE)</f>
        <v>5</v>
      </c>
      <c r="J119" s="8" t="str">
        <f>VLOOKUP(F119,[1]characters!$A:$H,8,FALSE)</f>
        <v>green</v>
      </c>
      <c r="K119" s="8" t="str">
        <f>VLOOKUP(F119,[1]characters!$A:$K,11,FALSE)</f>
        <v>balance</v>
      </c>
      <c r="L119" s="8" t="str">
        <f>VLOOKUP(F119,[1]characters!$A:$M,13,FALSE)</f>
        <v>machine</v>
      </c>
      <c r="M119" s="16">
        <f>VLOOKUP(D119,gacha_188_base!A:B,2,FALSE)</f>
        <v>942</v>
      </c>
      <c r="N119" s="38">
        <f>IFERROR(VLOOKUP($F119,bug_conf_sheet!$A:$H,3,FALSE),VLOOKUP("other",bug_conf_sheet!$A:$H,3,FALSE))</f>
        <v>1</v>
      </c>
      <c r="O119" s="38">
        <f>IFERROR(VLOOKUP($F119,bug_conf_sheet!$A:$H,4,FALSE),VLOOKUP("other",bug_conf_sheet!$A:$H,4,FALSE))</f>
        <v>0</v>
      </c>
      <c r="P119" s="38">
        <f>IFERROR(VLOOKUP($F119,bug_conf_sheet!$A:$H,5,FALSE),VLOOKUP("other",bug_conf_sheet!$A:$H,5,FALSE))</f>
        <v>0</v>
      </c>
      <c r="Q119" s="38">
        <f>IFERROR(VLOOKUP($F119,bug_conf_sheet!$A:$H,6,FALSE),VLOOKUP("other",bug_conf_sheet!$A:$H,6,FALSE))</f>
        <v>0</v>
      </c>
      <c r="R119" s="38">
        <f>IFERROR(VLOOKUP($F119,bug_conf_sheet!$A:$H,7,FALSE),VLOOKUP("other",bug_conf_sheet!$A:$H,7,FALSE))</f>
        <v>0</v>
      </c>
      <c r="S119" s="38">
        <f>IFERROR(VLOOKUP($F119,bug_conf_sheet!$A:$H,8,FALSE),VLOOKUP("other",bug_conf_sheet!$A:$H,8,FALSE))</f>
        <v>1</v>
      </c>
    </row>
    <row r="120" spans="1:19" ht="21" hidden="1" customHeight="1">
      <c r="A120" s="7" t="str">
        <f t="shared" si="5"/>
        <v>1881244</v>
      </c>
      <c r="B120" s="2" t="str">
        <f t="shared" si="6"/>
        <v>1881</v>
      </c>
      <c r="C120" s="8" t="str">
        <f t="shared" si="7"/>
        <v>1PremiumS3</v>
      </c>
      <c r="D120" s="8" t="str">
        <f t="shared" si="8"/>
        <v>1PremiumS3</v>
      </c>
      <c r="E120" s="10">
        <v>1</v>
      </c>
      <c r="F120" s="5">
        <v>244</v>
      </c>
      <c r="G120" s="8" t="str">
        <f>VLOOKUP(F120,[1]characters!$A:$C,3,FALSE)</f>
        <v>ラファエル</v>
      </c>
      <c r="H120" s="8" t="str">
        <f>VLOOKUP(F120,[1]characters!$A:$J,10,FALSE)</f>
        <v>PremiumS</v>
      </c>
      <c r="I120" s="8">
        <f>VLOOKUP(F120,[1]characters!$A:$I,9,FALSE)</f>
        <v>3</v>
      </c>
      <c r="J120" s="8" t="str">
        <f>VLOOKUP(F120,[1]characters!$A:$H,8,FALSE)</f>
        <v>blue</v>
      </c>
      <c r="K120" s="8" t="str">
        <f>VLOOKUP(F120,[1]characters!$A:$K,11,FALSE)</f>
        <v>balance</v>
      </c>
      <c r="L120" s="8" t="str">
        <f>VLOOKUP(F120,[1]characters!$A:$M,13,FALSE)</f>
        <v>machine</v>
      </c>
      <c r="M120" s="16">
        <f>VLOOKUP(D120,gacha_188_base!A:B,2,FALSE)</f>
        <v>11309</v>
      </c>
      <c r="N120" s="38">
        <f>IFERROR(VLOOKUP($F120,bug_conf_sheet!$A:$H,3,FALSE),VLOOKUP("other",bug_conf_sheet!$A:$H,3,FALSE))</f>
        <v>1</v>
      </c>
      <c r="O120" s="38">
        <f>IFERROR(VLOOKUP($F120,bug_conf_sheet!$A:$H,4,FALSE),VLOOKUP("other",bug_conf_sheet!$A:$H,4,FALSE))</f>
        <v>0</v>
      </c>
      <c r="P120" s="38">
        <f>IFERROR(VLOOKUP($F120,bug_conf_sheet!$A:$H,5,FALSE),VLOOKUP("other",bug_conf_sheet!$A:$H,5,FALSE))</f>
        <v>0</v>
      </c>
      <c r="Q120" s="38">
        <f>IFERROR(VLOOKUP($F120,bug_conf_sheet!$A:$H,6,FALSE),VLOOKUP("other",bug_conf_sheet!$A:$H,6,FALSE))</f>
        <v>0</v>
      </c>
      <c r="R120" s="38">
        <f>IFERROR(VLOOKUP($F120,bug_conf_sheet!$A:$H,7,FALSE),VLOOKUP("other",bug_conf_sheet!$A:$H,7,FALSE))</f>
        <v>0</v>
      </c>
      <c r="S120" s="38">
        <f>IFERROR(VLOOKUP($F120,bug_conf_sheet!$A:$H,8,FALSE),VLOOKUP("other",bug_conf_sheet!$A:$H,8,FALSE))</f>
        <v>1</v>
      </c>
    </row>
    <row r="121" spans="1:19" ht="21" hidden="1" customHeight="1">
      <c r="A121" s="7" t="str">
        <f t="shared" si="5"/>
        <v>1881245</v>
      </c>
      <c r="B121" s="2" t="str">
        <f t="shared" si="6"/>
        <v>1881</v>
      </c>
      <c r="C121" s="8" t="str">
        <f t="shared" si="7"/>
        <v>1PremiumS4</v>
      </c>
      <c r="D121" s="8" t="str">
        <f t="shared" si="8"/>
        <v>1PremiumS4</v>
      </c>
      <c r="E121" s="10">
        <v>1</v>
      </c>
      <c r="F121" s="5">
        <v>245</v>
      </c>
      <c r="G121" s="8" t="str">
        <f>VLOOKUP(F121,[1]characters!$A:$C,3,FALSE)</f>
        <v>鎮癒の天使 ラファエル</v>
      </c>
      <c r="H121" s="8" t="str">
        <f>VLOOKUP(F121,[1]characters!$A:$J,10,FALSE)</f>
        <v>PremiumS</v>
      </c>
      <c r="I121" s="8">
        <f>VLOOKUP(F121,[1]characters!$A:$I,9,FALSE)</f>
        <v>4</v>
      </c>
      <c r="J121" s="8" t="str">
        <f>VLOOKUP(F121,[1]characters!$A:$H,8,FALSE)</f>
        <v>blue</v>
      </c>
      <c r="K121" s="8" t="str">
        <f>VLOOKUP(F121,[1]characters!$A:$K,11,FALSE)</f>
        <v>balance</v>
      </c>
      <c r="L121" s="8" t="str">
        <f>VLOOKUP(F121,[1]characters!$A:$M,13,FALSE)</f>
        <v>machine</v>
      </c>
      <c r="M121" s="16">
        <f>VLOOKUP(D121,gacha_188_base!A:B,2,FALSE)</f>
        <v>2827</v>
      </c>
      <c r="N121" s="38">
        <f>IFERROR(VLOOKUP($F121,bug_conf_sheet!$A:$H,3,FALSE),VLOOKUP("other",bug_conf_sheet!$A:$H,3,FALSE))</f>
        <v>1</v>
      </c>
      <c r="O121" s="38">
        <f>IFERROR(VLOOKUP($F121,bug_conf_sheet!$A:$H,4,FALSE),VLOOKUP("other",bug_conf_sheet!$A:$H,4,FALSE))</f>
        <v>0</v>
      </c>
      <c r="P121" s="38">
        <f>IFERROR(VLOOKUP($F121,bug_conf_sheet!$A:$H,5,FALSE),VLOOKUP("other",bug_conf_sheet!$A:$H,5,FALSE))</f>
        <v>0</v>
      </c>
      <c r="Q121" s="38">
        <f>IFERROR(VLOOKUP($F121,bug_conf_sheet!$A:$H,6,FALSE),VLOOKUP("other",bug_conf_sheet!$A:$H,6,FALSE))</f>
        <v>0</v>
      </c>
      <c r="R121" s="38">
        <f>IFERROR(VLOOKUP($F121,bug_conf_sheet!$A:$H,7,FALSE),VLOOKUP("other",bug_conf_sheet!$A:$H,7,FALSE))</f>
        <v>0</v>
      </c>
      <c r="S121" s="38">
        <f>IFERROR(VLOOKUP($F121,bug_conf_sheet!$A:$H,8,FALSE),VLOOKUP("other",bug_conf_sheet!$A:$H,8,FALSE))</f>
        <v>1</v>
      </c>
    </row>
    <row r="122" spans="1:19" ht="21" customHeight="1">
      <c r="A122" s="7" t="str">
        <f t="shared" si="5"/>
        <v>1881246</v>
      </c>
      <c r="B122" s="2" t="str">
        <f t="shared" si="6"/>
        <v>1881</v>
      </c>
      <c r="C122" s="8" t="str">
        <f t="shared" si="7"/>
        <v>1PremiumS5</v>
      </c>
      <c r="D122" s="8" t="str">
        <f t="shared" si="8"/>
        <v>1PremiumS5</v>
      </c>
      <c r="E122" s="10">
        <v>1</v>
      </c>
      <c r="F122" s="5">
        <v>246</v>
      </c>
      <c r="G122" s="8" t="str">
        <f>VLOOKUP(F122,[1]characters!$A:$C,3,FALSE)</f>
        <v>真癒の天使 ラファエル・メディカ</v>
      </c>
      <c r="H122" s="8" t="str">
        <f>VLOOKUP(F122,[1]characters!$A:$J,10,FALSE)</f>
        <v>PremiumS</v>
      </c>
      <c r="I122" s="8">
        <f>VLOOKUP(F122,[1]characters!$A:$I,9,FALSE)</f>
        <v>5</v>
      </c>
      <c r="J122" s="8" t="str">
        <f>VLOOKUP(F122,[1]characters!$A:$H,8,FALSE)</f>
        <v>blue</v>
      </c>
      <c r="K122" s="8" t="str">
        <f>VLOOKUP(F122,[1]characters!$A:$K,11,FALSE)</f>
        <v>balance</v>
      </c>
      <c r="L122" s="8" t="str">
        <f>VLOOKUP(F122,[1]characters!$A:$M,13,FALSE)</f>
        <v>machine</v>
      </c>
      <c r="M122" s="16">
        <f>VLOOKUP(D122,gacha_188_base!A:B,2,FALSE)</f>
        <v>942</v>
      </c>
      <c r="N122" s="38">
        <f>IFERROR(VLOOKUP($F122,bug_conf_sheet!$A:$H,3,FALSE),VLOOKUP("other",bug_conf_sheet!$A:$H,3,FALSE))</f>
        <v>1</v>
      </c>
      <c r="O122" s="38">
        <f>IFERROR(VLOOKUP($F122,bug_conf_sheet!$A:$H,4,FALSE),VLOOKUP("other",bug_conf_sheet!$A:$H,4,FALSE))</f>
        <v>0</v>
      </c>
      <c r="P122" s="38">
        <f>IFERROR(VLOOKUP($F122,bug_conf_sheet!$A:$H,5,FALSE),VLOOKUP("other",bug_conf_sheet!$A:$H,5,FALSE))</f>
        <v>0</v>
      </c>
      <c r="Q122" s="38">
        <f>IFERROR(VLOOKUP($F122,bug_conf_sheet!$A:$H,6,FALSE),VLOOKUP("other",bug_conf_sheet!$A:$H,6,FALSE))</f>
        <v>0</v>
      </c>
      <c r="R122" s="38">
        <f>IFERROR(VLOOKUP($F122,bug_conf_sheet!$A:$H,7,FALSE),VLOOKUP("other",bug_conf_sheet!$A:$H,7,FALSE))</f>
        <v>0</v>
      </c>
      <c r="S122" s="38">
        <f>IFERROR(VLOOKUP($F122,bug_conf_sheet!$A:$H,8,FALSE),VLOOKUP("other",bug_conf_sheet!$A:$H,8,FALSE))</f>
        <v>1</v>
      </c>
    </row>
    <row r="123" spans="1:19" ht="21" hidden="1" customHeight="1">
      <c r="A123" s="7" t="str">
        <f t="shared" si="5"/>
        <v>1881247</v>
      </c>
      <c r="B123" s="2" t="str">
        <f t="shared" si="6"/>
        <v>1881</v>
      </c>
      <c r="C123" s="8" t="str">
        <f t="shared" si="7"/>
        <v>1PremiumS3</v>
      </c>
      <c r="D123" s="8" t="str">
        <f t="shared" si="8"/>
        <v>1PremiumS3</v>
      </c>
      <c r="E123" s="10">
        <v>1</v>
      </c>
      <c r="F123" s="5">
        <v>247</v>
      </c>
      <c r="G123" s="8" t="str">
        <f>VLOOKUP(F123,[1]characters!$A:$C,3,FALSE)</f>
        <v>ミカエル</v>
      </c>
      <c r="H123" s="8" t="str">
        <f>VLOOKUP(F123,[1]characters!$A:$J,10,FALSE)</f>
        <v>PremiumS</v>
      </c>
      <c r="I123" s="8">
        <f>VLOOKUP(F123,[1]characters!$A:$I,9,FALSE)</f>
        <v>3</v>
      </c>
      <c r="J123" s="8" t="str">
        <f>VLOOKUP(F123,[1]characters!$A:$H,8,FALSE)</f>
        <v>yellow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VLOOKUP(D123,gacha_188_base!A:B,2,FALSE)</f>
        <v>11309</v>
      </c>
      <c r="N123" s="38">
        <f>IFERROR(VLOOKUP($F123,bug_conf_sheet!$A:$H,3,FALSE),VLOOKUP("other",bug_conf_sheet!$A:$H,3,FALSE))</f>
        <v>1</v>
      </c>
      <c r="O123" s="38">
        <f>IFERROR(VLOOKUP($F123,bug_conf_sheet!$A:$H,4,FALSE),VLOOKUP("other",bug_conf_sheet!$A:$H,4,FALSE))</f>
        <v>0</v>
      </c>
      <c r="P123" s="38">
        <f>IFERROR(VLOOKUP($F123,bug_conf_sheet!$A:$H,5,FALSE),VLOOKUP("other",bug_conf_sheet!$A:$H,5,FALSE))</f>
        <v>0</v>
      </c>
      <c r="Q123" s="38">
        <f>IFERROR(VLOOKUP($F123,bug_conf_sheet!$A:$H,6,FALSE),VLOOKUP("other",bug_conf_sheet!$A:$H,6,FALSE))</f>
        <v>0</v>
      </c>
      <c r="R123" s="38">
        <f>IFERROR(VLOOKUP($F123,bug_conf_sheet!$A:$H,7,FALSE),VLOOKUP("other",bug_conf_sheet!$A:$H,7,FALSE))</f>
        <v>0</v>
      </c>
      <c r="S123" s="38">
        <f>IFERROR(VLOOKUP($F123,bug_conf_sheet!$A:$H,8,FALSE),VLOOKUP("other",bug_conf_sheet!$A:$H,8,FALSE))</f>
        <v>1</v>
      </c>
    </row>
    <row r="124" spans="1:19" ht="21" hidden="1" customHeight="1">
      <c r="A124" s="7" t="str">
        <f t="shared" si="5"/>
        <v>1881248</v>
      </c>
      <c r="B124" s="2" t="str">
        <f t="shared" si="6"/>
        <v>1881</v>
      </c>
      <c r="C124" s="8" t="str">
        <f t="shared" si="7"/>
        <v>1PremiumS4</v>
      </c>
      <c r="D124" s="8" t="str">
        <f t="shared" si="8"/>
        <v>1PremiumS4</v>
      </c>
      <c r="E124" s="10">
        <v>1</v>
      </c>
      <c r="F124" s="5">
        <v>248</v>
      </c>
      <c r="G124" s="8" t="str">
        <f>VLOOKUP(F124,[1]characters!$A:$C,3,FALSE)</f>
        <v>彩電の天使 ミカエル</v>
      </c>
      <c r="H124" s="8" t="str">
        <f>VLOOKUP(F124,[1]characters!$A:$J,10,FALSE)</f>
        <v>PremiumS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attack</v>
      </c>
      <c r="L124" s="8" t="str">
        <f>VLOOKUP(F124,[1]characters!$A:$M,13,FALSE)</f>
        <v>machine</v>
      </c>
      <c r="M124" s="16">
        <f>VLOOKUP(D124,gacha_188_base!A:B,2,FALSE)</f>
        <v>2827</v>
      </c>
      <c r="N124" s="38">
        <f>IFERROR(VLOOKUP($F124,bug_conf_sheet!$A:$H,3,FALSE),VLOOKUP("other",bug_conf_sheet!$A:$H,3,FALSE))</f>
        <v>1</v>
      </c>
      <c r="O124" s="38">
        <f>IFERROR(VLOOKUP($F124,bug_conf_sheet!$A:$H,4,FALSE),VLOOKUP("other",bug_conf_sheet!$A:$H,4,FALSE))</f>
        <v>0</v>
      </c>
      <c r="P124" s="38">
        <f>IFERROR(VLOOKUP($F124,bug_conf_sheet!$A:$H,5,FALSE),VLOOKUP("other",bug_conf_sheet!$A:$H,5,FALSE))</f>
        <v>0</v>
      </c>
      <c r="Q124" s="38">
        <f>IFERROR(VLOOKUP($F124,bug_conf_sheet!$A:$H,6,FALSE),VLOOKUP("other",bug_conf_sheet!$A:$H,6,FALSE))</f>
        <v>0</v>
      </c>
      <c r="R124" s="38">
        <f>IFERROR(VLOOKUP($F124,bug_conf_sheet!$A:$H,7,FALSE),VLOOKUP("other",bug_conf_sheet!$A:$H,7,FALSE))</f>
        <v>0</v>
      </c>
      <c r="S124" s="38">
        <f>IFERROR(VLOOKUP($F124,bug_conf_sheet!$A:$H,8,FALSE),VLOOKUP("other",bug_conf_sheet!$A:$H,8,FALSE))</f>
        <v>1</v>
      </c>
    </row>
    <row r="125" spans="1:19" ht="21" customHeight="1">
      <c r="A125" s="7" t="str">
        <f t="shared" si="5"/>
        <v>1881249</v>
      </c>
      <c r="B125" s="2" t="str">
        <f t="shared" si="6"/>
        <v>1881</v>
      </c>
      <c r="C125" s="8" t="str">
        <f t="shared" si="7"/>
        <v>1PremiumS5</v>
      </c>
      <c r="D125" s="8" t="str">
        <f t="shared" si="8"/>
        <v>1PremiumS5</v>
      </c>
      <c r="E125" s="10">
        <v>1</v>
      </c>
      <c r="F125" s="6">
        <v>249</v>
      </c>
      <c r="G125" s="8" t="str">
        <f>VLOOKUP(F125,[1]characters!$A:$C,3,FALSE)</f>
        <v>雷電の天使 ミカエル・ゲイナー</v>
      </c>
      <c r="H125" s="8" t="str">
        <f>VLOOKUP(F125,[1]characters!$A:$J,10,FALSE)</f>
        <v>PremiumS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attack</v>
      </c>
      <c r="L125" s="8" t="str">
        <f>VLOOKUP(F125,[1]characters!$A:$M,13,FALSE)</f>
        <v>machine</v>
      </c>
      <c r="M125" s="16">
        <f>VLOOKUP(D125,gacha_188_base!A:B,2,FALSE)</f>
        <v>942</v>
      </c>
      <c r="N125" s="38">
        <f>IFERROR(VLOOKUP($F125,bug_conf_sheet!$A:$H,3,FALSE),VLOOKUP("other",bug_conf_sheet!$A:$H,3,FALSE))</f>
        <v>1</v>
      </c>
      <c r="O125" s="38">
        <f>IFERROR(VLOOKUP($F125,bug_conf_sheet!$A:$H,4,FALSE),VLOOKUP("other",bug_conf_sheet!$A:$H,4,FALSE))</f>
        <v>0</v>
      </c>
      <c r="P125" s="38">
        <f>IFERROR(VLOOKUP($F125,bug_conf_sheet!$A:$H,5,FALSE),VLOOKUP("other",bug_conf_sheet!$A:$H,5,FALSE))</f>
        <v>0</v>
      </c>
      <c r="Q125" s="38">
        <f>IFERROR(VLOOKUP($F125,bug_conf_sheet!$A:$H,6,FALSE),VLOOKUP("other",bug_conf_sheet!$A:$H,6,FALSE))</f>
        <v>0</v>
      </c>
      <c r="R125" s="38">
        <f>IFERROR(VLOOKUP($F125,bug_conf_sheet!$A:$H,7,FALSE),VLOOKUP("other",bug_conf_sheet!$A:$H,7,FALSE))</f>
        <v>0</v>
      </c>
      <c r="S125" s="38">
        <f>IFERROR(VLOOKUP($F125,bug_conf_sheet!$A:$H,8,FALSE),VLOOKUP("other",bug_conf_sheet!$A:$H,8,FALSE))</f>
        <v>1</v>
      </c>
    </row>
    <row r="126" spans="1:19" ht="21" hidden="1" customHeight="1">
      <c r="A126" s="7" t="str">
        <f t="shared" si="5"/>
        <v>1881250</v>
      </c>
      <c r="B126" s="2" t="str">
        <f t="shared" si="6"/>
        <v>1881</v>
      </c>
      <c r="C126" s="8" t="str">
        <f t="shared" si="7"/>
        <v>1PremiumS3</v>
      </c>
      <c r="D126" s="8" t="str">
        <f t="shared" si="8"/>
        <v>1PremiumS3</v>
      </c>
      <c r="E126" s="10">
        <v>1</v>
      </c>
      <c r="F126" s="6">
        <v>250</v>
      </c>
      <c r="G126" s="8" t="str">
        <f>VLOOKUP(F126,[1]characters!$A:$C,3,FALSE)</f>
        <v>マンモン</v>
      </c>
      <c r="H126" s="8" t="str">
        <f>VLOOKUP(F126,[1]characters!$A:$J,10,FALSE)</f>
        <v>PremiumS</v>
      </c>
      <c r="I126" s="8">
        <f>VLOOKUP(F126,[1]characters!$A:$I,9,FALSE)</f>
        <v>3</v>
      </c>
      <c r="J126" s="8" t="str">
        <f>VLOOKUP(F126,[1]characters!$A:$H,8,FALSE)</f>
        <v>red</v>
      </c>
      <c r="K126" s="8" t="str">
        <f>VLOOKUP(F126,[1]characters!$A:$K,11,FALSE)</f>
        <v>balance</v>
      </c>
      <c r="L126" s="8" t="str">
        <f>VLOOKUP(F126,[1]characters!$A:$M,13,FALSE)</f>
        <v>god</v>
      </c>
      <c r="M126" s="16">
        <f>VLOOKUP(D126,gacha_188_base!A:B,2,FALSE)</f>
        <v>11309</v>
      </c>
      <c r="N126" s="38">
        <f>IFERROR(VLOOKUP($F126,bug_conf_sheet!$A:$H,3,FALSE),VLOOKUP("other",bug_conf_sheet!$A:$H,3,FALSE))</f>
        <v>1</v>
      </c>
      <c r="O126" s="38">
        <f>IFERROR(VLOOKUP($F126,bug_conf_sheet!$A:$H,4,FALSE),VLOOKUP("other",bug_conf_sheet!$A:$H,4,FALSE))</f>
        <v>0</v>
      </c>
      <c r="P126" s="38">
        <f>IFERROR(VLOOKUP($F126,bug_conf_sheet!$A:$H,5,FALSE),VLOOKUP("other",bug_conf_sheet!$A:$H,5,FALSE))</f>
        <v>0</v>
      </c>
      <c r="Q126" s="38">
        <f>IFERROR(VLOOKUP($F126,bug_conf_sheet!$A:$H,6,FALSE),VLOOKUP("other",bug_conf_sheet!$A:$H,6,FALSE))</f>
        <v>0</v>
      </c>
      <c r="R126" s="38">
        <f>IFERROR(VLOOKUP($F126,bug_conf_sheet!$A:$H,7,FALSE),VLOOKUP("other",bug_conf_sheet!$A:$H,7,FALSE))</f>
        <v>0</v>
      </c>
      <c r="S126" s="38">
        <f>IFERROR(VLOOKUP($F126,bug_conf_sheet!$A:$H,8,FALSE),VLOOKUP("other",bug_conf_sheet!$A:$H,8,FALSE))</f>
        <v>1</v>
      </c>
    </row>
    <row r="127" spans="1:19" ht="21" hidden="1" customHeight="1">
      <c r="A127" s="7" t="str">
        <f t="shared" si="5"/>
        <v>1881251</v>
      </c>
      <c r="B127" s="2" t="str">
        <f t="shared" si="6"/>
        <v>1881</v>
      </c>
      <c r="C127" s="8" t="str">
        <f t="shared" si="7"/>
        <v>1PremiumS4</v>
      </c>
      <c r="D127" s="8" t="str">
        <f t="shared" si="8"/>
        <v>1PremiumS4</v>
      </c>
      <c r="E127" s="10">
        <v>1</v>
      </c>
      <c r="F127" s="6">
        <v>251</v>
      </c>
      <c r="G127" s="8" t="str">
        <f>VLOOKUP(F127,[1]characters!$A:$C,3,FALSE)</f>
        <v>強欲 マンモン</v>
      </c>
      <c r="H127" s="8" t="str">
        <f>VLOOKUP(F127,[1]characters!$A:$J,10,FALSE)</f>
        <v>PremiumS</v>
      </c>
      <c r="I127" s="8">
        <f>VLOOKUP(F127,[1]characters!$A:$I,9,FALSE)</f>
        <v>4</v>
      </c>
      <c r="J127" s="8" t="str">
        <f>VLOOKUP(F127,[1]characters!$A:$H,8,FALSE)</f>
        <v>red</v>
      </c>
      <c r="K127" s="8" t="str">
        <f>VLOOKUP(F127,[1]characters!$A:$K,11,FALSE)</f>
        <v>balance</v>
      </c>
      <c r="L127" s="8" t="str">
        <f>VLOOKUP(F127,[1]characters!$A:$M,13,FALSE)</f>
        <v>god</v>
      </c>
      <c r="M127" s="16">
        <f>VLOOKUP(D127,gacha_188_base!A:B,2,FALSE)</f>
        <v>2827</v>
      </c>
      <c r="N127" s="38">
        <f>IFERROR(VLOOKUP($F127,bug_conf_sheet!$A:$H,3,FALSE),VLOOKUP("other",bug_conf_sheet!$A:$H,3,FALSE))</f>
        <v>1</v>
      </c>
      <c r="O127" s="38">
        <f>IFERROR(VLOOKUP($F127,bug_conf_sheet!$A:$H,4,FALSE),VLOOKUP("other",bug_conf_sheet!$A:$H,4,FALSE))</f>
        <v>0</v>
      </c>
      <c r="P127" s="38">
        <f>IFERROR(VLOOKUP($F127,bug_conf_sheet!$A:$H,5,FALSE),VLOOKUP("other",bug_conf_sheet!$A:$H,5,FALSE))</f>
        <v>0</v>
      </c>
      <c r="Q127" s="38">
        <f>IFERROR(VLOOKUP($F127,bug_conf_sheet!$A:$H,6,FALSE),VLOOKUP("other",bug_conf_sheet!$A:$H,6,FALSE))</f>
        <v>0</v>
      </c>
      <c r="R127" s="38">
        <f>IFERROR(VLOOKUP($F127,bug_conf_sheet!$A:$H,7,FALSE),VLOOKUP("other",bug_conf_sheet!$A:$H,7,FALSE))</f>
        <v>0</v>
      </c>
      <c r="S127" s="38">
        <f>IFERROR(VLOOKUP($F127,bug_conf_sheet!$A:$H,8,FALSE),VLOOKUP("other",bug_conf_sheet!$A:$H,8,FALSE))</f>
        <v>1</v>
      </c>
    </row>
    <row r="128" spans="1:19" ht="21" customHeight="1">
      <c r="A128" s="7" t="str">
        <f t="shared" si="5"/>
        <v>1881252</v>
      </c>
      <c r="B128" s="2" t="str">
        <f t="shared" si="6"/>
        <v>1881</v>
      </c>
      <c r="C128" s="8" t="str">
        <f t="shared" si="7"/>
        <v>1PremiumS5</v>
      </c>
      <c r="D128" s="8" t="str">
        <f t="shared" si="8"/>
        <v>1PremiumS5</v>
      </c>
      <c r="E128" s="10">
        <v>1</v>
      </c>
      <c r="F128" s="6">
        <v>252</v>
      </c>
      <c r="G128" s="8" t="str">
        <f>VLOOKUP(F128,[1]characters!$A:$C,3,FALSE)</f>
        <v>強欲の沸騰 マンモン</v>
      </c>
      <c r="H128" s="8" t="str">
        <f>VLOOKUP(F128,[1]characters!$A:$J,10,FALSE)</f>
        <v>PremiumS</v>
      </c>
      <c r="I128" s="8">
        <f>VLOOKUP(F128,[1]characters!$A:$I,9,FALSE)</f>
        <v>5</v>
      </c>
      <c r="J128" s="8" t="str">
        <f>VLOOKUP(F128,[1]characters!$A:$H,8,FALSE)</f>
        <v>red</v>
      </c>
      <c r="K128" s="8" t="str">
        <f>VLOOKUP(F128,[1]characters!$A:$K,11,FALSE)</f>
        <v>balance</v>
      </c>
      <c r="L128" s="8" t="str">
        <f>VLOOKUP(F128,[1]characters!$A:$M,13,FALSE)</f>
        <v>god</v>
      </c>
      <c r="M128" s="16">
        <f>VLOOKUP(D128,gacha_188_base!A:B,2,FALSE)</f>
        <v>942</v>
      </c>
      <c r="N128" s="38">
        <f>IFERROR(VLOOKUP($F128,bug_conf_sheet!$A:$H,3,FALSE),VLOOKUP("other",bug_conf_sheet!$A:$H,3,FALSE))</f>
        <v>1</v>
      </c>
      <c r="O128" s="38">
        <f>IFERROR(VLOOKUP($F128,bug_conf_sheet!$A:$H,4,FALSE),VLOOKUP("other",bug_conf_sheet!$A:$H,4,FALSE))</f>
        <v>0</v>
      </c>
      <c r="P128" s="38">
        <f>IFERROR(VLOOKUP($F128,bug_conf_sheet!$A:$H,5,FALSE),VLOOKUP("other",bug_conf_sheet!$A:$H,5,FALSE))</f>
        <v>0</v>
      </c>
      <c r="Q128" s="38">
        <f>IFERROR(VLOOKUP($F128,bug_conf_sheet!$A:$H,6,FALSE),VLOOKUP("other",bug_conf_sheet!$A:$H,6,FALSE))</f>
        <v>0</v>
      </c>
      <c r="R128" s="38">
        <f>IFERROR(VLOOKUP($F128,bug_conf_sheet!$A:$H,7,FALSE),VLOOKUP("other",bug_conf_sheet!$A:$H,7,FALSE))</f>
        <v>0</v>
      </c>
      <c r="S128" s="38">
        <f>IFERROR(VLOOKUP($F128,bug_conf_sheet!$A:$H,8,FALSE),VLOOKUP("other",bug_conf_sheet!$A:$H,8,FALSE))</f>
        <v>1</v>
      </c>
    </row>
    <row r="129" spans="1:19" ht="21" hidden="1" customHeight="1">
      <c r="A129" s="7" t="str">
        <f t="shared" si="5"/>
        <v>1881253</v>
      </c>
      <c r="B129" s="2" t="str">
        <f t="shared" si="6"/>
        <v>1881</v>
      </c>
      <c r="C129" s="8" t="str">
        <f t="shared" si="7"/>
        <v>1PremiumS3</v>
      </c>
      <c r="D129" s="8" t="str">
        <f t="shared" si="8"/>
        <v>1PremiumS3</v>
      </c>
      <c r="E129" s="10">
        <v>1</v>
      </c>
      <c r="F129" s="6">
        <v>253</v>
      </c>
      <c r="G129" s="8" t="str">
        <f>VLOOKUP(F129,[1]characters!$A:$C,3,FALSE)</f>
        <v>ベルフェゴール</v>
      </c>
      <c r="H129" s="8" t="str">
        <f>VLOOKUP(F129,[1]characters!$A:$J,10,FALSE)</f>
        <v>PremiumS</v>
      </c>
      <c r="I129" s="8">
        <f>VLOOKUP(F129,[1]characters!$A:$I,9,FALSE)</f>
        <v>3</v>
      </c>
      <c r="J129" s="8" t="str">
        <f>VLOOKUP(F129,[1]characters!$A:$H,8,FALSE)</f>
        <v>green</v>
      </c>
      <c r="K129" s="8" t="str">
        <f>VLOOKUP(F129,[1]characters!$A:$K,11,FALSE)</f>
        <v>technical</v>
      </c>
      <c r="L129" s="8" t="str">
        <f>VLOOKUP(F129,[1]characters!$A:$M,13,FALSE)</f>
        <v>god</v>
      </c>
      <c r="M129" s="16">
        <f>VLOOKUP(D129,gacha_188_base!A:B,2,FALSE)</f>
        <v>11309</v>
      </c>
      <c r="N129" s="38">
        <f>IFERROR(VLOOKUP($F129,bug_conf_sheet!$A:$H,3,FALSE),VLOOKUP("other",bug_conf_sheet!$A:$H,3,FALSE))</f>
        <v>1</v>
      </c>
      <c r="O129" s="38">
        <f>IFERROR(VLOOKUP($F129,bug_conf_sheet!$A:$H,4,FALSE),VLOOKUP("other",bug_conf_sheet!$A:$H,4,FALSE))</f>
        <v>0</v>
      </c>
      <c r="P129" s="38">
        <f>IFERROR(VLOOKUP($F129,bug_conf_sheet!$A:$H,5,FALSE),VLOOKUP("other",bug_conf_sheet!$A:$H,5,FALSE))</f>
        <v>0</v>
      </c>
      <c r="Q129" s="38">
        <f>IFERROR(VLOOKUP($F129,bug_conf_sheet!$A:$H,6,FALSE),VLOOKUP("other",bug_conf_sheet!$A:$H,6,FALSE))</f>
        <v>0</v>
      </c>
      <c r="R129" s="38">
        <f>IFERROR(VLOOKUP($F129,bug_conf_sheet!$A:$H,7,FALSE),VLOOKUP("other",bug_conf_sheet!$A:$H,7,FALSE))</f>
        <v>0</v>
      </c>
      <c r="S129" s="38">
        <f>IFERROR(VLOOKUP($F129,bug_conf_sheet!$A:$H,8,FALSE),VLOOKUP("other",bug_conf_sheet!$A:$H,8,FALSE))</f>
        <v>1</v>
      </c>
    </row>
    <row r="130" spans="1:19" ht="21" hidden="1" customHeight="1">
      <c r="A130" s="7" t="str">
        <f t="shared" si="5"/>
        <v>1881254</v>
      </c>
      <c r="B130" s="2" t="str">
        <f t="shared" si="6"/>
        <v>1881</v>
      </c>
      <c r="C130" s="8" t="str">
        <f t="shared" si="7"/>
        <v>1PremiumS4</v>
      </c>
      <c r="D130" s="8" t="str">
        <f t="shared" si="8"/>
        <v>1PremiumS4</v>
      </c>
      <c r="E130" s="10">
        <v>1</v>
      </c>
      <c r="F130" s="6">
        <v>254</v>
      </c>
      <c r="G130" s="8" t="str">
        <f>VLOOKUP(F130,[1]characters!$A:$C,3,FALSE)</f>
        <v>怠惰 ベルフェゴール</v>
      </c>
      <c r="H130" s="8" t="str">
        <f>VLOOKUP(F130,[1]characters!$A:$J,10,FALSE)</f>
        <v>PremiumS</v>
      </c>
      <c r="I130" s="8">
        <f>VLOOKUP(F130,[1]characters!$A:$I,9,FALSE)</f>
        <v>4</v>
      </c>
      <c r="J130" s="8" t="str">
        <f>VLOOKUP(F130,[1]characters!$A:$H,8,FALSE)</f>
        <v>green</v>
      </c>
      <c r="K130" s="8" t="str">
        <f>VLOOKUP(F130,[1]characters!$A:$K,11,FALSE)</f>
        <v>technical</v>
      </c>
      <c r="L130" s="8" t="str">
        <f>VLOOKUP(F130,[1]characters!$A:$M,13,FALSE)</f>
        <v>god</v>
      </c>
      <c r="M130" s="16">
        <f>VLOOKUP(D130,gacha_188_base!A:B,2,FALSE)</f>
        <v>2827</v>
      </c>
      <c r="N130" s="38">
        <f>IFERROR(VLOOKUP($F130,bug_conf_sheet!$A:$H,3,FALSE),VLOOKUP("other",bug_conf_sheet!$A:$H,3,FALSE))</f>
        <v>1</v>
      </c>
      <c r="O130" s="38">
        <f>IFERROR(VLOOKUP($F130,bug_conf_sheet!$A:$H,4,FALSE),VLOOKUP("other",bug_conf_sheet!$A:$H,4,FALSE))</f>
        <v>0</v>
      </c>
      <c r="P130" s="38">
        <f>IFERROR(VLOOKUP($F130,bug_conf_sheet!$A:$H,5,FALSE),VLOOKUP("other",bug_conf_sheet!$A:$H,5,FALSE))</f>
        <v>0</v>
      </c>
      <c r="Q130" s="38">
        <f>IFERROR(VLOOKUP($F130,bug_conf_sheet!$A:$H,6,FALSE),VLOOKUP("other",bug_conf_sheet!$A:$H,6,FALSE))</f>
        <v>0</v>
      </c>
      <c r="R130" s="38">
        <f>IFERROR(VLOOKUP($F130,bug_conf_sheet!$A:$H,7,FALSE),VLOOKUP("other",bug_conf_sheet!$A:$H,7,FALSE))</f>
        <v>0</v>
      </c>
      <c r="S130" s="38">
        <f>IFERROR(VLOOKUP($F130,bug_conf_sheet!$A:$H,8,FALSE),VLOOKUP("other",bug_conf_sheet!$A:$H,8,FALSE))</f>
        <v>1</v>
      </c>
    </row>
    <row r="131" spans="1:19" ht="21" customHeight="1">
      <c r="A131" s="7" t="str">
        <f t="shared" ref="A131:A194" si="9">B131&amp;F131</f>
        <v>1881255</v>
      </c>
      <c r="B131" s="2" t="str">
        <f t="shared" ref="B131:B194" si="10">188&amp;E131</f>
        <v>1881</v>
      </c>
      <c r="C131" s="8" t="str">
        <f t="shared" ref="C131:C194" si="11">E131&amp;H131&amp;I131</f>
        <v>1PremiumS5</v>
      </c>
      <c r="D131" s="8" t="str">
        <f t="shared" ref="D131:D194" si="12">E131&amp;H131&amp;I131</f>
        <v>1PremiumS5</v>
      </c>
      <c r="E131" s="10">
        <v>1</v>
      </c>
      <c r="F131" s="6">
        <v>255</v>
      </c>
      <c r="G131" s="8" t="str">
        <f>VLOOKUP(F131,[1]characters!$A:$C,3,FALSE)</f>
        <v>怠惰の頂点 ベルフェゴール</v>
      </c>
      <c r="H131" s="8" t="str">
        <f>VLOOKUP(F131,[1]characters!$A:$J,10,FALSE)</f>
        <v>PremiumS</v>
      </c>
      <c r="I131" s="8">
        <f>VLOOKUP(F131,[1]characters!$A:$I,9,FALSE)</f>
        <v>5</v>
      </c>
      <c r="J131" s="8" t="str">
        <f>VLOOKUP(F131,[1]characters!$A:$H,8,FALSE)</f>
        <v>green</v>
      </c>
      <c r="K131" s="8" t="str">
        <f>VLOOKUP(F131,[1]characters!$A:$K,11,FALSE)</f>
        <v>technical</v>
      </c>
      <c r="L131" s="8" t="str">
        <f>VLOOKUP(F131,[1]characters!$A:$M,13,FALSE)</f>
        <v>god</v>
      </c>
      <c r="M131" s="16">
        <f>VLOOKUP(D131,gacha_188_base!A:B,2,FALSE)</f>
        <v>942</v>
      </c>
      <c r="N131" s="38">
        <f>IFERROR(VLOOKUP($F131,bug_conf_sheet!$A:$H,3,FALSE),VLOOKUP("other",bug_conf_sheet!$A:$H,3,FALSE))</f>
        <v>1</v>
      </c>
      <c r="O131" s="38">
        <f>IFERROR(VLOOKUP($F131,bug_conf_sheet!$A:$H,4,FALSE),VLOOKUP("other",bug_conf_sheet!$A:$H,4,FALSE))</f>
        <v>0</v>
      </c>
      <c r="P131" s="38">
        <f>IFERROR(VLOOKUP($F131,bug_conf_sheet!$A:$H,5,FALSE),VLOOKUP("other",bug_conf_sheet!$A:$H,5,FALSE))</f>
        <v>0</v>
      </c>
      <c r="Q131" s="38">
        <f>IFERROR(VLOOKUP($F131,bug_conf_sheet!$A:$H,6,FALSE),VLOOKUP("other",bug_conf_sheet!$A:$H,6,FALSE))</f>
        <v>0</v>
      </c>
      <c r="R131" s="38">
        <f>IFERROR(VLOOKUP($F131,bug_conf_sheet!$A:$H,7,FALSE),VLOOKUP("other",bug_conf_sheet!$A:$H,7,FALSE))</f>
        <v>0</v>
      </c>
      <c r="S131" s="38">
        <f>IFERROR(VLOOKUP($F131,bug_conf_sheet!$A:$H,8,FALSE),VLOOKUP("other",bug_conf_sheet!$A:$H,8,FALSE))</f>
        <v>1</v>
      </c>
    </row>
    <row r="132" spans="1:19" ht="21" hidden="1" customHeight="1">
      <c r="A132" s="7" t="str">
        <f t="shared" si="9"/>
        <v>1881256</v>
      </c>
      <c r="B132" s="2" t="str">
        <f t="shared" si="10"/>
        <v>1881</v>
      </c>
      <c r="C132" s="8" t="str">
        <f t="shared" si="11"/>
        <v>1PremiumS3</v>
      </c>
      <c r="D132" s="8" t="str">
        <f t="shared" si="12"/>
        <v>1PremiumS3</v>
      </c>
      <c r="E132" s="10">
        <v>1</v>
      </c>
      <c r="F132" s="6">
        <v>256</v>
      </c>
      <c r="G132" s="8" t="str">
        <f>VLOOKUP(F132,[1]characters!$A:$C,3,FALSE)</f>
        <v>アスモデウス</v>
      </c>
      <c r="H132" s="8" t="str">
        <f>VLOOKUP(F132,[1]characters!$A:$J,10,FALSE)</f>
        <v>PremiumS</v>
      </c>
      <c r="I132" s="8">
        <f>VLOOKUP(F132,[1]characters!$A:$I,9,FALSE)</f>
        <v>3</v>
      </c>
      <c r="J132" s="8" t="str">
        <f>VLOOKUP(F132,[1]characters!$A:$H,8,FALSE)</f>
        <v>blue</v>
      </c>
      <c r="K132" s="8" t="str">
        <f>VLOOKUP(F132,[1]characters!$A:$K,11,FALSE)</f>
        <v>attack</v>
      </c>
      <c r="L132" s="8" t="str">
        <f>VLOOKUP(F132,[1]characters!$A:$M,13,FALSE)</f>
        <v>god</v>
      </c>
      <c r="M132" s="16">
        <f>VLOOKUP(D132,gacha_188_base!A:B,2,FALSE)</f>
        <v>11309</v>
      </c>
      <c r="N132" s="38">
        <f>IFERROR(VLOOKUP($F132,bug_conf_sheet!$A:$H,3,FALSE),VLOOKUP("other",bug_conf_sheet!$A:$H,3,FALSE))</f>
        <v>1</v>
      </c>
      <c r="O132" s="38">
        <f>IFERROR(VLOOKUP($F132,bug_conf_sheet!$A:$H,4,FALSE),VLOOKUP("other",bug_conf_sheet!$A:$H,4,FALSE))</f>
        <v>0</v>
      </c>
      <c r="P132" s="38">
        <f>IFERROR(VLOOKUP($F132,bug_conf_sheet!$A:$H,5,FALSE),VLOOKUP("other",bug_conf_sheet!$A:$H,5,FALSE))</f>
        <v>0</v>
      </c>
      <c r="Q132" s="38">
        <f>IFERROR(VLOOKUP($F132,bug_conf_sheet!$A:$H,6,FALSE),VLOOKUP("other",bug_conf_sheet!$A:$H,6,FALSE))</f>
        <v>0</v>
      </c>
      <c r="R132" s="38">
        <f>IFERROR(VLOOKUP($F132,bug_conf_sheet!$A:$H,7,FALSE),VLOOKUP("other",bug_conf_sheet!$A:$H,7,FALSE))</f>
        <v>0</v>
      </c>
      <c r="S132" s="38">
        <f>IFERROR(VLOOKUP($F132,bug_conf_sheet!$A:$H,8,FALSE),VLOOKUP("other",bug_conf_sheet!$A:$H,8,FALSE))</f>
        <v>1</v>
      </c>
    </row>
    <row r="133" spans="1:19" ht="21" hidden="1" customHeight="1">
      <c r="A133" s="7" t="str">
        <f t="shared" si="9"/>
        <v>1881257</v>
      </c>
      <c r="B133" s="2" t="str">
        <f t="shared" si="10"/>
        <v>1881</v>
      </c>
      <c r="C133" s="8" t="str">
        <f t="shared" si="11"/>
        <v>1PremiumS4</v>
      </c>
      <c r="D133" s="8" t="str">
        <f t="shared" si="12"/>
        <v>1PremiumS4</v>
      </c>
      <c r="E133" s="10">
        <v>1</v>
      </c>
      <c r="F133" s="6">
        <v>257</v>
      </c>
      <c r="G133" s="8" t="str">
        <f>VLOOKUP(F133,[1]characters!$A:$C,3,FALSE)</f>
        <v>色欲 アスモデウス</v>
      </c>
      <c r="H133" s="8" t="str">
        <f>VLOOKUP(F133,[1]characters!$A:$J,10,FALSE)</f>
        <v>PremiumS</v>
      </c>
      <c r="I133" s="8">
        <f>VLOOKUP(F133,[1]characters!$A:$I,9,FALSE)</f>
        <v>4</v>
      </c>
      <c r="J133" s="8" t="str">
        <f>VLOOKUP(F133,[1]characters!$A:$H,8,FALSE)</f>
        <v>blue</v>
      </c>
      <c r="K133" s="8" t="str">
        <f>VLOOKUP(F133,[1]characters!$A:$K,11,FALSE)</f>
        <v>attack</v>
      </c>
      <c r="L133" s="8" t="str">
        <f>VLOOKUP(F133,[1]characters!$A:$M,13,FALSE)</f>
        <v>god</v>
      </c>
      <c r="M133" s="16">
        <f>VLOOKUP(D133,gacha_188_base!A:B,2,FALSE)</f>
        <v>2827</v>
      </c>
      <c r="N133" s="38">
        <f>IFERROR(VLOOKUP($F133,bug_conf_sheet!$A:$H,3,FALSE),VLOOKUP("other",bug_conf_sheet!$A:$H,3,FALSE))</f>
        <v>1</v>
      </c>
      <c r="O133" s="38">
        <f>IFERROR(VLOOKUP($F133,bug_conf_sheet!$A:$H,4,FALSE),VLOOKUP("other",bug_conf_sheet!$A:$H,4,FALSE))</f>
        <v>0</v>
      </c>
      <c r="P133" s="38">
        <f>IFERROR(VLOOKUP($F133,bug_conf_sheet!$A:$H,5,FALSE),VLOOKUP("other",bug_conf_sheet!$A:$H,5,FALSE))</f>
        <v>0</v>
      </c>
      <c r="Q133" s="38">
        <f>IFERROR(VLOOKUP($F133,bug_conf_sheet!$A:$H,6,FALSE),VLOOKUP("other",bug_conf_sheet!$A:$H,6,FALSE))</f>
        <v>0</v>
      </c>
      <c r="R133" s="38">
        <f>IFERROR(VLOOKUP($F133,bug_conf_sheet!$A:$H,7,FALSE),VLOOKUP("other",bug_conf_sheet!$A:$H,7,FALSE))</f>
        <v>0</v>
      </c>
      <c r="S133" s="38">
        <f>IFERROR(VLOOKUP($F133,bug_conf_sheet!$A:$H,8,FALSE),VLOOKUP("other",bug_conf_sheet!$A:$H,8,FALSE))</f>
        <v>1</v>
      </c>
    </row>
    <row r="134" spans="1:19" ht="21" customHeight="1">
      <c r="A134" s="7" t="str">
        <f t="shared" si="9"/>
        <v>1881258</v>
      </c>
      <c r="B134" s="2" t="str">
        <f t="shared" si="10"/>
        <v>1881</v>
      </c>
      <c r="C134" s="8" t="str">
        <f t="shared" si="11"/>
        <v>1PremiumS5</v>
      </c>
      <c r="D134" s="8" t="str">
        <f t="shared" si="12"/>
        <v>1PremiumS5</v>
      </c>
      <c r="E134" s="10">
        <v>1</v>
      </c>
      <c r="F134" s="6">
        <v>258</v>
      </c>
      <c r="G134" s="8" t="str">
        <f>VLOOKUP(F134,[1]characters!$A:$C,3,FALSE)</f>
        <v>色欲の源流 アスモデウス</v>
      </c>
      <c r="H134" s="8" t="str">
        <f>VLOOKUP(F134,[1]characters!$A:$J,10,FALSE)</f>
        <v>PremiumS</v>
      </c>
      <c r="I134" s="8">
        <f>VLOOKUP(F134,[1]characters!$A:$I,9,FALSE)</f>
        <v>5</v>
      </c>
      <c r="J134" s="8" t="str">
        <f>VLOOKUP(F134,[1]characters!$A:$H,8,FALSE)</f>
        <v>blue</v>
      </c>
      <c r="K134" s="8" t="str">
        <f>VLOOKUP(F134,[1]characters!$A:$K,11,FALSE)</f>
        <v>attack</v>
      </c>
      <c r="L134" s="8" t="str">
        <f>VLOOKUP(F134,[1]characters!$A:$M,13,FALSE)</f>
        <v>god</v>
      </c>
      <c r="M134" s="16">
        <f>VLOOKUP(D134,gacha_188_base!A:B,2,FALSE)</f>
        <v>942</v>
      </c>
      <c r="N134" s="38">
        <f>IFERROR(VLOOKUP($F134,bug_conf_sheet!$A:$H,3,FALSE),VLOOKUP("other",bug_conf_sheet!$A:$H,3,FALSE))</f>
        <v>1</v>
      </c>
      <c r="O134" s="38">
        <f>IFERROR(VLOOKUP($F134,bug_conf_sheet!$A:$H,4,FALSE),VLOOKUP("other",bug_conf_sheet!$A:$H,4,FALSE))</f>
        <v>0</v>
      </c>
      <c r="P134" s="38">
        <f>IFERROR(VLOOKUP($F134,bug_conf_sheet!$A:$H,5,FALSE),VLOOKUP("other",bug_conf_sheet!$A:$H,5,FALSE))</f>
        <v>0</v>
      </c>
      <c r="Q134" s="38">
        <f>IFERROR(VLOOKUP($F134,bug_conf_sheet!$A:$H,6,FALSE),VLOOKUP("other",bug_conf_sheet!$A:$H,6,FALSE))</f>
        <v>0</v>
      </c>
      <c r="R134" s="38">
        <f>IFERROR(VLOOKUP($F134,bug_conf_sheet!$A:$H,7,FALSE),VLOOKUP("other",bug_conf_sheet!$A:$H,7,FALSE))</f>
        <v>0</v>
      </c>
      <c r="S134" s="38">
        <f>IFERROR(VLOOKUP($F134,bug_conf_sheet!$A:$H,8,FALSE),VLOOKUP("other",bug_conf_sheet!$A:$H,8,FALSE))</f>
        <v>1</v>
      </c>
    </row>
    <row r="135" spans="1:19" ht="21" hidden="1" customHeight="1">
      <c r="A135" s="7" t="str">
        <f t="shared" si="9"/>
        <v>1881259</v>
      </c>
      <c r="B135" s="2" t="str">
        <f t="shared" si="10"/>
        <v>1881</v>
      </c>
      <c r="C135" s="8" t="str">
        <f t="shared" si="11"/>
        <v>1PremiumS3</v>
      </c>
      <c r="D135" s="8" t="str">
        <f t="shared" si="12"/>
        <v>1PremiumS3</v>
      </c>
      <c r="E135" s="10">
        <v>1</v>
      </c>
      <c r="F135" s="6">
        <v>259</v>
      </c>
      <c r="G135" s="8" t="str">
        <f>VLOOKUP(F135,[1]characters!$A:$C,3,FALSE)</f>
        <v>ウロボロス</v>
      </c>
      <c r="H135" s="8" t="str">
        <f>VLOOKUP(F135,[1]characters!$A:$J,10,FALSE)</f>
        <v>PremiumS</v>
      </c>
      <c r="I135" s="8">
        <f>VLOOKUP(F135,[1]characters!$A:$I,9,FALSE)</f>
        <v>3</v>
      </c>
      <c r="J135" s="8" t="str">
        <f>VLOOKUP(F135,[1]characters!$A:$H,8,FALSE)</f>
        <v>yellow</v>
      </c>
      <c r="K135" s="8" t="str">
        <f>VLOOKUP(F135,[1]characters!$A:$K,11,FALSE)</f>
        <v>balance</v>
      </c>
      <c r="L135" s="8" t="str">
        <f>VLOOKUP(F135,[1]characters!$A:$M,13,FALSE)</f>
        <v>dragon</v>
      </c>
      <c r="M135" s="16">
        <f>VLOOKUP(D135,gacha_188_base!A:B,2,FALSE)</f>
        <v>11309</v>
      </c>
      <c r="N135" s="38">
        <f>IFERROR(VLOOKUP($F135,bug_conf_sheet!$A:$H,3,FALSE),VLOOKUP("other",bug_conf_sheet!$A:$H,3,FALSE))</f>
        <v>1</v>
      </c>
      <c r="O135" s="38">
        <f>IFERROR(VLOOKUP($F135,bug_conf_sheet!$A:$H,4,FALSE),VLOOKUP("other",bug_conf_sheet!$A:$H,4,FALSE))</f>
        <v>0</v>
      </c>
      <c r="P135" s="38">
        <f>IFERROR(VLOOKUP($F135,bug_conf_sheet!$A:$H,5,FALSE),VLOOKUP("other",bug_conf_sheet!$A:$H,5,FALSE))</f>
        <v>0</v>
      </c>
      <c r="Q135" s="38">
        <f>IFERROR(VLOOKUP($F135,bug_conf_sheet!$A:$H,6,FALSE),VLOOKUP("other",bug_conf_sheet!$A:$H,6,FALSE))</f>
        <v>0</v>
      </c>
      <c r="R135" s="38">
        <f>IFERROR(VLOOKUP($F135,bug_conf_sheet!$A:$H,7,FALSE),VLOOKUP("other",bug_conf_sheet!$A:$H,7,FALSE))</f>
        <v>0</v>
      </c>
      <c r="S135" s="38">
        <f>IFERROR(VLOOKUP($F135,bug_conf_sheet!$A:$H,8,FALSE),VLOOKUP("other",bug_conf_sheet!$A:$H,8,FALSE))</f>
        <v>1</v>
      </c>
    </row>
    <row r="136" spans="1:19" ht="21" hidden="1" customHeight="1">
      <c r="A136" s="7" t="str">
        <f t="shared" si="9"/>
        <v>1881260</v>
      </c>
      <c r="B136" s="2" t="str">
        <f t="shared" si="10"/>
        <v>1881</v>
      </c>
      <c r="C136" s="8" t="str">
        <f t="shared" si="11"/>
        <v>1PremiumS4</v>
      </c>
      <c r="D136" s="8" t="str">
        <f t="shared" si="12"/>
        <v>1PremiumS4</v>
      </c>
      <c r="E136" s="10">
        <v>1</v>
      </c>
      <c r="F136" s="9">
        <v>260</v>
      </c>
      <c r="G136" s="8" t="str">
        <f>VLOOKUP(F136,[1]characters!$A:$C,3,FALSE)</f>
        <v>輪廻 ウロボロス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yellow</v>
      </c>
      <c r="K136" s="8" t="str">
        <f>VLOOKUP(F136,[1]characters!$A:$K,11,FALSE)</f>
        <v>balance</v>
      </c>
      <c r="L136" s="8" t="str">
        <f>VLOOKUP(F136,[1]characters!$A:$M,13,FALSE)</f>
        <v>dragon</v>
      </c>
      <c r="M136" s="16">
        <f>VLOOKUP(D136,gacha_188_base!A:B,2,FALSE)</f>
        <v>2827</v>
      </c>
      <c r="N136" s="38">
        <f>IFERROR(VLOOKUP($F136,bug_conf_sheet!$A:$H,3,FALSE),VLOOKUP("other",bug_conf_sheet!$A:$H,3,FALSE))</f>
        <v>1</v>
      </c>
      <c r="O136" s="38">
        <f>IFERROR(VLOOKUP($F136,bug_conf_sheet!$A:$H,4,FALSE),VLOOKUP("other",bug_conf_sheet!$A:$H,4,FALSE))</f>
        <v>0</v>
      </c>
      <c r="P136" s="38">
        <f>IFERROR(VLOOKUP($F136,bug_conf_sheet!$A:$H,5,FALSE),VLOOKUP("other",bug_conf_sheet!$A:$H,5,FALSE))</f>
        <v>0</v>
      </c>
      <c r="Q136" s="38">
        <f>IFERROR(VLOOKUP($F136,bug_conf_sheet!$A:$H,6,FALSE),VLOOKUP("other",bug_conf_sheet!$A:$H,6,FALSE))</f>
        <v>0</v>
      </c>
      <c r="R136" s="38">
        <f>IFERROR(VLOOKUP($F136,bug_conf_sheet!$A:$H,7,FALSE),VLOOKUP("other",bug_conf_sheet!$A:$H,7,FALSE))</f>
        <v>0</v>
      </c>
      <c r="S136" s="38">
        <f>IFERROR(VLOOKUP($F136,bug_conf_sheet!$A:$H,8,FALSE),VLOOKUP("other",bug_conf_sheet!$A:$H,8,FALSE))</f>
        <v>1</v>
      </c>
    </row>
    <row r="137" spans="1:19" ht="21" customHeight="1">
      <c r="A137" s="7" t="str">
        <f t="shared" si="9"/>
        <v>1881261</v>
      </c>
      <c r="B137" s="2" t="str">
        <f t="shared" si="10"/>
        <v>1881</v>
      </c>
      <c r="C137" s="8" t="str">
        <f t="shared" si="11"/>
        <v>1PremiumS5</v>
      </c>
      <c r="D137" s="8" t="str">
        <f t="shared" si="12"/>
        <v>1PremiumS5</v>
      </c>
      <c r="E137" s="10">
        <v>1</v>
      </c>
      <c r="F137" s="9">
        <v>261</v>
      </c>
      <c r="G137" s="8" t="str">
        <f>VLOOKUP(F137,[1]characters!$A:$C,3,FALSE)</f>
        <v>輪廻の蛇龍 ウロボロス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yellow</v>
      </c>
      <c r="K137" s="8" t="str">
        <f>VLOOKUP(F137,[1]characters!$A:$K,11,FALSE)</f>
        <v>balance</v>
      </c>
      <c r="L137" s="8" t="str">
        <f>VLOOKUP(F137,[1]characters!$A:$M,13,FALSE)</f>
        <v>dragon</v>
      </c>
      <c r="M137" s="16">
        <f>VLOOKUP(D137,gacha_188_base!A:B,2,FALSE)</f>
        <v>942</v>
      </c>
      <c r="N137" s="38">
        <f>IFERROR(VLOOKUP($F137,bug_conf_sheet!$A:$H,3,FALSE),VLOOKUP("other",bug_conf_sheet!$A:$H,3,FALSE))</f>
        <v>1</v>
      </c>
      <c r="O137" s="38">
        <f>IFERROR(VLOOKUP($F137,bug_conf_sheet!$A:$H,4,FALSE),VLOOKUP("other",bug_conf_sheet!$A:$H,4,FALSE))</f>
        <v>0</v>
      </c>
      <c r="P137" s="38">
        <f>IFERROR(VLOOKUP($F137,bug_conf_sheet!$A:$H,5,FALSE),VLOOKUP("other",bug_conf_sheet!$A:$H,5,FALSE))</f>
        <v>0</v>
      </c>
      <c r="Q137" s="38">
        <f>IFERROR(VLOOKUP($F137,bug_conf_sheet!$A:$H,6,FALSE),VLOOKUP("other",bug_conf_sheet!$A:$H,6,FALSE))</f>
        <v>0</v>
      </c>
      <c r="R137" s="38">
        <f>IFERROR(VLOOKUP($F137,bug_conf_sheet!$A:$H,7,FALSE),VLOOKUP("other",bug_conf_sheet!$A:$H,7,FALSE))</f>
        <v>0</v>
      </c>
      <c r="S137" s="38">
        <f>IFERROR(VLOOKUP($F137,bug_conf_sheet!$A:$H,8,FALSE),VLOOKUP("other",bug_conf_sheet!$A:$H,8,FALSE))</f>
        <v>1</v>
      </c>
    </row>
    <row r="138" spans="1:19" ht="21" hidden="1" customHeight="1">
      <c r="A138" s="7" t="str">
        <f t="shared" si="9"/>
        <v>1881320</v>
      </c>
      <c r="B138" s="2" t="str">
        <f t="shared" si="10"/>
        <v>1881</v>
      </c>
      <c r="C138" s="8" t="str">
        <f t="shared" si="11"/>
        <v>1PremiumSS4</v>
      </c>
      <c r="D138" s="8" t="str">
        <f t="shared" si="12"/>
        <v>1PremiumSS4</v>
      </c>
      <c r="E138" s="10">
        <v>1</v>
      </c>
      <c r="F138" s="6">
        <v>320</v>
      </c>
      <c r="G138" s="8" t="str">
        <f>VLOOKUP(F138,[1]characters!$A:$C,3,FALSE)</f>
        <v>烈志士 近藤勇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red</v>
      </c>
      <c r="K138" s="8" t="str">
        <f>VLOOKUP(F138,[1]characters!$A:$K,11,FALSE)</f>
        <v>hp</v>
      </c>
      <c r="L138" s="8" t="str">
        <f>VLOOKUP(F138,[1]characters!$A:$M,13,FALSE)</f>
        <v>human</v>
      </c>
      <c r="M138" s="16">
        <f>VLOOKUP(D138,gacha_188_base!A:B,2,FALSE)</f>
        <v>1705</v>
      </c>
      <c r="N138" s="38">
        <f>IFERROR(VLOOKUP($F138,bug_conf_sheet!$A:$H,3,FALSE),VLOOKUP("other",bug_conf_sheet!$A:$H,3,FALSE))</f>
        <v>1</v>
      </c>
      <c r="O138" s="38">
        <f>IFERROR(VLOOKUP($F138,bug_conf_sheet!$A:$H,4,FALSE),VLOOKUP("other",bug_conf_sheet!$A:$H,4,FALSE))</f>
        <v>0</v>
      </c>
      <c r="P138" s="38">
        <f>IFERROR(VLOOKUP($F138,bug_conf_sheet!$A:$H,5,FALSE),VLOOKUP("other",bug_conf_sheet!$A:$H,5,FALSE))</f>
        <v>0</v>
      </c>
      <c r="Q138" s="38">
        <f>IFERROR(VLOOKUP($F138,bug_conf_sheet!$A:$H,6,FALSE),VLOOKUP("other",bug_conf_sheet!$A:$H,6,FALSE))</f>
        <v>0</v>
      </c>
      <c r="R138" s="38">
        <f>IFERROR(VLOOKUP($F138,bug_conf_sheet!$A:$H,7,FALSE),VLOOKUP("other",bug_conf_sheet!$A:$H,7,FALSE))</f>
        <v>0</v>
      </c>
      <c r="S138" s="38">
        <f>IFERROR(VLOOKUP($F138,bug_conf_sheet!$A:$H,8,FALSE),VLOOKUP("other",bug_conf_sheet!$A:$H,8,FALSE))</f>
        <v>1</v>
      </c>
    </row>
    <row r="139" spans="1:19" ht="21" customHeight="1">
      <c r="A139" s="7" t="str">
        <f t="shared" si="9"/>
        <v>1881321</v>
      </c>
      <c r="B139" s="2" t="str">
        <f t="shared" si="10"/>
        <v>1881</v>
      </c>
      <c r="C139" s="8" t="str">
        <f t="shared" si="11"/>
        <v>1PremiumSS5</v>
      </c>
      <c r="D139" s="8" t="str">
        <f t="shared" si="12"/>
        <v>1PremiumSS5</v>
      </c>
      <c r="E139" s="10">
        <v>1</v>
      </c>
      <c r="F139" s="6">
        <v>321</v>
      </c>
      <c r="G139" s="8" t="str">
        <f>VLOOKUP(F139,[1]characters!$A:$C,3,FALSE)</f>
        <v>巌鉄の烈志士 近藤勇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red</v>
      </c>
      <c r="K139" s="8" t="str">
        <f>VLOOKUP(F139,[1]characters!$A:$K,11,FALSE)</f>
        <v>hp</v>
      </c>
      <c r="L139" s="8" t="str">
        <f>VLOOKUP(F139,[1]characters!$A:$M,13,FALSE)</f>
        <v>human</v>
      </c>
      <c r="M139" s="16">
        <f>VLOOKUP(D139,gacha_188_base!A:B,2,FALSE)</f>
        <v>114</v>
      </c>
      <c r="N139" s="38">
        <f>IFERROR(VLOOKUP($F139,bug_conf_sheet!$A:$H,3,FALSE),VLOOKUP("other",bug_conf_sheet!$A:$H,3,FALSE))</f>
        <v>1</v>
      </c>
      <c r="O139" s="38">
        <f>IFERROR(VLOOKUP($F139,bug_conf_sheet!$A:$H,4,FALSE),VLOOKUP("other",bug_conf_sheet!$A:$H,4,FALSE))</f>
        <v>0</v>
      </c>
      <c r="P139" s="38">
        <f>IFERROR(VLOOKUP($F139,bug_conf_sheet!$A:$H,5,FALSE),VLOOKUP("other",bug_conf_sheet!$A:$H,5,FALSE))</f>
        <v>0</v>
      </c>
      <c r="Q139" s="38">
        <f>IFERROR(VLOOKUP($F139,bug_conf_sheet!$A:$H,6,FALSE),VLOOKUP("other",bug_conf_sheet!$A:$H,6,FALSE))</f>
        <v>0</v>
      </c>
      <c r="R139" s="38">
        <f>IFERROR(VLOOKUP($F139,bug_conf_sheet!$A:$H,7,FALSE),VLOOKUP("other",bug_conf_sheet!$A:$H,7,FALSE))</f>
        <v>0</v>
      </c>
      <c r="S139" s="38">
        <f>IFERROR(VLOOKUP($F139,bug_conf_sheet!$A:$H,8,FALSE),VLOOKUP("other",bug_conf_sheet!$A:$H,8,FALSE))</f>
        <v>1</v>
      </c>
    </row>
    <row r="140" spans="1:19" ht="21" hidden="1" customHeight="1">
      <c r="A140" s="7" t="str">
        <f t="shared" si="9"/>
        <v>1881322</v>
      </c>
      <c r="B140" s="2" t="str">
        <f t="shared" si="10"/>
        <v>1881</v>
      </c>
      <c r="C140" s="8" t="str">
        <f t="shared" si="11"/>
        <v>1PremiumSS4</v>
      </c>
      <c r="D140" s="8" t="str">
        <f t="shared" si="12"/>
        <v>1PremiumSS4</v>
      </c>
      <c r="E140" s="10">
        <v>1</v>
      </c>
      <c r="F140" s="6">
        <v>322</v>
      </c>
      <c r="G140" s="8" t="str">
        <f>VLOOKUP(F140,[1]characters!$A:$C,3,FALSE)</f>
        <v>愛志士 土方歳三</v>
      </c>
      <c r="H140" s="8" t="str">
        <f>VLOOKUP(F140,[1]characters!$A:$J,10,FALSE)</f>
        <v>PremiumSS</v>
      </c>
      <c r="I140" s="8">
        <f>VLOOKUP(F140,[1]characters!$A:$I,9,FALSE)</f>
        <v>4</v>
      </c>
      <c r="J140" s="8" t="str">
        <f>VLOOKUP(F140,[1]characters!$A:$H,8,FALSE)</f>
        <v>green</v>
      </c>
      <c r="K140" s="8" t="str">
        <f>VLOOKUP(F140,[1]characters!$A:$K,11,FALSE)</f>
        <v>attack</v>
      </c>
      <c r="L140" s="8" t="str">
        <f>VLOOKUP(F140,[1]characters!$A:$M,13,FALSE)</f>
        <v>human</v>
      </c>
      <c r="M140" s="16">
        <f>VLOOKUP(D140,gacha_188_base!A:B,2,FALSE)</f>
        <v>1705</v>
      </c>
      <c r="N140" s="38">
        <f>IFERROR(VLOOKUP($F140,bug_conf_sheet!$A:$H,3,FALSE),VLOOKUP("other",bug_conf_sheet!$A:$H,3,FALSE))</f>
        <v>1</v>
      </c>
      <c r="O140" s="38">
        <f>IFERROR(VLOOKUP($F140,bug_conf_sheet!$A:$H,4,FALSE),VLOOKUP("other",bug_conf_sheet!$A:$H,4,FALSE))</f>
        <v>0</v>
      </c>
      <c r="P140" s="38">
        <f>IFERROR(VLOOKUP($F140,bug_conf_sheet!$A:$H,5,FALSE),VLOOKUP("other",bug_conf_sheet!$A:$H,5,FALSE))</f>
        <v>0</v>
      </c>
      <c r="Q140" s="38">
        <f>IFERROR(VLOOKUP($F140,bug_conf_sheet!$A:$H,6,FALSE),VLOOKUP("other",bug_conf_sheet!$A:$H,6,FALSE))</f>
        <v>0</v>
      </c>
      <c r="R140" s="38">
        <f>IFERROR(VLOOKUP($F140,bug_conf_sheet!$A:$H,7,FALSE),VLOOKUP("other",bug_conf_sheet!$A:$H,7,FALSE))</f>
        <v>0</v>
      </c>
      <c r="S140" s="38">
        <f>IFERROR(VLOOKUP($F140,bug_conf_sheet!$A:$H,8,FALSE),VLOOKUP("other",bug_conf_sheet!$A:$H,8,FALSE))</f>
        <v>1</v>
      </c>
    </row>
    <row r="141" spans="1:19" ht="21" customHeight="1">
      <c r="A141" s="7" t="str">
        <f t="shared" si="9"/>
        <v>1881323</v>
      </c>
      <c r="B141" s="2" t="str">
        <f t="shared" si="10"/>
        <v>1881</v>
      </c>
      <c r="C141" s="8" t="str">
        <f t="shared" si="11"/>
        <v>1PremiumSS5</v>
      </c>
      <c r="D141" s="8" t="str">
        <f t="shared" si="12"/>
        <v>1PremiumSS5</v>
      </c>
      <c r="E141" s="10">
        <v>1</v>
      </c>
      <c r="F141" s="6">
        <v>323</v>
      </c>
      <c r="G141" s="8" t="str">
        <f>VLOOKUP(F141,[1]characters!$A:$C,3,FALSE)</f>
        <v>流麗の愛志士 土方歳三</v>
      </c>
      <c r="H141" s="8" t="str">
        <f>VLOOKUP(F141,[1]characters!$A:$J,10,FALSE)</f>
        <v>PremiumSS</v>
      </c>
      <c r="I141" s="8">
        <f>VLOOKUP(F141,[1]characters!$A:$I,9,FALSE)</f>
        <v>5</v>
      </c>
      <c r="J141" s="8" t="str">
        <f>VLOOKUP(F141,[1]characters!$A:$H,8,FALSE)</f>
        <v>green</v>
      </c>
      <c r="K141" s="8" t="str">
        <f>VLOOKUP(F141,[1]characters!$A:$K,11,FALSE)</f>
        <v>attack</v>
      </c>
      <c r="L141" s="8" t="str">
        <f>VLOOKUP(F141,[1]characters!$A:$M,13,FALSE)</f>
        <v>human</v>
      </c>
      <c r="M141" s="16">
        <f>VLOOKUP(D141,gacha_188_base!A:B,2,FALSE)</f>
        <v>114</v>
      </c>
      <c r="N141" s="38">
        <f>IFERROR(VLOOKUP($F141,bug_conf_sheet!$A:$H,3,FALSE),VLOOKUP("other",bug_conf_sheet!$A:$H,3,FALSE))</f>
        <v>1</v>
      </c>
      <c r="O141" s="38">
        <f>IFERROR(VLOOKUP($F141,bug_conf_sheet!$A:$H,4,FALSE),VLOOKUP("other",bug_conf_sheet!$A:$H,4,FALSE))</f>
        <v>0</v>
      </c>
      <c r="P141" s="38">
        <f>IFERROR(VLOOKUP($F141,bug_conf_sheet!$A:$H,5,FALSE),VLOOKUP("other",bug_conf_sheet!$A:$H,5,FALSE))</f>
        <v>0</v>
      </c>
      <c r="Q141" s="38">
        <f>IFERROR(VLOOKUP($F141,bug_conf_sheet!$A:$H,6,FALSE),VLOOKUP("other",bug_conf_sheet!$A:$H,6,FALSE))</f>
        <v>0</v>
      </c>
      <c r="R141" s="38">
        <f>IFERROR(VLOOKUP($F141,bug_conf_sheet!$A:$H,7,FALSE),VLOOKUP("other",bug_conf_sheet!$A:$H,7,FALSE))</f>
        <v>0</v>
      </c>
      <c r="S141" s="38">
        <f>IFERROR(VLOOKUP($F141,bug_conf_sheet!$A:$H,8,FALSE),VLOOKUP("other",bug_conf_sheet!$A:$H,8,FALSE))</f>
        <v>1</v>
      </c>
    </row>
    <row r="142" spans="1:19" ht="21" hidden="1" customHeight="1">
      <c r="A142" s="7" t="str">
        <f t="shared" si="9"/>
        <v>1881324</v>
      </c>
      <c r="B142" s="2" t="str">
        <f t="shared" si="10"/>
        <v>1881</v>
      </c>
      <c r="C142" s="8" t="str">
        <f t="shared" si="11"/>
        <v>1PremiumSS4</v>
      </c>
      <c r="D142" s="8" t="str">
        <f t="shared" si="12"/>
        <v>1PremiumSS4</v>
      </c>
      <c r="E142" s="10">
        <v>1</v>
      </c>
      <c r="F142" s="6">
        <v>324</v>
      </c>
      <c r="G142" s="8" t="str">
        <f>VLOOKUP(F142,[1]characters!$A:$C,3,FALSE)</f>
        <v>凛志士 沖田総司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blue</v>
      </c>
      <c r="K142" s="8" t="str">
        <f>VLOOKUP(F142,[1]characters!$A:$K,11,FALSE)</f>
        <v>balance</v>
      </c>
      <c r="L142" s="8" t="str">
        <f>VLOOKUP(F142,[1]characters!$A:$M,13,FALSE)</f>
        <v>human</v>
      </c>
      <c r="M142" s="16">
        <f>VLOOKUP(D142,gacha_188_base!A:B,2,FALSE)</f>
        <v>1705</v>
      </c>
      <c r="N142" s="38">
        <f>IFERROR(VLOOKUP($F142,bug_conf_sheet!$A:$H,3,FALSE),VLOOKUP("other",bug_conf_sheet!$A:$H,3,FALSE))</f>
        <v>1</v>
      </c>
      <c r="O142" s="38">
        <f>IFERROR(VLOOKUP($F142,bug_conf_sheet!$A:$H,4,FALSE),VLOOKUP("other",bug_conf_sheet!$A:$H,4,FALSE))</f>
        <v>0</v>
      </c>
      <c r="P142" s="38">
        <f>IFERROR(VLOOKUP($F142,bug_conf_sheet!$A:$H,5,FALSE),VLOOKUP("other",bug_conf_sheet!$A:$H,5,FALSE))</f>
        <v>0</v>
      </c>
      <c r="Q142" s="38">
        <f>IFERROR(VLOOKUP($F142,bug_conf_sheet!$A:$H,6,FALSE),VLOOKUP("other",bug_conf_sheet!$A:$H,6,FALSE))</f>
        <v>0</v>
      </c>
      <c r="R142" s="38">
        <f>IFERROR(VLOOKUP($F142,bug_conf_sheet!$A:$H,7,FALSE),VLOOKUP("other",bug_conf_sheet!$A:$H,7,FALSE))</f>
        <v>0</v>
      </c>
      <c r="S142" s="38">
        <f>IFERROR(VLOOKUP($F142,bug_conf_sheet!$A:$H,8,FALSE),VLOOKUP("other",bug_conf_sheet!$A:$H,8,FALSE))</f>
        <v>1</v>
      </c>
    </row>
    <row r="143" spans="1:19" s="14" customFormat="1" ht="21" customHeight="1" thickBot="1">
      <c r="A143" s="7" t="str">
        <f t="shared" si="9"/>
        <v>1881325</v>
      </c>
      <c r="B143" s="2" t="str">
        <f t="shared" si="10"/>
        <v>1881</v>
      </c>
      <c r="C143" s="8" t="str">
        <f t="shared" si="11"/>
        <v>1PremiumSS5</v>
      </c>
      <c r="D143" s="8" t="str">
        <f t="shared" si="12"/>
        <v>1PremiumSS5</v>
      </c>
      <c r="E143" s="10">
        <v>1</v>
      </c>
      <c r="F143" s="6">
        <v>325</v>
      </c>
      <c r="G143" s="8" t="str">
        <f>VLOOKUP(F143,[1]characters!$A:$C,3,FALSE)</f>
        <v>天賦の凛志士 沖田総司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blue</v>
      </c>
      <c r="K143" s="8" t="str">
        <f>VLOOKUP(F143,[1]characters!$A:$K,11,FALSE)</f>
        <v>balance</v>
      </c>
      <c r="L143" s="8" t="str">
        <f>VLOOKUP(F143,[1]characters!$A:$M,13,FALSE)</f>
        <v>human</v>
      </c>
      <c r="M143" s="16">
        <f>VLOOKUP(D143,gacha_188_base!A:B,2,FALSE)</f>
        <v>114</v>
      </c>
      <c r="N143" s="38">
        <f>IFERROR(VLOOKUP($F143,bug_conf_sheet!$A:$H,3,FALSE),VLOOKUP("other",bug_conf_sheet!$A:$H,3,FALSE))</f>
        <v>1</v>
      </c>
      <c r="O143" s="38">
        <f>IFERROR(VLOOKUP($F143,bug_conf_sheet!$A:$H,4,FALSE),VLOOKUP("other",bug_conf_sheet!$A:$H,4,FALSE))</f>
        <v>0</v>
      </c>
      <c r="P143" s="38">
        <f>IFERROR(VLOOKUP($F143,bug_conf_sheet!$A:$H,5,FALSE),VLOOKUP("other",bug_conf_sheet!$A:$H,5,FALSE))</f>
        <v>0</v>
      </c>
      <c r="Q143" s="38">
        <f>IFERROR(VLOOKUP($F143,bug_conf_sheet!$A:$H,6,FALSE),VLOOKUP("other",bug_conf_sheet!$A:$H,6,FALSE))</f>
        <v>0</v>
      </c>
      <c r="R143" s="38">
        <f>IFERROR(VLOOKUP($F143,bug_conf_sheet!$A:$H,7,FALSE),VLOOKUP("other",bug_conf_sheet!$A:$H,7,FALSE))</f>
        <v>0</v>
      </c>
      <c r="S143" s="38">
        <f>IFERROR(VLOOKUP($F143,bug_conf_sheet!$A:$H,8,FALSE),VLOOKUP("other",bug_conf_sheet!$A:$H,8,FALSE))</f>
        <v>1</v>
      </c>
    </row>
    <row r="144" spans="1:19" ht="21" hidden="1" customHeight="1">
      <c r="A144" s="7" t="str">
        <f t="shared" si="9"/>
        <v>1881326</v>
      </c>
      <c r="B144" s="2" t="str">
        <f t="shared" si="10"/>
        <v>1881</v>
      </c>
      <c r="C144" s="8" t="str">
        <f t="shared" si="11"/>
        <v>1PremiumSS4</v>
      </c>
      <c r="D144" s="8" t="str">
        <f t="shared" si="12"/>
        <v>1PremiumSS4</v>
      </c>
      <c r="E144" s="10">
        <v>1</v>
      </c>
      <c r="F144" s="6">
        <v>326</v>
      </c>
      <c r="G144" s="8" t="str">
        <f>VLOOKUP(F144,[1]characters!$A:$C,3,FALSE)</f>
        <v>妖志士 斎藤一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yellow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VLOOKUP(D144,gacha_188_base!A:B,2,FALSE)</f>
        <v>1705</v>
      </c>
      <c r="N144" s="38">
        <f>IFERROR(VLOOKUP($F144,bug_conf_sheet!$A:$H,3,FALSE),VLOOKUP("other",bug_conf_sheet!$A:$H,3,FALSE))</f>
        <v>1</v>
      </c>
      <c r="O144" s="38">
        <f>IFERROR(VLOOKUP($F144,bug_conf_sheet!$A:$H,4,FALSE),VLOOKUP("other",bug_conf_sheet!$A:$H,4,FALSE))</f>
        <v>0</v>
      </c>
      <c r="P144" s="38">
        <f>IFERROR(VLOOKUP($F144,bug_conf_sheet!$A:$H,5,FALSE),VLOOKUP("other",bug_conf_sheet!$A:$H,5,FALSE))</f>
        <v>0</v>
      </c>
      <c r="Q144" s="38">
        <f>IFERROR(VLOOKUP($F144,bug_conf_sheet!$A:$H,6,FALSE),VLOOKUP("other",bug_conf_sheet!$A:$H,6,FALSE))</f>
        <v>0</v>
      </c>
      <c r="R144" s="38">
        <f>IFERROR(VLOOKUP($F144,bug_conf_sheet!$A:$H,7,FALSE),VLOOKUP("other",bug_conf_sheet!$A:$H,7,FALSE))</f>
        <v>0</v>
      </c>
      <c r="S144" s="38">
        <f>IFERROR(VLOOKUP($F144,bug_conf_sheet!$A:$H,8,FALSE),VLOOKUP("other",bug_conf_sheet!$A:$H,8,FALSE))</f>
        <v>1</v>
      </c>
    </row>
    <row r="145" spans="1:19" ht="21" customHeight="1">
      <c r="A145" s="7" t="str">
        <f t="shared" si="9"/>
        <v>1881327</v>
      </c>
      <c r="B145" s="2" t="str">
        <f t="shared" si="10"/>
        <v>1881</v>
      </c>
      <c r="C145" s="8" t="str">
        <f t="shared" si="11"/>
        <v>1PremiumSS5</v>
      </c>
      <c r="D145" s="8" t="str">
        <f t="shared" si="12"/>
        <v>1PremiumSS5</v>
      </c>
      <c r="E145" s="10">
        <v>1</v>
      </c>
      <c r="F145" s="6">
        <v>327</v>
      </c>
      <c r="G145" s="8" t="str">
        <f>VLOOKUP(F145,[1]characters!$A:$C,3,FALSE)</f>
        <v>千殺の妖志士 斎藤一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yellow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VLOOKUP(D145,gacha_188_base!A:B,2,FALSE)</f>
        <v>114</v>
      </c>
      <c r="N145" s="38">
        <f>IFERROR(VLOOKUP($F145,bug_conf_sheet!$A:$H,3,FALSE),VLOOKUP("other",bug_conf_sheet!$A:$H,3,FALSE))</f>
        <v>1</v>
      </c>
      <c r="O145" s="38">
        <f>IFERROR(VLOOKUP($F145,bug_conf_sheet!$A:$H,4,FALSE),VLOOKUP("other",bug_conf_sheet!$A:$H,4,FALSE))</f>
        <v>0</v>
      </c>
      <c r="P145" s="38">
        <f>IFERROR(VLOOKUP($F145,bug_conf_sheet!$A:$H,5,FALSE),VLOOKUP("other",bug_conf_sheet!$A:$H,5,FALSE))</f>
        <v>0</v>
      </c>
      <c r="Q145" s="38">
        <f>IFERROR(VLOOKUP($F145,bug_conf_sheet!$A:$H,6,FALSE),VLOOKUP("other",bug_conf_sheet!$A:$H,6,FALSE))</f>
        <v>0</v>
      </c>
      <c r="R145" s="38">
        <f>IFERROR(VLOOKUP($F145,bug_conf_sheet!$A:$H,7,FALSE),VLOOKUP("other",bug_conf_sheet!$A:$H,7,FALSE))</f>
        <v>0</v>
      </c>
      <c r="S145" s="38">
        <f>IFERROR(VLOOKUP($F145,bug_conf_sheet!$A:$H,8,FALSE),VLOOKUP("other",bug_conf_sheet!$A:$H,8,FALSE))</f>
        <v>1</v>
      </c>
    </row>
    <row r="146" spans="1:19" ht="21" hidden="1" customHeight="1">
      <c r="A146" s="7" t="str">
        <f t="shared" si="9"/>
        <v>1881380</v>
      </c>
      <c r="B146" s="2" t="str">
        <f t="shared" si="10"/>
        <v>1881</v>
      </c>
      <c r="C146" s="8" t="str">
        <f t="shared" si="11"/>
        <v>1PremiumS3</v>
      </c>
      <c r="D146" s="8" t="str">
        <f t="shared" si="12"/>
        <v>1PremiumS3</v>
      </c>
      <c r="E146" s="10">
        <v>1</v>
      </c>
      <c r="F146" s="6">
        <v>380</v>
      </c>
      <c r="G146" s="8" t="str">
        <f>VLOOKUP(F146,[1]characters!$A:$C,3,FALSE)</f>
        <v>バハムート</v>
      </c>
      <c r="H146" s="8" t="str">
        <f>VLOOKUP(F146,[1]characters!$A:$J,10,FALSE)</f>
        <v>PremiumS</v>
      </c>
      <c r="I146" s="8">
        <f>VLOOKUP(F146,[1]characters!$A:$I,9,FALSE)</f>
        <v>3</v>
      </c>
      <c r="J146" s="8" t="str">
        <f>VLOOKUP(F146,[1]characters!$A:$H,8,FALSE)</f>
        <v>red</v>
      </c>
      <c r="K146" s="8" t="str">
        <f>VLOOKUP(F146,[1]characters!$A:$K,11,FALSE)</f>
        <v>technical</v>
      </c>
      <c r="L146" s="8" t="str">
        <f>VLOOKUP(F146,[1]characters!$A:$M,13,FALSE)</f>
        <v>dragon</v>
      </c>
      <c r="M146" s="16">
        <f>VLOOKUP(D146,gacha_188_base!A:B,2,FALSE)</f>
        <v>11309</v>
      </c>
      <c r="N146" s="38">
        <f>IFERROR(VLOOKUP($F146,bug_conf_sheet!$A:$H,3,FALSE),VLOOKUP("other",bug_conf_sheet!$A:$H,3,FALSE))</f>
        <v>1</v>
      </c>
      <c r="O146" s="38">
        <f>IFERROR(VLOOKUP($F146,bug_conf_sheet!$A:$H,4,FALSE),VLOOKUP("other",bug_conf_sheet!$A:$H,4,FALSE))</f>
        <v>0</v>
      </c>
      <c r="P146" s="38">
        <f>IFERROR(VLOOKUP($F146,bug_conf_sheet!$A:$H,5,FALSE),VLOOKUP("other",bug_conf_sheet!$A:$H,5,FALSE))</f>
        <v>0</v>
      </c>
      <c r="Q146" s="38">
        <f>IFERROR(VLOOKUP($F146,bug_conf_sheet!$A:$H,6,FALSE),VLOOKUP("other",bug_conf_sheet!$A:$H,6,FALSE))</f>
        <v>0</v>
      </c>
      <c r="R146" s="38">
        <f>IFERROR(VLOOKUP($F146,bug_conf_sheet!$A:$H,7,FALSE),VLOOKUP("other",bug_conf_sheet!$A:$H,7,FALSE))</f>
        <v>0</v>
      </c>
      <c r="S146" s="38">
        <f>IFERROR(VLOOKUP($F146,bug_conf_sheet!$A:$H,8,FALSE),VLOOKUP("other",bug_conf_sheet!$A:$H,8,FALSE))</f>
        <v>1</v>
      </c>
    </row>
    <row r="147" spans="1:19" ht="21" hidden="1" customHeight="1">
      <c r="A147" s="7" t="str">
        <f t="shared" si="9"/>
        <v>1881381</v>
      </c>
      <c r="B147" s="2" t="str">
        <f t="shared" si="10"/>
        <v>1881</v>
      </c>
      <c r="C147" s="8" t="str">
        <f t="shared" si="11"/>
        <v>1PremiumS4</v>
      </c>
      <c r="D147" s="8" t="str">
        <f t="shared" si="12"/>
        <v>1PremiumS4</v>
      </c>
      <c r="E147" s="10">
        <v>1</v>
      </c>
      <c r="F147" s="6">
        <v>381</v>
      </c>
      <c r="G147" s="8" t="str">
        <f>VLOOKUP(F147,[1]characters!$A:$C,3,FALSE)</f>
        <v>肉食の恋火 バハムート</v>
      </c>
      <c r="H147" s="8" t="str">
        <f>VLOOKUP(F147,[1]characters!$A:$J,10,FALSE)</f>
        <v>PremiumS</v>
      </c>
      <c r="I147" s="8">
        <f>VLOOKUP(F147,[1]characters!$A:$I,9,FALSE)</f>
        <v>4</v>
      </c>
      <c r="J147" s="8" t="str">
        <f>VLOOKUP(F147,[1]characters!$A:$H,8,FALSE)</f>
        <v>red</v>
      </c>
      <c r="K147" s="8" t="str">
        <f>VLOOKUP(F147,[1]characters!$A:$K,11,FALSE)</f>
        <v>technical</v>
      </c>
      <c r="L147" s="8" t="str">
        <f>VLOOKUP(F147,[1]characters!$A:$M,13,FALSE)</f>
        <v>dragon</v>
      </c>
      <c r="M147" s="16">
        <f>VLOOKUP(D147,gacha_188_base!A:B,2,FALSE)</f>
        <v>2827</v>
      </c>
      <c r="N147" s="38">
        <f>IFERROR(VLOOKUP($F147,bug_conf_sheet!$A:$H,3,FALSE),VLOOKUP("other",bug_conf_sheet!$A:$H,3,FALSE))</f>
        <v>1</v>
      </c>
      <c r="O147" s="38">
        <f>IFERROR(VLOOKUP($F147,bug_conf_sheet!$A:$H,4,FALSE),VLOOKUP("other",bug_conf_sheet!$A:$H,4,FALSE))</f>
        <v>0</v>
      </c>
      <c r="P147" s="38">
        <f>IFERROR(VLOOKUP($F147,bug_conf_sheet!$A:$H,5,FALSE),VLOOKUP("other",bug_conf_sheet!$A:$H,5,FALSE))</f>
        <v>0</v>
      </c>
      <c r="Q147" s="38">
        <f>IFERROR(VLOOKUP($F147,bug_conf_sheet!$A:$H,6,FALSE),VLOOKUP("other",bug_conf_sheet!$A:$H,6,FALSE))</f>
        <v>0</v>
      </c>
      <c r="R147" s="38">
        <f>IFERROR(VLOOKUP($F147,bug_conf_sheet!$A:$H,7,FALSE),VLOOKUP("other",bug_conf_sheet!$A:$H,7,FALSE))</f>
        <v>0</v>
      </c>
      <c r="S147" s="38">
        <f>IFERROR(VLOOKUP($F147,bug_conf_sheet!$A:$H,8,FALSE),VLOOKUP("other",bug_conf_sheet!$A:$H,8,FALSE))</f>
        <v>1</v>
      </c>
    </row>
    <row r="148" spans="1:19" ht="21" customHeight="1">
      <c r="A148" s="7" t="str">
        <f t="shared" si="9"/>
        <v>1881382</v>
      </c>
      <c r="B148" s="2" t="str">
        <f t="shared" si="10"/>
        <v>1881</v>
      </c>
      <c r="C148" s="8" t="str">
        <f t="shared" si="11"/>
        <v>1PremiumS5</v>
      </c>
      <c r="D148" s="8" t="str">
        <f t="shared" si="12"/>
        <v>1PremiumS5</v>
      </c>
      <c r="E148" s="10">
        <v>1</v>
      </c>
      <c r="F148" s="6">
        <v>382</v>
      </c>
      <c r="G148" s="8" t="str">
        <f>VLOOKUP(F148,[1]characters!$A:$C,3,FALSE)</f>
        <v>激情の愛炎 バハムート</v>
      </c>
      <c r="H148" s="8" t="str">
        <f>VLOOKUP(F148,[1]characters!$A:$J,10,FALSE)</f>
        <v>PremiumS</v>
      </c>
      <c r="I148" s="8">
        <f>VLOOKUP(F148,[1]characters!$A:$I,9,FALSE)</f>
        <v>5</v>
      </c>
      <c r="J148" s="8" t="str">
        <f>VLOOKUP(F148,[1]characters!$A:$H,8,FALSE)</f>
        <v>red</v>
      </c>
      <c r="K148" s="8" t="str">
        <f>VLOOKUP(F148,[1]characters!$A:$K,11,FALSE)</f>
        <v>technical</v>
      </c>
      <c r="L148" s="8" t="str">
        <f>VLOOKUP(F148,[1]characters!$A:$M,13,FALSE)</f>
        <v>dragon</v>
      </c>
      <c r="M148" s="16">
        <f>VLOOKUP(D148,gacha_188_base!A:B,2,FALSE)</f>
        <v>942</v>
      </c>
      <c r="N148" s="38">
        <f>IFERROR(VLOOKUP($F148,bug_conf_sheet!$A:$H,3,FALSE),VLOOKUP("other",bug_conf_sheet!$A:$H,3,FALSE))</f>
        <v>1</v>
      </c>
      <c r="O148" s="38">
        <f>IFERROR(VLOOKUP($F148,bug_conf_sheet!$A:$H,4,FALSE),VLOOKUP("other",bug_conf_sheet!$A:$H,4,FALSE))</f>
        <v>0</v>
      </c>
      <c r="P148" s="38">
        <f>IFERROR(VLOOKUP($F148,bug_conf_sheet!$A:$H,5,FALSE),VLOOKUP("other",bug_conf_sheet!$A:$H,5,FALSE))</f>
        <v>0</v>
      </c>
      <c r="Q148" s="38">
        <f>IFERROR(VLOOKUP($F148,bug_conf_sheet!$A:$H,6,FALSE),VLOOKUP("other",bug_conf_sheet!$A:$H,6,FALSE))</f>
        <v>0</v>
      </c>
      <c r="R148" s="38">
        <f>IFERROR(VLOOKUP($F148,bug_conf_sheet!$A:$H,7,FALSE),VLOOKUP("other",bug_conf_sheet!$A:$H,7,FALSE))</f>
        <v>0</v>
      </c>
      <c r="S148" s="38">
        <f>IFERROR(VLOOKUP($F148,bug_conf_sheet!$A:$H,8,FALSE),VLOOKUP("other",bug_conf_sheet!$A:$H,8,FALSE))</f>
        <v>1</v>
      </c>
    </row>
    <row r="149" spans="1:19" ht="21" hidden="1" customHeight="1">
      <c r="A149" s="7" t="str">
        <f t="shared" si="9"/>
        <v>1881383</v>
      </c>
      <c r="B149" s="2" t="str">
        <f t="shared" si="10"/>
        <v>1881</v>
      </c>
      <c r="C149" s="8" t="str">
        <f t="shared" si="11"/>
        <v>1PremiumSS4</v>
      </c>
      <c r="D149" s="8" t="str">
        <f t="shared" si="12"/>
        <v>1PremiumSS4</v>
      </c>
      <c r="E149" s="10">
        <v>1</v>
      </c>
      <c r="F149" s="6">
        <v>383</v>
      </c>
      <c r="G149" s="8" t="str">
        <f>VLOOKUP(F149,[1]characters!$A:$C,3,FALSE)</f>
        <v>酒宴の蟒蛇 ヤマタノオロチ</v>
      </c>
      <c r="H149" s="8" t="str">
        <f>VLOOKUP(F149,[1]characters!$A:$J,10,FALSE)</f>
        <v>PremiumSS</v>
      </c>
      <c r="I149" s="8">
        <f>VLOOKUP(F149,[1]characters!$A:$I,9,FALSE)</f>
        <v>4</v>
      </c>
      <c r="J149" s="8" t="str">
        <f>VLOOKUP(F149,[1]characters!$A:$H,8,FALSE)</f>
        <v>green</v>
      </c>
      <c r="K149" s="8" t="str">
        <f>VLOOKUP(F149,[1]characters!$A:$K,11,FALSE)</f>
        <v>hp</v>
      </c>
      <c r="L149" s="8" t="str">
        <f>VLOOKUP(F149,[1]characters!$A:$M,13,FALSE)</f>
        <v>dragon</v>
      </c>
      <c r="M149" s="16">
        <f>VLOOKUP(D149,gacha_188_base!A:B,2,FALSE)</f>
        <v>1705</v>
      </c>
      <c r="N149" s="38">
        <f>IFERROR(VLOOKUP($F149,bug_conf_sheet!$A:$H,3,FALSE),VLOOKUP("other",bug_conf_sheet!$A:$H,3,FALSE))</f>
        <v>1</v>
      </c>
      <c r="O149" s="38">
        <f>IFERROR(VLOOKUP($F149,bug_conf_sheet!$A:$H,4,FALSE),VLOOKUP("other",bug_conf_sheet!$A:$H,4,FALSE))</f>
        <v>0</v>
      </c>
      <c r="P149" s="38">
        <f>IFERROR(VLOOKUP($F149,bug_conf_sheet!$A:$H,5,FALSE),VLOOKUP("other",bug_conf_sheet!$A:$H,5,FALSE))</f>
        <v>0</v>
      </c>
      <c r="Q149" s="38">
        <f>IFERROR(VLOOKUP($F149,bug_conf_sheet!$A:$H,6,FALSE),VLOOKUP("other",bug_conf_sheet!$A:$H,6,FALSE))</f>
        <v>0</v>
      </c>
      <c r="R149" s="38">
        <f>IFERROR(VLOOKUP($F149,bug_conf_sheet!$A:$H,7,FALSE),VLOOKUP("other",bug_conf_sheet!$A:$H,7,FALSE))</f>
        <v>0</v>
      </c>
      <c r="S149" s="38">
        <f>IFERROR(VLOOKUP($F149,bug_conf_sheet!$A:$H,8,FALSE),VLOOKUP("other",bug_conf_sheet!$A:$H,8,FALSE))</f>
        <v>1</v>
      </c>
    </row>
    <row r="150" spans="1:19" ht="21" customHeight="1">
      <c r="A150" s="7" t="str">
        <f t="shared" si="9"/>
        <v>1881384</v>
      </c>
      <c r="B150" s="2" t="str">
        <f t="shared" si="10"/>
        <v>1881</v>
      </c>
      <c r="C150" s="8" t="str">
        <f t="shared" si="11"/>
        <v>1PremiumSS5</v>
      </c>
      <c r="D150" s="8" t="str">
        <f t="shared" si="12"/>
        <v>1PremiumSS5</v>
      </c>
      <c r="E150" s="10">
        <v>1</v>
      </c>
      <c r="F150" s="6">
        <v>384</v>
      </c>
      <c r="G150" s="8" t="str">
        <f>VLOOKUP(F150,[1]characters!$A:$C,3,FALSE)</f>
        <v>破国の呑龍 ヤマタノオロチ</v>
      </c>
      <c r="H150" s="8" t="str">
        <f>VLOOKUP(F150,[1]characters!$A:$J,10,FALSE)</f>
        <v>PremiumSS</v>
      </c>
      <c r="I150" s="8">
        <f>VLOOKUP(F150,[1]characters!$A:$I,9,FALSE)</f>
        <v>5</v>
      </c>
      <c r="J150" s="8" t="str">
        <f>VLOOKUP(F150,[1]characters!$A:$H,8,FALSE)</f>
        <v>green</v>
      </c>
      <c r="K150" s="8" t="str">
        <f>VLOOKUP(F150,[1]characters!$A:$K,11,FALSE)</f>
        <v>hp</v>
      </c>
      <c r="L150" s="8" t="str">
        <f>VLOOKUP(F150,[1]characters!$A:$M,13,FALSE)</f>
        <v>dragon</v>
      </c>
      <c r="M150" s="16">
        <f>VLOOKUP(D150,gacha_188_base!A:B,2,FALSE)</f>
        <v>114</v>
      </c>
      <c r="N150" s="38">
        <f>IFERROR(VLOOKUP($F150,bug_conf_sheet!$A:$H,3,FALSE),VLOOKUP("other",bug_conf_sheet!$A:$H,3,FALSE))</f>
        <v>1</v>
      </c>
      <c r="O150" s="38">
        <f>IFERROR(VLOOKUP($F150,bug_conf_sheet!$A:$H,4,FALSE),VLOOKUP("other",bug_conf_sheet!$A:$H,4,FALSE))</f>
        <v>0</v>
      </c>
      <c r="P150" s="38">
        <f>IFERROR(VLOOKUP($F150,bug_conf_sheet!$A:$H,5,FALSE),VLOOKUP("other",bug_conf_sheet!$A:$H,5,FALSE))</f>
        <v>0</v>
      </c>
      <c r="Q150" s="38">
        <f>IFERROR(VLOOKUP($F150,bug_conf_sheet!$A:$H,6,FALSE),VLOOKUP("other",bug_conf_sheet!$A:$H,6,FALSE))</f>
        <v>0</v>
      </c>
      <c r="R150" s="38">
        <f>IFERROR(VLOOKUP($F150,bug_conf_sheet!$A:$H,7,FALSE),VLOOKUP("other",bug_conf_sheet!$A:$H,7,FALSE))</f>
        <v>0</v>
      </c>
      <c r="S150" s="38">
        <f>IFERROR(VLOOKUP($F150,bug_conf_sheet!$A:$H,8,FALSE),VLOOKUP("other",bug_conf_sheet!$A:$H,8,FALSE))</f>
        <v>1</v>
      </c>
    </row>
    <row r="151" spans="1:19" ht="21" hidden="1" customHeight="1">
      <c r="A151" s="7" t="str">
        <f t="shared" si="9"/>
        <v>1881385</v>
      </c>
      <c r="B151" s="2" t="str">
        <f t="shared" si="10"/>
        <v>1881</v>
      </c>
      <c r="C151" s="8" t="str">
        <f t="shared" si="11"/>
        <v>1PremiumSS4</v>
      </c>
      <c r="D151" s="8" t="str">
        <f t="shared" si="12"/>
        <v>1PremiumSS4</v>
      </c>
      <c r="E151" s="10">
        <v>1</v>
      </c>
      <c r="F151" s="6">
        <v>385</v>
      </c>
      <c r="G151" s="8" t="str">
        <f>VLOOKUP(F151,[1]characters!$A:$C,3,FALSE)</f>
        <v>波烈の出奔 リヴァイアサン</v>
      </c>
      <c r="H151" s="8" t="str">
        <f>VLOOKUP(F151,[1]characters!$A:$J,10,FALSE)</f>
        <v>PremiumSS</v>
      </c>
      <c r="I151" s="8">
        <f>VLOOKUP(F151,[1]characters!$A:$I,9,FALSE)</f>
        <v>4</v>
      </c>
      <c r="J151" s="8" t="str">
        <f>VLOOKUP(F151,[1]characters!$A:$H,8,FALSE)</f>
        <v>blue</v>
      </c>
      <c r="K151" s="8" t="str">
        <f>VLOOKUP(F151,[1]characters!$A:$K,11,FALSE)</f>
        <v>balance</v>
      </c>
      <c r="L151" s="8" t="str">
        <f>VLOOKUP(F151,[1]characters!$A:$M,13,FALSE)</f>
        <v>dragon</v>
      </c>
      <c r="M151" s="16">
        <f>VLOOKUP(D151,gacha_188_base!A:B,2,FALSE)</f>
        <v>1705</v>
      </c>
      <c r="N151" s="38">
        <f>IFERROR(VLOOKUP($F151,bug_conf_sheet!$A:$H,3,FALSE),VLOOKUP("other",bug_conf_sheet!$A:$H,3,FALSE))</f>
        <v>1</v>
      </c>
      <c r="O151" s="38">
        <f>IFERROR(VLOOKUP($F151,bug_conf_sheet!$A:$H,4,FALSE),VLOOKUP("other",bug_conf_sheet!$A:$H,4,FALSE))</f>
        <v>0</v>
      </c>
      <c r="P151" s="38">
        <f>IFERROR(VLOOKUP($F151,bug_conf_sheet!$A:$H,5,FALSE),VLOOKUP("other",bug_conf_sheet!$A:$H,5,FALSE))</f>
        <v>0</v>
      </c>
      <c r="Q151" s="38">
        <f>IFERROR(VLOOKUP($F151,bug_conf_sheet!$A:$H,6,FALSE),VLOOKUP("other",bug_conf_sheet!$A:$H,6,FALSE))</f>
        <v>0</v>
      </c>
      <c r="R151" s="38">
        <f>IFERROR(VLOOKUP($F151,bug_conf_sheet!$A:$H,7,FALSE),VLOOKUP("other",bug_conf_sheet!$A:$H,7,FALSE))</f>
        <v>0</v>
      </c>
      <c r="S151" s="38">
        <f>IFERROR(VLOOKUP($F151,bug_conf_sheet!$A:$H,8,FALSE),VLOOKUP("other",bug_conf_sheet!$A:$H,8,FALSE))</f>
        <v>1</v>
      </c>
    </row>
    <row r="152" spans="1:19" ht="21" customHeight="1">
      <c r="A152" s="7" t="str">
        <f t="shared" si="9"/>
        <v>1881386</v>
      </c>
      <c r="B152" s="2" t="str">
        <f t="shared" si="10"/>
        <v>1881</v>
      </c>
      <c r="C152" s="8" t="str">
        <f t="shared" si="11"/>
        <v>1PremiumSS5</v>
      </c>
      <c r="D152" s="8" t="str">
        <f t="shared" si="12"/>
        <v>1PremiumSS5</v>
      </c>
      <c r="E152" s="10">
        <v>1</v>
      </c>
      <c r="F152" s="6">
        <v>386</v>
      </c>
      <c r="G152" s="8" t="str">
        <f>VLOOKUP(F152,[1]characters!$A:$C,3,FALSE)</f>
        <v>氾乱の海龍 リヴァイアサン</v>
      </c>
      <c r="H152" s="8" t="str">
        <f>VLOOKUP(F152,[1]characters!$A:$J,10,FALSE)</f>
        <v>PremiumSS</v>
      </c>
      <c r="I152" s="8">
        <f>VLOOKUP(F152,[1]characters!$A:$I,9,FALSE)</f>
        <v>5</v>
      </c>
      <c r="J152" s="8" t="str">
        <f>VLOOKUP(F152,[1]characters!$A:$H,8,FALSE)</f>
        <v>blue</v>
      </c>
      <c r="K152" s="8" t="str">
        <f>VLOOKUP(F152,[1]characters!$A:$K,11,FALSE)</f>
        <v>balance</v>
      </c>
      <c r="L152" s="8" t="str">
        <f>VLOOKUP(F152,[1]characters!$A:$M,13,FALSE)</f>
        <v>dragon</v>
      </c>
      <c r="M152" s="16">
        <f>VLOOKUP(D152,gacha_188_base!A:B,2,FALSE)</f>
        <v>114</v>
      </c>
      <c r="N152" s="38">
        <f>IFERROR(VLOOKUP($F152,bug_conf_sheet!$A:$H,3,FALSE),VLOOKUP("other",bug_conf_sheet!$A:$H,3,FALSE))</f>
        <v>1</v>
      </c>
      <c r="O152" s="38">
        <f>IFERROR(VLOOKUP($F152,bug_conf_sheet!$A:$H,4,FALSE),VLOOKUP("other",bug_conf_sheet!$A:$H,4,FALSE))</f>
        <v>0</v>
      </c>
      <c r="P152" s="38">
        <f>IFERROR(VLOOKUP($F152,bug_conf_sheet!$A:$H,5,FALSE),VLOOKUP("other",bug_conf_sheet!$A:$H,5,FALSE))</f>
        <v>0</v>
      </c>
      <c r="Q152" s="38">
        <f>IFERROR(VLOOKUP($F152,bug_conf_sheet!$A:$H,6,FALSE),VLOOKUP("other",bug_conf_sheet!$A:$H,6,FALSE))</f>
        <v>0</v>
      </c>
      <c r="R152" s="38">
        <f>IFERROR(VLOOKUP($F152,bug_conf_sheet!$A:$H,7,FALSE),VLOOKUP("other",bug_conf_sheet!$A:$H,7,FALSE))</f>
        <v>0</v>
      </c>
      <c r="S152" s="38">
        <f>IFERROR(VLOOKUP($F152,bug_conf_sheet!$A:$H,8,FALSE),VLOOKUP("other",bug_conf_sheet!$A:$H,8,FALSE))</f>
        <v>1</v>
      </c>
    </row>
    <row r="153" spans="1:19" ht="21" hidden="1" customHeight="1">
      <c r="A153" s="7" t="str">
        <f t="shared" si="9"/>
        <v>1881387</v>
      </c>
      <c r="B153" s="2" t="str">
        <f t="shared" si="10"/>
        <v>1881</v>
      </c>
      <c r="C153" s="8" t="str">
        <f t="shared" si="11"/>
        <v>1PremiumS3</v>
      </c>
      <c r="D153" s="8" t="str">
        <f t="shared" si="12"/>
        <v>1PremiumS3</v>
      </c>
      <c r="E153" s="10">
        <v>1</v>
      </c>
      <c r="F153" s="6">
        <v>387</v>
      </c>
      <c r="G153" s="8" t="str">
        <f>VLOOKUP(F153,[1]characters!$A:$C,3,FALSE)</f>
        <v>スフィンクス</v>
      </c>
      <c r="H153" s="8" t="str">
        <f>VLOOKUP(F153,[1]characters!$A:$J,10,FALSE)</f>
        <v>PremiumS</v>
      </c>
      <c r="I153" s="8">
        <f>VLOOKUP(F153,[1]characters!$A:$I,9,FALSE)</f>
        <v>3</v>
      </c>
      <c r="J153" s="8" t="str">
        <f>VLOOKUP(F153,[1]characters!$A:$H,8,FALSE)</f>
        <v>yellow</v>
      </c>
      <c r="K153" s="8" t="str">
        <f>VLOOKUP(F153,[1]characters!$A:$K,11,FALSE)</f>
        <v>heal</v>
      </c>
      <c r="L153" s="8" t="str">
        <f>VLOOKUP(F153,[1]characters!$A:$M,13,FALSE)</f>
        <v>animal</v>
      </c>
      <c r="M153" s="16">
        <f>VLOOKUP(D153,gacha_188_base!A:B,2,FALSE)</f>
        <v>11309</v>
      </c>
      <c r="N153" s="38">
        <f>IFERROR(VLOOKUP($F153,bug_conf_sheet!$A:$H,3,FALSE),VLOOKUP("other",bug_conf_sheet!$A:$H,3,FALSE))</f>
        <v>1</v>
      </c>
      <c r="O153" s="38">
        <f>IFERROR(VLOOKUP($F153,bug_conf_sheet!$A:$H,4,FALSE),VLOOKUP("other",bug_conf_sheet!$A:$H,4,FALSE))</f>
        <v>0</v>
      </c>
      <c r="P153" s="38">
        <f>IFERROR(VLOOKUP($F153,bug_conf_sheet!$A:$H,5,FALSE),VLOOKUP("other",bug_conf_sheet!$A:$H,5,FALSE))</f>
        <v>0</v>
      </c>
      <c r="Q153" s="38">
        <f>IFERROR(VLOOKUP($F153,bug_conf_sheet!$A:$H,6,FALSE),VLOOKUP("other",bug_conf_sheet!$A:$H,6,FALSE))</f>
        <v>0</v>
      </c>
      <c r="R153" s="38">
        <f>IFERROR(VLOOKUP($F153,bug_conf_sheet!$A:$H,7,FALSE),VLOOKUP("other",bug_conf_sheet!$A:$H,7,FALSE))</f>
        <v>0</v>
      </c>
      <c r="S153" s="38">
        <f>IFERROR(VLOOKUP($F153,bug_conf_sheet!$A:$H,8,FALSE),VLOOKUP("other",bug_conf_sheet!$A:$H,8,FALSE))</f>
        <v>1</v>
      </c>
    </row>
    <row r="154" spans="1:19" ht="21" hidden="1" customHeight="1">
      <c r="A154" s="7" t="str">
        <f t="shared" si="9"/>
        <v>1881388</v>
      </c>
      <c r="B154" s="2" t="str">
        <f t="shared" si="10"/>
        <v>1881</v>
      </c>
      <c r="C154" s="8" t="str">
        <f t="shared" si="11"/>
        <v>1PremiumS4</v>
      </c>
      <c r="D154" s="8" t="str">
        <f t="shared" si="12"/>
        <v>1PremiumS4</v>
      </c>
      <c r="E154" s="10">
        <v>1</v>
      </c>
      <c r="F154" s="6">
        <v>388</v>
      </c>
      <c r="G154" s="8" t="str">
        <f>VLOOKUP(F154,[1]characters!$A:$C,3,FALSE)</f>
        <v>神円の恋姫 スフィンクス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yellow</v>
      </c>
      <c r="K154" s="8" t="str">
        <f>VLOOKUP(F154,[1]characters!$A:$K,11,FALSE)</f>
        <v>heal</v>
      </c>
      <c r="L154" s="8" t="str">
        <f>VLOOKUP(F154,[1]characters!$A:$M,13,FALSE)</f>
        <v>animal</v>
      </c>
      <c r="M154" s="16">
        <f>VLOOKUP(D154,gacha_188_base!A:B,2,FALSE)</f>
        <v>2827</v>
      </c>
      <c r="N154" s="38">
        <f>IFERROR(VLOOKUP($F154,bug_conf_sheet!$A:$H,3,FALSE),VLOOKUP("other",bug_conf_sheet!$A:$H,3,FALSE))</f>
        <v>1</v>
      </c>
      <c r="O154" s="38">
        <f>IFERROR(VLOOKUP($F154,bug_conf_sheet!$A:$H,4,FALSE),VLOOKUP("other",bug_conf_sheet!$A:$H,4,FALSE))</f>
        <v>0</v>
      </c>
      <c r="P154" s="38">
        <f>IFERROR(VLOOKUP($F154,bug_conf_sheet!$A:$H,5,FALSE),VLOOKUP("other",bug_conf_sheet!$A:$H,5,FALSE))</f>
        <v>0</v>
      </c>
      <c r="Q154" s="38">
        <f>IFERROR(VLOOKUP($F154,bug_conf_sheet!$A:$H,6,FALSE),VLOOKUP("other",bug_conf_sheet!$A:$H,6,FALSE))</f>
        <v>0</v>
      </c>
      <c r="R154" s="38">
        <f>IFERROR(VLOOKUP($F154,bug_conf_sheet!$A:$H,7,FALSE),VLOOKUP("other",bug_conf_sheet!$A:$H,7,FALSE))</f>
        <v>0</v>
      </c>
      <c r="S154" s="38">
        <f>IFERROR(VLOOKUP($F154,bug_conf_sheet!$A:$H,8,FALSE),VLOOKUP("other",bug_conf_sheet!$A:$H,8,FALSE))</f>
        <v>1</v>
      </c>
    </row>
    <row r="155" spans="1:19" ht="21" customHeight="1">
      <c r="A155" s="7" t="str">
        <f t="shared" si="9"/>
        <v>1881389</v>
      </c>
      <c r="B155" s="2" t="str">
        <f t="shared" si="10"/>
        <v>1881</v>
      </c>
      <c r="C155" s="8" t="str">
        <f t="shared" si="11"/>
        <v>1PremiumS5</v>
      </c>
      <c r="D155" s="8" t="str">
        <f t="shared" si="12"/>
        <v>1PremiumS5</v>
      </c>
      <c r="E155" s="10">
        <v>1</v>
      </c>
      <c r="F155" s="6">
        <v>389</v>
      </c>
      <c r="G155" s="8" t="str">
        <f>VLOOKUP(F155,[1]characters!$A:$C,3,FALSE)</f>
        <v>操神の愛姫 スフィンクス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yellow</v>
      </c>
      <c r="K155" s="8" t="str">
        <f>VLOOKUP(F155,[1]characters!$A:$K,11,FALSE)</f>
        <v>heal</v>
      </c>
      <c r="L155" s="8" t="str">
        <f>VLOOKUP(F155,[1]characters!$A:$M,13,FALSE)</f>
        <v>animal</v>
      </c>
      <c r="M155" s="16">
        <f>VLOOKUP(D155,gacha_188_base!A:B,2,FALSE)</f>
        <v>942</v>
      </c>
      <c r="N155" s="38">
        <f>IFERROR(VLOOKUP($F155,bug_conf_sheet!$A:$H,3,FALSE),VLOOKUP("other",bug_conf_sheet!$A:$H,3,FALSE))</f>
        <v>1</v>
      </c>
      <c r="O155" s="38">
        <f>IFERROR(VLOOKUP($F155,bug_conf_sheet!$A:$H,4,FALSE),VLOOKUP("other",bug_conf_sheet!$A:$H,4,FALSE))</f>
        <v>0</v>
      </c>
      <c r="P155" s="38">
        <f>IFERROR(VLOOKUP($F155,bug_conf_sheet!$A:$H,5,FALSE),VLOOKUP("other",bug_conf_sheet!$A:$H,5,FALSE))</f>
        <v>0</v>
      </c>
      <c r="Q155" s="38">
        <f>IFERROR(VLOOKUP($F155,bug_conf_sheet!$A:$H,6,FALSE),VLOOKUP("other",bug_conf_sheet!$A:$H,6,FALSE))</f>
        <v>0</v>
      </c>
      <c r="R155" s="38">
        <f>IFERROR(VLOOKUP($F155,bug_conf_sheet!$A:$H,7,FALSE),VLOOKUP("other",bug_conf_sheet!$A:$H,7,FALSE))</f>
        <v>0</v>
      </c>
      <c r="S155" s="38">
        <f>IFERROR(VLOOKUP($F155,bug_conf_sheet!$A:$H,8,FALSE),VLOOKUP("other",bug_conf_sheet!$A:$H,8,FALSE))</f>
        <v>1</v>
      </c>
    </row>
    <row r="156" spans="1:19" ht="21" hidden="1" customHeight="1">
      <c r="A156" s="7" t="str">
        <f t="shared" si="9"/>
        <v>1881390</v>
      </c>
      <c r="B156" s="2" t="str">
        <f t="shared" si="10"/>
        <v>1881</v>
      </c>
      <c r="C156" s="8" t="str">
        <f t="shared" si="11"/>
        <v>1PremiumSS4</v>
      </c>
      <c r="D156" s="8" t="str">
        <f t="shared" si="12"/>
        <v>1PremiumSS4</v>
      </c>
      <c r="E156" s="10">
        <v>1</v>
      </c>
      <c r="F156" s="6">
        <v>390</v>
      </c>
      <c r="G156" s="8" t="str">
        <f>VLOOKUP(F156,[1]characters!$A:$C,3,FALSE)</f>
        <v>華環の旅客 親指姫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red</v>
      </c>
      <c r="K156" s="8" t="str">
        <f>VLOOKUP(F156,[1]characters!$A:$K,11,FALSE)</f>
        <v>heal</v>
      </c>
      <c r="L156" s="8" t="str">
        <f>VLOOKUP(F156,[1]characters!$A:$M,13,FALSE)</f>
        <v>human</v>
      </c>
      <c r="M156" s="16">
        <f>VLOOKUP(D156,gacha_188_base!A:B,2,FALSE)</f>
        <v>1705</v>
      </c>
      <c r="N156" s="38">
        <f>IFERROR(VLOOKUP($F156,bug_conf_sheet!$A:$H,3,FALSE),VLOOKUP("other",bug_conf_sheet!$A:$H,3,FALSE))</f>
        <v>1</v>
      </c>
      <c r="O156" s="38">
        <f>IFERROR(VLOOKUP($F156,bug_conf_sheet!$A:$H,4,FALSE),VLOOKUP("other",bug_conf_sheet!$A:$H,4,FALSE))</f>
        <v>0</v>
      </c>
      <c r="P156" s="38">
        <f>IFERROR(VLOOKUP($F156,bug_conf_sheet!$A:$H,5,FALSE),VLOOKUP("other",bug_conf_sheet!$A:$H,5,FALSE))</f>
        <v>0</v>
      </c>
      <c r="Q156" s="38">
        <f>IFERROR(VLOOKUP($F156,bug_conf_sheet!$A:$H,6,FALSE),VLOOKUP("other",bug_conf_sheet!$A:$H,6,FALSE))</f>
        <v>0</v>
      </c>
      <c r="R156" s="38">
        <f>IFERROR(VLOOKUP($F156,bug_conf_sheet!$A:$H,7,FALSE),VLOOKUP("other",bug_conf_sheet!$A:$H,7,FALSE))</f>
        <v>0</v>
      </c>
      <c r="S156" s="38">
        <f>IFERROR(VLOOKUP($F156,bug_conf_sheet!$A:$H,8,FALSE),VLOOKUP("other",bug_conf_sheet!$A:$H,8,FALSE))</f>
        <v>1</v>
      </c>
    </row>
    <row r="157" spans="1:19" ht="21" customHeight="1">
      <c r="A157" s="7" t="str">
        <f t="shared" si="9"/>
        <v>1881391</v>
      </c>
      <c r="B157" s="2" t="str">
        <f t="shared" si="10"/>
        <v>1881</v>
      </c>
      <c r="C157" s="8" t="str">
        <f t="shared" si="11"/>
        <v>1PremiumSS5</v>
      </c>
      <c r="D157" s="8" t="str">
        <f t="shared" si="12"/>
        <v>1PremiumSS5</v>
      </c>
      <c r="E157" s="10">
        <v>1</v>
      </c>
      <c r="F157" s="6">
        <v>391</v>
      </c>
      <c r="G157" s="8" t="str">
        <f>VLOOKUP(F157,[1]characters!$A:$C,3,FALSE)</f>
        <v>燕翼の旅人 親指姫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red</v>
      </c>
      <c r="K157" s="8" t="str">
        <f>VLOOKUP(F157,[1]characters!$A:$K,11,FALSE)</f>
        <v>heal</v>
      </c>
      <c r="L157" s="8" t="str">
        <f>VLOOKUP(F157,[1]characters!$A:$M,13,FALSE)</f>
        <v>human</v>
      </c>
      <c r="M157" s="16">
        <f>VLOOKUP(D157,gacha_188_base!A:B,2,FALSE)</f>
        <v>114</v>
      </c>
      <c r="N157" s="38">
        <f>IFERROR(VLOOKUP($F157,bug_conf_sheet!$A:$H,3,FALSE),VLOOKUP("other",bug_conf_sheet!$A:$H,3,FALSE))</f>
        <v>1</v>
      </c>
      <c r="O157" s="38">
        <f>IFERROR(VLOOKUP($F157,bug_conf_sheet!$A:$H,4,FALSE),VLOOKUP("other",bug_conf_sheet!$A:$H,4,FALSE))</f>
        <v>0</v>
      </c>
      <c r="P157" s="38">
        <f>IFERROR(VLOOKUP($F157,bug_conf_sheet!$A:$H,5,FALSE),VLOOKUP("other",bug_conf_sheet!$A:$H,5,FALSE))</f>
        <v>0</v>
      </c>
      <c r="Q157" s="38">
        <f>IFERROR(VLOOKUP($F157,bug_conf_sheet!$A:$H,6,FALSE),VLOOKUP("other",bug_conf_sheet!$A:$H,6,FALSE))</f>
        <v>0</v>
      </c>
      <c r="R157" s="38">
        <f>IFERROR(VLOOKUP($F157,bug_conf_sheet!$A:$H,7,FALSE),VLOOKUP("other",bug_conf_sheet!$A:$H,7,FALSE))</f>
        <v>0</v>
      </c>
      <c r="S157" s="38">
        <f>IFERROR(VLOOKUP($F157,bug_conf_sheet!$A:$H,8,FALSE),VLOOKUP("other",bug_conf_sheet!$A:$H,8,FALSE))</f>
        <v>1</v>
      </c>
    </row>
    <row r="158" spans="1:19" ht="21" hidden="1" customHeight="1">
      <c r="A158" s="7" t="str">
        <f t="shared" si="9"/>
        <v>1881392</v>
      </c>
      <c r="B158" s="2" t="str">
        <f t="shared" si="10"/>
        <v>1881</v>
      </c>
      <c r="C158" s="8" t="str">
        <f t="shared" si="11"/>
        <v>1PremiumS3</v>
      </c>
      <c r="D158" s="8" t="str">
        <f t="shared" si="12"/>
        <v>1PremiumS3</v>
      </c>
      <c r="E158" s="10">
        <v>1</v>
      </c>
      <c r="F158" s="6">
        <v>392</v>
      </c>
      <c r="G158" s="8" t="str">
        <f>VLOOKUP(F158,[1]characters!$A:$C,3,FALSE)</f>
        <v>ピーターパン</v>
      </c>
      <c r="H158" s="8" t="str">
        <f>VLOOKUP(F158,[1]characters!$A:$J,10,FALSE)</f>
        <v>PremiumS</v>
      </c>
      <c r="I158" s="8">
        <f>VLOOKUP(F158,[1]characters!$A:$I,9,FALSE)</f>
        <v>3</v>
      </c>
      <c r="J158" s="8" t="str">
        <f>VLOOKUP(F158,[1]characters!$A:$H,8,FALSE)</f>
        <v>green</v>
      </c>
      <c r="K158" s="8" t="str">
        <f>VLOOKUP(F158,[1]characters!$A:$K,11,FALSE)</f>
        <v>attack</v>
      </c>
      <c r="L158" s="8" t="str">
        <f>VLOOKUP(F158,[1]characters!$A:$M,13,FALSE)</f>
        <v>human</v>
      </c>
      <c r="M158" s="16">
        <f>VLOOKUP(D158,gacha_188_base!A:B,2,FALSE)</f>
        <v>11309</v>
      </c>
      <c r="N158" s="38">
        <f>IFERROR(VLOOKUP($F158,bug_conf_sheet!$A:$H,3,FALSE),VLOOKUP("other",bug_conf_sheet!$A:$H,3,FALSE))</f>
        <v>1</v>
      </c>
      <c r="O158" s="38">
        <f>IFERROR(VLOOKUP($F158,bug_conf_sheet!$A:$H,4,FALSE),VLOOKUP("other",bug_conf_sheet!$A:$H,4,FALSE))</f>
        <v>0</v>
      </c>
      <c r="P158" s="38">
        <f>IFERROR(VLOOKUP($F158,bug_conf_sheet!$A:$H,5,FALSE),VLOOKUP("other",bug_conf_sheet!$A:$H,5,FALSE))</f>
        <v>0</v>
      </c>
      <c r="Q158" s="38">
        <f>IFERROR(VLOOKUP($F158,bug_conf_sheet!$A:$H,6,FALSE),VLOOKUP("other",bug_conf_sheet!$A:$H,6,FALSE))</f>
        <v>0</v>
      </c>
      <c r="R158" s="38">
        <f>IFERROR(VLOOKUP($F158,bug_conf_sheet!$A:$H,7,FALSE),VLOOKUP("other",bug_conf_sheet!$A:$H,7,FALSE))</f>
        <v>0</v>
      </c>
      <c r="S158" s="38">
        <f>IFERROR(VLOOKUP($F158,bug_conf_sheet!$A:$H,8,FALSE),VLOOKUP("other",bug_conf_sheet!$A:$H,8,FALSE))</f>
        <v>1</v>
      </c>
    </row>
    <row r="159" spans="1:19" ht="21" hidden="1" customHeight="1">
      <c r="A159" s="7" t="str">
        <f t="shared" si="9"/>
        <v>1881393</v>
      </c>
      <c r="B159" s="2" t="str">
        <f t="shared" si="10"/>
        <v>1881</v>
      </c>
      <c r="C159" s="8" t="str">
        <f t="shared" si="11"/>
        <v>1PremiumS4</v>
      </c>
      <c r="D159" s="8" t="str">
        <f t="shared" si="12"/>
        <v>1PremiumS4</v>
      </c>
      <c r="E159" s="10">
        <v>1</v>
      </c>
      <c r="F159" s="6">
        <v>393</v>
      </c>
      <c r="G159" s="8" t="str">
        <f>VLOOKUP(F159,[1]characters!$A:$C,3,FALSE)</f>
        <v>影縫い ピーターパン</v>
      </c>
      <c r="H159" s="8" t="str">
        <f>VLOOKUP(F159,[1]characters!$A:$J,10,FALSE)</f>
        <v>PremiumS</v>
      </c>
      <c r="I159" s="8">
        <f>VLOOKUP(F159,[1]characters!$A:$I,9,FALSE)</f>
        <v>4</v>
      </c>
      <c r="J159" s="8" t="str">
        <f>VLOOKUP(F159,[1]characters!$A:$H,8,FALSE)</f>
        <v>green</v>
      </c>
      <c r="K159" s="8" t="str">
        <f>VLOOKUP(F159,[1]characters!$A:$K,11,FALSE)</f>
        <v>attack</v>
      </c>
      <c r="L159" s="8" t="str">
        <f>VLOOKUP(F159,[1]characters!$A:$M,13,FALSE)</f>
        <v>human</v>
      </c>
      <c r="M159" s="16">
        <f>VLOOKUP(D159,gacha_188_base!A:B,2,FALSE)</f>
        <v>2827</v>
      </c>
      <c r="N159" s="38">
        <f>IFERROR(VLOOKUP($F159,bug_conf_sheet!$A:$H,3,FALSE),VLOOKUP("other",bug_conf_sheet!$A:$H,3,FALSE))</f>
        <v>1</v>
      </c>
      <c r="O159" s="38">
        <f>IFERROR(VLOOKUP($F159,bug_conf_sheet!$A:$H,4,FALSE),VLOOKUP("other",bug_conf_sheet!$A:$H,4,FALSE))</f>
        <v>0</v>
      </c>
      <c r="P159" s="38">
        <f>IFERROR(VLOOKUP($F159,bug_conf_sheet!$A:$H,5,FALSE),VLOOKUP("other",bug_conf_sheet!$A:$H,5,FALSE))</f>
        <v>0</v>
      </c>
      <c r="Q159" s="38">
        <f>IFERROR(VLOOKUP($F159,bug_conf_sheet!$A:$H,6,FALSE),VLOOKUP("other",bug_conf_sheet!$A:$H,6,FALSE))</f>
        <v>0</v>
      </c>
      <c r="R159" s="38">
        <f>IFERROR(VLOOKUP($F159,bug_conf_sheet!$A:$H,7,FALSE),VLOOKUP("other",bug_conf_sheet!$A:$H,7,FALSE))</f>
        <v>0</v>
      </c>
      <c r="S159" s="38">
        <f>IFERROR(VLOOKUP($F159,bug_conf_sheet!$A:$H,8,FALSE),VLOOKUP("other",bug_conf_sheet!$A:$H,8,FALSE))</f>
        <v>1</v>
      </c>
    </row>
    <row r="160" spans="1:19" ht="21" customHeight="1">
      <c r="A160" s="7" t="str">
        <f t="shared" si="9"/>
        <v>1881394</v>
      </c>
      <c r="B160" s="2" t="str">
        <f t="shared" si="10"/>
        <v>1881</v>
      </c>
      <c r="C160" s="8" t="str">
        <f t="shared" si="11"/>
        <v>1PremiumS5</v>
      </c>
      <c r="D160" s="8" t="str">
        <f t="shared" si="12"/>
        <v>1PremiumS5</v>
      </c>
      <c r="E160" s="10">
        <v>1</v>
      </c>
      <c r="F160" s="6">
        <v>394</v>
      </c>
      <c r="G160" s="8" t="str">
        <f>VLOOKUP(F160,[1]characters!$A:$C,3,FALSE)</f>
        <v>影求の悪童 ピーターパン</v>
      </c>
      <c r="H160" s="8" t="str">
        <f>VLOOKUP(F160,[1]characters!$A:$J,10,FALSE)</f>
        <v>PremiumS</v>
      </c>
      <c r="I160" s="8">
        <f>VLOOKUP(F160,[1]characters!$A:$I,9,FALSE)</f>
        <v>5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human</v>
      </c>
      <c r="M160" s="16">
        <f>VLOOKUP(D160,gacha_188_base!A:B,2,FALSE)</f>
        <v>942</v>
      </c>
      <c r="N160" s="38">
        <f>IFERROR(VLOOKUP($F160,bug_conf_sheet!$A:$H,3,FALSE),VLOOKUP("other",bug_conf_sheet!$A:$H,3,FALSE))</f>
        <v>1</v>
      </c>
      <c r="O160" s="38">
        <f>IFERROR(VLOOKUP($F160,bug_conf_sheet!$A:$H,4,FALSE),VLOOKUP("other",bug_conf_sheet!$A:$H,4,FALSE))</f>
        <v>0</v>
      </c>
      <c r="P160" s="38">
        <f>IFERROR(VLOOKUP($F160,bug_conf_sheet!$A:$H,5,FALSE),VLOOKUP("other",bug_conf_sheet!$A:$H,5,FALSE))</f>
        <v>0</v>
      </c>
      <c r="Q160" s="38">
        <f>IFERROR(VLOOKUP($F160,bug_conf_sheet!$A:$H,6,FALSE),VLOOKUP("other",bug_conf_sheet!$A:$H,6,FALSE))</f>
        <v>0</v>
      </c>
      <c r="R160" s="38">
        <f>IFERROR(VLOOKUP($F160,bug_conf_sheet!$A:$H,7,FALSE),VLOOKUP("other",bug_conf_sheet!$A:$H,7,FALSE))</f>
        <v>0</v>
      </c>
      <c r="S160" s="38">
        <f>IFERROR(VLOOKUP($F160,bug_conf_sheet!$A:$H,8,FALSE),VLOOKUP("other",bug_conf_sheet!$A:$H,8,FALSE))</f>
        <v>1</v>
      </c>
    </row>
    <row r="161" spans="1:19" ht="21" hidden="1" customHeight="1">
      <c r="A161" s="7" t="str">
        <f t="shared" si="9"/>
        <v>1881395</v>
      </c>
      <c r="B161" s="2" t="str">
        <f t="shared" si="10"/>
        <v>1881</v>
      </c>
      <c r="C161" s="8" t="str">
        <f t="shared" si="11"/>
        <v>1PremiumS3</v>
      </c>
      <c r="D161" s="8" t="str">
        <f t="shared" si="12"/>
        <v>1PremiumS3</v>
      </c>
      <c r="E161" s="10">
        <v>1</v>
      </c>
      <c r="F161" s="6">
        <v>395</v>
      </c>
      <c r="G161" s="8" t="str">
        <f>VLOOKUP(F161,[1]characters!$A:$C,3,FALSE)</f>
        <v>乙姫</v>
      </c>
      <c r="H161" s="8" t="str">
        <f>VLOOKUP(F161,[1]characters!$A:$J,10,FALSE)</f>
        <v>PremiumS</v>
      </c>
      <c r="I161" s="8">
        <f>VLOOKUP(F161,[1]characters!$A:$I,9,FALSE)</f>
        <v>3</v>
      </c>
      <c r="J161" s="8" t="str">
        <f>VLOOKUP(F161,[1]characters!$A:$H,8,FALSE)</f>
        <v>blue</v>
      </c>
      <c r="K161" s="8" t="str">
        <f>VLOOKUP(F161,[1]characters!$A:$K,11,FALSE)</f>
        <v>hp</v>
      </c>
      <c r="L161" s="8" t="str">
        <f>VLOOKUP(F161,[1]characters!$A:$M,13,FALSE)</f>
        <v>human</v>
      </c>
      <c r="M161" s="16">
        <f>VLOOKUP(D161,gacha_188_base!A:B,2,FALSE)</f>
        <v>11309</v>
      </c>
      <c r="N161" s="38">
        <f>IFERROR(VLOOKUP($F161,bug_conf_sheet!$A:$H,3,FALSE),VLOOKUP("other",bug_conf_sheet!$A:$H,3,FALSE))</f>
        <v>1</v>
      </c>
      <c r="O161" s="38">
        <f>IFERROR(VLOOKUP($F161,bug_conf_sheet!$A:$H,4,FALSE),VLOOKUP("other",bug_conf_sheet!$A:$H,4,FALSE))</f>
        <v>0</v>
      </c>
      <c r="P161" s="38">
        <f>IFERROR(VLOOKUP($F161,bug_conf_sheet!$A:$H,5,FALSE),VLOOKUP("other",bug_conf_sheet!$A:$H,5,FALSE))</f>
        <v>0</v>
      </c>
      <c r="Q161" s="38">
        <f>IFERROR(VLOOKUP($F161,bug_conf_sheet!$A:$H,6,FALSE),VLOOKUP("other",bug_conf_sheet!$A:$H,6,FALSE))</f>
        <v>0</v>
      </c>
      <c r="R161" s="38">
        <f>IFERROR(VLOOKUP($F161,bug_conf_sheet!$A:$H,7,FALSE),VLOOKUP("other",bug_conf_sheet!$A:$H,7,FALSE))</f>
        <v>0</v>
      </c>
      <c r="S161" s="38">
        <f>IFERROR(VLOOKUP($F161,bug_conf_sheet!$A:$H,8,FALSE),VLOOKUP("other",bug_conf_sheet!$A:$H,8,FALSE))</f>
        <v>1</v>
      </c>
    </row>
    <row r="162" spans="1:19" ht="21" hidden="1" customHeight="1">
      <c r="A162" s="7" t="str">
        <f t="shared" si="9"/>
        <v>1881396</v>
      </c>
      <c r="B162" s="2" t="str">
        <f t="shared" si="10"/>
        <v>1881</v>
      </c>
      <c r="C162" s="8" t="str">
        <f t="shared" si="11"/>
        <v>1PremiumS4</v>
      </c>
      <c r="D162" s="8" t="str">
        <f t="shared" si="12"/>
        <v>1PremiumS4</v>
      </c>
      <c r="E162" s="10">
        <v>1</v>
      </c>
      <c r="F162" s="6">
        <v>396</v>
      </c>
      <c r="G162" s="8" t="str">
        <f>VLOOKUP(F162,[1]characters!$A:$C,3,FALSE)</f>
        <v>竜宮の水雷 乙姫</v>
      </c>
      <c r="H162" s="8" t="str">
        <f>VLOOKUP(F162,[1]characters!$A:$J,10,FALSE)</f>
        <v>PremiumS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hp</v>
      </c>
      <c r="L162" s="8" t="str">
        <f>VLOOKUP(F162,[1]characters!$A:$M,13,FALSE)</f>
        <v>human</v>
      </c>
      <c r="M162" s="16">
        <f>VLOOKUP(D162,gacha_188_base!A:B,2,FALSE)</f>
        <v>2827</v>
      </c>
      <c r="N162" s="38">
        <f>IFERROR(VLOOKUP($F162,bug_conf_sheet!$A:$H,3,FALSE),VLOOKUP("other",bug_conf_sheet!$A:$H,3,FALSE))</f>
        <v>1</v>
      </c>
      <c r="O162" s="38">
        <f>IFERROR(VLOOKUP($F162,bug_conf_sheet!$A:$H,4,FALSE),VLOOKUP("other",bug_conf_sheet!$A:$H,4,FALSE))</f>
        <v>0</v>
      </c>
      <c r="P162" s="38">
        <f>IFERROR(VLOOKUP($F162,bug_conf_sheet!$A:$H,5,FALSE),VLOOKUP("other",bug_conf_sheet!$A:$H,5,FALSE))</f>
        <v>0</v>
      </c>
      <c r="Q162" s="38">
        <f>IFERROR(VLOOKUP($F162,bug_conf_sheet!$A:$H,6,FALSE),VLOOKUP("other",bug_conf_sheet!$A:$H,6,FALSE))</f>
        <v>0</v>
      </c>
      <c r="R162" s="38">
        <f>IFERROR(VLOOKUP($F162,bug_conf_sheet!$A:$H,7,FALSE),VLOOKUP("other",bug_conf_sheet!$A:$H,7,FALSE))</f>
        <v>0</v>
      </c>
      <c r="S162" s="38">
        <f>IFERROR(VLOOKUP($F162,bug_conf_sheet!$A:$H,8,FALSE),VLOOKUP("other",bug_conf_sheet!$A:$H,8,FALSE))</f>
        <v>1</v>
      </c>
    </row>
    <row r="163" spans="1:19" ht="21" customHeight="1">
      <c r="A163" s="7" t="str">
        <f t="shared" si="9"/>
        <v>1881397</v>
      </c>
      <c r="B163" s="2" t="str">
        <f t="shared" si="10"/>
        <v>1881</v>
      </c>
      <c r="C163" s="8" t="str">
        <f t="shared" si="11"/>
        <v>1PremiumS5</v>
      </c>
      <c r="D163" s="8" t="str">
        <f t="shared" si="12"/>
        <v>1PremiumS5</v>
      </c>
      <c r="E163" s="10">
        <v>1</v>
      </c>
      <c r="F163" s="6">
        <v>397</v>
      </c>
      <c r="G163" s="8" t="str">
        <f>VLOOKUP(F163,[1]characters!$A:$C,3,FALSE)</f>
        <v>禁断の追箱 乙姫</v>
      </c>
      <c r="H163" s="8" t="str">
        <f>VLOOKUP(F163,[1]characters!$A:$J,10,FALSE)</f>
        <v>PremiumS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hp</v>
      </c>
      <c r="L163" s="8" t="str">
        <f>VLOOKUP(F163,[1]characters!$A:$M,13,FALSE)</f>
        <v>human</v>
      </c>
      <c r="M163" s="16">
        <f>VLOOKUP(D163,gacha_188_base!A:B,2,FALSE)</f>
        <v>942</v>
      </c>
      <c r="N163" s="38">
        <f>IFERROR(VLOOKUP($F163,bug_conf_sheet!$A:$H,3,FALSE),VLOOKUP("other",bug_conf_sheet!$A:$H,3,FALSE))</f>
        <v>1</v>
      </c>
      <c r="O163" s="38">
        <f>IFERROR(VLOOKUP($F163,bug_conf_sheet!$A:$H,4,FALSE),VLOOKUP("other",bug_conf_sheet!$A:$H,4,FALSE))</f>
        <v>0</v>
      </c>
      <c r="P163" s="38">
        <f>IFERROR(VLOOKUP($F163,bug_conf_sheet!$A:$H,5,FALSE),VLOOKUP("other",bug_conf_sheet!$A:$H,5,FALSE))</f>
        <v>0</v>
      </c>
      <c r="Q163" s="38">
        <f>IFERROR(VLOOKUP($F163,bug_conf_sheet!$A:$H,6,FALSE),VLOOKUP("other",bug_conf_sheet!$A:$H,6,FALSE))</f>
        <v>0</v>
      </c>
      <c r="R163" s="38">
        <f>IFERROR(VLOOKUP($F163,bug_conf_sheet!$A:$H,7,FALSE),VLOOKUP("other",bug_conf_sheet!$A:$H,7,FALSE))</f>
        <v>0</v>
      </c>
      <c r="S163" s="38">
        <f>IFERROR(VLOOKUP($F163,bug_conf_sheet!$A:$H,8,FALSE),VLOOKUP("other",bug_conf_sheet!$A:$H,8,FALSE))</f>
        <v>1</v>
      </c>
    </row>
    <row r="164" spans="1:19" ht="21" hidden="1" customHeight="1">
      <c r="A164" s="7" t="str">
        <f t="shared" si="9"/>
        <v>1881398</v>
      </c>
      <c r="B164" s="2" t="str">
        <f t="shared" si="10"/>
        <v>1881</v>
      </c>
      <c r="C164" s="8" t="str">
        <f t="shared" si="11"/>
        <v>1PremiumSS4</v>
      </c>
      <c r="D164" s="8" t="str">
        <f t="shared" si="12"/>
        <v>1PremiumSS4</v>
      </c>
      <c r="E164" s="10">
        <v>1</v>
      </c>
      <c r="F164" s="6">
        <v>398</v>
      </c>
      <c r="G164" s="8" t="str">
        <f>VLOOKUP(F164,[1]characters!$A:$C,3,FALSE)</f>
        <v>ヘンゼル＆グレーテル</v>
      </c>
      <c r="H164" s="8" t="str">
        <f>VLOOKUP(F164,[1]characters!$A:$J,10,FALSE)</f>
        <v>PremiumSS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balance</v>
      </c>
      <c r="L164" s="8" t="str">
        <f>VLOOKUP(F164,[1]characters!$A:$M,13,FALSE)</f>
        <v>human</v>
      </c>
      <c r="M164" s="16">
        <f>VLOOKUP(D164,gacha_188_base!A:B,2,FALSE)</f>
        <v>1705</v>
      </c>
      <c r="N164" s="38">
        <f>IFERROR(VLOOKUP($F164,bug_conf_sheet!$A:$H,3,FALSE),VLOOKUP("other",bug_conf_sheet!$A:$H,3,FALSE))</f>
        <v>1</v>
      </c>
      <c r="O164" s="38">
        <f>IFERROR(VLOOKUP($F164,bug_conf_sheet!$A:$H,4,FALSE),VLOOKUP("other",bug_conf_sheet!$A:$H,4,FALSE))</f>
        <v>0</v>
      </c>
      <c r="P164" s="38">
        <f>IFERROR(VLOOKUP($F164,bug_conf_sheet!$A:$H,5,FALSE),VLOOKUP("other",bug_conf_sheet!$A:$H,5,FALSE))</f>
        <v>0</v>
      </c>
      <c r="Q164" s="38">
        <f>IFERROR(VLOOKUP($F164,bug_conf_sheet!$A:$H,6,FALSE),VLOOKUP("other",bug_conf_sheet!$A:$H,6,FALSE))</f>
        <v>0</v>
      </c>
      <c r="R164" s="38">
        <f>IFERROR(VLOOKUP($F164,bug_conf_sheet!$A:$H,7,FALSE),VLOOKUP("other",bug_conf_sheet!$A:$H,7,FALSE))</f>
        <v>0</v>
      </c>
      <c r="S164" s="38">
        <f>IFERROR(VLOOKUP($F164,bug_conf_sheet!$A:$H,8,FALSE),VLOOKUP("other",bug_conf_sheet!$A:$H,8,FALSE))</f>
        <v>1</v>
      </c>
    </row>
    <row r="165" spans="1:19" ht="21" customHeight="1">
      <c r="A165" s="7" t="str">
        <f t="shared" si="9"/>
        <v>1881399</v>
      </c>
      <c r="B165" s="2" t="str">
        <f t="shared" si="10"/>
        <v>1881</v>
      </c>
      <c r="C165" s="8" t="str">
        <f t="shared" si="11"/>
        <v>1PremiumSS5</v>
      </c>
      <c r="D165" s="8" t="str">
        <f t="shared" si="12"/>
        <v>1PremiumSS5</v>
      </c>
      <c r="E165" s="10">
        <v>1</v>
      </c>
      <c r="F165" s="6">
        <v>399</v>
      </c>
      <c r="G165" s="8" t="str">
        <f>VLOOKUP(F165,[1]characters!$A:$C,3,FALSE)</f>
        <v>信愛の兄妹 ヘンゼル＆グレーテル</v>
      </c>
      <c r="H165" s="8" t="str">
        <f>VLOOKUP(F165,[1]characters!$A:$J,10,FALSE)</f>
        <v>PremiumSS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balance</v>
      </c>
      <c r="L165" s="8" t="str">
        <f>VLOOKUP(F165,[1]characters!$A:$M,13,FALSE)</f>
        <v>human</v>
      </c>
      <c r="M165" s="16">
        <f>VLOOKUP(D165,gacha_188_base!A:B,2,FALSE)</f>
        <v>114</v>
      </c>
      <c r="N165" s="38">
        <f>IFERROR(VLOOKUP($F165,bug_conf_sheet!$A:$H,3,FALSE),VLOOKUP("other",bug_conf_sheet!$A:$H,3,FALSE))</f>
        <v>1</v>
      </c>
      <c r="O165" s="38">
        <f>IFERROR(VLOOKUP($F165,bug_conf_sheet!$A:$H,4,FALSE),VLOOKUP("other",bug_conf_sheet!$A:$H,4,FALSE))</f>
        <v>0</v>
      </c>
      <c r="P165" s="38">
        <f>IFERROR(VLOOKUP($F165,bug_conf_sheet!$A:$H,5,FALSE),VLOOKUP("other",bug_conf_sheet!$A:$H,5,FALSE))</f>
        <v>0</v>
      </c>
      <c r="Q165" s="38">
        <f>IFERROR(VLOOKUP($F165,bug_conf_sheet!$A:$H,6,FALSE),VLOOKUP("other",bug_conf_sheet!$A:$H,6,FALSE))</f>
        <v>0</v>
      </c>
      <c r="R165" s="38">
        <f>IFERROR(VLOOKUP($F165,bug_conf_sheet!$A:$H,7,FALSE),VLOOKUP("other",bug_conf_sheet!$A:$H,7,FALSE))</f>
        <v>0</v>
      </c>
      <c r="S165" s="38">
        <f>IFERROR(VLOOKUP($F165,bug_conf_sheet!$A:$H,8,FALSE),VLOOKUP("other",bug_conf_sheet!$A:$H,8,FALSE))</f>
        <v>1</v>
      </c>
    </row>
    <row r="166" spans="1:19" ht="21" hidden="1" customHeight="1">
      <c r="A166" s="7" t="str">
        <f t="shared" si="9"/>
        <v>1881400</v>
      </c>
      <c r="B166" s="2" t="str">
        <f t="shared" si="10"/>
        <v>1881</v>
      </c>
      <c r="C166" s="8" t="str">
        <f t="shared" si="11"/>
        <v>1PremiumS3</v>
      </c>
      <c r="D166" s="8" t="str">
        <f t="shared" si="12"/>
        <v>1PremiumS3</v>
      </c>
      <c r="E166" s="10">
        <v>1</v>
      </c>
      <c r="F166" s="6">
        <v>400</v>
      </c>
      <c r="G166" s="8" t="str">
        <f>VLOOKUP(F166,[1]characters!$A:$C,3,FALSE)</f>
        <v>フェンリル</v>
      </c>
      <c r="H166" s="8" t="str">
        <f>VLOOKUP(F166,[1]characters!$A:$J,10,FALSE)</f>
        <v>PremiumS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16">
        <f>VLOOKUP(D166,gacha_188_base!A:B,2,FALSE)</f>
        <v>11309</v>
      </c>
      <c r="N166" s="38">
        <f>IFERROR(VLOOKUP($F166,bug_conf_sheet!$A:$H,3,FALSE),VLOOKUP("other",bug_conf_sheet!$A:$H,3,FALSE))</f>
        <v>1</v>
      </c>
      <c r="O166" s="38">
        <f>IFERROR(VLOOKUP($F166,bug_conf_sheet!$A:$H,4,FALSE),VLOOKUP("other",bug_conf_sheet!$A:$H,4,FALSE))</f>
        <v>0</v>
      </c>
      <c r="P166" s="38">
        <f>IFERROR(VLOOKUP($F166,bug_conf_sheet!$A:$H,5,FALSE),VLOOKUP("other",bug_conf_sheet!$A:$H,5,FALSE))</f>
        <v>0</v>
      </c>
      <c r="Q166" s="38">
        <f>IFERROR(VLOOKUP($F166,bug_conf_sheet!$A:$H,6,FALSE),VLOOKUP("other",bug_conf_sheet!$A:$H,6,FALSE))</f>
        <v>0</v>
      </c>
      <c r="R166" s="38">
        <f>IFERROR(VLOOKUP($F166,bug_conf_sheet!$A:$H,7,FALSE),VLOOKUP("other",bug_conf_sheet!$A:$H,7,FALSE))</f>
        <v>0</v>
      </c>
      <c r="S166" s="38">
        <f>IFERROR(VLOOKUP($F166,bug_conf_sheet!$A:$H,8,FALSE),VLOOKUP("other",bug_conf_sheet!$A:$H,8,FALSE))</f>
        <v>1</v>
      </c>
    </row>
    <row r="167" spans="1:19" ht="21" hidden="1" customHeight="1">
      <c r="A167" s="7" t="str">
        <f t="shared" si="9"/>
        <v>1881401</v>
      </c>
      <c r="B167" s="2" t="str">
        <f t="shared" si="10"/>
        <v>1881</v>
      </c>
      <c r="C167" s="8" t="str">
        <f t="shared" si="11"/>
        <v>1PremiumS4</v>
      </c>
      <c r="D167" s="8" t="str">
        <f t="shared" si="12"/>
        <v>1PremiumS4</v>
      </c>
      <c r="E167" s="10">
        <v>1</v>
      </c>
      <c r="F167" s="6">
        <v>401</v>
      </c>
      <c r="G167" s="8" t="str">
        <f>VLOOKUP(F167,[1]characters!$A:$C,3,FALSE)</f>
        <v>紅銀の孤狼 フェンリル</v>
      </c>
      <c r="H167" s="8" t="str">
        <f>VLOOKUP(F167,[1]characters!$A:$J,10,FALSE)</f>
        <v>PremiumS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16">
        <f>VLOOKUP(D167,gacha_188_base!A:B,2,FALSE)</f>
        <v>2827</v>
      </c>
      <c r="N167" s="38">
        <f>IFERROR(VLOOKUP($F167,bug_conf_sheet!$A:$H,3,FALSE),VLOOKUP("other",bug_conf_sheet!$A:$H,3,FALSE))</f>
        <v>1</v>
      </c>
      <c r="O167" s="38">
        <f>IFERROR(VLOOKUP($F167,bug_conf_sheet!$A:$H,4,FALSE),VLOOKUP("other",bug_conf_sheet!$A:$H,4,FALSE))</f>
        <v>0</v>
      </c>
      <c r="P167" s="38">
        <f>IFERROR(VLOOKUP($F167,bug_conf_sheet!$A:$H,5,FALSE),VLOOKUP("other",bug_conf_sheet!$A:$H,5,FALSE))</f>
        <v>0</v>
      </c>
      <c r="Q167" s="38">
        <f>IFERROR(VLOOKUP($F167,bug_conf_sheet!$A:$H,6,FALSE),VLOOKUP("other",bug_conf_sheet!$A:$H,6,FALSE))</f>
        <v>0</v>
      </c>
      <c r="R167" s="38">
        <f>IFERROR(VLOOKUP($F167,bug_conf_sheet!$A:$H,7,FALSE),VLOOKUP("other",bug_conf_sheet!$A:$H,7,FALSE))</f>
        <v>0</v>
      </c>
      <c r="S167" s="38">
        <f>IFERROR(VLOOKUP($F167,bug_conf_sheet!$A:$H,8,FALSE),VLOOKUP("other",bug_conf_sheet!$A:$H,8,FALSE))</f>
        <v>1</v>
      </c>
    </row>
    <row r="168" spans="1:19" ht="21" customHeight="1">
      <c r="A168" s="7" t="str">
        <f t="shared" si="9"/>
        <v>1881402</v>
      </c>
      <c r="B168" s="2" t="str">
        <f t="shared" si="10"/>
        <v>1881</v>
      </c>
      <c r="C168" s="8" t="str">
        <f t="shared" si="11"/>
        <v>1PremiumS5</v>
      </c>
      <c r="D168" s="8" t="str">
        <f t="shared" si="12"/>
        <v>1PremiumS5</v>
      </c>
      <c r="E168" s="10">
        <v>1</v>
      </c>
      <c r="F168" s="6">
        <v>402</v>
      </c>
      <c r="G168" s="8" t="str">
        <f>VLOOKUP(F168,[1]characters!$A:$C,3,FALSE)</f>
        <v>天災の神狼 フェンリル</v>
      </c>
      <c r="H168" s="8" t="str">
        <f>VLOOKUP(F168,[1]characters!$A:$J,10,FALSE)</f>
        <v>PremiumS</v>
      </c>
      <c r="I168" s="8">
        <f>VLOOKUP(F168,[1]characters!$A:$I,9,FALSE)</f>
        <v>5</v>
      </c>
      <c r="J168" s="8" t="str">
        <f>VLOOKUP(F168,[1]characters!$A:$H,8,FALSE)</f>
        <v>red</v>
      </c>
      <c r="K168" s="8" t="str">
        <f>VLOOKUP(F168,[1]characters!$A:$K,11,FALSE)</f>
        <v>attack</v>
      </c>
      <c r="L168" s="8" t="str">
        <f>VLOOKUP(F168,[1]characters!$A:$M,13,FALSE)</f>
        <v>animal</v>
      </c>
      <c r="M168" s="16">
        <f>VLOOKUP(D168,gacha_188_base!A:B,2,FALSE)</f>
        <v>942</v>
      </c>
      <c r="N168" s="38">
        <f>IFERROR(VLOOKUP($F168,bug_conf_sheet!$A:$H,3,FALSE),VLOOKUP("other",bug_conf_sheet!$A:$H,3,FALSE))</f>
        <v>1</v>
      </c>
      <c r="O168" s="38">
        <f>IFERROR(VLOOKUP($F168,bug_conf_sheet!$A:$H,4,FALSE),VLOOKUP("other",bug_conf_sheet!$A:$H,4,FALSE))</f>
        <v>0</v>
      </c>
      <c r="P168" s="38">
        <f>IFERROR(VLOOKUP($F168,bug_conf_sheet!$A:$H,5,FALSE),VLOOKUP("other",bug_conf_sheet!$A:$H,5,FALSE))</f>
        <v>0</v>
      </c>
      <c r="Q168" s="38">
        <f>IFERROR(VLOOKUP($F168,bug_conf_sheet!$A:$H,6,FALSE),VLOOKUP("other",bug_conf_sheet!$A:$H,6,FALSE))</f>
        <v>0</v>
      </c>
      <c r="R168" s="38">
        <f>IFERROR(VLOOKUP($F168,bug_conf_sheet!$A:$H,7,FALSE),VLOOKUP("other",bug_conf_sheet!$A:$H,7,FALSE))</f>
        <v>0</v>
      </c>
      <c r="S168" s="38">
        <f>IFERROR(VLOOKUP($F168,bug_conf_sheet!$A:$H,8,FALSE),VLOOKUP("other",bug_conf_sheet!$A:$H,8,FALSE))</f>
        <v>1</v>
      </c>
    </row>
    <row r="169" spans="1:19" ht="21" hidden="1" customHeight="1">
      <c r="A169" s="7" t="str">
        <f t="shared" si="9"/>
        <v>1881403</v>
      </c>
      <c r="B169" s="2" t="str">
        <f t="shared" si="10"/>
        <v>1881</v>
      </c>
      <c r="C169" s="8" t="str">
        <f t="shared" si="11"/>
        <v>1PremiumSS4</v>
      </c>
      <c r="D169" s="8" t="str">
        <f t="shared" si="12"/>
        <v>1PremiumSS4</v>
      </c>
      <c r="E169" s="10">
        <v>1</v>
      </c>
      <c r="F169" s="6">
        <v>403</v>
      </c>
      <c r="G169" s="8" t="str">
        <f>VLOOKUP(F169,[1]characters!$A:$C,3,FALSE)</f>
        <v>静撃の翠眼 八咫烏</v>
      </c>
      <c r="H169" s="8" t="str">
        <f>VLOOKUP(F169,[1]characters!$A:$J,10,FALSE)</f>
        <v>PremiumSS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16">
        <f>VLOOKUP(D169,gacha_188_base!A:B,2,FALSE)</f>
        <v>1705</v>
      </c>
      <c r="N169" s="38">
        <f>IFERROR(VLOOKUP($F169,bug_conf_sheet!$A:$H,3,FALSE),VLOOKUP("other",bug_conf_sheet!$A:$H,3,FALSE))</f>
        <v>1</v>
      </c>
      <c r="O169" s="38">
        <f>IFERROR(VLOOKUP($F169,bug_conf_sheet!$A:$H,4,FALSE),VLOOKUP("other",bug_conf_sheet!$A:$H,4,FALSE))</f>
        <v>0</v>
      </c>
      <c r="P169" s="38">
        <f>IFERROR(VLOOKUP($F169,bug_conf_sheet!$A:$H,5,FALSE),VLOOKUP("other",bug_conf_sheet!$A:$H,5,FALSE))</f>
        <v>0</v>
      </c>
      <c r="Q169" s="38">
        <f>IFERROR(VLOOKUP($F169,bug_conf_sheet!$A:$H,6,FALSE),VLOOKUP("other",bug_conf_sheet!$A:$H,6,FALSE))</f>
        <v>0</v>
      </c>
      <c r="R169" s="38">
        <f>IFERROR(VLOOKUP($F169,bug_conf_sheet!$A:$H,7,FALSE),VLOOKUP("other",bug_conf_sheet!$A:$H,7,FALSE))</f>
        <v>0</v>
      </c>
      <c r="S169" s="38">
        <f>IFERROR(VLOOKUP($F169,bug_conf_sheet!$A:$H,8,FALSE),VLOOKUP("other",bug_conf_sheet!$A:$H,8,FALSE))</f>
        <v>1</v>
      </c>
    </row>
    <row r="170" spans="1:19" ht="21" customHeight="1">
      <c r="A170" s="7" t="str">
        <f t="shared" si="9"/>
        <v>1881404</v>
      </c>
      <c r="B170" s="2" t="str">
        <f t="shared" si="10"/>
        <v>1881</v>
      </c>
      <c r="C170" s="8" t="str">
        <f t="shared" si="11"/>
        <v>1PremiumSS5</v>
      </c>
      <c r="D170" s="8" t="str">
        <f t="shared" si="12"/>
        <v>1PremiumSS5</v>
      </c>
      <c r="E170" s="10">
        <v>1</v>
      </c>
      <c r="F170" s="6">
        <v>404</v>
      </c>
      <c r="G170" s="8" t="str">
        <f>VLOOKUP(F170,[1]characters!$A:$C,3,FALSE)</f>
        <v>空襲の神眼 八咫烏</v>
      </c>
      <c r="H170" s="8" t="str">
        <f>VLOOKUP(F170,[1]characters!$A:$J,10,FALSE)</f>
        <v>PremiumSS</v>
      </c>
      <c r="I170" s="8">
        <f>VLOOKUP(F170,[1]characters!$A:$I,9,FALSE)</f>
        <v>5</v>
      </c>
      <c r="J170" s="8" t="str">
        <f>VLOOKUP(F170,[1]characters!$A:$H,8,FALSE)</f>
        <v>green</v>
      </c>
      <c r="K170" s="8" t="str">
        <f>VLOOKUP(F170,[1]characters!$A:$K,11,FALSE)</f>
        <v>balance</v>
      </c>
      <c r="L170" s="8" t="str">
        <f>VLOOKUP(F170,[1]characters!$A:$M,13,FALSE)</f>
        <v>animal</v>
      </c>
      <c r="M170" s="16">
        <f>VLOOKUP(D170,gacha_188_base!A:B,2,FALSE)</f>
        <v>114</v>
      </c>
      <c r="N170" s="38">
        <f>IFERROR(VLOOKUP($F170,bug_conf_sheet!$A:$H,3,FALSE),VLOOKUP("other",bug_conf_sheet!$A:$H,3,FALSE))</f>
        <v>1</v>
      </c>
      <c r="O170" s="38">
        <f>IFERROR(VLOOKUP($F170,bug_conf_sheet!$A:$H,4,FALSE),VLOOKUP("other",bug_conf_sheet!$A:$H,4,FALSE))</f>
        <v>0</v>
      </c>
      <c r="P170" s="38">
        <f>IFERROR(VLOOKUP($F170,bug_conf_sheet!$A:$H,5,FALSE),VLOOKUP("other",bug_conf_sheet!$A:$H,5,FALSE))</f>
        <v>0</v>
      </c>
      <c r="Q170" s="38">
        <f>IFERROR(VLOOKUP($F170,bug_conf_sheet!$A:$H,6,FALSE),VLOOKUP("other",bug_conf_sheet!$A:$H,6,FALSE))</f>
        <v>0</v>
      </c>
      <c r="R170" s="38">
        <f>IFERROR(VLOOKUP($F170,bug_conf_sheet!$A:$H,7,FALSE),VLOOKUP("other",bug_conf_sheet!$A:$H,7,FALSE))</f>
        <v>0</v>
      </c>
      <c r="S170" s="38">
        <f>IFERROR(VLOOKUP($F170,bug_conf_sheet!$A:$H,8,FALSE),VLOOKUP("other",bug_conf_sheet!$A:$H,8,FALSE))</f>
        <v>1</v>
      </c>
    </row>
    <row r="171" spans="1:19" ht="21" hidden="1" customHeight="1">
      <c r="A171" s="7" t="str">
        <f t="shared" si="9"/>
        <v>1881405</v>
      </c>
      <c r="B171" s="2" t="str">
        <f t="shared" si="10"/>
        <v>1881</v>
      </c>
      <c r="C171" s="8" t="str">
        <f t="shared" si="11"/>
        <v>1PremiumS3</v>
      </c>
      <c r="D171" s="8" t="str">
        <f t="shared" si="12"/>
        <v>1PremiumS3</v>
      </c>
      <c r="E171" s="10">
        <v>1</v>
      </c>
      <c r="F171" s="6">
        <v>405</v>
      </c>
      <c r="G171" s="8" t="str">
        <f>VLOOKUP(F171,[1]characters!$A:$C,3,FALSE)</f>
        <v>エキドナ</v>
      </c>
      <c r="H171" s="8" t="str">
        <f>VLOOKUP(F171,[1]characters!$A:$J,10,FALSE)</f>
        <v>PremiumS</v>
      </c>
      <c r="I171" s="8">
        <f>VLOOKUP(F171,[1]characters!$A:$I,9,FALSE)</f>
        <v>3</v>
      </c>
      <c r="J171" s="8" t="str">
        <f>VLOOKUP(F171,[1]characters!$A:$H,8,FALSE)</f>
        <v>blue</v>
      </c>
      <c r="K171" s="8" t="str">
        <f>VLOOKUP(F171,[1]characters!$A:$K,11,FALSE)</f>
        <v>technical</v>
      </c>
      <c r="L171" s="8" t="str">
        <f>VLOOKUP(F171,[1]characters!$A:$M,13,FALSE)</f>
        <v>animal</v>
      </c>
      <c r="M171" s="16">
        <f>VLOOKUP(D171,gacha_188_base!A:B,2,FALSE)</f>
        <v>11309</v>
      </c>
      <c r="N171" s="38">
        <f>IFERROR(VLOOKUP($F171,bug_conf_sheet!$A:$H,3,FALSE),VLOOKUP("other",bug_conf_sheet!$A:$H,3,FALSE))</f>
        <v>1</v>
      </c>
      <c r="O171" s="38">
        <f>IFERROR(VLOOKUP($F171,bug_conf_sheet!$A:$H,4,FALSE),VLOOKUP("other",bug_conf_sheet!$A:$H,4,FALSE))</f>
        <v>0</v>
      </c>
      <c r="P171" s="38">
        <f>IFERROR(VLOOKUP($F171,bug_conf_sheet!$A:$H,5,FALSE),VLOOKUP("other",bug_conf_sheet!$A:$H,5,FALSE))</f>
        <v>0</v>
      </c>
      <c r="Q171" s="38">
        <f>IFERROR(VLOOKUP($F171,bug_conf_sheet!$A:$H,6,FALSE),VLOOKUP("other",bug_conf_sheet!$A:$H,6,FALSE))</f>
        <v>0</v>
      </c>
      <c r="R171" s="38">
        <f>IFERROR(VLOOKUP($F171,bug_conf_sheet!$A:$H,7,FALSE),VLOOKUP("other",bug_conf_sheet!$A:$H,7,FALSE))</f>
        <v>0</v>
      </c>
      <c r="S171" s="38">
        <f>IFERROR(VLOOKUP($F171,bug_conf_sheet!$A:$H,8,FALSE),VLOOKUP("other",bug_conf_sheet!$A:$H,8,FALSE))</f>
        <v>1</v>
      </c>
    </row>
    <row r="172" spans="1:19" ht="21" hidden="1" customHeight="1">
      <c r="A172" s="7" t="str">
        <f t="shared" si="9"/>
        <v>1881406</v>
      </c>
      <c r="B172" s="2" t="str">
        <f t="shared" si="10"/>
        <v>1881</v>
      </c>
      <c r="C172" s="8" t="str">
        <f t="shared" si="11"/>
        <v>1PremiumS4</v>
      </c>
      <c r="D172" s="8" t="str">
        <f t="shared" si="12"/>
        <v>1PremiumS4</v>
      </c>
      <c r="E172" s="10">
        <v>1</v>
      </c>
      <c r="F172" s="6">
        <v>406</v>
      </c>
      <c r="G172" s="8" t="str">
        <f>VLOOKUP(F172,[1]characters!$A:$C,3,FALSE)</f>
        <v>美笑の蒼蛇 エキドナ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blue</v>
      </c>
      <c r="K172" s="8" t="str">
        <f>VLOOKUP(F172,[1]characters!$A:$K,11,FALSE)</f>
        <v>technical</v>
      </c>
      <c r="L172" s="8" t="str">
        <f>VLOOKUP(F172,[1]characters!$A:$M,13,FALSE)</f>
        <v>animal</v>
      </c>
      <c r="M172" s="16">
        <f>VLOOKUP(D172,gacha_188_base!A:B,2,FALSE)</f>
        <v>2827</v>
      </c>
      <c r="N172" s="38">
        <f>IFERROR(VLOOKUP($F172,bug_conf_sheet!$A:$H,3,FALSE),VLOOKUP("other",bug_conf_sheet!$A:$H,3,FALSE))</f>
        <v>1</v>
      </c>
      <c r="O172" s="38">
        <f>IFERROR(VLOOKUP($F172,bug_conf_sheet!$A:$H,4,FALSE),VLOOKUP("other",bug_conf_sheet!$A:$H,4,FALSE))</f>
        <v>0</v>
      </c>
      <c r="P172" s="38">
        <f>IFERROR(VLOOKUP($F172,bug_conf_sheet!$A:$H,5,FALSE),VLOOKUP("other",bug_conf_sheet!$A:$H,5,FALSE))</f>
        <v>0</v>
      </c>
      <c r="Q172" s="38">
        <f>IFERROR(VLOOKUP($F172,bug_conf_sheet!$A:$H,6,FALSE),VLOOKUP("other",bug_conf_sheet!$A:$H,6,FALSE))</f>
        <v>0</v>
      </c>
      <c r="R172" s="38">
        <f>IFERROR(VLOOKUP($F172,bug_conf_sheet!$A:$H,7,FALSE),VLOOKUP("other",bug_conf_sheet!$A:$H,7,FALSE))</f>
        <v>0</v>
      </c>
      <c r="S172" s="38">
        <f>IFERROR(VLOOKUP($F172,bug_conf_sheet!$A:$H,8,FALSE),VLOOKUP("other",bug_conf_sheet!$A:$H,8,FALSE))</f>
        <v>1</v>
      </c>
    </row>
    <row r="173" spans="1:19" ht="21" customHeight="1">
      <c r="A173" s="7" t="str">
        <f t="shared" si="9"/>
        <v>1881407</v>
      </c>
      <c r="B173" s="2" t="str">
        <f t="shared" si="10"/>
        <v>1881</v>
      </c>
      <c r="C173" s="8" t="str">
        <f t="shared" si="11"/>
        <v>1PremiumS5</v>
      </c>
      <c r="D173" s="8" t="str">
        <f t="shared" si="12"/>
        <v>1PremiumS5</v>
      </c>
      <c r="E173" s="10">
        <v>1</v>
      </c>
      <c r="F173" s="6">
        <v>407</v>
      </c>
      <c r="G173" s="8" t="str">
        <f>VLOOKUP(F173,[1]characters!$A:$C,3,FALSE)</f>
        <v>蠱惑の飛刀 エキドナ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blue</v>
      </c>
      <c r="K173" s="8" t="str">
        <f>VLOOKUP(F173,[1]characters!$A:$K,11,FALSE)</f>
        <v>technical</v>
      </c>
      <c r="L173" s="8" t="str">
        <f>VLOOKUP(F173,[1]characters!$A:$M,13,FALSE)</f>
        <v>animal</v>
      </c>
      <c r="M173" s="16">
        <f>VLOOKUP(D173,gacha_188_base!A:B,2,FALSE)</f>
        <v>942</v>
      </c>
      <c r="N173" s="38">
        <f>IFERROR(VLOOKUP($F173,bug_conf_sheet!$A:$H,3,FALSE),VLOOKUP("other",bug_conf_sheet!$A:$H,3,FALSE))</f>
        <v>1</v>
      </c>
      <c r="O173" s="38">
        <f>IFERROR(VLOOKUP($F173,bug_conf_sheet!$A:$H,4,FALSE),VLOOKUP("other",bug_conf_sheet!$A:$H,4,FALSE))</f>
        <v>0</v>
      </c>
      <c r="P173" s="38">
        <f>IFERROR(VLOOKUP($F173,bug_conf_sheet!$A:$H,5,FALSE),VLOOKUP("other",bug_conf_sheet!$A:$H,5,FALSE))</f>
        <v>0</v>
      </c>
      <c r="Q173" s="38">
        <f>IFERROR(VLOOKUP($F173,bug_conf_sheet!$A:$H,6,FALSE),VLOOKUP("other",bug_conf_sheet!$A:$H,6,FALSE))</f>
        <v>0</v>
      </c>
      <c r="R173" s="38">
        <f>IFERROR(VLOOKUP($F173,bug_conf_sheet!$A:$H,7,FALSE),VLOOKUP("other",bug_conf_sheet!$A:$H,7,FALSE))</f>
        <v>0</v>
      </c>
      <c r="S173" s="38">
        <f>IFERROR(VLOOKUP($F173,bug_conf_sheet!$A:$H,8,FALSE),VLOOKUP("other",bug_conf_sheet!$A:$H,8,FALSE))</f>
        <v>1</v>
      </c>
    </row>
    <row r="174" spans="1:19" ht="21" hidden="1" customHeight="1">
      <c r="A174" s="7" t="str">
        <f t="shared" si="9"/>
        <v>1881408</v>
      </c>
      <c r="B174" s="2" t="str">
        <f t="shared" si="10"/>
        <v>1881</v>
      </c>
      <c r="C174" s="8" t="str">
        <f t="shared" si="11"/>
        <v>1PremiumSS4</v>
      </c>
      <c r="D174" s="8" t="str">
        <f t="shared" si="12"/>
        <v>1PremiumSS4</v>
      </c>
      <c r="E174" s="10">
        <v>1</v>
      </c>
      <c r="F174" s="6">
        <v>408</v>
      </c>
      <c r="G174" s="8" t="str">
        <f>VLOOKUP(F174,[1]characters!$A:$C,3,FALSE)</f>
        <v>皇魔 アスタロト</v>
      </c>
      <c r="H174" s="8" t="str">
        <f>VLOOKUP(F174,[1]characters!$A:$J,10,FALSE)</f>
        <v>PremiumSS</v>
      </c>
      <c r="I174" s="8">
        <f>VLOOKUP(F174,[1]characters!$A:$I,9,FALSE)</f>
        <v>4</v>
      </c>
      <c r="J174" s="8" t="str">
        <f>VLOOKUP(F174,[1]characters!$A:$H,8,FALSE)</f>
        <v>yellow</v>
      </c>
      <c r="K174" s="8" t="str">
        <f>VLOOKUP(F174,[1]characters!$A:$K,11,FALSE)</f>
        <v>attack</v>
      </c>
      <c r="L174" s="8" t="str">
        <f>VLOOKUP(F174,[1]characters!$A:$M,13,FALSE)</f>
        <v>god</v>
      </c>
      <c r="M174" s="16">
        <f>VLOOKUP(D174,gacha_188_base!A:B,2,FALSE)</f>
        <v>1705</v>
      </c>
      <c r="N174" s="38">
        <f>IFERROR(VLOOKUP($F174,bug_conf_sheet!$A:$H,3,FALSE),VLOOKUP("other",bug_conf_sheet!$A:$H,3,FALSE))</f>
        <v>1</v>
      </c>
      <c r="O174" s="38">
        <f>IFERROR(VLOOKUP($F174,bug_conf_sheet!$A:$H,4,FALSE),VLOOKUP("other",bug_conf_sheet!$A:$H,4,FALSE))</f>
        <v>0</v>
      </c>
      <c r="P174" s="38">
        <f>IFERROR(VLOOKUP($F174,bug_conf_sheet!$A:$H,5,FALSE),VLOOKUP("other",bug_conf_sheet!$A:$H,5,FALSE))</f>
        <v>0</v>
      </c>
      <c r="Q174" s="38">
        <f>IFERROR(VLOOKUP($F174,bug_conf_sheet!$A:$H,6,FALSE),VLOOKUP("other",bug_conf_sheet!$A:$H,6,FALSE))</f>
        <v>0</v>
      </c>
      <c r="R174" s="38">
        <f>IFERROR(VLOOKUP($F174,bug_conf_sheet!$A:$H,7,FALSE),VLOOKUP("other",bug_conf_sheet!$A:$H,7,FALSE))</f>
        <v>0</v>
      </c>
      <c r="S174" s="38">
        <f>IFERROR(VLOOKUP($F174,bug_conf_sheet!$A:$H,8,FALSE),VLOOKUP("other",bug_conf_sheet!$A:$H,8,FALSE))</f>
        <v>1</v>
      </c>
    </row>
    <row r="175" spans="1:19" ht="21" customHeight="1">
      <c r="A175" s="7" t="str">
        <f t="shared" si="9"/>
        <v>1881409</v>
      </c>
      <c r="B175" s="2" t="str">
        <f t="shared" si="10"/>
        <v>1881</v>
      </c>
      <c r="C175" s="8" t="str">
        <f t="shared" si="11"/>
        <v>1PremiumSS5</v>
      </c>
      <c r="D175" s="8" t="str">
        <f t="shared" si="12"/>
        <v>1PremiumSS5</v>
      </c>
      <c r="E175" s="10">
        <v>1</v>
      </c>
      <c r="F175" s="6">
        <v>409</v>
      </c>
      <c r="G175" s="8" t="str">
        <f>VLOOKUP(F175,[1]characters!$A:$C,3,FALSE)</f>
        <v>天眼の皇貴魔 アスタロト</v>
      </c>
      <c r="H175" s="8" t="str">
        <f>VLOOKUP(F175,[1]characters!$A:$J,10,FALSE)</f>
        <v>PremiumSS</v>
      </c>
      <c r="I175" s="8">
        <f>VLOOKUP(F175,[1]characters!$A:$I,9,FALSE)</f>
        <v>5</v>
      </c>
      <c r="J175" s="8" t="str">
        <f>VLOOKUP(F175,[1]characters!$A:$H,8,FALSE)</f>
        <v>yellow</v>
      </c>
      <c r="K175" s="8" t="str">
        <f>VLOOKUP(F175,[1]characters!$A:$K,11,FALSE)</f>
        <v>attack</v>
      </c>
      <c r="L175" s="8" t="str">
        <f>VLOOKUP(F175,[1]characters!$A:$M,13,FALSE)</f>
        <v>god</v>
      </c>
      <c r="M175" s="16">
        <f>VLOOKUP(D175,gacha_188_base!A:B,2,FALSE)</f>
        <v>114</v>
      </c>
      <c r="N175" s="38">
        <f>IFERROR(VLOOKUP($F175,bug_conf_sheet!$A:$H,3,FALSE),VLOOKUP("other",bug_conf_sheet!$A:$H,3,FALSE))</f>
        <v>1</v>
      </c>
      <c r="O175" s="38">
        <f>IFERROR(VLOOKUP($F175,bug_conf_sheet!$A:$H,4,FALSE),VLOOKUP("other",bug_conf_sheet!$A:$H,4,FALSE))</f>
        <v>0</v>
      </c>
      <c r="P175" s="38">
        <f>IFERROR(VLOOKUP($F175,bug_conf_sheet!$A:$H,5,FALSE),VLOOKUP("other",bug_conf_sheet!$A:$H,5,FALSE))</f>
        <v>0</v>
      </c>
      <c r="Q175" s="38">
        <f>IFERROR(VLOOKUP($F175,bug_conf_sheet!$A:$H,6,FALSE),VLOOKUP("other",bug_conf_sheet!$A:$H,6,FALSE))</f>
        <v>0</v>
      </c>
      <c r="R175" s="38">
        <f>IFERROR(VLOOKUP($F175,bug_conf_sheet!$A:$H,7,FALSE),VLOOKUP("other",bug_conf_sheet!$A:$H,7,FALSE))</f>
        <v>0</v>
      </c>
      <c r="S175" s="38">
        <f>IFERROR(VLOOKUP($F175,bug_conf_sheet!$A:$H,8,FALSE),VLOOKUP("other",bug_conf_sheet!$A:$H,8,FALSE))</f>
        <v>1</v>
      </c>
    </row>
    <row r="176" spans="1:19" ht="21" hidden="1" customHeight="1">
      <c r="A176" s="7" t="str">
        <f t="shared" si="9"/>
        <v>1881434</v>
      </c>
      <c r="B176" s="2" t="str">
        <f t="shared" si="10"/>
        <v>1881</v>
      </c>
      <c r="C176" s="8" t="str">
        <f t="shared" si="11"/>
        <v>1PremiumSS4</v>
      </c>
      <c r="D176" s="8" t="str">
        <f t="shared" si="12"/>
        <v>1PremiumSS4</v>
      </c>
      <c r="E176" s="10">
        <v>1</v>
      </c>
      <c r="F176" s="6">
        <v>434</v>
      </c>
      <c r="G176" s="8" t="str">
        <f>VLOOKUP(F176,[1]characters!$A:$C,3,FALSE)</f>
        <v>D.R.T.H.</v>
      </c>
      <c r="H176" s="8" t="str">
        <f>VLOOKUP(F176,[1]characters!$A:$J,10,FALSE)</f>
        <v>PremiumSS</v>
      </c>
      <c r="I176" s="8">
        <f>VLOOKUP(F176,[1]characters!$A:$I,9,FALSE)</f>
        <v>4</v>
      </c>
      <c r="J176" s="8" t="str">
        <f>VLOOKUP(F176,[1]characters!$A:$H,8,FALSE)</f>
        <v>red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16">
        <f>VLOOKUP(D176,gacha_188_base!A:B,2,FALSE)</f>
        <v>1705</v>
      </c>
      <c r="N176" s="38">
        <f>IFERROR(VLOOKUP($F176,bug_conf_sheet!$A:$H,3,FALSE),VLOOKUP("other",bug_conf_sheet!$A:$H,3,FALSE))</f>
        <v>1</v>
      </c>
      <c r="O176" s="38">
        <f>IFERROR(VLOOKUP($F176,bug_conf_sheet!$A:$H,4,FALSE),VLOOKUP("other",bug_conf_sheet!$A:$H,4,FALSE))</f>
        <v>0</v>
      </c>
      <c r="P176" s="38">
        <f>IFERROR(VLOOKUP($F176,bug_conf_sheet!$A:$H,5,FALSE),VLOOKUP("other",bug_conf_sheet!$A:$H,5,FALSE))</f>
        <v>0</v>
      </c>
      <c r="Q176" s="38">
        <f>IFERROR(VLOOKUP($F176,bug_conf_sheet!$A:$H,6,FALSE),VLOOKUP("other",bug_conf_sheet!$A:$H,6,FALSE))</f>
        <v>0</v>
      </c>
      <c r="R176" s="38">
        <f>IFERROR(VLOOKUP($F176,bug_conf_sheet!$A:$H,7,FALSE),VLOOKUP("other",bug_conf_sheet!$A:$H,7,FALSE))</f>
        <v>0</v>
      </c>
      <c r="S176" s="38">
        <f>IFERROR(VLOOKUP($F176,bug_conf_sheet!$A:$H,8,FALSE),VLOOKUP("other",bug_conf_sheet!$A:$H,8,FALSE))</f>
        <v>1</v>
      </c>
    </row>
    <row r="177" spans="1:19" ht="21" customHeight="1">
      <c r="A177" s="7" t="str">
        <f t="shared" si="9"/>
        <v>1881435</v>
      </c>
      <c r="B177" s="2" t="str">
        <f t="shared" si="10"/>
        <v>1881</v>
      </c>
      <c r="C177" s="8" t="str">
        <f t="shared" si="11"/>
        <v>1PremiumSS5</v>
      </c>
      <c r="D177" s="8" t="str">
        <f t="shared" si="12"/>
        <v>1PremiumSS5</v>
      </c>
      <c r="E177" s="10">
        <v>1</v>
      </c>
      <c r="F177" s="6">
        <v>435</v>
      </c>
      <c r="G177" s="8" t="str">
        <f>VLOOKUP(F177,[1]characters!$A:$C,3,FALSE)</f>
        <v>曝弾の密偵 D.R.T.H.</v>
      </c>
      <c r="H177" s="8" t="str">
        <f>VLOOKUP(F177,[1]characters!$A:$J,10,FALSE)</f>
        <v>PremiumSS</v>
      </c>
      <c r="I177" s="8">
        <f>VLOOKUP(F177,[1]characters!$A:$I,9,FALSE)</f>
        <v>5</v>
      </c>
      <c r="J177" s="8" t="str">
        <f>VLOOKUP(F177,[1]characters!$A:$H,8,FALSE)</f>
        <v>red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16">
        <f>VLOOKUP(D177,gacha_188_base!A:B,2,FALSE)</f>
        <v>114</v>
      </c>
      <c r="N177" s="38">
        <f>IFERROR(VLOOKUP($F177,bug_conf_sheet!$A:$H,3,FALSE),VLOOKUP("other",bug_conf_sheet!$A:$H,3,FALSE))</f>
        <v>1</v>
      </c>
      <c r="O177" s="38">
        <f>IFERROR(VLOOKUP($F177,bug_conf_sheet!$A:$H,4,FALSE),VLOOKUP("other",bug_conf_sheet!$A:$H,4,FALSE))</f>
        <v>0</v>
      </c>
      <c r="P177" s="38">
        <f>IFERROR(VLOOKUP($F177,bug_conf_sheet!$A:$H,5,FALSE),VLOOKUP("other",bug_conf_sheet!$A:$H,5,FALSE))</f>
        <v>0</v>
      </c>
      <c r="Q177" s="38">
        <f>IFERROR(VLOOKUP($F177,bug_conf_sheet!$A:$H,6,FALSE),VLOOKUP("other",bug_conf_sheet!$A:$H,6,FALSE))</f>
        <v>0</v>
      </c>
      <c r="R177" s="38">
        <f>IFERROR(VLOOKUP($F177,bug_conf_sheet!$A:$H,7,FALSE),VLOOKUP("other",bug_conf_sheet!$A:$H,7,FALSE))</f>
        <v>0</v>
      </c>
      <c r="S177" s="38">
        <f>IFERROR(VLOOKUP($F177,bug_conf_sheet!$A:$H,8,FALSE),VLOOKUP("other",bug_conf_sheet!$A:$H,8,FALSE))</f>
        <v>1</v>
      </c>
    </row>
    <row r="178" spans="1:19" ht="21" hidden="1" customHeight="1">
      <c r="A178" s="7" t="str">
        <f t="shared" si="9"/>
        <v>1881436</v>
      </c>
      <c r="B178" s="2" t="str">
        <f t="shared" si="10"/>
        <v>1881</v>
      </c>
      <c r="C178" s="8" t="str">
        <f t="shared" si="11"/>
        <v>1PremiumS3</v>
      </c>
      <c r="D178" s="8" t="str">
        <f t="shared" si="12"/>
        <v>1PremiumS3</v>
      </c>
      <c r="E178" s="10">
        <v>1</v>
      </c>
      <c r="F178" s="6">
        <v>436</v>
      </c>
      <c r="G178" s="8" t="str">
        <f>VLOOKUP(F178,[1]characters!$A:$C,3,FALSE)</f>
        <v>カカシ</v>
      </c>
      <c r="H178" s="8" t="str">
        <f>VLOOKUP(F178,[1]characters!$A:$J,10,FALSE)</f>
        <v>PremiumS</v>
      </c>
      <c r="I178" s="8">
        <f>VLOOKUP(F178,[1]characters!$A:$I,9,FALSE)</f>
        <v>3</v>
      </c>
      <c r="J178" s="8" t="str">
        <f>VLOOKUP(F178,[1]characters!$A:$H,8,FALSE)</f>
        <v>green</v>
      </c>
      <c r="K178" s="8" t="str">
        <f>VLOOKUP(F178,[1]characters!$A:$K,11,FALSE)</f>
        <v>technical</v>
      </c>
      <c r="L178" s="8" t="str">
        <f>VLOOKUP(F178,[1]characters!$A:$M,13,FALSE)</f>
        <v>human</v>
      </c>
      <c r="M178" s="16">
        <f>VLOOKUP(D178,gacha_188_base!A:B,2,FALSE)</f>
        <v>11309</v>
      </c>
      <c r="N178" s="38">
        <f>IFERROR(VLOOKUP($F178,bug_conf_sheet!$A:$H,3,FALSE),VLOOKUP("other",bug_conf_sheet!$A:$H,3,FALSE))</f>
        <v>1</v>
      </c>
      <c r="O178" s="38">
        <f>IFERROR(VLOOKUP($F178,bug_conf_sheet!$A:$H,4,FALSE),VLOOKUP("other",bug_conf_sheet!$A:$H,4,FALSE))</f>
        <v>0</v>
      </c>
      <c r="P178" s="38">
        <f>IFERROR(VLOOKUP($F178,bug_conf_sheet!$A:$H,5,FALSE),VLOOKUP("other",bug_conf_sheet!$A:$H,5,FALSE))</f>
        <v>0</v>
      </c>
      <c r="Q178" s="38">
        <f>IFERROR(VLOOKUP($F178,bug_conf_sheet!$A:$H,6,FALSE),VLOOKUP("other",bug_conf_sheet!$A:$H,6,FALSE))</f>
        <v>0</v>
      </c>
      <c r="R178" s="38">
        <f>IFERROR(VLOOKUP($F178,bug_conf_sheet!$A:$H,7,FALSE),VLOOKUP("other",bug_conf_sheet!$A:$H,7,FALSE))</f>
        <v>0</v>
      </c>
      <c r="S178" s="38">
        <f>IFERROR(VLOOKUP($F178,bug_conf_sheet!$A:$H,8,FALSE),VLOOKUP("other",bug_conf_sheet!$A:$H,8,FALSE))</f>
        <v>1</v>
      </c>
    </row>
    <row r="179" spans="1:19" ht="21" hidden="1" customHeight="1">
      <c r="A179" s="7" t="str">
        <f t="shared" si="9"/>
        <v>1881437</v>
      </c>
      <c r="B179" s="2" t="str">
        <f t="shared" si="10"/>
        <v>1881</v>
      </c>
      <c r="C179" s="8" t="str">
        <f t="shared" si="11"/>
        <v>1PremiumS4</v>
      </c>
      <c r="D179" s="8" t="str">
        <f t="shared" si="12"/>
        <v>1PremiumS4</v>
      </c>
      <c r="E179" s="10">
        <v>1</v>
      </c>
      <c r="F179" s="6">
        <v>437</v>
      </c>
      <c r="G179" s="8" t="str">
        <f>VLOOKUP(F179,[1]characters!$A:$C,3,FALSE)</f>
        <v>忘却者 カカシ</v>
      </c>
      <c r="H179" s="8" t="str">
        <f>VLOOKUP(F179,[1]characters!$A:$J,10,FALSE)</f>
        <v>PremiumS</v>
      </c>
      <c r="I179" s="8">
        <f>VLOOKUP(F179,[1]characters!$A:$I,9,FALSE)</f>
        <v>4</v>
      </c>
      <c r="J179" s="8" t="str">
        <f>VLOOKUP(F179,[1]characters!$A:$H,8,FALSE)</f>
        <v>green</v>
      </c>
      <c r="K179" s="8" t="str">
        <f>VLOOKUP(F179,[1]characters!$A:$K,11,FALSE)</f>
        <v>technical</v>
      </c>
      <c r="L179" s="8" t="str">
        <f>VLOOKUP(F179,[1]characters!$A:$M,13,FALSE)</f>
        <v>human</v>
      </c>
      <c r="M179" s="16">
        <f>VLOOKUP(D179,gacha_188_base!A:B,2,FALSE)</f>
        <v>2827</v>
      </c>
      <c r="N179" s="38">
        <f>IFERROR(VLOOKUP($F179,bug_conf_sheet!$A:$H,3,FALSE),VLOOKUP("other",bug_conf_sheet!$A:$H,3,FALSE))</f>
        <v>1</v>
      </c>
      <c r="O179" s="38">
        <f>IFERROR(VLOOKUP($F179,bug_conf_sheet!$A:$H,4,FALSE),VLOOKUP("other",bug_conf_sheet!$A:$H,4,FALSE))</f>
        <v>0</v>
      </c>
      <c r="P179" s="38">
        <f>IFERROR(VLOOKUP($F179,bug_conf_sheet!$A:$H,5,FALSE),VLOOKUP("other",bug_conf_sheet!$A:$H,5,FALSE))</f>
        <v>0</v>
      </c>
      <c r="Q179" s="38">
        <f>IFERROR(VLOOKUP($F179,bug_conf_sheet!$A:$H,6,FALSE),VLOOKUP("other",bug_conf_sheet!$A:$H,6,FALSE))</f>
        <v>0</v>
      </c>
      <c r="R179" s="38">
        <f>IFERROR(VLOOKUP($F179,bug_conf_sheet!$A:$H,7,FALSE),VLOOKUP("other",bug_conf_sheet!$A:$H,7,FALSE))</f>
        <v>0</v>
      </c>
      <c r="S179" s="38">
        <f>IFERROR(VLOOKUP($F179,bug_conf_sheet!$A:$H,8,FALSE),VLOOKUP("other",bug_conf_sheet!$A:$H,8,FALSE))</f>
        <v>1</v>
      </c>
    </row>
    <row r="180" spans="1:19" ht="21" customHeight="1">
      <c r="A180" s="7" t="str">
        <f t="shared" si="9"/>
        <v>1881438</v>
      </c>
      <c r="B180" s="2" t="str">
        <f t="shared" si="10"/>
        <v>1881</v>
      </c>
      <c r="C180" s="8" t="str">
        <f t="shared" si="11"/>
        <v>1PremiumS5</v>
      </c>
      <c r="D180" s="8" t="str">
        <f t="shared" si="12"/>
        <v>1PremiumS5</v>
      </c>
      <c r="E180" s="10">
        <v>1</v>
      </c>
      <c r="F180" s="6">
        <v>438</v>
      </c>
      <c r="G180" s="8" t="str">
        <f>VLOOKUP(F180,[1]characters!$A:$C,3,FALSE)</f>
        <v>記憶の奪還 カカシ</v>
      </c>
      <c r="H180" s="8" t="str">
        <f>VLOOKUP(F180,[1]characters!$A:$J,10,FALSE)</f>
        <v>PremiumS</v>
      </c>
      <c r="I180" s="8">
        <f>VLOOKUP(F180,[1]characters!$A:$I,9,FALSE)</f>
        <v>5</v>
      </c>
      <c r="J180" s="8" t="str">
        <f>VLOOKUP(F180,[1]characters!$A:$H,8,FALSE)</f>
        <v>green</v>
      </c>
      <c r="K180" s="8" t="str">
        <f>VLOOKUP(F180,[1]characters!$A:$K,11,FALSE)</f>
        <v>technical</v>
      </c>
      <c r="L180" s="8" t="str">
        <f>VLOOKUP(F180,[1]characters!$A:$M,13,FALSE)</f>
        <v>human</v>
      </c>
      <c r="M180" s="16">
        <f>VLOOKUP(D180,gacha_188_base!A:B,2,FALSE)</f>
        <v>942</v>
      </c>
      <c r="N180" s="38">
        <f>IFERROR(VLOOKUP($F180,bug_conf_sheet!$A:$H,3,FALSE),VLOOKUP("other",bug_conf_sheet!$A:$H,3,FALSE))</f>
        <v>1</v>
      </c>
      <c r="O180" s="38">
        <f>IFERROR(VLOOKUP($F180,bug_conf_sheet!$A:$H,4,FALSE),VLOOKUP("other",bug_conf_sheet!$A:$H,4,FALSE))</f>
        <v>0</v>
      </c>
      <c r="P180" s="38">
        <f>IFERROR(VLOOKUP($F180,bug_conf_sheet!$A:$H,5,FALSE),VLOOKUP("other",bug_conf_sheet!$A:$H,5,FALSE))</f>
        <v>0</v>
      </c>
      <c r="Q180" s="38">
        <f>IFERROR(VLOOKUP($F180,bug_conf_sheet!$A:$H,6,FALSE),VLOOKUP("other",bug_conf_sheet!$A:$H,6,FALSE))</f>
        <v>0</v>
      </c>
      <c r="R180" s="38">
        <f>IFERROR(VLOOKUP($F180,bug_conf_sheet!$A:$H,7,FALSE),VLOOKUP("other",bug_conf_sheet!$A:$H,7,FALSE))</f>
        <v>0</v>
      </c>
      <c r="S180" s="38">
        <f>IFERROR(VLOOKUP($F180,bug_conf_sheet!$A:$H,8,FALSE),VLOOKUP("other",bug_conf_sheet!$A:$H,8,FALSE))</f>
        <v>1</v>
      </c>
    </row>
    <row r="181" spans="1:19" ht="21" hidden="1" customHeight="1">
      <c r="A181" s="7" t="str">
        <f t="shared" si="9"/>
        <v>1881439</v>
      </c>
      <c r="B181" s="2" t="str">
        <f t="shared" si="10"/>
        <v>1881</v>
      </c>
      <c r="C181" s="8" t="str">
        <f t="shared" si="11"/>
        <v>1PremiumS3</v>
      </c>
      <c r="D181" s="8" t="str">
        <f t="shared" si="12"/>
        <v>1PremiumS3</v>
      </c>
      <c r="E181" s="10">
        <v>1</v>
      </c>
      <c r="F181" s="6">
        <v>439</v>
      </c>
      <c r="G181" s="8" t="str">
        <f>VLOOKUP(F181,[1]characters!$A:$C,3,FALSE)</f>
        <v>ブリキロガー</v>
      </c>
      <c r="H181" s="8" t="str">
        <f>VLOOKUP(F181,[1]characters!$A:$J,10,FALSE)</f>
        <v>PremiumS</v>
      </c>
      <c r="I181" s="8">
        <f>VLOOKUP(F181,[1]characters!$A:$I,9,FALSE)</f>
        <v>3</v>
      </c>
      <c r="J181" s="8" t="str">
        <f>VLOOKUP(F181,[1]characters!$A:$H,8,FALSE)</f>
        <v>blue</v>
      </c>
      <c r="K181" s="8" t="str">
        <f>VLOOKUP(F181,[1]characters!$A:$K,11,FALSE)</f>
        <v>attack</v>
      </c>
      <c r="L181" s="8" t="str">
        <f>VLOOKUP(F181,[1]characters!$A:$M,13,FALSE)</f>
        <v>machine</v>
      </c>
      <c r="M181" s="16">
        <f>VLOOKUP(D181,gacha_188_base!A:B,2,FALSE)</f>
        <v>11309</v>
      </c>
      <c r="N181" s="38">
        <f>IFERROR(VLOOKUP($F181,bug_conf_sheet!$A:$H,3,FALSE),VLOOKUP("other",bug_conf_sheet!$A:$H,3,FALSE))</f>
        <v>1</v>
      </c>
      <c r="O181" s="38">
        <f>IFERROR(VLOOKUP($F181,bug_conf_sheet!$A:$H,4,FALSE),VLOOKUP("other",bug_conf_sheet!$A:$H,4,FALSE))</f>
        <v>0</v>
      </c>
      <c r="P181" s="38">
        <f>IFERROR(VLOOKUP($F181,bug_conf_sheet!$A:$H,5,FALSE),VLOOKUP("other",bug_conf_sheet!$A:$H,5,FALSE))</f>
        <v>0</v>
      </c>
      <c r="Q181" s="38">
        <f>IFERROR(VLOOKUP($F181,bug_conf_sheet!$A:$H,6,FALSE),VLOOKUP("other",bug_conf_sheet!$A:$H,6,FALSE))</f>
        <v>0</v>
      </c>
      <c r="R181" s="38">
        <f>IFERROR(VLOOKUP($F181,bug_conf_sheet!$A:$H,7,FALSE),VLOOKUP("other",bug_conf_sheet!$A:$H,7,FALSE))</f>
        <v>0</v>
      </c>
      <c r="S181" s="38">
        <f>IFERROR(VLOOKUP($F181,bug_conf_sheet!$A:$H,8,FALSE),VLOOKUP("other",bug_conf_sheet!$A:$H,8,FALSE))</f>
        <v>1</v>
      </c>
    </row>
    <row r="182" spans="1:19" ht="21" hidden="1" customHeight="1">
      <c r="A182" s="7" t="str">
        <f t="shared" si="9"/>
        <v>1881440</v>
      </c>
      <c r="B182" s="2" t="str">
        <f t="shared" si="10"/>
        <v>1881</v>
      </c>
      <c r="C182" s="8" t="str">
        <f t="shared" si="11"/>
        <v>1PremiumS4</v>
      </c>
      <c r="D182" s="8" t="str">
        <f t="shared" si="12"/>
        <v>1PremiumS4</v>
      </c>
      <c r="E182" s="10">
        <v>1</v>
      </c>
      <c r="F182" s="6">
        <v>440</v>
      </c>
      <c r="G182" s="8" t="str">
        <f>VLOOKUP(F182,[1]characters!$A:$C,3,FALSE)</f>
        <v>改良型 ブリキロガー</v>
      </c>
      <c r="H182" s="8" t="str">
        <f>VLOOKUP(F182,[1]characters!$A:$J,10,FALSE)</f>
        <v>PremiumS</v>
      </c>
      <c r="I182" s="8">
        <f>VLOOKUP(F182,[1]characters!$A:$I,9,FALSE)</f>
        <v>4</v>
      </c>
      <c r="J182" s="8" t="str">
        <f>VLOOKUP(F182,[1]characters!$A:$H,8,FALSE)</f>
        <v>blue</v>
      </c>
      <c r="K182" s="8" t="str">
        <f>VLOOKUP(F182,[1]characters!$A:$K,11,FALSE)</f>
        <v>attack</v>
      </c>
      <c r="L182" s="8" t="str">
        <f>VLOOKUP(F182,[1]characters!$A:$M,13,FALSE)</f>
        <v>machine</v>
      </c>
      <c r="M182" s="16">
        <f>VLOOKUP(D182,gacha_188_base!A:B,2,FALSE)</f>
        <v>2827</v>
      </c>
      <c r="N182" s="38">
        <f>IFERROR(VLOOKUP($F182,bug_conf_sheet!$A:$H,3,FALSE),VLOOKUP("other",bug_conf_sheet!$A:$H,3,FALSE))</f>
        <v>1</v>
      </c>
      <c r="O182" s="38">
        <f>IFERROR(VLOOKUP($F182,bug_conf_sheet!$A:$H,4,FALSE),VLOOKUP("other",bug_conf_sheet!$A:$H,4,FALSE))</f>
        <v>0</v>
      </c>
      <c r="P182" s="38">
        <f>IFERROR(VLOOKUP($F182,bug_conf_sheet!$A:$H,5,FALSE),VLOOKUP("other",bug_conf_sheet!$A:$H,5,FALSE))</f>
        <v>0</v>
      </c>
      <c r="Q182" s="38">
        <f>IFERROR(VLOOKUP($F182,bug_conf_sheet!$A:$H,6,FALSE),VLOOKUP("other",bug_conf_sheet!$A:$H,6,FALSE))</f>
        <v>0</v>
      </c>
      <c r="R182" s="38">
        <f>IFERROR(VLOOKUP($F182,bug_conf_sheet!$A:$H,7,FALSE),VLOOKUP("other",bug_conf_sheet!$A:$H,7,FALSE))</f>
        <v>0</v>
      </c>
      <c r="S182" s="38">
        <f>IFERROR(VLOOKUP($F182,bug_conf_sheet!$A:$H,8,FALSE),VLOOKUP("other",bug_conf_sheet!$A:$H,8,FALSE))</f>
        <v>1</v>
      </c>
    </row>
    <row r="183" spans="1:19" ht="21" customHeight="1">
      <c r="A183" s="7" t="str">
        <f t="shared" si="9"/>
        <v>1881441</v>
      </c>
      <c r="B183" s="2" t="str">
        <f t="shared" si="10"/>
        <v>1881</v>
      </c>
      <c r="C183" s="8" t="str">
        <f t="shared" si="11"/>
        <v>1PremiumS5</v>
      </c>
      <c r="D183" s="8" t="str">
        <f t="shared" si="12"/>
        <v>1PremiumS5</v>
      </c>
      <c r="E183" s="10">
        <v>1</v>
      </c>
      <c r="F183" s="6">
        <v>441</v>
      </c>
      <c r="G183" s="8" t="str">
        <f>VLOOKUP(F183,[1]characters!$A:$C,3,FALSE)</f>
        <v>求心の錻装 ブリキロガー</v>
      </c>
      <c r="H183" s="8" t="str">
        <f>VLOOKUP(F183,[1]characters!$A:$J,10,FALSE)</f>
        <v>PremiumS</v>
      </c>
      <c r="I183" s="8">
        <f>VLOOKUP(F183,[1]characters!$A:$I,9,FALSE)</f>
        <v>5</v>
      </c>
      <c r="J183" s="8" t="str">
        <f>VLOOKUP(F183,[1]characters!$A:$H,8,FALSE)</f>
        <v>blue</v>
      </c>
      <c r="K183" s="8" t="str">
        <f>VLOOKUP(F183,[1]characters!$A:$K,11,FALSE)</f>
        <v>attack</v>
      </c>
      <c r="L183" s="8" t="str">
        <f>VLOOKUP(F183,[1]characters!$A:$M,13,FALSE)</f>
        <v>machine</v>
      </c>
      <c r="M183" s="16">
        <f>VLOOKUP(D183,gacha_188_base!A:B,2,FALSE)</f>
        <v>942</v>
      </c>
      <c r="N183" s="38">
        <f>IFERROR(VLOOKUP($F183,bug_conf_sheet!$A:$H,3,FALSE),VLOOKUP("other",bug_conf_sheet!$A:$H,3,FALSE))</f>
        <v>1</v>
      </c>
      <c r="O183" s="38">
        <f>IFERROR(VLOOKUP($F183,bug_conf_sheet!$A:$H,4,FALSE),VLOOKUP("other",bug_conf_sheet!$A:$H,4,FALSE))</f>
        <v>0</v>
      </c>
      <c r="P183" s="38">
        <f>IFERROR(VLOOKUP($F183,bug_conf_sheet!$A:$H,5,FALSE),VLOOKUP("other",bug_conf_sheet!$A:$H,5,FALSE))</f>
        <v>0</v>
      </c>
      <c r="Q183" s="38">
        <f>IFERROR(VLOOKUP($F183,bug_conf_sheet!$A:$H,6,FALSE),VLOOKUP("other",bug_conf_sheet!$A:$H,6,FALSE))</f>
        <v>0</v>
      </c>
      <c r="R183" s="38">
        <f>IFERROR(VLOOKUP($F183,bug_conf_sheet!$A:$H,7,FALSE),VLOOKUP("other",bug_conf_sheet!$A:$H,7,FALSE))</f>
        <v>0</v>
      </c>
      <c r="S183" s="38">
        <f>IFERROR(VLOOKUP($F183,bug_conf_sheet!$A:$H,8,FALSE),VLOOKUP("other",bug_conf_sheet!$A:$H,8,FALSE))</f>
        <v>1</v>
      </c>
    </row>
    <row r="184" spans="1:19" ht="21" hidden="1" customHeight="1">
      <c r="A184" s="7" t="str">
        <f t="shared" si="9"/>
        <v>1881442</v>
      </c>
      <c r="B184" s="2" t="str">
        <f t="shared" si="10"/>
        <v>1881</v>
      </c>
      <c r="C184" s="8" t="str">
        <f t="shared" si="11"/>
        <v>1PremiumSS4</v>
      </c>
      <c r="D184" s="8" t="str">
        <f t="shared" si="12"/>
        <v>1PremiumSS4</v>
      </c>
      <c r="E184" s="10">
        <v>1</v>
      </c>
      <c r="F184" s="6">
        <v>442</v>
      </c>
      <c r="G184" s="8" t="str">
        <f>VLOOKUP(F184,[1]characters!$A:$C,3,FALSE)</f>
        <v>ブレイブリー・ライオン</v>
      </c>
      <c r="H184" s="8" t="str">
        <f>VLOOKUP(F184,[1]characters!$A:$J,10,FALSE)</f>
        <v>PremiumSS</v>
      </c>
      <c r="I184" s="8">
        <f>VLOOKUP(F184,[1]characters!$A:$I,9,FALSE)</f>
        <v>4</v>
      </c>
      <c r="J184" s="8" t="str">
        <f>VLOOKUP(F184,[1]characters!$A:$H,8,FALSE)</f>
        <v>yellow</v>
      </c>
      <c r="K184" s="8" t="str">
        <f>VLOOKUP(F184,[1]characters!$A:$K,11,FALSE)</f>
        <v>hp</v>
      </c>
      <c r="L184" s="8" t="str">
        <f>VLOOKUP(F184,[1]characters!$A:$M,13,FALSE)</f>
        <v>animal</v>
      </c>
      <c r="M184" s="16">
        <f>VLOOKUP(D184,gacha_188_base!A:B,2,FALSE)</f>
        <v>1705</v>
      </c>
      <c r="N184" s="38">
        <f>IFERROR(VLOOKUP($F184,bug_conf_sheet!$A:$H,3,FALSE),VLOOKUP("other",bug_conf_sheet!$A:$H,3,FALSE))</f>
        <v>1</v>
      </c>
      <c r="O184" s="38">
        <f>IFERROR(VLOOKUP($F184,bug_conf_sheet!$A:$H,4,FALSE),VLOOKUP("other",bug_conf_sheet!$A:$H,4,FALSE))</f>
        <v>0</v>
      </c>
      <c r="P184" s="38">
        <f>IFERROR(VLOOKUP($F184,bug_conf_sheet!$A:$H,5,FALSE),VLOOKUP("other",bug_conf_sheet!$A:$H,5,FALSE))</f>
        <v>0</v>
      </c>
      <c r="Q184" s="38">
        <f>IFERROR(VLOOKUP($F184,bug_conf_sheet!$A:$H,6,FALSE),VLOOKUP("other",bug_conf_sheet!$A:$H,6,FALSE))</f>
        <v>0</v>
      </c>
      <c r="R184" s="38">
        <f>IFERROR(VLOOKUP($F184,bug_conf_sheet!$A:$H,7,FALSE),VLOOKUP("other",bug_conf_sheet!$A:$H,7,FALSE))</f>
        <v>0</v>
      </c>
      <c r="S184" s="38">
        <f>IFERROR(VLOOKUP($F184,bug_conf_sheet!$A:$H,8,FALSE),VLOOKUP("other",bug_conf_sheet!$A:$H,8,FALSE))</f>
        <v>1</v>
      </c>
    </row>
    <row r="185" spans="1:19" ht="21" customHeight="1">
      <c r="A185" s="7" t="str">
        <f t="shared" si="9"/>
        <v>1881443</v>
      </c>
      <c r="B185" s="2" t="str">
        <f t="shared" si="10"/>
        <v>1881</v>
      </c>
      <c r="C185" s="8" t="str">
        <f t="shared" si="11"/>
        <v>1PremiumSS5</v>
      </c>
      <c r="D185" s="8" t="str">
        <f t="shared" si="12"/>
        <v>1PremiumSS5</v>
      </c>
      <c r="E185" s="10">
        <v>1</v>
      </c>
      <c r="F185" s="6">
        <v>443</v>
      </c>
      <c r="G185" s="8" t="str">
        <f>VLOOKUP(F185,[1]characters!$A:$C,3,FALSE)</f>
        <v>勇機結集 ブレイブリー・ライオン</v>
      </c>
      <c r="H185" s="8" t="str">
        <f>VLOOKUP(F185,[1]characters!$A:$J,10,FALSE)</f>
        <v>PremiumSS</v>
      </c>
      <c r="I185" s="8">
        <f>VLOOKUP(F185,[1]characters!$A:$I,9,FALSE)</f>
        <v>5</v>
      </c>
      <c r="J185" s="8" t="str">
        <f>VLOOKUP(F185,[1]characters!$A:$H,8,FALSE)</f>
        <v>yellow</v>
      </c>
      <c r="K185" s="8" t="str">
        <f>VLOOKUP(F185,[1]characters!$A:$K,11,FALSE)</f>
        <v>hp</v>
      </c>
      <c r="L185" s="8" t="str">
        <f>VLOOKUP(F185,[1]characters!$A:$M,13,FALSE)</f>
        <v>animal</v>
      </c>
      <c r="M185" s="16">
        <f>VLOOKUP(D185,gacha_188_base!A:B,2,FALSE)</f>
        <v>114</v>
      </c>
      <c r="N185" s="38">
        <f>IFERROR(VLOOKUP($F185,bug_conf_sheet!$A:$H,3,FALSE),VLOOKUP("other",bug_conf_sheet!$A:$H,3,FALSE))</f>
        <v>1</v>
      </c>
      <c r="O185" s="38">
        <f>IFERROR(VLOOKUP($F185,bug_conf_sheet!$A:$H,4,FALSE),VLOOKUP("other",bug_conf_sheet!$A:$H,4,FALSE))</f>
        <v>0</v>
      </c>
      <c r="P185" s="38">
        <f>IFERROR(VLOOKUP($F185,bug_conf_sheet!$A:$H,5,FALSE),VLOOKUP("other",bug_conf_sheet!$A:$H,5,FALSE))</f>
        <v>0</v>
      </c>
      <c r="Q185" s="38">
        <f>IFERROR(VLOOKUP($F185,bug_conf_sheet!$A:$H,6,FALSE),VLOOKUP("other",bug_conf_sheet!$A:$H,6,FALSE))</f>
        <v>0</v>
      </c>
      <c r="R185" s="38">
        <f>IFERROR(VLOOKUP($F185,bug_conf_sheet!$A:$H,7,FALSE),VLOOKUP("other",bug_conf_sheet!$A:$H,7,FALSE))</f>
        <v>0</v>
      </c>
      <c r="S185" s="38">
        <f>IFERROR(VLOOKUP($F185,bug_conf_sheet!$A:$H,8,FALSE),VLOOKUP("other",bug_conf_sheet!$A:$H,8,FALSE))</f>
        <v>1</v>
      </c>
    </row>
    <row r="186" spans="1:19" ht="21" hidden="1" customHeight="1">
      <c r="A186" s="7" t="str">
        <f t="shared" si="9"/>
        <v>1881462</v>
      </c>
      <c r="B186" s="2" t="str">
        <f t="shared" si="10"/>
        <v>1881</v>
      </c>
      <c r="C186" s="8" t="str">
        <f t="shared" si="11"/>
        <v>1PremiumS3</v>
      </c>
      <c r="D186" s="8" t="str">
        <f t="shared" si="12"/>
        <v>1PremiumS3</v>
      </c>
      <c r="E186" s="10">
        <v>1</v>
      </c>
      <c r="F186" s="9">
        <v>462</v>
      </c>
      <c r="G186" s="8" t="str">
        <f>VLOOKUP(F186,[1]characters!$A:$C,3,FALSE)</f>
        <v>ガウェイン</v>
      </c>
      <c r="H186" s="8" t="str">
        <f>VLOOKUP(F186,[1]characters!$A:$J,10,FALSE)</f>
        <v>PremiumS</v>
      </c>
      <c r="I186" s="8">
        <f>VLOOKUP(F186,[1]characters!$A:$I,9,FALSE)</f>
        <v>3</v>
      </c>
      <c r="J186" s="8" t="str">
        <f>VLOOKUP(F186,[1]characters!$A:$H,8,FALSE)</f>
        <v>red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16">
        <f>VLOOKUP(D186,gacha_188_base!A:B,2,FALSE)</f>
        <v>11309</v>
      </c>
      <c r="N186" s="38">
        <f>IFERROR(VLOOKUP($F186,bug_conf_sheet!$A:$H,3,FALSE),VLOOKUP("other",bug_conf_sheet!$A:$H,3,FALSE))</f>
        <v>1</v>
      </c>
      <c r="O186" s="38">
        <f>IFERROR(VLOOKUP($F186,bug_conf_sheet!$A:$H,4,FALSE),VLOOKUP("other",bug_conf_sheet!$A:$H,4,FALSE))</f>
        <v>0</v>
      </c>
      <c r="P186" s="38">
        <f>IFERROR(VLOOKUP($F186,bug_conf_sheet!$A:$H,5,FALSE),VLOOKUP("other",bug_conf_sheet!$A:$H,5,FALSE))</f>
        <v>0</v>
      </c>
      <c r="Q186" s="38">
        <f>IFERROR(VLOOKUP($F186,bug_conf_sheet!$A:$H,6,FALSE),VLOOKUP("other",bug_conf_sheet!$A:$H,6,FALSE))</f>
        <v>0</v>
      </c>
      <c r="R186" s="38">
        <f>IFERROR(VLOOKUP($F186,bug_conf_sheet!$A:$H,7,FALSE),VLOOKUP("other",bug_conf_sheet!$A:$H,7,FALSE))</f>
        <v>0</v>
      </c>
      <c r="S186" s="38">
        <f>IFERROR(VLOOKUP($F186,bug_conf_sheet!$A:$H,8,FALSE),VLOOKUP("other",bug_conf_sheet!$A:$H,8,FALSE))</f>
        <v>1</v>
      </c>
    </row>
    <row r="187" spans="1:19" ht="21" hidden="1" customHeight="1">
      <c r="A187" s="7" t="str">
        <f t="shared" si="9"/>
        <v>1881463</v>
      </c>
      <c r="B187" s="2" t="str">
        <f t="shared" si="10"/>
        <v>1881</v>
      </c>
      <c r="C187" s="8" t="str">
        <f t="shared" si="11"/>
        <v>1PremiumS4</v>
      </c>
      <c r="D187" s="8" t="str">
        <f t="shared" si="12"/>
        <v>1PremiumS4</v>
      </c>
      <c r="E187" s="10">
        <v>1</v>
      </c>
      <c r="F187" s="9">
        <v>463</v>
      </c>
      <c r="G187" s="8" t="str">
        <f>VLOOKUP(F187,[1]characters!$A:$C,3,FALSE)</f>
        <v>燻銀 ガウェイン</v>
      </c>
      <c r="H187" s="8" t="str">
        <f>VLOOKUP(F187,[1]characters!$A:$J,10,FALSE)</f>
        <v>PremiumS</v>
      </c>
      <c r="I187" s="8">
        <f>VLOOKUP(F187,[1]characters!$A:$I,9,FALSE)</f>
        <v>4</v>
      </c>
      <c r="J187" s="8" t="str">
        <f>VLOOKUP(F187,[1]characters!$A:$H,8,FALSE)</f>
        <v>red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16">
        <f>VLOOKUP(D187,gacha_188_base!A:B,2,FALSE)</f>
        <v>2827</v>
      </c>
      <c r="N187" s="38">
        <f>IFERROR(VLOOKUP($F187,bug_conf_sheet!$A:$H,3,FALSE),VLOOKUP("other",bug_conf_sheet!$A:$H,3,FALSE))</f>
        <v>1</v>
      </c>
      <c r="O187" s="38">
        <f>IFERROR(VLOOKUP($F187,bug_conf_sheet!$A:$H,4,FALSE),VLOOKUP("other",bug_conf_sheet!$A:$H,4,FALSE))</f>
        <v>0</v>
      </c>
      <c r="P187" s="38">
        <f>IFERROR(VLOOKUP($F187,bug_conf_sheet!$A:$H,5,FALSE),VLOOKUP("other",bug_conf_sheet!$A:$H,5,FALSE))</f>
        <v>0</v>
      </c>
      <c r="Q187" s="38">
        <f>IFERROR(VLOOKUP($F187,bug_conf_sheet!$A:$H,6,FALSE),VLOOKUP("other",bug_conf_sheet!$A:$H,6,FALSE))</f>
        <v>0</v>
      </c>
      <c r="R187" s="38">
        <f>IFERROR(VLOOKUP($F187,bug_conf_sheet!$A:$H,7,FALSE),VLOOKUP("other",bug_conf_sheet!$A:$H,7,FALSE))</f>
        <v>0</v>
      </c>
      <c r="S187" s="38">
        <f>IFERROR(VLOOKUP($F187,bug_conf_sheet!$A:$H,8,FALSE),VLOOKUP("other",bug_conf_sheet!$A:$H,8,FALSE))</f>
        <v>1</v>
      </c>
    </row>
    <row r="188" spans="1:19" ht="21" customHeight="1">
      <c r="A188" s="7" t="str">
        <f t="shared" si="9"/>
        <v>1881464</v>
      </c>
      <c r="B188" s="2" t="str">
        <f t="shared" si="10"/>
        <v>1881</v>
      </c>
      <c r="C188" s="8" t="str">
        <f t="shared" si="11"/>
        <v>1PremiumS5</v>
      </c>
      <c r="D188" s="8" t="str">
        <f t="shared" si="12"/>
        <v>1PremiumS5</v>
      </c>
      <c r="E188" s="10">
        <v>1</v>
      </c>
      <c r="F188" s="9">
        <v>464</v>
      </c>
      <c r="G188" s="8" t="str">
        <f>VLOOKUP(F188,[1]characters!$A:$C,3,FALSE)</f>
        <v>円熟の弾導 ガウェイン</v>
      </c>
      <c r="H188" s="8" t="str">
        <f>VLOOKUP(F188,[1]characters!$A:$J,10,FALSE)</f>
        <v>PremiumS</v>
      </c>
      <c r="I188" s="8">
        <f>VLOOKUP(F188,[1]characters!$A:$I,9,FALSE)</f>
        <v>5</v>
      </c>
      <c r="J188" s="8" t="str">
        <f>VLOOKUP(F188,[1]characters!$A:$H,8,FALSE)</f>
        <v>red</v>
      </c>
      <c r="K188" s="8" t="str">
        <f>VLOOKUP(F188,[1]characters!$A:$K,11,FALSE)</f>
        <v>hp</v>
      </c>
      <c r="L188" s="8" t="str">
        <f>VLOOKUP(F188,[1]characters!$A:$M,13,FALSE)</f>
        <v>human</v>
      </c>
      <c r="M188" s="16">
        <f>VLOOKUP(D188,gacha_188_base!A:B,2,FALSE)</f>
        <v>942</v>
      </c>
      <c r="N188" s="38">
        <f>IFERROR(VLOOKUP($F188,bug_conf_sheet!$A:$H,3,FALSE),VLOOKUP("other",bug_conf_sheet!$A:$H,3,FALSE))</f>
        <v>1</v>
      </c>
      <c r="O188" s="38">
        <f>IFERROR(VLOOKUP($F188,bug_conf_sheet!$A:$H,4,FALSE),VLOOKUP("other",bug_conf_sheet!$A:$H,4,FALSE))</f>
        <v>0</v>
      </c>
      <c r="P188" s="38">
        <f>IFERROR(VLOOKUP($F188,bug_conf_sheet!$A:$H,5,FALSE),VLOOKUP("other",bug_conf_sheet!$A:$H,5,FALSE))</f>
        <v>0</v>
      </c>
      <c r="Q188" s="38">
        <f>IFERROR(VLOOKUP($F188,bug_conf_sheet!$A:$H,6,FALSE),VLOOKUP("other",bug_conf_sheet!$A:$H,6,FALSE))</f>
        <v>0</v>
      </c>
      <c r="R188" s="38">
        <f>IFERROR(VLOOKUP($F188,bug_conf_sheet!$A:$H,7,FALSE),VLOOKUP("other",bug_conf_sheet!$A:$H,7,FALSE))</f>
        <v>0</v>
      </c>
      <c r="S188" s="38">
        <f>IFERROR(VLOOKUP($F188,bug_conf_sheet!$A:$H,8,FALSE),VLOOKUP("other",bug_conf_sheet!$A:$H,8,FALSE))</f>
        <v>1</v>
      </c>
    </row>
    <row r="189" spans="1:19" ht="21" hidden="1" customHeight="1">
      <c r="A189" s="7" t="str">
        <f t="shared" si="9"/>
        <v>1881465</v>
      </c>
      <c r="B189" s="2" t="str">
        <f t="shared" si="10"/>
        <v>1881</v>
      </c>
      <c r="C189" s="8" t="str">
        <f t="shared" si="11"/>
        <v>1PremiumSS4</v>
      </c>
      <c r="D189" s="8" t="str">
        <f t="shared" si="12"/>
        <v>1PremiumSS4</v>
      </c>
      <c r="E189" s="10">
        <v>1</v>
      </c>
      <c r="F189" s="9">
        <v>465</v>
      </c>
      <c r="G189" s="8" t="str">
        <f>VLOOKUP(F189,[1]characters!$A:$C,3,FALSE)</f>
        <v>真撃 ランスロット</v>
      </c>
      <c r="H189" s="8" t="str">
        <f>VLOOKUP(F189,[1]characters!$A:$J,10,FALSE)</f>
        <v>PremiumSS</v>
      </c>
      <c r="I189" s="8">
        <f>VLOOKUP(F189,[1]characters!$A:$I,9,FALSE)</f>
        <v>4</v>
      </c>
      <c r="J189" s="8" t="str">
        <f>VLOOKUP(F189,[1]characters!$A:$H,8,FALSE)</f>
        <v>green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16">
        <f>VLOOKUP(D189,gacha_188_base!A:B,2,FALSE)</f>
        <v>1705</v>
      </c>
      <c r="N189" s="38">
        <f>IFERROR(VLOOKUP($F189,bug_conf_sheet!$A:$H,3,FALSE),VLOOKUP("other",bug_conf_sheet!$A:$H,3,FALSE))</f>
        <v>1</v>
      </c>
      <c r="O189" s="38">
        <f>IFERROR(VLOOKUP($F189,bug_conf_sheet!$A:$H,4,FALSE),VLOOKUP("other",bug_conf_sheet!$A:$H,4,FALSE))</f>
        <v>0</v>
      </c>
      <c r="P189" s="38">
        <f>IFERROR(VLOOKUP($F189,bug_conf_sheet!$A:$H,5,FALSE),VLOOKUP("other",bug_conf_sheet!$A:$H,5,FALSE))</f>
        <v>0</v>
      </c>
      <c r="Q189" s="38">
        <f>IFERROR(VLOOKUP($F189,bug_conf_sheet!$A:$H,6,FALSE),VLOOKUP("other",bug_conf_sheet!$A:$H,6,FALSE))</f>
        <v>0</v>
      </c>
      <c r="R189" s="38">
        <f>IFERROR(VLOOKUP($F189,bug_conf_sheet!$A:$H,7,FALSE),VLOOKUP("other",bug_conf_sheet!$A:$H,7,FALSE))</f>
        <v>0</v>
      </c>
      <c r="S189" s="38">
        <f>IFERROR(VLOOKUP($F189,bug_conf_sheet!$A:$H,8,FALSE),VLOOKUP("other",bug_conf_sheet!$A:$H,8,FALSE))</f>
        <v>1</v>
      </c>
    </row>
    <row r="190" spans="1:19" s="11" customFormat="1" ht="21" customHeight="1" thickBot="1">
      <c r="A190" s="7" t="str">
        <f t="shared" si="9"/>
        <v>1881466</v>
      </c>
      <c r="B190" s="2" t="str">
        <f t="shared" si="10"/>
        <v>1881</v>
      </c>
      <c r="C190" s="8" t="str">
        <f t="shared" si="11"/>
        <v>1PremiumSS5</v>
      </c>
      <c r="D190" s="8" t="str">
        <f t="shared" si="12"/>
        <v>1PremiumSS5</v>
      </c>
      <c r="E190" s="10">
        <v>1</v>
      </c>
      <c r="F190" s="6">
        <v>466</v>
      </c>
      <c r="G190" s="8" t="str">
        <f>VLOOKUP(F190,[1]characters!$A:$C,3,FALSE)</f>
        <v>真断の勇覇 ランスロット</v>
      </c>
      <c r="H190" s="8" t="str">
        <f>VLOOKUP(F190,[1]characters!$A:$J,10,FALSE)</f>
        <v>PremiumSS</v>
      </c>
      <c r="I190" s="8">
        <f>VLOOKUP(F190,[1]characters!$A:$I,9,FALSE)</f>
        <v>5</v>
      </c>
      <c r="J190" s="8" t="str">
        <f>VLOOKUP(F190,[1]characters!$A:$H,8,FALSE)</f>
        <v>green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16">
        <f>VLOOKUP(D190,gacha_188_base!A:B,2,FALSE)</f>
        <v>114</v>
      </c>
      <c r="N190" s="38">
        <f>IFERROR(VLOOKUP($F190,bug_conf_sheet!$A:$H,3,FALSE),VLOOKUP("other",bug_conf_sheet!$A:$H,3,FALSE))</f>
        <v>1</v>
      </c>
      <c r="O190" s="38">
        <f>IFERROR(VLOOKUP($F190,bug_conf_sheet!$A:$H,4,FALSE),VLOOKUP("other",bug_conf_sheet!$A:$H,4,FALSE))</f>
        <v>0</v>
      </c>
      <c r="P190" s="38">
        <f>IFERROR(VLOOKUP($F190,bug_conf_sheet!$A:$H,5,FALSE),VLOOKUP("other",bug_conf_sheet!$A:$H,5,FALSE))</f>
        <v>0</v>
      </c>
      <c r="Q190" s="38">
        <f>IFERROR(VLOOKUP($F190,bug_conf_sheet!$A:$H,6,FALSE),VLOOKUP("other",bug_conf_sheet!$A:$H,6,FALSE))</f>
        <v>0</v>
      </c>
      <c r="R190" s="38">
        <f>IFERROR(VLOOKUP($F190,bug_conf_sheet!$A:$H,7,FALSE),VLOOKUP("other",bug_conf_sheet!$A:$H,7,FALSE))</f>
        <v>0</v>
      </c>
      <c r="S190" s="38">
        <f>IFERROR(VLOOKUP($F190,bug_conf_sheet!$A:$H,8,FALSE),VLOOKUP("other",bug_conf_sheet!$A:$H,8,FALSE))</f>
        <v>1</v>
      </c>
    </row>
    <row r="191" spans="1:19" ht="21" hidden="1" customHeight="1">
      <c r="A191" s="7" t="str">
        <f t="shared" si="9"/>
        <v>1881467</v>
      </c>
      <c r="B191" s="2" t="str">
        <f t="shared" si="10"/>
        <v>1881</v>
      </c>
      <c r="C191" s="8" t="str">
        <f t="shared" si="11"/>
        <v>1PremiumSS4</v>
      </c>
      <c r="D191" s="8" t="str">
        <f t="shared" si="12"/>
        <v>1PremiumSS4</v>
      </c>
      <c r="E191" s="10">
        <v>1</v>
      </c>
      <c r="F191" s="6">
        <v>467</v>
      </c>
      <c r="G191" s="8" t="str">
        <f>VLOOKUP(F191,[1]characters!$A:$C,3,FALSE)</f>
        <v>報復 モルドレッド</v>
      </c>
      <c r="H191" s="8" t="str">
        <f>VLOOKUP(F191,[1]characters!$A:$J,10,FALSE)</f>
        <v>PremiumSS</v>
      </c>
      <c r="I191" s="8">
        <f>VLOOKUP(F191,[1]characters!$A:$I,9,FALSE)</f>
        <v>4</v>
      </c>
      <c r="J191" s="8" t="str">
        <f>VLOOKUP(F191,[1]characters!$A:$H,8,FALSE)</f>
        <v>blue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16">
        <f>VLOOKUP(D191,gacha_188_base!A:B,2,FALSE)</f>
        <v>1705</v>
      </c>
      <c r="N191" s="38">
        <f>IFERROR(VLOOKUP($F191,bug_conf_sheet!$A:$H,3,FALSE),VLOOKUP("other",bug_conf_sheet!$A:$H,3,FALSE))</f>
        <v>1</v>
      </c>
      <c r="O191" s="38">
        <f>IFERROR(VLOOKUP($F191,bug_conf_sheet!$A:$H,4,FALSE),VLOOKUP("other",bug_conf_sheet!$A:$H,4,FALSE))</f>
        <v>0</v>
      </c>
      <c r="P191" s="38">
        <f>IFERROR(VLOOKUP($F191,bug_conf_sheet!$A:$H,5,FALSE),VLOOKUP("other",bug_conf_sheet!$A:$H,5,FALSE))</f>
        <v>0</v>
      </c>
      <c r="Q191" s="38">
        <f>IFERROR(VLOOKUP($F191,bug_conf_sheet!$A:$H,6,FALSE),VLOOKUP("other",bug_conf_sheet!$A:$H,6,FALSE))</f>
        <v>0</v>
      </c>
      <c r="R191" s="38">
        <f>IFERROR(VLOOKUP($F191,bug_conf_sheet!$A:$H,7,FALSE),VLOOKUP("other",bug_conf_sheet!$A:$H,7,FALSE))</f>
        <v>0</v>
      </c>
      <c r="S191" s="38">
        <f>IFERROR(VLOOKUP($F191,bug_conf_sheet!$A:$H,8,FALSE),VLOOKUP("other",bug_conf_sheet!$A:$H,8,FALSE))</f>
        <v>1</v>
      </c>
    </row>
    <row r="192" spans="1:19" ht="21" customHeight="1">
      <c r="A192" s="7" t="str">
        <f t="shared" si="9"/>
        <v>1881468</v>
      </c>
      <c r="B192" s="2" t="str">
        <f t="shared" si="10"/>
        <v>1881</v>
      </c>
      <c r="C192" s="8" t="str">
        <f t="shared" si="11"/>
        <v>1PremiumSS5</v>
      </c>
      <c r="D192" s="8" t="str">
        <f t="shared" si="12"/>
        <v>1PremiumSS5</v>
      </c>
      <c r="E192" s="10">
        <v>1</v>
      </c>
      <c r="F192" s="6">
        <v>468</v>
      </c>
      <c r="G192" s="8" t="str">
        <f>VLOOKUP(F192,[1]characters!$A:$C,3,FALSE)</f>
        <v>憎愛の尖鋒 モルドレッド</v>
      </c>
      <c r="H192" s="8" t="str">
        <f>VLOOKUP(F192,[1]characters!$A:$J,10,FALSE)</f>
        <v>PremiumSS</v>
      </c>
      <c r="I192" s="8">
        <f>VLOOKUP(F192,[1]characters!$A:$I,9,FALSE)</f>
        <v>5</v>
      </c>
      <c r="J192" s="8" t="str">
        <f>VLOOKUP(F192,[1]characters!$A:$H,8,FALSE)</f>
        <v>blue</v>
      </c>
      <c r="K192" s="8" t="str">
        <f>VLOOKUP(F192,[1]characters!$A:$K,11,FALSE)</f>
        <v>technical</v>
      </c>
      <c r="L192" s="8" t="str">
        <f>VLOOKUP(F192,[1]characters!$A:$M,13,FALSE)</f>
        <v>human</v>
      </c>
      <c r="M192" s="16">
        <f>VLOOKUP(D192,gacha_188_base!A:B,2,FALSE)</f>
        <v>114</v>
      </c>
      <c r="N192" s="38">
        <f>IFERROR(VLOOKUP($F192,bug_conf_sheet!$A:$H,3,FALSE),VLOOKUP("other",bug_conf_sheet!$A:$H,3,FALSE))</f>
        <v>1</v>
      </c>
      <c r="O192" s="38">
        <f>IFERROR(VLOOKUP($F192,bug_conf_sheet!$A:$H,4,FALSE),VLOOKUP("other",bug_conf_sheet!$A:$H,4,FALSE))</f>
        <v>0</v>
      </c>
      <c r="P192" s="38">
        <f>IFERROR(VLOOKUP($F192,bug_conf_sheet!$A:$H,5,FALSE),VLOOKUP("other",bug_conf_sheet!$A:$H,5,FALSE))</f>
        <v>0</v>
      </c>
      <c r="Q192" s="38">
        <f>IFERROR(VLOOKUP($F192,bug_conf_sheet!$A:$H,6,FALSE),VLOOKUP("other",bug_conf_sheet!$A:$H,6,FALSE))</f>
        <v>0</v>
      </c>
      <c r="R192" s="38">
        <f>IFERROR(VLOOKUP($F192,bug_conf_sheet!$A:$H,7,FALSE),VLOOKUP("other",bug_conf_sheet!$A:$H,7,FALSE))</f>
        <v>0</v>
      </c>
      <c r="S192" s="38">
        <f>IFERROR(VLOOKUP($F192,bug_conf_sheet!$A:$H,8,FALSE),VLOOKUP("other",bug_conf_sheet!$A:$H,8,FALSE))</f>
        <v>1</v>
      </c>
    </row>
    <row r="193" spans="1:19" ht="21" hidden="1" customHeight="1">
      <c r="A193" s="7" t="str">
        <f t="shared" si="9"/>
        <v>1881469</v>
      </c>
      <c r="B193" s="2" t="str">
        <f t="shared" si="10"/>
        <v>1881</v>
      </c>
      <c r="C193" s="8" t="str">
        <f t="shared" si="11"/>
        <v>1PremiumS3</v>
      </c>
      <c r="D193" s="8" t="str">
        <f t="shared" si="12"/>
        <v>1PremiumS3</v>
      </c>
      <c r="E193" s="10">
        <v>1</v>
      </c>
      <c r="F193" s="6">
        <v>469</v>
      </c>
      <c r="G193" s="8" t="str">
        <f>VLOOKUP(F193,[1]characters!$A:$C,3,FALSE)</f>
        <v>トリスタン</v>
      </c>
      <c r="H193" s="8" t="str">
        <f>VLOOKUP(F193,[1]characters!$A:$J,10,FALSE)</f>
        <v>PremiumS</v>
      </c>
      <c r="I193" s="8">
        <f>VLOOKUP(F193,[1]characters!$A:$I,9,FALSE)</f>
        <v>3</v>
      </c>
      <c r="J193" s="8" t="str">
        <f>VLOOKUP(F193,[1]characters!$A:$H,8,FALSE)</f>
        <v>yellow</v>
      </c>
      <c r="K193" s="8" t="str">
        <f>VLOOKUP(F193,[1]characters!$A:$K,11,FALSE)</f>
        <v>attack</v>
      </c>
      <c r="L193" s="8" t="str">
        <f>VLOOKUP(F193,[1]characters!$A:$M,13,FALSE)</f>
        <v>human</v>
      </c>
      <c r="M193" s="16">
        <f>VLOOKUP(D193,gacha_188_base!A:B,2,FALSE)</f>
        <v>11309</v>
      </c>
      <c r="N193" s="38">
        <f>IFERROR(VLOOKUP($F193,bug_conf_sheet!$A:$H,3,FALSE),VLOOKUP("other",bug_conf_sheet!$A:$H,3,FALSE))</f>
        <v>1</v>
      </c>
      <c r="O193" s="38">
        <f>IFERROR(VLOOKUP($F193,bug_conf_sheet!$A:$H,4,FALSE),VLOOKUP("other",bug_conf_sheet!$A:$H,4,FALSE))</f>
        <v>0</v>
      </c>
      <c r="P193" s="38">
        <f>IFERROR(VLOOKUP($F193,bug_conf_sheet!$A:$H,5,FALSE),VLOOKUP("other",bug_conf_sheet!$A:$H,5,FALSE))</f>
        <v>0</v>
      </c>
      <c r="Q193" s="38">
        <f>IFERROR(VLOOKUP($F193,bug_conf_sheet!$A:$H,6,FALSE),VLOOKUP("other",bug_conf_sheet!$A:$H,6,FALSE))</f>
        <v>0</v>
      </c>
      <c r="R193" s="38">
        <f>IFERROR(VLOOKUP($F193,bug_conf_sheet!$A:$H,7,FALSE),VLOOKUP("other",bug_conf_sheet!$A:$H,7,FALSE))</f>
        <v>0</v>
      </c>
      <c r="S193" s="38">
        <f>IFERROR(VLOOKUP($F193,bug_conf_sheet!$A:$H,8,FALSE),VLOOKUP("other",bug_conf_sheet!$A:$H,8,FALSE))</f>
        <v>1</v>
      </c>
    </row>
    <row r="194" spans="1:19" ht="21" hidden="1" customHeight="1">
      <c r="A194" s="7" t="str">
        <f t="shared" si="9"/>
        <v>1881470</v>
      </c>
      <c r="B194" s="2" t="str">
        <f t="shared" si="10"/>
        <v>1881</v>
      </c>
      <c r="C194" s="8" t="str">
        <f t="shared" si="11"/>
        <v>1PremiumS4</v>
      </c>
      <c r="D194" s="8" t="str">
        <f t="shared" si="12"/>
        <v>1PremiumS4</v>
      </c>
      <c r="E194" s="10">
        <v>1</v>
      </c>
      <c r="F194" s="6">
        <v>470</v>
      </c>
      <c r="G194" s="8" t="str">
        <f>VLOOKUP(F194,[1]characters!$A:$C,3,FALSE)</f>
        <v>純心 トリスタン</v>
      </c>
      <c r="H194" s="8" t="str">
        <f>VLOOKUP(F194,[1]characters!$A:$J,10,FALSE)</f>
        <v>PremiumS</v>
      </c>
      <c r="I194" s="8">
        <f>VLOOKUP(F194,[1]characters!$A:$I,9,FALSE)</f>
        <v>4</v>
      </c>
      <c r="J194" s="8" t="str">
        <f>VLOOKUP(F194,[1]characters!$A:$H,8,FALSE)</f>
        <v>yellow</v>
      </c>
      <c r="K194" s="8" t="str">
        <f>VLOOKUP(F194,[1]characters!$A:$K,11,FALSE)</f>
        <v>attack</v>
      </c>
      <c r="L194" s="8" t="str">
        <f>VLOOKUP(F194,[1]characters!$A:$M,13,FALSE)</f>
        <v>human</v>
      </c>
      <c r="M194" s="16">
        <f>VLOOKUP(D194,gacha_188_base!A:B,2,FALSE)</f>
        <v>2827</v>
      </c>
      <c r="N194" s="38">
        <f>IFERROR(VLOOKUP($F194,bug_conf_sheet!$A:$H,3,FALSE),VLOOKUP("other",bug_conf_sheet!$A:$H,3,FALSE))</f>
        <v>1</v>
      </c>
      <c r="O194" s="38">
        <f>IFERROR(VLOOKUP($F194,bug_conf_sheet!$A:$H,4,FALSE),VLOOKUP("other",bug_conf_sheet!$A:$H,4,FALSE))</f>
        <v>0</v>
      </c>
      <c r="P194" s="38">
        <f>IFERROR(VLOOKUP($F194,bug_conf_sheet!$A:$H,5,FALSE),VLOOKUP("other",bug_conf_sheet!$A:$H,5,FALSE))</f>
        <v>0</v>
      </c>
      <c r="Q194" s="38">
        <f>IFERROR(VLOOKUP($F194,bug_conf_sheet!$A:$H,6,FALSE),VLOOKUP("other",bug_conf_sheet!$A:$H,6,FALSE))</f>
        <v>0</v>
      </c>
      <c r="R194" s="38">
        <f>IFERROR(VLOOKUP($F194,bug_conf_sheet!$A:$H,7,FALSE),VLOOKUP("other",bug_conf_sheet!$A:$H,7,FALSE))</f>
        <v>0</v>
      </c>
      <c r="S194" s="38">
        <f>IFERROR(VLOOKUP($F194,bug_conf_sheet!$A:$H,8,FALSE),VLOOKUP("other",bug_conf_sheet!$A:$H,8,FALSE))</f>
        <v>1</v>
      </c>
    </row>
    <row r="195" spans="1:19" ht="21" customHeight="1">
      <c r="A195" s="7" t="str">
        <f t="shared" ref="A195:A203" si="13">B195&amp;F195</f>
        <v>1881471</v>
      </c>
      <c r="B195" s="2" t="str">
        <f t="shared" ref="B195:B258" si="14">188&amp;E195</f>
        <v>1881</v>
      </c>
      <c r="C195" s="8" t="str">
        <f t="shared" ref="C195:C203" si="15">E195&amp;H195&amp;I195</f>
        <v>1PremiumS5</v>
      </c>
      <c r="D195" s="8" t="str">
        <f t="shared" ref="D195:D233" si="16">E195&amp;H195&amp;I195</f>
        <v>1PremiumS5</v>
      </c>
      <c r="E195" s="10">
        <v>1</v>
      </c>
      <c r="F195" s="6">
        <v>471</v>
      </c>
      <c r="G195" s="8" t="str">
        <f>VLOOKUP(F195,[1]characters!$A:$C,3,FALSE)</f>
        <v>不可避の爆激 トリスタン</v>
      </c>
      <c r="H195" s="8" t="str">
        <f>VLOOKUP(F195,[1]characters!$A:$J,10,FALSE)</f>
        <v>PremiumS</v>
      </c>
      <c r="I195" s="8">
        <f>VLOOKUP(F195,[1]characters!$A:$I,9,FALSE)</f>
        <v>5</v>
      </c>
      <c r="J195" s="8" t="str">
        <f>VLOOKUP(F195,[1]characters!$A:$H,8,FALSE)</f>
        <v>yellow</v>
      </c>
      <c r="K195" s="8" t="str">
        <f>VLOOKUP(F195,[1]characters!$A:$K,11,FALSE)</f>
        <v>attack</v>
      </c>
      <c r="L195" s="8" t="str">
        <f>VLOOKUP(F195,[1]characters!$A:$M,13,FALSE)</f>
        <v>human</v>
      </c>
      <c r="M195" s="16">
        <f>VLOOKUP(D195,gacha_188_base!A:B,2,FALSE)</f>
        <v>942</v>
      </c>
      <c r="N195" s="38">
        <f>IFERROR(VLOOKUP($F195,bug_conf_sheet!$A:$H,3,FALSE),VLOOKUP("other",bug_conf_sheet!$A:$H,3,FALSE))</f>
        <v>1</v>
      </c>
      <c r="O195" s="38">
        <f>IFERROR(VLOOKUP($F195,bug_conf_sheet!$A:$H,4,FALSE),VLOOKUP("other",bug_conf_sheet!$A:$H,4,FALSE))</f>
        <v>0</v>
      </c>
      <c r="P195" s="38">
        <f>IFERROR(VLOOKUP($F195,bug_conf_sheet!$A:$H,5,FALSE),VLOOKUP("other",bug_conf_sheet!$A:$H,5,FALSE))</f>
        <v>0</v>
      </c>
      <c r="Q195" s="38">
        <f>IFERROR(VLOOKUP($F195,bug_conf_sheet!$A:$H,6,FALSE),VLOOKUP("other",bug_conf_sheet!$A:$H,6,FALSE))</f>
        <v>0</v>
      </c>
      <c r="R195" s="38">
        <f>IFERROR(VLOOKUP($F195,bug_conf_sheet!$A:$H,7,FALSE),VLOOKUP("other",bug_conf_sheet!$A:$H,7,FALSE))</f>
        <v>0</v>
      </c>
      <c r="S195" s="38">
        <f>IFERROR(VLOOKUP($F195,bug_conf_sheet!$A:$H,8,FALSE),VLOOKUP("other",bug_conf_sheet!$A:$H,8,FALSE))</f>
        <v>1</v>
      </c>
    </row>
    <row r="196" spans="1:19" ht="21" hidden="1" customHeight="1">
      <c r="A196" s="7" t="str">
        <f t="shared" si="13"/>
        <v>1881474</v>
      </c>
      <c r="B196" s="2" t="str">
        <f t="shared" si="14"/>
        <v>1881</v>
      </c>
      <c r="C196" s="8" t="str">
        <f t="shared" si="15"/>
        <v>1PremiumSS4</v>
      </c>
      <c r="D196" s="8" t="str">
        <f t="shared" si="16"/>
        <v>1PremiumSS4</v>
      </c>
      <c r="E196" s="10">
        <v>1</v>
      </c>
      <c r="F196" s="6">
        <v>474</v>
      </c>
      <c r="G196" s="8" t="str">
        <f>VLOOKUP(F196,[1]characters!$A:$C,3,FALSE)</f>
        <v>キング・ドライグ</v>
      </c>
      <c r="H196" s="8" t="str">
        <f>VLOOKUP(F196,[1]characters!$A:$J,10,FALSE)</f>
        <v>PremiumSS</v>
      </c>
      <c r="I196" s="8">
        <f>VLOOKUP(F196,[1]characters!$A:$I,9,FALSE)</f>
        <v>4</v>
      </c>
      <c r="J196" s="8" t="str">
        <f>VLOOKUP(F196,[1]characters!$A:$H,8,FALSE)</f>
        <v>red</v>
      </c>
      <c r="K196" s="8" t="str">
        <f>VLOOKUP(F196,[1]characters!$A:$K,11,FALSE)</f>
        <v>attack</v>
      </c>
      <c r="L196" s="8" t="str">
        <f>VLOOKUP(F196,[1]characters!$A:$M,13,FALSE)</f>
        <v>dragon</v>
      </c>
      <c r="M196" s="16">
        <f>VLOOKUP(D196,gacha_188_base!A:B,2,FALSE)</f>
        <v>1705</v>
      </c>
      <c r="N196" s="38">
        <f>IFERROR(VLOOKUP($F196,bug_conf_sheet!$A:$H,3,FALSE),VLOOKUP("other",bug_conf_sheet!$A:$H,3,FALSE))</f>
        <v>1</v>
      </c>
      <c r="O196" s="38">
        <f>IFERROR(VLOOKUP($F196,bug_conf_sheet!$A:$H,4,FALSE),VLOOKUP("other",bug_conf_sheet!$A:$H,4,FALSE))</f>
        <v>0</v>
      </c>
      <c r="P196" s="38">
        <f>IFERROR(VLOOKUP($F196,bug_conf_sheet!$A:$H,5,FALSE),VLOOKUP("other",bug_conf_sheet!$A:$H,5,FALSE))</f>
        <v>0</v>
      </c>
      <c r="Q196" s="38">
        <f>IFERROR(VLOOKUP($F196,bug_conf_sheet!$A:$H,6,FALSE),VLOOKUP("other",bug_conf_sheet!$A:$H,6,FALSE))</f>
        <v>0</v>
      </c>
      <c r="R196" s="38">
        <f>IFERROR(VLOOKUP($F196,bug_conf_sheet!$A:$H,7,FALSE),VLOOKUP("other",bug_conf_sheet!$A:$H,7,FALSE))</f>
        <v>0</v>
      </c>
      <c r="S196" s="38">
        <f>IFERROR(VLOOKUP($F196,bug_conf_sheet!$A:$H,8,FALSE),VLOOKUP("other",bug_conf_sheet!$A:$H,8,FALSE))</f>
        <v>1</v>
      </c>
    </row>
    <row r="197" spans="1:19" ht="21" customHeight="1">
      <c r="A197" s="7" t="str">
        <f t="shared" si="13"/>
        <v>1881475</v>
      </c>
      <c r="B197" s="2" t="str">
        <f t="shared" si="14"/>
        <v>1881</v>
      </c>
      <c r="C197" s="8" t="str">
        <f t="shared" si="15"/>
        <v>1PremiumSS5</v>
      </c>
      <c r="D197" s="8" t="str">
        <f t="shared" si="16"/>
        <v>1PremiumSS5</v>
      </c>
      <c r="E197" s="10">
        <v>1</v>
      </c>
      <c r="F197" s="6">
        <v>475</v>
      </c>
      <c r="G197" s="8" t="str">
        <f>VLOOKUP(F197,[1]characters!$A:$C,3,FALSE)</f>
        <v>緋王 キング・ドライグ</v>
      </c>
      <c r="H197" s="8" t="str">
        <f>VLOOKUP(F197,[1]characters!$A:$J,10,FALSE)</f>
        <v>PremiumSS</v>
      </c>
      <c r="I197" s="8">
        <f>VLOOKUP(F197,[1]characters!$A:$I,9,FALSE)</f>
        <v>5</v>
      </c>
      <c r="J197" s="8" t="str">
        <f>VLOOKUP(F197,[1]characters!$A:$H,8,FALSE)</f>
        <v>red</v>
      </c>
      <c r="K197" s="8" t="str">
        <f>VLOOKUP(F197,[1]characters!$A:$K,11,FALSE)</f>
        <v>attack</v>
      </c>
      <c r="L197" s="8" t="str">
        <f>VLOOKUP(F197,[1]characters!$A:$M,13,FALSE)</f>
        <v>dragon</v>
      </c>
      <c r="M197" s="16">
        <f>VLOOKUP(D197,gacha_188_base!A:B,2,FALSE)</f>
        <v>114</v>
      </c>
      <c r="N197" s="38">
        <f>IFERROR(VLOOKUP($F197,bug_conf_sheet!$A:$H,3,FALSE),VLOOKUP("other",bug_conf_sheet!$A:$H,3,FALSE))</f>
        <v>1</v>
      </c>
      <c r="O197" s="38">
        <f>IFERROR(VLOOKUP($F197,bug_conf_sheet!$A:$H,4,FALSE),VLOOKUP("other",bug_conf_sheet!$A:$H,4,FALSE))</f>
        <v>0</v>
      </c>
      <c r="P197" s="38">
        <f>IFERROR(VLOOKUP($F197,bug_conf_sheet!$A:$H,5,FALSE),VLOOKUP("other",bug_conf_sheet!$A:$H,5,FALSE))</f>
        <v>0</v>
      </c>
      <c r="Q197" s="38">
        <f>IFERROR(VLOOKUP($F197,bug_conf_sheet!$A:$H,6,FALSE),VLOOKUP("other",bug_conf_sheet!$A:$H,6,FALSE))</f>
        <v>0</v>
      </c>
      <c r="R197" s="38">
        <f>IFERROR(VLOOKUP($F197,bug_conf_sheet!$A:$H,7,FALSE),VLOOKUP("other",bug_conf_sheet!$A:$H,7,FALSE))</f>
        <v>0</v>
      </c>
      <c r="S197" s="38">
        <f>IFERROR(VLOOKUP($F197,bug_conf_sheet!$A:$H,8,FALSE),VLOOKUP("other",bug_conf_sheet!$A:$H,8,FALSE))</f>
        <v>1</v>
      </c>
    </row>
    <row r="198" spans="1:19" ht="21" hidden="1" customHeight="1">
      <c r="A198" s="7" t="str">
        <f t="shared" si="13"/>
        <v>1881476</v>
      </c>
      <c r="B198" s="2" t="str">
        <f t="shared" si="14"/>
        <v>1881</v>
      </c>
      <c r="C198" s="8" t="str">
        <f t="shared" si="15"/>
        <v>1PremiumS3</v>
      </c>
      <c r="D198" s="8" t="str">
        <f t="shared" si="16"/>
        <v>1PremiumS3</v>
      </c>
      <c r="E198" s="10">
        <v>1</v>
      </c>
      <c r="F198" s="6">
        <v>476</v>
      </c>
      <c r="G198" s="8" t="str">
        <f>VLOOKUP(F198,[1]characters!$A:$C,3,FALSE)</f>
        <v>ファータ</v>
      </c>
      <c r="H198" s="8" t="str">
        <f>VLOOKUP(F198,[1]characters!$A:$J,10,FALSE)</f>
        <v>PremiumS</v>
      </c>
      <c r="I198" s="8">
        <f>VLOOKUP(F198,[1]characters!$A:$I,9,FALSE)</f>
        <v>3</v>
      </c>
      <c r="J198" s="8" t="str">
        <f>VLOOKUP(F198,[1]characters!$A:$H,8,FALSE)</f>
        <v>green</v>
      </c>
      <c r="K198" s="8" t="str">
        <f>VLOOKUP(F198,[1]characters!$A:$K,11,FALSE)</f>
        <v>heal</v>
      </c>
      <c r="L198" s="8" t="str">
        <f>VLOOKUP(F198,[1]characters!$A:$M,13,FALSE)</f>
        <v>unknown</v>
      </c>
      <c r="M198" s="16">
        <f>VLOOKUP(D198,gacha_188_base!A:B,2,FALSE)</f>
        <v>11309</v>
      </c>
      <c r="N198" s="38">
        <f>IFERROR(VLOOKUP($F198,bug_conf_sheet!$A:$H,3,FALSE),VLOOKUP("other",bug_conf_sheet!$A:$H,3,FALSE))</f>
        <v>1</v>
      </c>
      <c r="O198" s="38">
        <f>IFERROR(VLOOKUP($F198,bug_conf_sheet!$A:$H,4,FALSE),VLOOKUP("other",bug_conf_sheet!$A:$H,4,FALSE))</f>
        <v>0</v>
      </c>
      <c r="P198" s="38">
        <f>IFERROR(VLOOKUP($F198,bug_conf_sheet!$A:$H,5,FALSE),VLOOKUP("other",bug_conf_sheet!$A:$H,5,FALSE))</f>
        <v>0</v>
      </c>
      <c r="Q198" s="38">
        <f>IFERROR(VLOOKUP($F198,bug_conf_sheet!$A:$H,6,FALSE),VLOOKUP("other",bug_conf_sheet!$A:$H,6,FALSE))</f>
        <v>0</v>
      </c>
      <c r="R198" s="38">
        <f>IFERROR(VLOOKUP($F198,bug_conf_sheet!$A:$H,7,FALSE),VLOOKUP("other",bug_conf_sheet!$A:$H,7,FALSE))</f>
        <v>0</v>
      </c>
      <c r="S198" s="38">
        <f>IFERROR(VLOOKUP($F198,bug_conf_sheet!$A:$H,8,FALSE),VLOOKUP("other",bug_conf_sheet!$A:$H,8,FALSE))</f>
        <v>1</v>
      </c>
    </row>
    <row r="199" spans="1:19" ht="21" hidden="1" customHeight="1">
      <c r="A199" s="7" t="str">
        <f t="shared" si="13"/>
        <v>1881477</v>
      </c>
      <c r="B199" s="2" t="str">
        <f t="shared" si="14"/>
        <v>1881</v>
      </c>
      <c r="C199" s="8" t="str">
        <f t="shared" si="15"/>
        <v>1PremiumS4</v>
      </c>
      <c r="D199" s="8" t="str">
        <f t="shared" si="16"/>
        <v>1PremiumS4</v>
      </c>
      <c r="E199" s="10">
        <v>1</v>
      </c>
      <c r="F199" s="6">
        <v>477</v>
      </c>
      <c r="G199" s="8" t="str">
        <f>VLOOKUP(F199,[1]characters!$A:$C,3,FALSE)</f>
        <v>愛羽妖精 ファータ</v>
      </c>
      <c r="H199" s="8" t="str">
        <f>VLOOKUP(F199,[1]characters!$A:$J,10,FALSE)</f>
        <v>PremiumS</v>
      </c>
      <c r="I199" s="8">
        <f>VLOOKUP(F199,[1]characters!$A:$I,9,FALSE)</f>
        <v>4</v>
      </c>
      <c r="J199" s="8" t="str">
        <f>VLOOKUP(F199,[1]characters!$A:$H,8,FALSE)</f>
        <v>green</v>
      </c>
      <c r="K199" s="8" t="str">
        <f>VLOOKUP(F199,[1]characters!$A:$K,11,FALSE)</f>
        <v>heal</v>
      </c>
      <c r="L199" s="8" t="str">
        <f>VLOOKUP(F199,[1]characters!$A:$M,13,FALSE)</f>
        <v>unknown</v>
      </c>
      <c r="M199" s="16">
        <f>VLOOKUP(D199,gacha_188_base!A:B,2,FALSE)</f>
        <v>2827</v>
      </c>
      <c r="N199" s="38">
        <f>IFERROR(VLOOKUP($F199,bug_conf_sheet!$A:$H,3,FALSE),VLOOKUP("other",bug_conf_sheet!$A:$H,3,FALSE))</f>
        <v>1</v>
      </c>
      <c r="O199" s="38">
        <f>IFERROR(VLOOKUP($F199,bug_conf_sheet!$A:$H,4,FALSE),VLOOKUP("other",bug_conf_sheet!$A:$H,4,FALSE))</f>
        <v>0</v>
      </c>
      <c r="P199" s="38">
        <f>IFERROR(VLOOKUP($F199,bug_conf_sheet!$A:$H,5,FALSE),VLOOKUP("other",bug_conf_sheet!$A:$H,5,FALSE))</f>
        <v>0</v>
      </c>
      <c r="Q199" s="38">
        <f>IFERROR(VLOOKUP($F199,bug_conf_sheet!$A:$H,6,FALSE),VLOOKUP("other",bug_conf_sheet!$A:$H,6,FALSE))</f>
        <v>0</v>
      </c>
      <c r="R199" s="38">
        <f>IFERROR(VLOOKUP($F199,bug_conf_sheet!$A:$H,7,FALSE),VLOOKUP("other",bug_conf_sheet!$A:$H,7,FALSE))</f>
        <v>0</v>
      </c>
      <c r="S199" s="38">
        <f>IFERROR(VLOOKUP($F199,bug_conf_sheet!$A:$H,8,FALSE),VLOOKUP("other",bug_conf_sheet!$A:$H,8,FALSE))</f>
        <v>1</v>
      </c>
    </row>
    <row r="200" spans="1:19" ht="21" customHeight="1">
      <c r="A200" s="7" t="str">
        <f t="shared" si="13"/>
        <v>1881478</v>
      </c>
      <c r="B200" s="2" t="str">
        <f t="shared" si="14"/>
        <v>1881</v>
      </c>
      <c r="C200" s="8" t="str">
        <f t="shared" si="15"/>
        <v>1PremiumS5</v>
      </c>
      <c r="D200" s="8" t="str">
        <f t="shared" si="16"/>
        <v>1PremiumS5</v>
      </c>
      <c r="E200" s="10">
        <v>1</v>
      </c>
      <c r="F200" s="6">
        <v>478</v>
      </c>
      <c r="G200" s="8" t="str">
        <f>VLOOKUP(F200,[1]characters!$A:$C,3,FALSE)</f>
        <v>時計仕掛けの愛羽妖精 ファータ</v>
      </c>
      <c r="H200" s="8" t="str">
        <f>VLOOKUP(F200,[1]characters!$A:$J,10,FALSE)</f>
        <v>PremiumS</v>
      </c>
      <c r="I200" s="8">
        <f>VLOOKUP(F200,[1]characters!$A:$I,9,FALSE)</f>
        <v>5</v>
      </c>
      <c r="J200" s="8" t="str">
        <f>VLOOKUP(F200,[1]characters!$A:$H,8,FALSE)</f>
        <v>green</v>
      </c>
      <c r="K200" s="8" t="str">
        <f>VLOOKUP(F200,[1]characters!$A:$K,11,FALSE)</f>
        <v>heal</v>
      </c>
      <c r="L200" s="8" t="str">
        <f>VLOOKUP(F200,[1]characters!$A:$M,13,FALSE)</f>
        <v>unknown</v>
      </c>
      <c r="M200" s="16">
        <f>VLOOKUP(D200,gacha_188_base!A:B,2,FALSE)</f>
        <v>942</v>
      </c>
      <c r="N200" s="38">
        <f>IFERROR(VLOOKUP($F200,bug_conf_sheet!$A:$H,3,FALSE),VLOOKUP("other",bug_conf_sheet!$A:$H,3,FALSE))</f>
        <v>1</v>
      </c>
      <c r="O200" s="38">
        <f>IFERROR(VLOOKUP($F200,bug_conf_sheet!$A:$H,4,FALSE),VLOOKUP("other",bug_conf_sheet!$A:$H,4,FALSE))</f>
        <v>0</v>
      </c>
      <c r="P200" s="38">
        <f>IFERROR(VLOOKUP($F200,bug_conf_sheet!$A:$H,5,FALSE),VLOOKUP("other",bug_conf_sheet!$A:$H,5,FALSE))</f>
        <v>0</v>
      </c>
      <c r="Q200" s="38">
        <f>IFERROR(VLOOKUP($F200,bug_conf_sheet!$A:$H,6,FALSE),VLOOKUP("other",bug_conf_sheet!$A:$H,6,FALSE))</f>
        <v>0</v>
      </c>
      <c r="R200" s="38">
        <f>IFERROR(VLOOKUP($F200,bug_conf_sheet!$A:$H,7,FALSE),VLOOKUP("other",bug_conf_sheet!$A:$H,7,FALSE))</f>
        <v>0</v>
      </c>
      <c r="S200" s="38">
        <f>IFERROR(VLOOKUP($F200,bug_conf_sheet!$A:$H,8,FALSE),VLOOKUP("other",bug_conf_sheet!$A:$H,8,FALSE))</f>
        <v>1</v>
      </c>
    </row>
    <row r="201" spans="1:19" ht="21" hidden="1" customHeight="1">
      <c r="A201" s="7" t="str">
        <f t="shared" si="13"/>
        <v>1881479</v>
      </c>
      <c r="B201" s="2" t="str">
        <f t="shared" si="14"/>
        <v>1881</v>
      </c>
      <c r="C201" s="8" t="str">
        <f t="shared" si="15"/>
        <v>1PremiumSS4</v>
      </c>
      <c r="D201" s="8" t="str">
        <f t="shared" si="16"/>
        <v>1PremiumSS4</v>
      </c>
      <c r="E201" s="10">
        <v>1</v>
      </c>
      <c r="F201" s="6">
        <v>479</v>
      </c>
      <c r="G201" s="8" t="str">
        <f>VLOOKUP(F201,[1]characters!$A:$C,3,FALSE)</f>
        <v>フール</v>
      </c>
      <c r="H201" s="8" t="str">
        <f>VLOOKUP(F201,[1]characters!$A:$J,10,FALSE)</f>
        <v>PremiumSS</v>
      </c>
      <c r="I201" s="8">
        <f>VLOOKUP(F201,[1]characters!$A:$I,9,FALSE)</f>
        <v>4</v>
      </c>
      <c r="J201" s="8" t="str">
        <f>VLOOKUP(F201,[1]characters!$A:$H,8,FALSE)</f>
        <v>blue</v>
      </c>
      <c r="K201" s="8" t="str">
        <f>VLOOKUP(F201,[1]characters!$A:$K,11,FALSE)</f>
        <v>technical</v>
      </c>
      <c r="L201" s="8" t="str">
        <f>VLOOKUP(F201,[1]characters!$A:$M,13,FALSE)</f>
        <v>god</v>
      </c>
      <c r="M201" s="16">
        <f>VLOOKUP(D201,gacha_188_base!A:B,2,FALSE)</f>
        <v>1705</v>
      </c>
      <c r="N201" s="38">
        <f>IFERROR(VLOOKUP($F201,bug_conf_sheet!$A:$H,3,FALSE),VLOOKUP("other",bug_conf_sheet!$A:$H,3,FALSE))</f>
        <v>1</v>
      </c>
      <c r="O201" s="38">
        <f>IFERROR(VLOOKUP($F201,bug_conf_sheet!$A:$H,4,FALSE),VLOOKUP("other",bug_conf_sheet!$A:$H,4,FALSE))</f>
        <v>0</v>
      </c>
      <c r="P201" s="38">
        <f>IFERROR(VLOOKUP($F201,bug_conf_sheet!$A:$H,5,FALSE),VLOOKUP("other",bug_conf_sheet!$A:$H,5,FALSE))</f>
        <v>0</v>
      </c>
      <c r="Q201" s="38">
        <f>IFERROR(VLOOKUP($F201,bug_conf_sheet!$A:$H,6,FALSE),VLOOKUP("other",bug_conf_sheet!$A:$H,6,FALSE))</f>
        <v>0</v>
      </c>
      <c r="R201" s="38">
        <f>IFERROR(VLOOKUP($F201,bug_conf_sheet!$A:$H,7,FALSE),VLOOKUP("other",bug_conf_sheet!$A:$H,7,FALSE))</f>
        <v>0</v>
      </c>
      <c r="S201" s="38">
        <f>IFERROR(VLOOKUP($F201,bug_conf_sheet!$A:$H,8,FALSE),VLOOKUP("other",bug_conf_sheet!$A:$H,8,FALSE))</f>
        <v>1</v>
      </c>
    </row>
    <row r="202" spans="1:19" ht="21" customHeight="1">
      <c r="A202" s="7" t="str">
        <f t="shared" si="13"/>
        <v>1881480</v>
      </c>
      <c r="B202" s="2" t="str">
        <f t="shared" si="14"/>
        <v>1881</v>
      </c>
      <c r="C202" s="8" t="str">
        <f t="shared" si="15"/>
        <v>1PremiumSS5</v>
      </c>
      <c r="D202" s="8" t="str">
        <f t="shared" si="16"/>
        <v>1PremiumSS5</v>
      </c>
      <c r="E202" s="10">
        <v>1</v>
      </c>
      <c r="F202" s="6">
        <v>480</v>
      </c>
      <c r="G202" s="8" t="str">
        <f>VLOOKUP(F202,[1]characters!$A:$C,3,FALSE)</f>
        <v>夢幻の愚者フール</v>
      </c>
      <c r="H202" s="8" t="str">
        <f>VLOOKUP(F202,[1]characters!$A:$J,10,FALSE)</f>
        <v>PremiumSS</v>
      </c>
      <c r="I202" s="8">
        <f>VLOOKUP(F202,[1]characters!$A:$I,9,FALSE)</f>
        <v>5</v>
      </c>
      <c r="J202" s="8" t="str">
        <f>VLOOKUP(F202,[1]characters!$A:$H,8,FALSE)</f>
        <v>blue</v>
      </c>
      <c r="K202" s="8" t="str">
        <f>VLOOKUP(F202,[1]characters!$A:$K,11,FALSE)</f>
        <v>technical</v>
      </c>
      <c r="L202" s="8" t="str">
        <f>VLOOKUP(F202,[1]characters!$A:$M,13,FALSE)</f>
        <v>god</v>
      </c>
      <c r="M202" s="16">
        <f>VLOOKUP(D202,gacha_188_base!A:B,2,FALSE)</f>
        <v>114</v>
      </c>
      <c r="N202" s="38">
        <f>IFERROR(VLOOKUP($F202,bug_conf_sheet!$A:$H,3,FALSE),VLOOKUP("other",bug_conf_sheet!$A:$H,3,FALSE))</f>
        <v>1</v>
      </c>
      <c r="O202" s="38">
        <f>IFERROR(VLOOKUP($F202,bug_conf_sheet!$A:$H,4,FALSE),VLOOKUP("other",bug_conf_sheet!$A:$H,4,FALSE))</f>
        <v>0</v>
      </c>
      <c r="P202" s="38">
        <f>IFERROR(VLOOKUP($F202,bug_conf_sheet!$A:$H,5,FALSE),VLOOKUP("other",bug_conf_sheet!$A:$H,5,FALSE))</f>
        <v>0</v>
      </c>
      <c r="Q202" s="38">
        <f>IFERROR(VLOOKUP($F202,bug_conf_sheet!$A:$H,6,FALSE),VLOOKUP("other",bug_conf_sheet!$A:$H,6,FALSE))</f>
        <v>0</v>
      </c>
      <c r="R202" s="38">
        <f>IFERROR(VLOOKUP($F202,bug_conf_sheet!$A:$H,7,FALSE),VLOOKUP("other",bug_conf_sheet!$A:$H,7,FALSE))</f>
        <v>0</v>
      </c>
      <c r="S202" s="38">
        <f>IFERROR(VLOOKUP($F202,bug_conf_sheet!$A:$H,8,FALSE),VLOOKUP("other",bug_conf_sheet!$A:$H,8,FALSE))</f>
        <v>1</v>
      </c>
    </row>
    <row r="203" spans="1:19" ht="21" hidden="1" customHeight="1">
      <c r="A203" s="7" t="str">
        <f t="shared" si="13"/>
        <v>1881481</v>
      </c>
      <c r="B203" s="2" t="str">
        <f t="shared" si="14"/>
        <v>1881</v>
      </c>
      <c r="C203" s="8" t="str">
        <f t="shared" si="15"/>
        <v>1PremiumS3</v>
      </c>
      <c r="D203" s="8" t="str">
        <f t="shared" si="16"/>
        <v>1PremiumS3</v>
      </c>
      <c r="E203" s="10">
        <v>1</v>
      </c>
      <c r="F203" s="6">
        <v>481</v>
      </c>
      <c r="G203" s="8" t="str">
        <f>VLOOKUP(F203,[1]characters!$A:$C,3,FALSE)</f>
        <v>沢庵宗彭</v>
      </c>
      <c r="H203" s="8" t="str">
        <f>VLOOKUP(F203,[1]characters!$A:$J,10,FALSE)</f>
        <v>PremiumS</v>
      </c>
      <c r="I203" s="8">
        <f>VLOOKUP(F203,[1]characters!$A:$I,9,FALSE)</f>
        <v>3</v>
      </c>
      <c r="J203" s="8" t="str">
        <f>VLOOKUP(F203,[1]characters!$A:$H,8,FALSE)</f>
        <v>yellow</v>
      </c>
      <c r="K203" s="8" t="str">
        <f>VLOOKUP(F203,[1]characters!$A:$K,11,FALSE)</f>
        <v>hp</v>
      </c>
      <c r="L203" s="8" t="str">
        <f>VLOOKUP(F203,[1]characters!$A:$M,13,FALSE)</f>
        <v>human</v>
      </c>
      <c r="M203" s="16">
        <f>VLOOKUP(D203,gacha_188_base!A:B,2,FALSE)</f>
        <v>11309</v>
      </c>
      <c r="N203" s="38">
        <f>IFERROR(VLOOKUP($F203,bug_conf_sheet!$A:$H,3,FALSE),VLOOKUP("other",bug_conf_sheet!$A:$H,3,FALSE))</f>
        <v>1</v>
      </c>
      <c r="O203" s="38">
        <f>IFERROR(VLOOKUP($F203,bug_conf_sheet!$A:$H,4,FALSE),VLOOKUP("other",bug_conf_sheet!$A:$H,4,FALSE))</f>
        <v>0</v>
      </c>
      <c r="P203" s="38">
        <f>IFERROR(VLOOKUP($F203,bug_conf_sheet!$A:$H,5,FALSE),VLOOKUP("other",bug_conf_sheet!$A:$H,5,FALSE))</f>
        <v>0</v>
      </c>
      <c r="Q203" s="38">
        <f>IFERROR(VLOOKUP($F203,bug_conf_sheet!$A:$H,6,FALSE),VLOOKUP("other",bug_conf_sheet!$A:$H,6,FALSE))</f>
        <v>0</v>
      </c>
      <c r="R203" s="38">
        <f>IFERROR(VLOOKUP($F203,bug_conf_sheet!$A:$H,7,FALSE),VLOOKUP("other",bug_conf_sheet!$A:$H,7,FALSE))</f>
        <v>0</v>
      </c>
      <c r="S203" s="38">
        <f>IFERROR(VLOOKUP($F203,bug_conf_sheet!$A:$H,8,FALSE),VLOOKUP("other",bug_conf_sheet!$A:$H,8,FALSE))</f>
        <v>1</v>
      </c>
    </row>
    <row r="204" spans="1:19" ht="21" hidden="1" customHeight="1">
      <c r="A204" s="7" t="str">
        <f t="shared" ref="A204:A225" si="17">B204&amp;F204</f>
        <v>1881482</v>
      </c>
      <c r="B204" s="2" t="str">
        <f t="shared" si="14"/>
        <v>1881</v>
      </c>
      <c r="C204" s="8" t="str">
        <f t="shared" ref="C204:C225" si="18">E204&amp;H204&amp;I204</f>
        <v>1PremiumS4</v>
      </c>
      <c r="D204" s="8" t="str">
        <f t="shared" si="16"/>
        <v>1PremiumS4</v>
      </c>
      <c r="E204" s="10">
        <v>1</v>
      </c>
      <c r="F204" s="6">
        <v>482</v>
      </c>
      <c r="G204" s="8" t="str">
        <f>VLOOKUP(F204,[1]characters!$A:$C,3,FALSE)</f>
        <v>魁僧 沢庵宗彭</v>
      </c>
      <c r="H204" s="8" t="str">
        <f>VLOOKUP(F204,[1]characters!$A:$J,10,FALSE)</f>
        <v>PremiumS</v>
      </c>
      <c r="I204" s="8">
        <f>VLOOKUP(F204,[1]characters!$A:$I,9,FALSE)</f>
        <v>4</v>
      </c>
      <c r="J204" s="8" t="str">
        <f>VLOOKUP(F204,[1]characters!$A:$H,8,FALSE)</f>
        <v>yellow</v>
      </c>
      <c r="K204" s="8" t="str">
        <f>VLOOKUP(F204,[1]characters!$A:$K,11,FALSE)</f>
        <v>hp</v>
      </c>
      <c r="L204" s="8" t="str">
        <f>VLOOKUP(F204,[1]characters!$A:$M,13,FALSE)</f>
        <v>human</v>
      </c>
      <c r="M204" s="16">
        <f>VLOOKUP(D204,gacha_188_base!A:B,2,FALSE)</f>
        <v>2827</v>
      </c>
      <c r="N204" s="38">
        <f>IFERROR(VLOOKUP($F204,bug_conf_sheet!$A:$H,3,FALSE),VLOOKUP("other",bug_conf_sheet!$A:$H,3,FALSE))</f>
        <v>1</v>
      </c>
      <c r="O204" s="38">
        <f>IFERROR(VLOOKUP($F204,bug_conf_sheet!$A:$H,4,FALSE),VLOOKUP("other",bug_conf_sheet!$A:$H,4,FALSE))</f>
        <v>0</v>
      </c>
      <c r="P204" s="38">
        <f>IFERROR(VLOOKUP($F204,bug_conf_sheet!$A:$H,5,FALSE),VLOOKUP("other",bug_conf_sheet!$A:$H,5,FALSE))</f>
        <v>0</v>
      </c>
      <c r="Q204" s="38">
        <f>IFERROR(VLOOKUP($F204,bug_conf_sheet!$A:$H,6,FALSE),VLOOKUP("other",bug_conf_sheet!$A:$H,6,FALSE))</f>
        <v>0</v>
      </c>
      <c r="R204" s="38">
        <f>IFERROR(VLOOKUP($F204,bug_conf_sheet!$A:$H,7,FALSE),VLOOKUP("other",bug_conf_sheet!$A:$H,7,FALSE))</f>
        <v>0</v>
      </c>
      <c r="S204" s="38">
        <f>IFERROR(VLOOKUP($F204,bug_conf_sheet!$A:$H,8,FALSE),VLOOKUP("other",bug_conf_sheet!$A:$H,8,FALSE))</f>
        <v>1</v>
      </c>
    </row>
    <row r="205" spans="1:19" ht="21" customHeight="1">
      <c r="A205" s="7" t="str">
        <f t="shared" si="17"/>
        <v>1881483</v>
      </c>
      <c r="B205" s="2" t="str">
        <f t="shared" si="14"/>
        <v>1881</v>
      </c>
      <c r="C205" s="8" t="str">
        <f t="shared" si="18"/>
        <v>1PremiumS5</v>
      </c>
      <c r="D205" s="8" t="str">
        <f t="shared" si="16"/>
        <v>1PremiumS5</v>
      </c>
      <c r="E205" s="10">
        <v>1</v>
      </c>
      <c r="F205" s="6">
        <v>483</v>
      </c>
      <c r="G205" s="8" t="str">
        <f>VLOOKUP(F205,[1]characters!$A:$C,3,FALSE)</f>
        <v xml:space="preserve">命経死遂 沢庵宗彭 </v>
      </c>
      <c r="H205" s="8" t="str">
        <f>VLOOKUP(F205,[1]characters!$A:$J,10,FALSE)</f>
        <v>PremiumS</v>
      </c>
      <c r="I205" s="8">
        <f>VLOOKUP(F205,[1]characters!$A:$I,9,FALSE)</f>
        <v>5</v>
      </c>
      <c r="J205" s="8" t="str">
        <f>VLOOKUP(F205,[1]characters!$A:$H,8,FALSE)</f>
        <v>yellow</v>
      </c>
      <c r="K205" s="8" t="str">
        <f>VLOOKUP(F205,[1]characters!$A:$K,11,FALSE)</f>
        <v>hp</v>
      </c>
      <c r="L205" s="8" t="str">
        <f>VLOOKUP(F205,[1]characters!$A:$M,13,FALSE)</f>
        <v>human</v>
      </c>
      <c r="M205" s="16">
        <f>VLOOKUP(D205,gacha_188_base!A:B,2,FALSE)</f>
        <v>942</v>
      </c>
      <c r="N205" s="38">
        <f>IFERROR(VLOOKUP($F205,bug_conf_sheet!$A:$H,3,FALSE),VLOOKUP("other",bug_conf_sheet!$A:$H,3,FALSE))</f>
        <v>1</v>
      </c>
      <c r="O205" s="38">
        <f>IFERROR(VLOOKUP($F205,bug_conf_sheet!$A:$H,4,FALSE),VLOOKUP("other",bug_conf_sheet!$A:$H,4,FALSE))</f>
        <v>0</v>
      </c>
      <c r="P205" s="38">
        <f>IFERROR(VLOOKUP($F205,bug_conf_sheet!$A:$H,5,FALSE),VLOOKUP("other",bug_conf_sheet!$A:$H,5,FALSE))</f>
        <v>0</v>
      </c>
      <c r="Q205" s="38">
        <f>IFERROR(VLOOKUP($F205,bug_conf_sheet!$A:$H,6,FALSE),VLOOKUP("other",bug_conf_sheet!$A:$H,6,FALSE))</f>
        <v>0</v>
      </c>
      <c r="R205" s="38">
        <f>IFERROR(VLOOKUP($F205,bug_conf_sheet!$A:$H,7,FALSE),VLOOKUP("other",bug_conf_sheet!$A:$H,7,FALSE))</f>
        <v>0</v>
      </c>
      <c r="S205" s="38">
        <f>IFERROR(VLOOKUP($F205,bug_conf_sheet!$A:$H,8,FALSE),VLOOKUP("other",bug_conf_sheet!$A:$H,8,FALSE))</f>
        <v>1</v>
      </c>
    </row>
    <row r="206" spans="1:19" ht="21" hidden="1" customHeight="1">
      <c r="A206" s="7" t="str">
        <f t="shared" si="17"/>
        <v>1881492</v>
      </c>
      <c r="B206" s="2" t="str">
        <f t="shared" si="14"/>
        <v>1881</v>
      </c>
      <c r="C206" s="8" t="str">
        <f t="shared" si="18"/>
        <v>1PremiumSS4</v>
      </c>
      <c r="D206" s="8" t="str">
        <f t="shared" si="16"/>
        <v>1PremiumSS4</v>
      </c>
      <c r="E206" s="10">
        <v>1</v>
      </c>
      <c r="F206" s="6">
        <v>492</v>
      </c>
      <c r="G206" s="8" t="str">
        <f>VLOOKUP(F206,[1]characters!$A:$C,3,FALSE)</f>
        <v>ブートレグ・ペロー</v>
      </c>
      <c r="H206" s="8" t="str">
        <f>VLOOKUP(F206,[1]characters!$A:$J,10,FALSE)</f>
        <v>PremiumSS</v>
      </c>
      <c r="I206" s="8">
        <f>VLOOKUP(F206,[1]characters!$A:$I,9,FALSE)</f>
        <v>4</v>
      </c>
      <c r="J206" s="8" t="str">
        <f>VLOOKUP(F206,[1]characters!$A:$H,8,FALSE)</f>
        <v>red</v>
      </c>
      <c r="K206" s="8" t="str">
        <f>VLOOKUP(F206,[1]characters!$A:$K,11,FALSE)</f>
        <v>hp</v>
      </c>
      <c r="L206" s="8" t="str">
        <f>VLOOKUP(F206,[1]characters!$A:$M,13,FALSE)</f>
        <v>animal</v>
      </c>
      <c r="M206" s="16">
        <f>VLOOKUP(D206,gacha_188_base!A:B,2,FALSE)</f>
        <v>1705</v>
      </c>
      <c r="N206" s="38">
        <f>IFERROR(VLOOKUP($F206,bug_conf_sheet!$A:$H,3,FALSE),VLOOKUP("other",bug_conf_sheet!$A:$H,3,FALSE))</f>
        <v>1</v>
      </c>
      <c r="O206" s="38">
        <f>IFERROR(VLOOKUP($F206,bug_conf_sheet!$A:$H,4,FALSE),VLOOKUP("other",bug_conf_sheet!$A:$H,4,FALSE))</f>
        <v>0</v>
      </c>
      <c r="P206" s="38">
        <f>IFERROR(VLOOKUP($F206,bug_conf_sheet!$A:$H,5,FALSE),VLOOKUP("other",bug_conf_sheet!$A:$H,5,FALSE))</f>
        <v>0</v>
      </c>
      <c r="Q206" s="38">
        <f>IFERROR(VLOOKUP($F206,bug_conf_sheet!$A:$H,6,FALSE),VLOOKUP("other",bug_conf_sheet!$A:$H,6,FALSE))</f>
        <v>0</v>
      </c>
      <c r="R206" s="38">
        <f>IFERROR(VLOOKUP($F206,bug_conf_sheet!$A:$H,7,FALSE),VLOOKUP("other",bug_conf_sheet!$A:$H,7,FALSE))</f>
        <v>0</v>
      </c>
      <c r="S206" s="38">
        <f>IFERROR(VLOOKUP($F206,bug_conf_sheet!$A:$H,8,FALSE),VLOOKUP("other",bug_conf_sheet!$A:$H,8,FALSE))</f>
        <v>1</v>
      </c>
    </row>
    <row r="207" spans="1:19" ht="21" customHeight="1">
      <c r="A207" s="7" t="str">
        <f t="shared" si="17"/>
        <v>1881493</v>
      </c>
      <c r="B207" s="2" t="str">
        <f t="shared" si="14"/>
        <v>1881</v>
      </c>
      <c r="C207" s="8" t="str">
        <f t="shared" si="18"/>
        <v>1PremiumSS5</v>
      </c>
      <c r="D207" s="8" t="str">
        <f t="shared" si="16"/>
        <v>1PremiumSS5</v>
      </c>
      <c r="E207" s="10">
        <v>1</v>
      </c>
      <c r="F207" s="6">
        <v>493</v>
      </c>
      <c r="G207" s="8" t="str">
        <f>VLOOKUP(F207,[1]characters!$A:$C,3,FALSE)</f>
        <v>跋扈の機脚 ブートレグ・ペロー</v>
      </c>
      <c r="H207" s="8" t="str">
        <f>VLOOKUP(F207,[1]characters!$A:$J,10,FALSE)</f>
        <v>PremiumSS</v>
      </c>
      <c r="I207" s="8">
        <f>VLOOKUP(F207,[1]characters!$A:$I,9,FALSE)</f>
        <v>5</v>
      </c>
      <c r="J207" s="8" t="str">
        <f>VLOOKUP(F207,[1]characters!$A:$H,8,FALSE)</f>
        <v>red</v>
      </c>
      <c r="K207" s="8" t="str">
        <f>VLOOKUP(F207,[1]characters!$A:$K,11,FALSE)</f>
        <v>hp</v>
      </c>
      <c r="L207" s="8" t="str">
        <f>VLOOKUP(F207,[1]characters!$A:$M,13,FALSE)</f>
        <v>animal</v>
      </c>
      <c r="M207" s="16">
        <f>VLOOKUP(D207,gacha_188_base!A:B,2,FALSE)</f>
        <v>114</v>
      </c>
      <c r="N207" s="38">
        <f>IFERROR(VLOOKUP($F207,bug_conf_sheet!$A:$H,3,FALSE),VLOOKUP("other",bug_conf_sheet!$A:$H,3,FALSE))</f>
        <v>1</v>
      </c>
      <c r="O207" s="38">
        <f>IFERROR(VLOOKUP($F207,bug_conf_sheet!$A:$H,4,FALSE),VLOOKUP("other",bug_conf_sheet!$A:$H,4,FALSE))</f>
        <v>0</v>
      </c>
      <c r="P207" s="38">
        <f>IFERROR(VLOOKUP($F207,bug_conf_sheet!$A:$H,5,FALSE),VLOOKUP("other",bug_conf_sheet!$A:$H,5,FALSE))</f>
        <v>0</v>
      </c>
      <c r="Q207" s="38">
        <f>IFERROR(VLOOKUP($F207,bug_conf_sheet!$A:$H,6,FALSE),VLOOKUP("other",bug_conf_sheet!$A:$H,6,FALSE))</f>
        <v>0</v>
      </c>
      <c r="R207" s="38">
        <f>IFERROR(VLOOKUP($F207,bug_conf_sheet!$A:$H,7,FALSE),VLOOKUP("other",bug_conf_sheet!$A:$H,7,FALSE))</f>
        <v>0</v>
      </c>
      <c r="S207" s="38">
        <f>IFERROR(VLOOKUP($F207,bug_conf_sheet!$A:$H,8,FALSE),VLOOKUP("other",bug_conf_sheet!$A:$H,8,FALSE))</f>
        <v>1</v>
      </c>
    </row>
    <row r="208" spans="1:19" ht="21" hidden="1" customHeight="1">
      <c r="A208" s="7" t="str">
        <f t="shared" si="17"/>
        <v>1881494</v>
      </c>
      <c r="B208" s="2" t="str">
        <f t="shared" si="14"/>
        <v>1881</v>
      </c>
      <c r="C208" s="8" t="str">
        <f t="shared" si="18"/>
        <v>1PremiumSS4</v>
      </c>
      <c r="D208" s="8" t="str">
        <f t="shared" si="16"/>
        <v>1PremiumSS4</v>
      </c>
      <c r="E208" s="10">
        <v>1</v>
      </c>
      <c r="F208" s="6">
        <v>494</v>
      </c>
      <c r="G208" s="8" t="str">
        <f>VLOOKUP(F208,[1]characters!$A:$C,3,FALSE)</f>
        <v>ハーメルン</v>
      </c>
      <c r="H208" s="8" t="str">
        <f>VLOOKUP(F208,[1]characters!$A:$J,10,FALSE)</f>
        <v>PremiumSS</v>
      </c>
      <c r="I208" s="8">
        <f>VLOOKUP(F208,[1]characters!$A:$I,9,FALSE)</f>
        <v>4</v>
      </c>
      <c r="J208" s="8" t="str">
        <f>VLOOKUP(F208,[1]characters!$A:$H,8,FALSE)</f>
        <v>green</v>
      </c>
      <c r="K208" s="8" t="str">
        <f>VLOOKUP(F208,[1]characters!$A:$K,11,FALSE)</f>
        <v>technical</v>
      </c>
      <c r="L208" s="8" t="str">
        <f>VLOOKUP(F208,[1]characters!$A:$M,13,FALSE)</f>
        <v>human</v>
      </c>
      <c r="M208" s="16">
        <f>VLOOKUP(D208,gacha_188_base!A:B,2,FALSE)</f>
        <v>1705</v>
      </c>
      <c r="N208" s="38">
        <f>IFERROR(VLOOKUP($F208,bug_conf_sheet!$A:$H,3,FALSE),VLOOKUP("other",bug_conf_sheet!$A:$H,3,FALSE))</f>
        <v>1</v>
      </c>
      <c r="O208" s="38">
        <f>IFERROR(VLOOKUP($F208,bug_conf_sheet!$A:$H,4,FALSE),VLOOKUP("other",bug_conf_sheet!$A:$H,4,FALSE))</f>
        <v>0</v>
      </c>
      <c r="P208" s="38">
        <f>IFERROR(VLOOKUP($F208,bug_conf_sheet!$A:$H,5,FALSE),VLOOKUP("other",bug_conf_sheet!$A:$H,5,FALSE))</f>
        <v>0</v>
      </c>
      <c r="Q208" s="38">
        <f>IFERROR(VLOOKUP($F208,bug_conf_sheet!$A:$H,6,FALSE),VLOOKUP("other",bug_conf_sheet!$A:$H,6,FALSE))</f>
        <v>0</v>
      </c>
      <c r="R208" s="38">
        <f>IFERROR(VLOOKUP($F208,bug_conf_sheet!$A:$H,7,FALSE),VLOOKUP("other",bug_conf_sheet!$A:$H,7,FALSE))</f>
        <v>0</v>
      </c>
      <c r="S208" s="38">
        <f>IFERROR(VLOOKUP($F208,bug_conf_sheet!$A:$H,8,FALSE),VLOOKUP("other",bug_conf_sheet!$A:$H,8,FALSE))</f>
        <v>1</v>
      </c>
    </row>
    <row r="209" spans="1:19" ht="21" customHeight="1">
      <c r="A209" s="7" t="str">
        <f t="shared" si="17"/>
        <v>1881495</v>
      </c>
      <c r="B209" s="2" t="str">
        <f t="shared" si="14"/>
        <v>1881</v>
      </c>
      <c r="C209" s="8" t="str">
        <f t="shared" si="18"/>
        <v>1PremiumSS5</v>
      </c>
      <c r="D209" s="8" t="str">
        <f t="shared" si="16"/>
        <v>1PremiumSS5</v>
      </c>
      <c r="E209" s="10">
        <v>1</v>
      </c>
      <c r="F209" s="6">
        <v>495</v>
      </c>
      <c r="G209" s="8" t="str">
        <f>VLOOKUP(F209,[1]characters!$A:$C,3,FALSE)</f>
        <v>鼠災呼ぶ笛音 ハーメルン</v>
      </c>
      <c r="H209" s="8" t="str">
        <f>VLOOKUP(F209,[1]characters!$A:$J,10,FALSE)</f>
        <v>PremiumSS</v>
      </c>
      <c r="I209" s="8">
        <f>VLOOKUP(F209,[1]characters!$A:$I,9,FALSE)</f>
        <v>5</v>
      </c>
      <c r="J209" s="8" t="str">
        <f>VLOOKUP(F209,[1]characters!$A:$H,8,FALSE)</f>
        <v>green</v>
      </c>
      <c r="K209" s="8" t="str">
        <f>VLOOKUP(F209,[1]characters!$A:$K,11,FALSE)</f>
        <v>technical</v>
      </c>
      <c r="L209" s="8" t="str">
        <f>VLOOKUP(F209,[1]characters!$A:$M,13,FALSE)</f>
        <v>human</v>
      </c>
      <c r="M209" s="16">
        <f>VLOOKUP(D209,gacha_188_base!A:B,2,FALSE)</f>
        <v>114</v>
      </c>
      <c r="N209" s="38">
        <f>IFERROR(VLOOKUP($F209,bug_conf_sheet!$A:$H,3,FALSE),VLOOKUP("other",bug_conf_sheet!$A:$H,3,FALSE))</f>
        <v>1</v>
      </c>
      <c r="O209" s="38">
        <f>IFERROR(VLOOKUP($F209,bug_conf_sheet!$A:$H,4,FALSE),VLOOKUP("other",bug_conf_sheet!$A:$H,4,FALSE))</f>
        <v>0</v>
      </c>
      <c r="P209" s="38">
        <f>IFERROR(VLOOKUP($F209,bug_conf_sheet!$A:$H,5,FALSE),VLOOKUP("other",bug_conf_sheet!$A:$H,5,FALSE))</f>
        <v>0</v>
      </c>
      <c r="Q209" s="38">
        <f>IFERROR(VLOOKUP($F209,bug_conf_sheet!$A:$H,6,FALSE),VLOOKUP("other",bug_conf_sheet!$A:$H,6,FALSE))</f>
        <v>0</v>
      </c>
      <c r="R209" s="38">
        <f>IFERROR(VLOOKUP($F209,bug_conf_sheet!$A:$H,7,FALSE),VLOOKUP("other",bug_conf_sheet!$A:$H,7,FALSE))</f>
        <v>0</v>
      </c>
      <c r="S209" s="38">
        <f>IFERROR(VLOOKUP($F209,bug_conf_sheet!$A:$H,8,FALSE),VLOOKUP("other",bug_conf_sheet!$A:$H,8,FALSE))</f>
        <v>1</v>
      </c>
    </row>
    <row r="210" spans="1:19" ht="21" hidden="1" customHeight="1">
      <c r="A210" s="7" t="str">
        <f t="shared" ref="A210" si="19">B210&amp;F210</f>
        <v>1881496</v>
      </c>
      <c r="B210" s="2" t="str">
        <f t="shared" si="14"/>
        <v>1881</v>
      </c>
      <c r="C210" s="8" t="str">
        <f t="shared" ref="C210" si="20">E210&amp;H210&amp;I210</f>
        <v>1PremiumS3</v>
      </c>
      <c r="D210" s="8" t="str">
        <f t="shared" si="16"/>
        <v>1PremiumS3</v>
      </c>
      <c r="E210" s="10">
        <v>1</v>
      </c>
      <c r="F210" s="6">
        <v>496</v>
      </c>
      <c r="G210" s="8" t="str">
        <f>VLOOKUP(F210,[1]characters!$A:$C,3,FALSE)</f>
        <v>エスタブ</v>
      </c>
      <c r="H210" s="8" t="str">
        <f>VLOOKUP(F210,[1]characters!$A:$J,10,FALSE)</f>
        <v>PremiumS</v>
      </c>
      <c r="I210" s="8">
        <f>VLOOKUP(F210,[1]characters!$A:$I,9,FALSE)</f>
        <v>3</v>
      </c>
      <c r="J210" s="8" t="str">
        <f>VLOOKUP(F210,[1]characters!$A:$H,8,FALSE)</f>
        <v>blue</v>
      </c>
      <c r="K210" s="8" t="str">
        <f>VLOOKUP(F210,[1]characters!$A:$K,11,FALSE)</f>
        <v>attack</v>
      </c>
      <c r="L210" s="8" t="str">
        <f>VLOOKUP(F210,[1]characters!$A:$M,13,FALSE)</f>
        <v>human</v>
      </c>
      <c r="M210" s="16">
        <f>VLOOKUP(D210,gacha_188_base!A:B,2,FALSE)</f>
        <v>11309</v>
      </c>
      <c r="N210" s="38">
        <f>IFERROR(VLOOKUP($F210,bug_conf_sheet!$A:$H,3,FALSE),VLOOKUP("other",bug_conf_sheet!$A:$H,3,FALSE))</f>
        <v>1</v>
      </c>
      <c r="O210" s="38">
        <f>IFERROR(VLOOKUP($F210,bug_conf_sheet!$A:$H,4,FALSE),VLOOKUP("other",bug_conf_sheet!$A:$H,4,FALSE))</f>
        <v>0</v>
      </c>
      <c r="P210" s="38">
        <f>IFERROR(VLOOKUP($F210,bug_conf_sheet!$A:$H,5,FALSE),VLOOKUP("other",bug_conf_sheet!$A:$H,5,FALSE))</f>
        <v>0</v>
      </c>
      <c r="Q210" s="38">
        <f>IFERROR(VLOOKUP($F210,bug_conf_sheet!$A:$H,6,FALSE),VLOOKUP("other",bug_conf_sheet!$A:$H,6,FALSE))</f>
        <v>0</v>
      </c>
      <c r="R210" s="38">
        <f>IFERROR(VLOOKUP($F210,bug_conf_sheet!$A:$H,7,FALSE),VLOOKUP("other",bug_conf_sheet!$A:$H,7,FALSE))</f>
        <v>0</v>
      </c>
      <c r="S210" s="38">
        <f>IFERROR(VLOOKUP($F210,bug_conf_sheet!$A:$H,8,FALSE),VLOOKUP("other",bug_conf_sheet!$A:$H,8,FALSE))</f>
        <v>1</v>
      </c>
    </row>
    <row r="211" spans="1:19" ht="21" hidden="1" customHeight="1">
      <c r="A211" s="7" t="str">
        <f t="shared" si="17"/>
        <v>1881497</v>
      </c>
      <c r="B211" s="2" t="str">
        <f t="shared" si="14"/>
        <v>1881</v>
      </c>
      <c r="C211" s="8" t="str">
        <f t="shared" si="18"/>
        <v>1PremiumS4</v>
      </c>
      <c r="D211" s="8" t="str">
        <f t="shared" si="16"/>
        <v>1PremiumS4</v>
      </c>
      <c r="E211" s="10">
        <v>1</v>
      </c>
      <c r="F211" s="6">
        <v>497</v>
      </c>
      <c r="G211" s="8" t="str">
        <f>VLOOKUP(F211,[1]characters!$A:$C,3,FALSE)</f>
        <v>偏愛の野獣 エスタブ</v>
      </c>
      <c r="H211" s="8" t="str">
        <f>VLOOKUP(F211,[1]characters!$A:$J,10,FALSE)</f>
        <v>PremiumS</v>
      </c>
      <c r="I211" s="8">
        <f>VLOOKUP(F211,[1]characters!$A:$I,9,FALSE)</f>
        <v>4</v>
      </c>
      <c r="J211" s="8" t="str">
        <f>VLOOKUP(F211,[1]characters!$A:$H,8,FALSE)</f>
        <v>blue</v>
      </c>
      <c r="K211" s="8" t="str">
        <f>VLOOKUP(F211,[1]characters!$A:$K,11,FALSE)</f>
        <v>attack</v>
      </c>
      <c r="L211" s="8" t="str">
        <f>VLOOKUP(F211,[1]characters!$A:$M,13,FALSE)</f>
        <v>human</v>
      </c>
      <c r="M211" s="16">
        <f>VLOOKUP(D211,gacha_188_base!A:B,2,FALSE)</f>
        <v>2827</v>
      </c>
      <c r="N211" s="38">
        <f>IFERROR(VLOOKUP($F211,bug_conf_sheet!$A:$H,3,FALSE),VLOOKUP("other",bug_conf_sheet!$A:$H,3,FALSE))</f>
        <v>1</v>
      </c>
      <c r="O211" s="38">
        <f>IFERROR(VLOOKUP($F211,bug_conf_sheet!$A:$H,4,FALSE),VLOOKUP("other",bug_conf_sheet!$A:$H,4,FALSE))</f>
        <v>0</v>
      </c>
      <c r="P211" s="38">
        <f>IFERROR(VLOOKUP($F211,bug_conf_sheet!$A:$H,5,FALSE),VLOOKUP("other",bug_conf_sheet!$A:$H,5,FALSE))</f>
        <v>0</v>
      </c>
      <c r="Q211" s="38">
        <f>IFERROR(VLOOKUP($F211,bug_conf_sheet!$A:$H,6,FALSE),VLOOKUP("other",bug_conf_sheet!$A:$H,6,FALSE))</f>
        <v>0</v>
      </c>
      <c r="R211" s="38">
        <f>IFERROR(VLOOKUP($F211,bug_conf_sheet!$A:$H,7,FALSE),VLOOKUP("other",bug_conf_sheet!$A:$H,7,FALSE))</f>
        <v>0</v>
      </c>
      <c r="S211" s="38">
        <f>IFERROR(VLOOKUP($F211,bug_conf_sheet!$A:$H,8,FALSE),VLOOKUP("other",bug_conf_sheet!$A:$H,8,FALSE))</f>
        <v>1</v>
      </c>
    </row>
    <row r="212" spans="1:19" ht="21" customHeight="1">
      <c r="A212" s="7" t="str">
        <f t="shared" si="17"/>
        <v>1881498</v>
      </c>
      <c r="B212" s="2" t="str">
        <f t="shared" si="14"/>
        <v>1881</v>
      </c>
      <c r="C212" s="8" t="str">
        <f t="shared" si="18"/>
        <v>1PremiumS5</v>
      </c>
      <c r="D212" s="8" t="str">
        <f t="shared" si="16"/>
        <v>1PremiumS5</v>
      </c>
      <c r="E212" s="10">
        <v>1</v>
      </c>
      <c r="F212" s="6">
        <v>498</v>
      </c>
      <c r="G212" s="8" t="str">
        <f>VLOOKUP(F212,[1]characters!$A:$C,3,FALSE)</f>
        <v>自愛の高魔 エスタブ</v>
      </c>
      <c r="H212" s="8" t="str">
        <f>VLOOKUP(F212,[1]characters!$A:$J,10,FALSE)</f>
        <v>PremiumS</v>
      </c>
      <c r="I212" s="8">
        <f>VLOOKUP(F212,[1]characters!$A:$I,9,FALSE)</f>
        <v>5</v>
      </c>
      <c r="J212" s="8" t="str">
        <f>VLOOKUP(F212,[1]characters!$A:$H,8,FALSE)</f>
        <v>blue</v>
      </c>
      <c r="K212" s="8" t="str">
        <f>VLOOKUP(F212,[1]characters!$A:$K,11,FALSE)</f>
        <v>attack</v>
      </c>
      <c r="L212" s="8" t="str">
        <f>VLOOKUP(F212,[1]characters!$A:$M,13,FALSE)</f>
        <v>human</v>
      </c>
      <c r="M212" s="16">
        <f>VLOOKUP(D212,gacha_188_base!A:B,2,FALSE)</f>
        <v>942</v>
      </c>
      <c r="N212" s="38">
        <f>IFERROR(VLOOKUP($F212,bug_conf_sheet!$A:$H,3,FALSE),VLOOKUP("other",bug_conf_sheet!$A:$H,3,FALSE))</f>
        <v>1</v>
      </c>
      <c r="O212" s="38">
        <f>IFERROR(VLOOKUP($F212,bug_conf_sheet!$A:$H,4,FALSE),VLOOKUP("other",bug_conf_sheet!$A:$H,4,FALSE))</f>
        <v>0</v>
      </c>
      <c r="P212" s="38">
        <f>IFERROR(VLOOKUP($F212,bug_conf_sheet!$A:$H,5,FALSE),VLOOKUP("other",bug_conf_sheet!$A:$H,5,FALSE))</f>
        <v>0</v>
      </c>
      <c r="Q212" s="38">
        <f>IFERROR(VLOOKUP($F212,bug_conf_sheet!$A:$H,6,FALSE),VLOOKUP("other",bug_conf_sheet!$A:$H,6,FALSE))</f>
        <v>0</v>
      </c>
      <c r="R212" s="38">
        <f>IFERROR(VLOOKUP($F212,bug_conf_sheet!$A:$H,7,FALSE),VLOOKUP("other",bug_conf_sheet!$A:$H,7,FALSE))</f>
        <v>0</v>
      </c>
      <c r="S212" s="38">
        <f>IFERROR(VLOOKUP($F212,bug_conf_sheet!$A:$H,8,FALSE),VLOOKUP("other",bug_conf_sheet!$A:$H,8,FALSE))</f>
        <v>1</v>
      </c>
    </row>
    <row r="213" spans="1:19" ht="21" hidden="1" customHeight="1">
      <c r="A213" s="7" t="str">
        <f t="shared" si="17"/>
        <v>1881499</v>
      </c>
      <c r="B213" s="2" t="str">
        <f t="shared" si="14"/>
        <v>1881</v>
      </c>
      <c r="C213" s="8" t="str">
        <f t="shared" si="18"/>
        <v>1PremiumSS4</v>
      </c>
      <c r="D213" s="8" t="str">
        <f t="shared" si="16"/>
        <v>1PremiumSS4</v>
      </c>
      <c r="E213" s="10">
        <v>1</v>
      </c>
      <c r="F213" s="6">
        <v>499</v>
      </c>
      <c r="G213" s="8" t="str">
        <f>VLOOKUP(F213,[1]characters!$A:$C,3,FALSE)</f>
        <v>ラプンツェル</v>
      </c>
      <c r="H213" s="8" t="str">
        <f>VLOOKUP(F213,[1]characters!$A:$J,10,FALSE)</f>
        <v>PremiumSS</v>
      </c>
      <c r="I213" s="8">
        <f>VLOOKUP(F213,[1]characters!$A:$I,9,FALSE)</f>
        <v>4</v>
      </c>
      <c r="J213" s="8" t="str">
        <f>VLOOKUP(F213,[1]characters!$A:$H,8,FALSE)</f>
        <v>yellow</v>
      </c>
      <c r="K213" s="8" t="str">
        <f>VLOOKUP(F213,[1]characters!$A:$K,11,FALSE)</f>
        <v>balance</v>
      </c>
      <c r="L213" s="8" t="str">
        <f>VLOOKUP(F213,[1]characters!$A:$M,13,FALSE)</f>
        <v>human</v>
      </c>
      <c r="M213" s="16">
        <f>VLOOKUP(D213,gacha_188_base!A:B,2,FALSE)</f>
        <v>1705</v>
      </c>
      <c r="N213" s="38">
        <f>IFERROR(VLOOKUP($F213,bug_conf_sheet!$A:$H,3,FALSE),VLOOKUP("other",bug_conf_sheet!$A:$H,3,FALSE))</f>
        <v>1</v>
      </c>
      <c r="O213" s="38">
        <f>IFERROR(VLOOKUP($F213,bug_conf_sheet!$A:$H,4,FALSE),VLOOKUP("other",bug_conf_sheet!$A:$H,4,FALSE))</f>
        <v>0</v>
      </c>
      <c r="P213" s="38">
        <f>IFERROR(VLOOKUP($F213,bug_conf_sheet!$A:$H,5,FALSE),VLOOKUP("other",bug_conf_sheet!$A:$H,5,FALSE))</f>
        <v>0</v>
      </c>
      <c r="Q213" s="38">
        <f>IFERROR(VLOOKUP($F213,bug_conf_sheet!$A:$H,6,FALSE),VLOOKUP("other",bug_conf_sheet!$A:$H,6,FALSE))</f>
        <v>0</v>
      </c>
      <c r="R213" s="38">
        <f>IFERROR(VLOOKUP($F213,bug_conf_sheet!$A:$H,7,FALSE),VLOOKUP("other",bug_conf_sheet!$A:$H,7,FALSE))</f>
        <v>0</v>
      </c>
      <c r="S213" s="38">
        <f>IFERROR(VLOOKUP($F213,bug_conf_sheet!$A:$H,8,FALSE),VLOOKUP("other",bug_conf_sheet!$A:$H,8,FALSE))</f>
        <v>1</v>
      </c>
    </row>
    <row r="214" spans="1:19" ht="21" customHeight="1">
      <c r="A214" s="7" t="str">
        <f t="shared" ref="A214:A224" si="21">B214&amp;F214</f>
        <v>1881500</v>
      </c>
      <c r="B214" s="2" t="str">
        <f t="shared" si="14"/>
        <v>1881</v>
      </c>
      <c r="C214" s="8" t="str">
        <f t="shared" ref="C214:C224" si="22">E214&amp;H214&amp;I214</f>
        <v>1PremiumSS5</v>
      </c>
      <c r="D214" s="8" t="str">
        <f t="shared" ref="D214:D224" si="23">E214&amp;H214&amp;I214</f>
        <v>1PremiumSS5</v>
      </c>
      <c r="E214" s="10">
        <v>1</v>
      </c>
      <c r="F214" s="6">
        <v>500</v>
      </c>
      <c r="G214" s="8" t="str">
        <f>VLOOKUP(F214,[1]characters!$A:$C,3,FALSE)</f>
        <v>脈動の禁髪 ラプンツェル</v>
      </c>
      <c r="H214" s="8" t="str">
        <f>VLOOKUP(F214,[1]characters!$A:$J,10,FALSE)</f>
        <v>PremiumSS</v>
      </c>
      <c r="I214" s="8">
        <f>VLOOKUP(F214,[1]characters!$A:$I,9,FALSE)</f>
        <v>5</v>
      </c>
      <c r="J214" s="8" t="str">
        <f>VLOOKUP(F214,[1]characters!$A:$H,8,FALSE)</f>
        <v>yellow</v>
      </c>
      <c r="K214" s="8" t="str">
        <f>VLOOKUP(F214,[1]characters!$A:$K,11,FALSE)</f>
        <v>balance</v>
      </c>
      <c r="L214" s="8" t="str">
        <f>VLOOKUP(F214,[1]characters!$A:$M,13,FALSE)</f>
        <v>human</v>
      </c>
      <c r="M214" s="16">
        <f>VLOOKUP(D214,gacha_188_base!A:B,2,FALSE)</f>
        <v>114</v>
      </c>
      <c r="N214" s="38">
        <f>IFERROR(VLOOKUP($F214,bug_conf_sheet!$A:$H,3,FALSE),VLOOKUP("other",bug_conf_sheet!$A:$H,3,FALSE))</f>
        <v>1</v>
      </c>
      <c r="O214" s="38">
        <f>IFERROR(VLOOKUP($F214,bug_conf_sheet!$A:$H,4,FALSE),VLOOKUP("other",bug_conf_sheet!$A:$H,4,FALSE))</f>
        <v>0</v>
      </c>
      <c r="P214" s="38">
        <f>IFERROR(VLOOKUP($F214,bug_conf_sheet!$A:$H,5,FALSE),VLOOKUP("other",bug_conf_sheet!$A:$H,5,FALSE))</f>
        <v>0</v>
      </c>
      <c r="Q214" s="38">
        <f>IFERROR(VLOOKUP($F214,bug_conf_sheet!$A:$H,6,FALSE),VLOOKUP("other",bug_conf_sheet!$A:$H,6,FALSE))</f>
        <v>0</v>
      </c>
      <c r="R214" s="38">
        <f>IFERROR(VLOOKUP($F214,bug_conf_sheet!$A:$H,7,FALSE),VLOOKUP("other",bug_conf_sheet!$A:$H,7,FALSE))</f>
        <v>0</v>
      </c>
      <c r="S214" s="38">
        <f>IFERROR(VLOOKUP($F214,bug_conf_sheet!$A:$H,8,FALSE),VLOOKUP("other",bug_conf_sheet!$A:$H,8,FALSE))</f>
        <v>1</v>
      </c>
    </row>
    <row r="215" spans="1:19" ht="21" hidden="1" customHeight="1">
      <c r="A215" s="7" t="str">
        <f t="shared" si="21"/>
        <v>1881586</v>
      </c>
      <c r="B215" s="2" t="str">
        <f t="shared" si="14"/>
        <v>1881</v>
      </c>
      <c r="C215" s="8" t="str">
        <f t="shared" si="22"/>
        <v>1PremiumSS4</v>
      </c>
      <c r="D215" s="8" t="str">
        <f t="shared" si="23"/>
        <v>1PremiumSS4</v>
      </c>
      <c r="E215" s="10">
        <v>1</v>
      </c>
      <c r="F215" s="6">
        <v>586</v>
      </c>
      <c r="G215" s="8" t="str">
        <f>VLOOKUP(F215,[1]characters!$A:$C,3,FALSE)</f>
        <v>ユミル</v>
      </c>
      <c r="H215" s="8" t="str">
        <f>VLOOKUP(F215,[1]characters!$A:$J,10,FALSE)</f>
        <v>PremiumSS</v>
      </c>
      <c r="I215" s="8">
        <f>VLOOKUP(F215,[1]characters!$A:$I,9,FALSE)</f>
        <v>4</v>
      </c>
      <c r="J215" s="8" t="str">
        <f>VLOOKUP(F215,[1]characters!$A:$H,8,FALSE)</f>
        <v>red</v>
      </c>
      <c r="K215" s="8" t="str">
        <f>VLOOKUP(F215,[1]characters!$A:$K,11,FALSE)</f>
        <v>hp</v>
      </c>
      <c r="L215" s="8" t="str">
        <f>VLOOKUP(F215,[1]characters!$A:$M,13,FALSE)</f>
        <v>machine</v>
      </c>
      <c r="M215" s="16">
        <f>VLOOKUP(D215,gacha_188_base!A:B,2,FALSE)</f>
        <v>1705</v>
      </c>
      <c r="N215" s="38">
        <f>IFERROR(VLOOKUP($F215,bug_conf_sheet!$A:$H,3,FALSE),VLOOKUP("other",bug_conf_sheet!$A:$H,3,FALSE))</f>
        <v>1</v>
      </c>
      <c r="O215" s="38">
        <f>IFERROR(VLOOKUP($F215,bug_conf_sheet!$A:$H,4,FALSE),VLOOKUP("other",bug_conf_sheet!$A:$H,4,FALSE))</f>
        <v>0</v>
      </c>
      <c r="P215" s="38">
        <f>IFERROR(VLOOKUP($F215,bug_conf_sheet!$A:$H,5,FALSE),VLOOKUP("other",bug_conf_sheet!$A:$H,5,FALSE))</f>
        <v>0</v>
      </c>
      <c r="Q215" s="38">
        <f>IFERROR(VLOOKUP($F215,bug_conf_sheet!$A:$H,6,FALSE),VLOOKUP("other",bug_conf_sheet!$A:$H,6,FALSE))</f>
        <v>0</v>
      </c>
      <c r="R215" s="38">
        <f>IFERROR(VLOOKUP($F215,bug_conf_sheet!$A:$H,7,FALSE),VLOOKUP("other",bug_conf_sheet!$A:$H,7,FALSE))</f>
        <v>0</v>
      </c>
      <c r="S215" s="38">
        <f>IFERROR(VLOOKUP($F215,bug_conf_sheet!$A:$H,8,FALSE),VLOOKUP("other",bug_conf_sheet!$A:$H,8,FALSE))</f>
        <v>1</v>
      </c>
    </row>
    <row r="216" spans="1:19" ht="21" customHeight="1">
      <c r="A216" s="7" t="str">
        <f t="shared" si="21"/>
        <v>1881587</v>
      </c>
      <c r="B216" s="2" t="str">
        <f t="shared" si="14"/>
        <v>1881</v>
      </c>
      <c r="C216" s="8" t="str">
        <f t="shared" si="22"/>
        <v>1PremiumSS5</v>
      </c>
      <c r="D216" s="8" t="str">
        <f t="shared" si="23"/>
        <v>1PremiumSS5</v>
      </c>
      <c r="E216" s="10">
        <v>1</v>
      </c>
      <c r="F216" s="6">
        <v>587</v>
      </c>
      <c r="G216" s="8" t="str">
        <f>VLOOKUP(F216,[1]characters!$A:$C,3,FALSE)</f>
        <v>原初の煉鋼巨刃 ユミル</v>
      </c>
      <c r="H216" s="8" t="str">
        <f>VLOOKUP(F216,[1]characters!$A:$J,10,FALSE)</f>
        <v>PremiumSS</v>
      </c>
      <c r="I216" s="8">
        <f>VLOOKUP(F216,[1]characters!$A:$I,9,FALSE)</f>
        <v>5</v>
      </c>
      <c r="J216" s="8" t="str">
        <f>VLOOKUP(F216,[1]characters!$A:$H,8,FALSE)</f>
        <v>red</v>
      </c>
      <c r="K216" s="8" t="str">
        <f>VLOOKUP(F216,[1]characters!$A:$K,11,FALSE)</f>
        <v>hp</v>
      </c>
      <c r="L216" s="8" t="str">
        <f>VLOOKUP(F216,[1]characters!$A:$M,13,FALSE)</f>
        <v>machine</v>
      </c>
      <c r="M216" s="16">
        <f>VLOOKUP(D216,gacha_188_base!A:B,2,FALSE)</f>
        <v>114</v>
      </c>
      <c r="N216" s="38">
        <f>IFERROR(VLOOKUP($F216,bug_conf_sheet!$A:$H,3,FALSE),VLOOKUP("other",bug_conf_sheet!$A:$H,3,FALSE))</f>
        <v>1</v>
      </c>
      <c r="O216" s="38">
        <f>IFERROR(VLOOKUP($F216,bug_conf_sheet!$A:$H,4,FALSE),VLOOKUP("other",bug_conf_sheet!$A:$H,4,FALSE))</f>
        <v>0</v>
      </c>
      <c r="P216" s="38">
        <f>IFERROR(VLOOKUP($F216,bug_conf_sheet!$A:$H,5,FALSE),VLOOKUP("other",bug_conf_sheet!$A:$H,5,FALSE))</f>
        <v>0</v>
      </c>
      <c r="Q216" s="38">
        <f>IFERROR(VLOOKUP($F216,bug_conf_sheet!$A:$H,6,FALSE),VLOOKUP("other",bug_conf_sheet!$A:$H,6,FALSE))</f>
        <v>0</v>
      </c>
      <c r="R216" s="38">
        <f>IFERROR(VLOOKUP($F216,bug_conf_sheet!$A:$H,7,FALSE),VLOOKUP("other",bug_conf_sheet!$A:$H,7,FALSE))</f>
        <v>0</v>
      </c>
      <c r="S216" s="38">
        <f>IFERROR(VLOOKUP($F216,bug_conf_sheet!$A:$H,8,FALSE),VLOOKUP("other",bug_conf_sheet!$A:$H,8,FALSE))</f>
        <v>1</v>
      </c>
    </row>
    <row r="217" spans="1:19" ht="21" hidden="1" customHeight="1">
      <c r="A217" s="7" t="str">
        <f t="shared" si="21"/>
        <v>1881588</v>
      </c>
      <c r="B217" s="2" t="str">
        <f t="shared" si="14"/>
        <v>1881</v>
      </c>
      <c r="C217" s="8" t="str">
        <f t="shared" si="22"/>
        <v>1PremiumS3</v>
      </c>
      <c r="D217" s="8" t="str">
        <f t="shared" si="23"/>
        <v>1PremiumS3</v>
      </c>
      <c r="E217" s="10">
        <v>1</v>
      </c>
      <c r="F217" s="6">
        <v>588</v>
      </c>
      <c r="G217" s="8" t="str">
        <f>VLOOKUP(F217,[1]characters!$A:$C,3,FALSE)</f>
        <v>ニーベルゲン</v>
      </c>
      <c r="H217" s="8" t="str">
        <f>VLOOKUP(F217,[1]characters!$A:$J,10,FALSE)</f>
        <v>PremiumS</v>
      </c>
      <c r="I217" s="8">
        <f>VLOOKUP(F217,[1]characters!$A:$I,9,FALSE)</f>
        <v>3</v>
      </c>
      <c r="J217" s="8" t="str">
        <f>VLOOKUP(F217,[1]characters!$A:$H,8,FALSE)</f>
        <v>green</v>
      </c>
      <c r="K217" s="8" t="str">
        <f>VLOOKUP(F217,[1]characters!$A:$K,11,FALSE)</f>
        <v>balance</v>
      </c>
      <c r="L217" s="8" t="str">
        <f>VLOOKUP(F217,[1]characters!$A:$M,13,FALSE)</f>
        <v>unknown</v>
      </c>
      <c r="M217" s="16">
        <f>VLOOKUP(D217,gacha_188_base!A:B,2,FALSE)</f>
        <v>11309</v>
      </c>
      <c r="N217" s="38">
        <f>IFERROR(VLOOKUP($F217,bug_conf_sheet!$A:$H,3,FALSE),VLOOKUP("other",bug_conf_sheet!$A:$H,3,FALSE))</f>
        <v>1</v>
      </c>
      <c r="O217" s="38">
        <f>IFERROR(VLOOKUP($F217,bug_conf_sheet!$A:$H,4,FALSE),VLOOKUP("other",bug_conf_sheet!$A:$H,4,FALSE))</f>
        <v>0</v>
      </c>
      <c r="P217" s="38">
        <f>IFERROR(VLOOKUP($F217,bug_conf_sheet!$A:$H,5,FALSE),VLOOKUP("other",bug_conf_sheet!$A:$H,5,FALSE))</f>
        <v>0</v>
      </c>
      <c r="Q217" s="38">
        <f>IFERROR(VLOOKUP($F217,bug_conf_sheet!$A:$H,6,FALSE),VLOOKUP("other",bug_conf_sheet!$A:$H,6,FALSE))</f>
        <v>0</v>
      </c>
      <c r="R217" s="38">
        <f>IFERROR(VLOOKUP($F217,bug_conf_sheet!$A:$H,7,FALSE),VLOOKUP("other",bug_conf_sheet!$A:$H,7,FALSE))</f>
        <v>0</v>
      </c>
      <c r="S217" s="38">
        <f>IFERROR(VLOOKUP($F217,bug_conf_sheet!$A:$H,8,FALSE),VLOOKUP("other",bug_conf_sheet!$A:$H,8,FALSE))</f>
        <v>1</v>
      </c>
    </row>
    <row r="218" spans="1:19" ht="21" hidden="1" customHeight="1">
      <c r="A218" s="7" t="str">
        <f t="shared" si="21"/>
        <v>1881589</v>
      </c>
      <c r="B218" s="2" t="str">
        <f t="shared" si="14"/>
        <v>1881</v>
      </c>
      <c r="C218" s="8" t="str">
        <f t="shared" si="22"/>
        <v>1PremiumS4</v>
      </c>
      <c r="D218" s="8" t="str">
        <f t="shared" si="23"/>
        <v>1PremiumS4</v>
      </c>
      <c r="E218" s="10">
        <v>1</v>
      </c>
      <c r="F218" s="6">
        <v>589</v>
      </c>
      <c r="G218" s="8" t="str">
        <f>VLOOKUP(F218,[1]characters!$A:$C,3,FALSE)</f>
        <v>不幸の円環 ニーベルゲン</v>
      </c>
      <c r="H218" s="8" t="str">
        <f>VLOOKUP(F218,[1]characters!$A:$J,10,FALSE)</f>
        <v>PremiumS</v>
      </c>
      <c r="I218" s="8">
        <f>VLOOKUP(F218,[1]characters!$A:$I,9,FALSE)</f>
        <v>4</v>
      </c>
      <c r="J218" s="8" t="str">
        <f>VLOOKUP(F218,[1]characters!$A:$H,8,FALSE)</f>
        <v>green</v>
      </c>
      <c r="K218" s="8" t="str">
        <f>VLOOKUP(F218,[1]characters!$A:$K,11,FALSE)</f>
        <v>balance</v>
      </c>
      <c r="L218" s="8" t="str">
        <f>VLOOKUP(F218,[1]characters!$A:$M,13,FALSE)</f>
        <v>unknown</v>
      </c>
      <c r="M218" s="16">
        <f>VLOOKUP(D218,gacha_188_base!A:B,2,FALSE)</f>
        <v>2827</v>
      </c>
      <c r="N218" s="38">
        <f>IFERROR(VLOOKUP($F218,bug_conf_sheet!$A:$H,3,FALSE),VLOOKUP("other",bug_conf_sheet!$A:$H,3,FALSE))</f>
        <v>1</v>
      </c>
      <c r="O218" s="38">
        <f>IFERROR(VLOOKUP($F218,bug_conf_sheet!$A:$H,4,FALSE),VLOOKUP("other",bug_conf_sheet!$A:$H,4,FALSE))</f>
        <v>0</v>
      </c>
      <c r="P218" s="38">
        <f>IFERROR(VLOOKUP($F218,bug_conf_sheet!$A:$H,5,FALSE),VLOOKUP("other",bug_conf_sheet!$A:$H,5,FALSE))</f>
        <v>0</v>
      </c>
      <c r="Q218" s="38">
        <f>IFERROR(VLOOKUP($F218,bug_conf_sheet!$A:$H,6,FALSE),VLOOKUP("other",bug_conf_sheet!$A:$H,6,FALSE))</f>
        <v>0</v>
      </c>
      <c r="R218" s="38">
        <f>IFERROR(VLOOKUP($F218,bug_conf_sheet!$A:$H,7,FALSE),VLOOKUP("other",bug_conf_sheet!$A:$H,7,FALSE))</f>
        <v>0</v>
      </c>
      <c r="S218" s="38">
        <f>IFERROR(VLOOKUP($F218,bug_conf_sheet!$A:$H,8,FALSE),VLOOKUP("other",bug_conf_sheet!$A:$H,8,FALSE))</f>
        <v>1</v>
      </c>
    </row>
    <row r="219" spans="1:19" ht="21" customHeight="1">
      <c r="A219" s="7" t="str">
        <f t="shared" si="21"/>
        <v>1881590</v>
      </c>
      <c r="B219" s="2" t="str">
        <f t="shared" si="14"/>
        <v>1881</v>
      </c>
      <c r="C219" s="8" t="str">
        <f t="shared" si="22"/>
        <v>1PremiumS5</v>
      </c>
      <c r="D219" s="8" t="str">
        <f t="shared" si="23"/>
        <v>1PremiumS5</v>
      </c>
      <c r="E219" s="10">
        <v>1</v>
      </c>
      <c r="F219" s="6">
        <v>590</v>
      </c>
      <c r="G219" s="8" t="str">
        <f>VLOOKUP(F219,[1]characters!$A:$C,3,FALSE)</f>
        <v>永遠を廻る呪い ニーベルゲン</v>
      </c>
      <c r="H219" s="8" t="str">
        <f>VLOOKUP(F219,[1]characters!$A:$J,10,FALSE)</f>
        <v>PremiumS</v>
      </c>
      <c r="I219" s="8">
        <f>VLOOKUP(F219,[1]characters!$A:$I,9,FALSE)</f>
        <v>5</v>
      </c>
      <c r="J219" s="8" t="str">
        <f>VLOOKUP(F219,[1]characters!$A:$H,8,FALSE)</f>
        <v>green</v>
      </c>
      <c r="K219" s="8" t="str">
        <f>VLOOKUP(F219,[1]characters!$A:$K,11,FALSE)</f>
        <v>balance</v>
      </c>
      <c r="L219" s="8" t="str">
        <f>VLOOKUP(F219,[1]characters!$A:$M,13,FALSE)</f>
        <v>unknown</v>
      </c>
      <c r="M219" s="16">
        <f>VLOOKUP(D219,gacha_188_base!A:B,2,FALSE)</f>
        <v>942</v>
      </c>
      <c r="N219" s="38">
        <f>IFERROR(VLOOKUP($F219,bug_conf_sheet!$A:$H,3,FALSE),VLOOKUP("other",bug_conf_sheet!$A:$H,3,FALSE))</f>
        <v>1</v>
      </c>
      <c r="O219" s="38">
        <f>IFERROR(VLOOKUP($F219,bug_conf_sheet!$A:$H,4,FALSE),VLOOKUP("other",bug_conf_sheet!$A:$H,4,FALSE))</f>
        <v>0</v>
      </c>
      <c r="P219" s="38">
        <f>IFERROR(VLOOKUP($F219,bug_conf_sheet!$A:$H,5,FALSE),VLOOKUP("other",bug_conf_sheet!$A:$H,5,FALSE))</f>
        <v>0</v>
      </c>
      <c r="Q219" s="38">
        <f>IFERROR(VLOOKUP($F219,bug_conf_sheet!$A:$H,6,FALSE),VLOOKUP("other",bug_conf_sheet!$A:$H,6,FALSE))</f>
        <v>0</v>
      </c>
      <c r="R219" s="38">
        <f>IFERROR(VLOOKUP($F219,bug_conf_sheet!$A:$H,7,FALSE),VLOOKUP("other",bug_conf_sheet!$A:$H,7,FALSE))</f>
        <v>0</v>
      </c>
      <c r="S219" s="38">
        <f>IFERROR(VLOOKUP($F219,bug_conf_sheet!$A:$H,8,FALSE),VLOOKUP("other",bug_conf_sheet!$A:$H,8,FALSE))</f>
        <v>1</v>
      </c>
    </row>
    <row r="220" spans="1:19" ht="21" hidden="1" customHeight="1">
      <c r="A220" s="7" t="str">
        <f t="shared" si="21"/>
        <v>1881591</v>
      </c>
      <c r="B220" s="2" t="str">
        <f t="shared" si="14"/>
        <v>1881</v>
      </c>
      <c r="C220" s="8" t="str">
        <f t="shared" si="22"/>
        <v>1PremiumS3</v>
      </c>
      <c r="D220" s="8" t="str">
        <f t="shared" si="23"/>
        <v>1PremiumS3</v>
      </c>
      <c r="E220" s="10">
        <v>1</v>
      </c>
      <c r="F220" s="6">
        <v>591</v>
      </c>
      <c r="G220" s="8" t="str">
        <f>VLOOKUP(F220,[1]characters!$A:$C,3,FALSE)</f>
        <v>ファフニール</v>
      </c>
      <c r="H220" s="8" t="str">
        <f>VLOOKUP(F220,[1]characters!$A:$J,10,FALSE)</f>
        <v>PremiumS</v>
      </c>
      <c r="I220" s="8">
        <f>VLOOKUP(F220,[1]characters!$A:$I,9,FALSE)</f>
        <v>3</v>
      </c>
      <c r="J220" s="8" t="str">
        <f>VLOOKUP(F220,[1]characters!$A:$H,8,FALSE)</f>
        <v>blue</v>
      </c>
      <c r="K220" s="8" t="str">
        <f>VLOOKUP(F220,[1]characters!$A:$K,11,FALSE)</f>
        <v>technical</v>
      </c>
      <c r="L220" s="8" t="str">
        <f>VLOOKUP(F220,[1]characters!$A:$M,13,FALSE)</f>
        <v>dragon</v>
      </c>
      <c r="M220" s="16">
        <f>VLOOKUP(D220,gacha_188_base!A:B,2,FALSE)</f>
        <v>11309</v>
      </c>
      <c r="N220" s="38">
        <f>IFERROR(VLOOKUP($F220,bug_conf_sheet!$A:$H,3,FALSE),VLOOKUP("other",bug_conf_sheet!$A:$H,3,FALSE))</f>
        <v>1</v>
      </c>
      <c r="O220" s="38">
        <f>IFERROR(VLOOKUP($F220,bug_conf_sheet!$A:$H,4,FALSE),VLOOKUP("other",bug_conf_sheet!$A:$H,4,FALSE))</f>
        <v>0</v>
      </c>
      <c r="P220" s="38">
        <f>IFERROR(VLOOKUP($F220,bug_conf_sheet!$A:$H,5,FALSE),VLOOKUP("other",bug_conf_sheet!$A:$H,5,FALSE))</f>
        <v>0</v>
      </c>
      <c r="Q220" s="38">
        <f>IFERROR(VLOOKUP($F220,bug_conf_sheet!$A:$H,6,FALSE),VLOOKUP("other",bug_conf_sheet!$A:$H,6,FALSE))</f>
        <v>0</v>
      </c>
      <c r="R220" s="38">
        <f>IFERROR(VLOOKUP($F220,bug_conf_sheet!$A:$H,7,FALSE),VLOOKUP("other",bug_conf_sheet!$A:$H,7,FALSE))</f>
        <v>0</v>
      </c>
      <c r="S220" s="38">
        <f>IFERROR(VLOOKUP($F220,bug_conf_sheet!$A:$H,8,FALSE),VLOOKUP("other",bug_conf_sheet!$A:$H,8,FALSE))</f>
        <v>1</v>
      </c>
    </row>
    <row r="221" spans="1:19" ht="21" hidden="1" customHeight="1">
      <c r="A221" s="7" t="str">
        <f t="shared" si="21"/>
        <v>1881592</v>
      </c>
      <c r="B221" s="2" t="str">
        <f t="shared" si="14"/>
        <v>1881</v>
      </c>
      <c r="C221" s="8" t="str">
        <f t="shared" si="22"/>
        <v>1PremiumS4</v>
      </c>
      <c r="D221" s="8" t="str">
        <f t="shared" si="23"/>
        <v>1PremiumS4</v>
      </c>
      <c r="E221" s="10">
        <v>1</v>
      </c>
      <c r="F221" s="6">
        <v>592</v>
      </c>
      <c r="G221" s="8" t="str">
        <f>VLOOKUP(F221,[1]characters!$A:$C,3,FALSE)</f>
        <v>財宝への執着 ファフニール</v>
      </c>
      <c r="H221" s="8" t="str">
        <f>VLOOKUP(F221,[1]characters!$A:$J,10,FALSE)</f>
        <v>PremiumS</v>
      </c>
      <c r="I221" s="8">
        <f>VLOOKUP(F221,[1]characters!$A:$I,9,FALSE)</f>
        <v>4</v>
      </c>
      <c r="J221" s="8" t="str">
        <f>VLOOKUP(F221,[1]characters!$A:$H,8,FALSE)</f>
        <v>blue</v>
      </c>
      <c r="K221" s="8" t="str">
        <f>VLOOKUP(F221,[1]characters!$A:$K,11,FALSE)</f>
        <v>technical</v>
      </c>
      <c r="L221" s="8" t="str">
        <f>VLOOKUP(F221,[1]characters!$A:$M,13,FALSE)</f>
        <v>dragon</v>
      </c>
      <c r="M221" s="16">
        <f>VLOOKUP(D221,gacha_188_base!A:B,2,FALSE)</f>
        <v>2827</v>
      </c>
      <c r="N221" s="38">
        <f>IFERROR(VLOOKUP($F221,bug_conf_sheet!$A:$H,3,FALSE),VLOOKUP("other",bug_conf_sheet!$A:$H,3,FALSE))</f>
        <v>1</v>
      </c>
      <c r="O221" s="38">
        <f>IFERROR(VLOOKUP($F221,bug_conf_sheet!$A:$H,4,FALSE),VLOOKUP("other",bug_conf_sheet!$A:$H,4,FALSE))</f>
        <v>0</v>
      </c>
      <c r="P221" s="38">
        <f>IFERROR(VLOOKUP($F221,bug_conf_sheet!$A:$H,5,FALSE),VLOOKUP("other",bug_conf_sheet!$A:$H,5,FALSE))</f>
        <v>0</v>
      </c>
      <c r="Q221" s="38">
        <f>IFERROR(VLOOKUP($F221,bug_conf_sheet!$A:$H,6,FALSE),VLOOKUP("other",bug_conf_sheet!$A:$H,6,FALSE))</f>
        <v>0</v>
      </c>
      <c r="R221" s="38">
        <f>IFERROR(VLOOKUP($F221,bug_conf_sheet!$A:$H,7,FALSE),VLOOKUP("other",bug_conf_sheet!$A:$H,7,FALSE))</f>
        <v>0</v>
      </c>
      <c r="S221" s="38">
        <f>IFERROR(VLOOKUP($F221,bug_conf_sheet!$A:$H,8,FALSE),VLOOKUP("other",bug_conf_sheet!$A:$H,8,FALSE))</f>
        <v>1</v>
      </c>
    </row>
    <row r="222" spans="1:19" ht="21" customHeight="1">
      <c r="A222" s="7" t="str">
        <f t="shared" si="21"/>
        <v>1881593</v>
      </c>
      <c r="B222" s="2" t="str">
        <f t="shared" si="14"/>
        <v>1881</v>
      </c>
      <c r="C222" s="8" t="str">
        <f t="shared" si="22"/>
        <v>1PremiumS5</v>
      </c>
      <c r="D222" s="8" t="str">
        <f t="shared" si="23"/>
        <v>1PremiumS5</v>
      </c>
      <c r="E222" s="10">
        <v>1</v>
      </c>
      <c r="F222" s="6">
        <v>593</v>
      </c>
      <c r="G222" s="8" t="str">
        <f>VLOOKUP(F222,[1]characters!$A:$C,3,FALSE)</f>
        <v>妄執する邪毒龍 ファフニール</v>
      </c>
      <c r="H222" s="8" t="str">
        <f>VLOOKUP(F222,[1]characters!$A:$J,10,FALSE)</f>
        <v>PremiumS</v>
      </c>
      <c r="I222" s="8">
        <f>VLOOKUP(F222,[1]characters!$A:$I,9,FALSE)</f>
        <v>5</v>
      </c>
      <c r="J222" s="8" t="str">
        <f>VLOOKUP(F222,[1]characters!$A:$H,8,FALSE)</f>
        <v>blue</v>
      </c>
      <c r="K222" s="8" t="str">
        <f>VLOOKUP(F222,[1]characters!$A:$K,11,FALSE)</f>
        <v>technical</v>
      </c>
      <c r="L222" s="8" t="str">
        <f>VLOOKUP(F222,[1]characters!$A:$M,13,FALSE)</f>
        <v>dragon</v>
      </c>
      <c r="M222" s="16">
        <f>VLOOKUP(D222,gacha_188_base!A:B,2,FALSE)</f>
        <v>942</v>
      </c>
      <c r="N222" s="38">
        <f>IFERROR(VLOOKUP($F222,bug_conf_sheet!$A:$H,3,FALSE),VLOOKUP("other",bug_conf_sheet!$A:$H,3,FALSE))</f>
        <v>1</v>
      </c>
      <c r="O222" s="38">
        <f>IFERROR(VLOOKUP($F222,bug_conf_sheet!$A:$H,4,FALSE),VLOOKUP("other",bug_conf_sheet!$A:$H,4,FALSE))</f>
        <v>0</v>
      </c>
      <c r="P222" s="38">
        <f>IFERROR(VLOOKUP($F222,bug_conf_sheet!$A:$H,5,FALSE),VLOOKUP("other",bug_conf_sheet!$A:$H,5,FALSE))</f>
        <v>0</v>
      </c>
      <c r="Q222" s="38">
        <f>IFERROR(VLOOKUP($F222,bug_conf_sheet!$A:$H,6,FALSE),VLOOKUP("other",bug_conf_sheet!$A:$H,6,FALSE))</f>
        <v>0</v>
      </c>
      <c r="R222" s="38">
        <f>IFERROR(VLOOKUP($F222,bug_conf_sheet!$A:$H,7,FALSE),VLOOKUP("other",bug_conf_sheet!$A:$H,7,FALSE))</f>
        <v>0</v>
      </c>
      <c r="S222" s="38">
        <f>IFERROR(VLOOKUP($F222,bug_conf_sheet!$A:$H,8,FALSE),VLOOKUP("other",bug_conf_sheet!$A:$H,8,FALSE))</f>
        <v>1</v>
      </c>
    </row>
    <row r="223" spans="1:19" ht="21" hidden="1" customHeight="1">
      <c r="A223" s="7" t="str">
        <f t="shared" si="21"/>
        <v>1881594</v>
      </c>
      <c r="B223" s="2" t="str">
        <f t="shared" si="14"/>
        <v>1881</v>
      </c>
      <c r="C223" s="8" t="str">
        <f t="shared" si="22"/>
        <v>1PremiumSS4</v>
      </c>
      <c r="D223" s="8" t="str">
        <f t="shared" si="23"/>
        <v>1PremiumSS4</v>
      </c>
      <c r="E223" s="10">
        <v>1</v>
      </c>
      <c r="F223" s="6">
        <v>594</v>
      </c>
      <c r="G223" s="8" t="str">
        <f>VLOOKUP(F223,[1]characters!$A:$C,3,FALSE)</f>
        <v>アルフヘイム</v>
      </c>
      <c r="H223" s="8" t="str">
        <f>VLOOKUP(F223,[1]characters!$A:$J,10,FALSE)</f>
        <v>PremiumSS</v>
      </c>
      <c r="I223" s="8">
        <f>VLOOKUP(F223,[1]characters!$A:$I,9,FALSE)</f>
        <v>4</v>
      </c>
      <c r="J223" s="8" t="str">
        <f>VLOOKUP(F223,[1]characters!$A:$H,8,FALSE)</f>
        <v>yellow</v>
      </c>
      <c r="K223" s="8" t="str">
        <f>VLOOKUP(F223,[1]characters!$A:$K,11,FALSE)</f>
        <v>attack</v>
      </c>
      <c r="L223" s="8" t="str">
        <f>VLOOKUP(F223,[1]characters!$A:$M,13,FALSE)</f>
        <v>dragon</v>
      </c>
      <c r="M223" s="16">
        <f>VLOOKUP(D223,gacha_188_base!A:B,2,FALSE)</f>
        <v>1705</v>
      </c>
      <c r="N223" s="38">
        <f>IFERROR(VLOOKUP($F223,bug_conf_sheet!$A:$H,3,FALSE),VLOOKUP("other",bug_conf_sheet!$A:$H,3,FALSE))</f>
        <v>1</v>
      </c>
      <c r="O223" s="38">
        <f>IFERROR(VLOOKUP($F223,bug_conf_sheet!$A:$H,4,FALSE),VLOOKUP("other",bug_conf_sheet!$A:$H,4,FALSE))</f>
        <v>0</v>
      </c>
      <c r="P223" s="38">
        <f>IFERROR(VLOOKUP($F223,bug_conf_sheet!$A:$H,5,FALSE),VLOOKUP("other",bug_conf_sheet!$A:$H,5,FALSE))</f>
        <v>0</v>
      </c>
      <c r="Q223" s="38">
        <f>IFERROR(VLOOKUP($F223,bug_conf_sheet!$A:$H,6,FALSE),VLOOKUP("other",bug_conf_sheet!$A:$H,6,FALSE))</f>
        <v>0</v>
      </c>
      <c r="R223" s="38">
        <f>IFERROR(VLOOKUP($F223,bug_conf_sheet!$A:$H,7,FALSE),VLOOKUP("other",bug_conf_sheet!$A:$H,7,FALSE))</f>
        <v>0</v>
      </c>
      <c r="S223" s="38">
        <f>IFERROR(VLOOKUP($F223,bug_conf_sheet!$A:$H,8,FALSE),VLOOKUP("other",bug_conf_sheet!$A:$H,8,FALSE))</f>
        <v>1</v>
      </c>
    </row>
    <row r="224" spans="1:19" ht="21" customHeight="1">
      <c r="A224" s="7" t="str">
        <f t="shared" si="21"/>
        <v>1881595</v>
      </c>
      <c r="B224" s="2" t="str">
        <f t="shared" si="14"/>
        <v>1881</v>
      </c>
      <c r="C224" s="8" t="str">
        <f t="shared" si="22"/>
        <v>1PremiumSS5</v>
      </c>
      <c r="D224" s="8" t="str">
        <f t="shared" si="23"/>
        <v>1PremiumSS5</v>
      </c>
      <c r="E224" s="10">
        <v>1</v>
      </c>
      <c r="F224" s="6">
        <v>595</v>
      </c>
      <c r="G224" s="8" t="str">
        <f>VLOOKUP(F224,[1]characters!$A:$C,3,FALSE)</f>
        <v>光華なる神域 アルフヘイム</v>
      </c>
      <c r="H224" s="8" t="str">
        <f>VLOOKUP(F224,[1]characters!$A:$J,10,FALSE)</f>
        <v>PremiumSS</v>
      </c>
      <c r="I224" s="8">
        <f>VLOOKUP(F224,[1]characters!$A:$I,9,FALSE)</f>
        <v>5</v>
      </c>
      <c r="J224" s="8" t="str">
        <f>VLOOKUP(F224,[1]characters!$A:$H,8,FALSE)</f>
        <v>yellow</v>
      </c>
      <c r="K224" s="8" t="str">
        <f>VLOOKUP(F224,[1]characters!$A:$K,11,FALSE)</f>
        <v>attack</v>
      </c>
      <c r="L224" s="8" t="str">
        <f>VLOOKUP(F224,[1]characters!$A:$M,13,FALSE)</f>
        <v>dragon</v>
      </c>
      <c r="M224" s="16">
        <f>VLOOKUP(D224,gacha_188_base!A:B,2,FALSE)</f>
        <v>114</v>
      </c>
      <c r="N224" s="38">
        <f>IFERROR(VLOOKUP($F224,bug_conf_sheet!$A:$H,3,FALSE),VLOOKUP("other",bug_conf_sheet!$A:$H,3,FALSE))</f>
        <v>1</v>
      </c>
      <c r="O224" s="38">
        <f>IFERROR(VLOOKUP($F224,bug_conf_sheet!$A:$H,4,FALSE),VLOOKUP("other",bug_conf_sheet!$A:$H,4,FALSE))</f>
        <v>0</v>
      </c>
      <c r="P224" s="38">
        <f>IFERROR(VLOOKUP($F224,bug_conf_sheet!$A:$H,5,FALSE),VLOOKUP("other",bug_conf_sheet!$A:$H,5,FALSE))</f>
        <v>0</v>
      </c>
      <c r="Q224" s="38">
        <f>IFERROR(VLOOKUP($F224,bug_conf_sheet!$A:$H,6,FALSE),VLOOKUP("other",bug_conf_sheet!$A:$H,6,FALSE))</f>
        <v>0</v>
      </c>
      <c r="R224" s="38">
        <f>IFERROR(VLOOKUP($F224,bug_conf_sheet!$A:$H,7,FALSE),VLOOKUP("other",bug_conf_sheet!$A:$H,7,FALSE))</f>
        <v>0</v>
      </c>
      <c r="S224" s="38">
        <f>IFERROR(VLOOKUP($F224,bug_conf_sheet!$A:$H,8,FALSE),VLOOKUP("other",bug_conf_sheet!$A:$H,8,FALSE))</f>
        <v>1</v>
      </c>
    </row>
    <row r="225" spans="1:19" ht="21" hidden="1" customHeight="1">
      <c r="A225" s="7" t="str">
        <f t="shared" si="17"/>
        <v>1881596</v>
      </c>
      <c r="B225" s="2" t="str">
        <f t="shared" si="14"/>
        <v>1881</v>
      </c>
      <c r="C225" s="8" t="str">
        <f t="shared" si="18"/>
        <v>1PremiumS3</v>
      </c>
      <c r="D225" s="8" t="str">
        <f t="shared" si="16"/>
        <v>1PremiumS3</v>
      </c>
      <c r="E225" s="10">
        <v>1</v>
      </c>
      <c r="F225" s="6">
        <v>596</v>
      </c>
      <c r="G225" s="8" t="str">
        <f>VLOOKUP(F225,[1]characters!$A:$C,3,FALSE)</f>
        <v>ムスペルヘイム</v>
      </c>
      <c r="H225" s="8" t="str">
        <f>VLOOKUP(F225,[1]characters!$A:$J,10,FALSE)</f>
        <v>PremiumS</v>
      </c>
      <c r="I225" s="8">
        <f>VLOOKUP(F225,[1]characters!$A:$I,9,FALSE)</f>
        <v>3</v>
      </c>
      <c r="J225" s="8" t="str">
        <f>VLOOKUP(F225,[1]characters!$A:$H,8,FALSE)</f>
        <v>red</v>
      </c>
      <c r="K225" s="8" t="str">
        <f>VLOOKUP(F225,[1]characters!$A:$K,11,FALSE)</f>
        <v>balance</v>
      </c>
      <c r="L225" s="8" t="str">
        <f>VLOOKUP(F225,[1]characters!$A:$M,13,FALSE)</f>
        <v>human</v>
      </c>
      <c r="M225" s="16">
        <f>VLOOKUP(D225,gacha_188_base!A:B,2,FALSE)</f>
        <v>11309</v>
      </c>
      <c r="N225" s="38">
        <f>IFERROR(VLOOKUP($F225,bug_conf_sheet!$A:$H,3,FALSE),VLOOKUP("other",bug_conf_sheet!$A:$H,3,FALSE))</f>
        <v>1</v>
      </c>
      <c r="O225" s="38">
        <f>IFERROR(VLOOKUP($F225,bug_conf_sheet!$A:$H,4,FALSE),VLOOKUP("other",bug_conf_sheet!$A:$H,4,FALSE))</f>
        <v>0</v>
      </c>
      <c r="P225" s="38">
        <f>IFERROR(VLOOKUP($F225,bug_conf_sheet!$A:$H,5,FALSE),VLOOKUP("other",bug_conf_sheet!$A:$H,5,FALSE))</f>
        <v>0</v>
      </c>
      <c r="Q225" s="38">
        <f>IFERROR(VLOOKUP($F225,bug_conf_sheet!$A:$H,6,FALSE),VLOOKUP("other",bug_conf_sheet!$A:$H,6,FALSE))</f>
        <v>0</v>
      </c>
      <c r="R225" s="38">
        <f>IFERROR(VLOOKUP($F225,bug_conf_sheet!$A:$H,7,FALSE),VLOOKUP("other",bug_conf_sheet!$A:$H,7,FALSE))</f>
        <v>0</v>
      </c>
      <c r="S225" s="38">
        <f>IFERROR(VLOOKUP($F225,bug_conf_sheet!$A:$H,8,FALSE),VLOOKUP("other",bug_conf_sheet!$A:$H,8,FALSE))</f>
        <v>1</v>
      </c>
    </row>
    <row r="226" spans="1:19" ht="21" hidden="1" customHeight="1">
      <c r="A226" s="7" t="str">
        <f t="shared" ref="A226:A237" si="24">B226&amp;F226</f>
        <v>1881597</v>
      </c>
      <c r="B226" s="2" t="str">
        <f t="shared" si="14"/>
        <v>1881</v>
      </c>
      <c r="C226" s="8" t="str">
        <f t="shared" ref="C226:C237" si="25">E226&amp;H226&amp;I226</f>
        <v>1PremiumS4</v>
      </c>
      <c r="D226" s="8" t="str">
        <f t="shared" si="16"/>
        <v>1PremiumS4</v>
      </c>
      <c r="E226" s="10">
        <v>1</v>
      </c>
      <c r="F226" s="6">
        <v>597</v>
      </c>
      <c r="G226" s="8" t="str">
        <f>VLOOKUP(F226,[1]characters!$A:$C,3,FALSE)</f>
        <v>灼熱の魂 ムスペルヘイム</v>
      </c>
      <c r="H226" s="8" t="str">
        <f>VLOOKUP(F226,[1]characters!$A:$J,10,FALSE)</f>
        <v>PremiumS</v>
      </c>
      <c r="I226" s="8">
        <f>VLOOKUP(F226,[1]characters!$A:$I,9,FALSE)</f>
        <v>4</v>
      </c>
      <c r="J226" s="8" t="str">
        <f>VLOOKUP(F226,[1]characters!$A:$H,8,FALSE)</f>
        <v>red</v>
      </c>
      <c r="K226" s="8" t="str">
        <f>VLOOKUP(F226,[1]characters!$A:$K,11,FALSE)</f>
        <v>balance</v>
      </c>
      <c r="L226" s="8" t="str">
        <f>VLOOKUP(F226,[1]characters!$A:$M,13,FALSE)</f>
        <v>human</v>
      </c>
      <c r="M226" s="16">
        <f>VLOOKUP(D226,gacha_188_base!A:B,2,FALSE)</f>
        <v>2827</v>
      </c>
      <c r="N226" s="38">
        <f>IFERROR(VLOOKUP($F226,bug_conf_sheet!$A:$H,3,FALSE),VLOOKUP("other",bug_conf_sheet!$A:$H,3,FALSE))</f>
        <v>1</v>
      </c>
      <c r="O226" s="38">
        <f>IFERROR(VLOOKUP($F226,bug_conf_sheet!$A:$H,4,FALSE),VLOOKUP("other",bug_conf_sheet!$A:$H,4,FALSE))</f>
        <v>0</v>
      </c>
      <c r="P226" s="38">
        <f>IFERROR(VLOOKUP($F226,bug_conf_sheet!$A:$H,5,FALSE),VLOOKUP("other",bug_conf_sheet!$A:$H,5,FALSE))</f>
        <v>0</v>
      </c>
      <c r="Q226" s="38">
        <f>IFERROR(VLOOKUP($F226,bug_conf_sheet!$A:$H,6,FALSE),VLOOKUP("other",bug_conf_sheet!$A:$H,6,FALSE))</f>
        <v>0</v>
      </c>
      <c r="R226" s="38">
        <f>IFERROR(VLOOKUP($F226,bug_conf_sheet!$A:$H,7,FALSE),VLOOKUP("other",bug_conf_sheet!$A:$H,7,FALSE))</f>
        <v>0</v>
      </c>
      <c r="S226" s="38">
        <f>IFERROR(VLOOKUP($F226,bug_conf_sheet!$A:$H,8,FALSE),VLOOKUP("other",bug_conf_sheet!$A:$H,8,FALSE))</f>
        <v>1</v>
      </c>
    </row>
    <row r="227" spans="1:19" ht="21" customHeight="1">
      <c r="A227" s="7" t="str">
        <f t="shared" si="24"/>
        <v>1881598</v>
      </c>
      <c r="B227" s="2" t="str">
        <f t="shared" si="14"/>
        <v>1881</v>
      </c>
      <c r="C227" s="8" t="str">
        <f t="shared" si="25"/>
        <v>1PremiumS5</v>
      </c>
      <c r="D227" s="8" t="str">
        <f t="shared" si="16"/>
        <v>1PremiumS5</v>
      </c>
      <c r="E227" s="10">
        <v>1</v>
      </c>
      <c r="F227" s="6">
        <v>598</v>
      </c>
      <c r="G227" s="8" t="str">
        <f>VLOOKUP(F227,[1]characters!$A:$C,3,FALSE)</f>
        <v>焼燃の情熱 ムスペルヘイム</v>
      </c>
      <c r="H227" s="8" t="str">
        <f>VLOOKUP(F227,[1]characters!$A:$J,10,FALSE)</f>
        <v>PremiumS</v>
      </c>
      <c r="I227" s="8">
        <f>VLOOKUP(F227,[1]characters!$A:$I,9,FALSE)</f>
        <v>5</v>
      </c>
      <c r="J227" s="8" t="str">
        <f>VLOOKUP(F227,[1]characters!$A:$H,8,FALSE)</f>
        <v>red</v>
      </c>
      <c r="K227" s="8" t="str">
        <f>VLOOKUP(F227,[1]characters!$A:$K,11,FALSE)</f>
        <v>balance</v>
      </c>
      <c r="L227" s="8" t="str">
        <f>VLOOKUP(F227,[1]characters!$A:$M,13,FALSE)</f>
        <v>human</v>
      </c>
      <c r="M227" s="16">
        <f>VLOOKUP(D227,gacha_188_base!A:B,2,FALSE)</f>
        <v>942</v>
      </c>
      <c r="N227" s="38">
        <f>IFERROR(VLOOKUP($F227,bug_conf_sheet!$A:$H,3,FALSE),VLOOKUP("other",bug_conf_sheet!$A:$H,3,FALSE))</f>
        <v>1</v>
      </c>
      <c r="O227" s="38">
        <f>IFERROR(VLOOKUP($F227,bug_conf_sheet!$A:$H,4,FALSE),VLOOKUP("other",bug_conf_sheet!$A:$H,4,FALSE))</f>
        <v>0</v>
      </c>
      <c r="P227" s="38">
        <f>IFERROR(VLOOKUP($F227,bug_conf_sheet!$A:$H,5,FALSE),VLOOKUP("other",bug_conf_sheet!$A:$H,5,FALSE))</f>
        <v>0</v>
      </c>
      <c r="Q227" s="38">
        <f>IFERROR(VLOOKUP($F227,bug_conf_sheet!$A:$H,6,FALSE),VLOOKUP("other",bug_conf_sheet!$A:$H,6,FALSE))</f>
        <v>0</v>
      </c>
      <c r="R227" s="38">
        <f>IFERROR(VLOOKUP($F227,bug_conf_sheet!$A:$H,7,FALSE),VLOOKUP("other",bug_conf_sheet!$A:$H,7,FALSE))</f>
        <v>0</v>
      </c>
      <c r="S227" s="38">
        <f>IFERROR(VLOOKUP($F227,bug_conf_sheet!$A:$H,8,FALSE),VLOOKUP("other",bug_conf_sheet!$A:$H,8,FALSE))</f>
        <v>1</v>
      </c>
    </row>
    <row r="228" spans="1:19" ht="21" hidden="1" customHeight="1">
      <c r="A228" s="7" t="str">
        <f t="shared" si="24"/>
        <v>1881599</v>
      </c>
      <c r="B228" s="2" t="str">
        <f t="shared" si="14"/>
        <v>1881</v>
      </c>
      <c r="C228" s="8" t="str">
        <f t="shared" si="25"/>
        <v>1PremiumS3</v>
      </c>
      <c r="D228" s="8" t="str">
        <f t="shared" si="16"/>
        <v>1PremiumS3</v>
      </c>
      <c r="E228" s="10">
        <v>1</v>
      </c>
      <c r="F228" s="6">
        <v>599</v>
      </c>
      <c r="G228" s="8" t="str">
        <f>VLOOKUP(F228,[1]characters!$A:$C,3,FALSE)</f>
        <v>ニーズヘッグ</v>
      </c>
      <c r="H228" s="8" t="str">
        <f>VLOOKUP(F228,[1]characters!$A:$J,10,FALSE)</f>
        <v>PremiumS</v>
      </c>
      <c r="I228" s="8">
        <f>VLOOKUP(F228,[1]characters!$A:$I,9,FALSE)</f>
        <v>3</v>
      </c>
      <c r="J228" s="8" t="str">
        <f>VLOOKUP(F228,[1]characters!$A:$H,8,FALSE)</f>
        <v>green</v>
      </c>
      <c r="K228" s="8" t="str">
        <f>VLOOKUP(F228,[1]characters!$A:$K,11,FALSE)</f>
        <v>attack</v>
      </c>
      <c r="L228" s="8" t="str">
        <f>VLOOKUP(F228,[1]characters!$A:$M,13,FALSE)</f>
        <v>dragon</v>
      </c>
      <c r="M228" s="16">
        <f>VLOOKUP(D228,gacha_188_base!A:B,2,FALSE)</f>
        <v>11309</v>
      </c>
      <c r="N228" s="38">
        <f>IFERROR(VLOOKUP($F228,bug_conf_sheet!$A:$H,3,FALSE),VLOOKUP("other",bug_conf_sheet!$A:$H,3,FALSE))</f>
        <v>1</v>
      </c>
      <c r="O228" s="38">
        <f>IFERROR(VLOOKUP($F228,bug_conf_sheet!$A:$H,4,FALSE),VLOOKUP("other",bug_conf_sheet!$A:$H,4,FALSE))</f>
        <v>0</v>
      </c>
      <c r="P228" s="38">
        <f>IFERROR(VLOOKUP($F228,bug_conf_sheet!$A:$H,5,FALSE),VLOOKUP("other",bug_conf_sheet!$A:$H,5,FALSE))</f>
        <v>0</v>
      </c>
      <c r="Q228" s="38">
        <f>IFERROR(VLOOKUP($F228,bug_conf_sheet!$A:$H,6,FALSE),VLOOKUP("other",bug_conf_sheet!$A:$H,6,FALSE))</f>
        <v>0</v>
      </c>
      <c r="R228" s="38">
        <f>IFERROR(VLOOKUP($F228,bug_conf_sheet!$A:$H,7,FALSE),VLOOKUP("other",bug_conf_sheet!$A:$H,7,FALSE))</f>
        <v>0</v>
      </c>
      <c r="S228" s="38">
        <f>IFERROR(VLOOKUP($F228,bug_conf_sheet!$A:$H,8,FALSE),VLOOKUP("other",bug_conf_sheet!$A:$H,8,FALSE))</f>
        <v>1</v>
      </c>
    </row>
    <row r="229" spans="1:19" ht="21" hidden="1" customHeight="1">
      <c r="A229" s="7" t="str">
        <f t="shared" si="24"/>
        <v>1881600</v>
      </c>
      <c r="B229" s="2" t="str">
        <f t="shared" si="14"/>
        <v>1881</v>
      </c>
      <c r="C229" s="8" t="str">
        <f t="shared" si="25"/>
        <v>1PremiumS4</v>
      </c>
      <c r="D229" s="8" t="str">
        <f t="shared" si="16"/>
        <v>1PremiumS4</v>
      </c>
      <c r="E229" s="10">
        <v>1</v>
      </c>
      <c r="F229" s="6">
        <v>600</v>
      </c>
      <c r="G229" s="8" t="str">
        <f>VLOOKUP(F229,[1]characters!$A:$C,3,FALSE)</f>
        <v>界下に潜む蛇 ニーズヘッグ</v>
      </c>
      <c r="H229" s="8" t="str">
        <f>VLOOKUP(F229,[1]characters!$A:$J,10,FALSE)</f>
        <v>PremiumS</v>
      </c>
      <c r="I229" s="8">
        <f>VLOOKUP(F229,[1]characters!$A:$I,9,FALSE)</f>
        <v>4</v>
      </c>
      <c r="J229" s="8" t="str">
        <f>VLOOKUP(F229,[1]characters!$A:$H,8,FALSE)</f>
        <v>green</v>
      </c>
      <c r="K229" s="8" t="str">
        <f>VLOOKUP(F229,[1]characters!$A:$K,11,FALSE)</f>
        <v>attack</v>
      </c>
      <c r="L229" s="8" t="str">
        <f>VLOOKUP(F229,[1]characters!$A:$M,13,FALSE)</f>
        <v>dragon</v>
      </c>
      <c r="M229" s="16">
        <f>VLOOKUP(D229,gacha_188_base!A:B,2,FALSE)</f>
        <v>2827</v>
      </c>
      <c r="N229" s="38">
        <f>IFERROR(VLOOKUP($F229,bug_conf_sheet!$A:$H,3,FALSE),VLOOKUP("other",bug_conf_sheet!$A:$H,3,FALSE))</f>
        <v>1</v>
      </c>
      <c r="O229" s="38">
        <f>IFERROR(VLOOKUP($F229,bug_conf_sheet!$A:$H,4,FALSE),VLOOKUP("other",bug_conf_sheet!$A:$H,4,FALSE))</f>
        <v>0</v>
      </c>
      <c r="P229" s="38">
        <f>IFERROR(VLOOKUP($F229,bug_conf_sheet!$A:$H,5,FALSE),VLOOKUP("other",bug_conf_sheet!$A:$H,5,FALSE))</f>
        <v>0</v>
      </c>
      <c r="Q229" s="38">
        <f>IFERROR(VLOOKUP($F229,bug_conf_sheet!$A:$H,6,FALSE),VLOOKUP("other",bug_conf_sheet!$A:$H,6,FALSE))</f>
        <v>0</v>
      </c>
      <c r="R229" s="38">
        <f>IFERROR(VLOOKUP($F229,bug_conf_sheet!$A:$H,7,FALSE),VLOOKUP("other",bug_conf_sheet!$A:$H,7,FALSE))</f>
        <v>0</v>
      </c>
      <c r="S229" s="38">
        <f>IFERROR(VLOOKUP($F229,bug_conf_sheet!$A:$H,8,FALSE),VLOOKUP("other",bug_conf_sheet!$A:$H,8,FALSE))</f>
        <v>1</v>
      </c>
    </row>
    <row r="230" spans="1:19" ht="21" customHeight="1">
      <c r="A230" s="7" t="str">
        <f t="shared" si="24"/>
        <v>1881601</v>
      </c>
      <c r="B230" s="2" t="str">
        <f t="shared" si="14"/>
        <v>1881</v>
      </c>
      <c r="C230" s="8" t="str">
        <f t="shared" si="25"/>
        <v>1PremiumS5</v>
      </c>
      <c r="D230" s="8" t="str">
        <f t="shared" si="16"/>
        <v>1PremiumS5</v>
      </c>
      <c r="E230" s="10">
        <v>1</v>
      </c>
      <c r="F230" s="6">
        <v>601</v>
      </c>
      <c r="G230" s="8" t="str">
        <f>VLOOKUP(F230,[1]characters!$A:$C,3,FALSE)</f>
        <v>界根蝕む悪食 ニーズヘッグ</v>
      </c>
      <c r="H230" s="8" t="str">
        <f>VLOOKUP(F230,[1]characters!$A:$J,10,FALSE)</f>
        <v>PremiumS</v>
      </c>
      <c r="I230" s="8">
        <f>VLOOKUP(F230,[1]characters!$A:$I,9,FALSE)</f>
        <v>5</v>
      </c>
      <c r="J230" s="8" t="str">
        <f>VLOOKUP(F230,[1]characters!$A:$H,8,FALSE)</f>
        <v>green</v>
      </c>
      <c r="K230" s="8" t="str">
        <f>VLOOKUP(F230,[1]characters!$A:$K,11,FALSE)</f>
        <v>attack</v>
      </c>
      <c r="L230" s="8" t="str">
        <f>VLOOKUP(F230,[1]characters!$A:$M,13,FALSE)</f>
        <v>dragon</v>
      </c>
      <c r="M230" s="16">
        <f>VLOOKUP(D230,gacha_188_base!A:B,2,FALSE)</f>
        <v>942</v>
      </c>
      <c r="N230" s="38">
        <f>IFERROR(VLOOKUP($F230,bug_conf_sheet!$A:$H,3,FALSE),VLOOKUP("other",bug_conf_sheet!$A:$H,3,FALSE))</f>
        <v>1</v>
      </c>
      <c r="O230" s="38">
        <f>IFERROR(VLOOKUP($F230,bug_conf_sheet!$A:$H,4,FALSE),VLOOKUP("other",bug_conf_sheet!$A:$H,4,FALSE))</f>
        <v>0</v>
      </c>
      <c r="P230" s="38">
        <f>IFERROR(VLOOKUP($F230,bug_conf_sheet!$A:$H,5,FALSE),VLOOKUP("other",bug_conf_sheet!$A:$H,5,FALSE))</f>
        <v>0</v>
      </c>
      <c r="Q230" s="38">
        <f>IFERROR(VLOOKUP($F230,bug_conf_sheet!$A:$H,6,FALSE),VLOOKUP("other",bug_conf_sheet!$A:$H,6,FALSE))</f>
        <v>0</v>
      </c>
      <c r="R230" s="38">
        <f>IFERROR(VLOOKUP($F230,bug_conf_sheet!$A:$H,7,FALSE),VLOOKUP("other",bug_conf_sheet!$A:$H,7,FALSE))</f>
        <v>0</v>
      </c>
      <c r="S230" s="38">
        <f>IFERROR(VLOOKUP($F230,bug_conf_sheet!$A:$H,8,FALSE),VLOOKUP("other",bug_conf_sheet!$A:$H,8,FALSE))</f>
        <v>1</v>
      </c>
    </row>
    <row r="231" spans="1:19" ht="21" hidden="1" customHeight="1">
      <c r="A231" s="7" t="str">
        <f t="shared" si="24"/>
        <v>1881602</v>
      </c>
      <c r="B231" s="2" t="str">
        <f t="shared" si="14"/>
        <v>1881</v>
      </c>
      <c r="C231" s="8" t="str">
        <f t="shared" si="25"/>
        <v>1PremiumSS4</v>
      </c>
      <c r="D231" s="8" t="str">
        <f t="shared" si="16"/>
        <v>1PremiumSS4</v>
      </c>
      <c r="E231" s="10">
        <v>1</v>
      </c>
      <c r="F231" s="6">
        <v>602</v>
      </c>
      <c r="G231" s="8" t="str">
        <f>VLOOKUP(F231,[1]characters!$A:$C,3,FALSE)</f>
        <v>フレイヤ</v>
      </c>
      <c r="H231" s="8" t="str">
        <f>VLOOKUP(F231,[1]characters!$A:$J,10,FALSE)</f>
        <v>PremiumSS</v>
      </c>
      <c r="I231" s="8">
        <f>VLOOKUP(F231,[1]characters!$A:$I,9,FALSE)</f>
        <v>4</v>
      </c>
      <c r="J231" s="8" t="str">
        <f>VLOOKUP(F231,[1]characters!$A:$H,8,FALSE)</f>
        <v>blue</v>
      </c>
      <c r="K231" s="8" t="str">
        <f>VLOOKUP(F231,[1]characters!$A:$K,11,FALSE)</f>
        <v>heal</v>
      </c>
      <c r="L231" s="8" t="str">
        <f>VLOOKUP(F231,[1]characters!$A:$M,13,FALSE)</f>
        <v>animal</v>
      </c>
      <c r="M231" s="16">
        <f>VLOOKUP(D231,gacha_188_base!A:B,2,FALSE)</f>
        <v>1705</v>
      </c>
      <c r="N231" s="38">
        <f>IFERROR(VLOOKUP($F231,bug_conf_sheet!$A:$H,3,FALSE),VLOOKUP("other",bug_conf_sheet!$A:$H,3,FALSE))</f>
        <v>1</v>
      </c>
      <c r="O231" s="38">
        <f>IFERROR(VLOOKUP($F231,bug_conf_sheet!$A:$H,4,FALSE),VLOOKUP("other",bug_conf_sheet!$A:$H,4,FALSE))</f>
        <v>0</v>
      </c>
      <c r="P231" s="38">
        <f>IFERROR(VLOOKUP($F231,bug_conf_sheet!$A:$H,5,FALSE),VLOOKUP("other",bug_conf_sheet!$A:$H,5,FALSE))</f>
        <v>0</v>
      </c>
      <c r="Q231" s="38">
        <f>IFERROR(VLOOKUP($F231,bug_conf_sheet!$A:$H,6,FALSE),VLOOKUP("other",bug_conf_sheet!$A:$H,6,FALSE))</f>
        <v>0</v>
      </c>
      <c r="R231" s="38">
        <f>IFERROR(VLOOKUP($F231,bug_conf_sheet!$A:$H,7,FALSE),VLOOKUP("other",bug_conf_sheet!$A:$H,7,FALSE))</f>
        <v>0</v>
      </c>
      <c r="S231" s="38">
        <f>IFERROR(VLOOKUP($F231,bug_conf_sheet!$A:$H,8,FALSE),VLOOKUP("other",bug_conf_sheet!$A:$H,8,FALSE))</f>
        <v>1</v>
      </c>
    </row>
    <row r="232" spans="1:19" ht="21" customHeight="1">
      <c r="A232" s="7" t="str">
        <f t="shared" si="24"/>
        <v>1881603</v>
      </c>
      <c r="B232" s="2" t="str">
        <f t="shared" si="14"/>
        <v>1881</v>
      </c>
      <c r="C232" s="8" t="str">
        <f t="shared" si="25"/>
        <v>1PremiumSS5</v>
      </c>
      <c r="D232" s="8" t="str">
        <f t="shared" si="16"/>
        <v>1PremiumSS5</v>
      </c>
      <c r="E232" s="10">
        <v>1</v>
      </c>
      <c r="F232" s="6">
        <v>603</v>
      </c>
      <c r="G232" s="8" t="str">
        <f>VLOOKUP(F232,[1]characters!$A:$C,3,FALSE)</f>
        <v>掌愛の豊穣女神 フレイヤ</v>
      </c>
      <c r="H232" s="8" t="str">
        <f>VLOOKUP(F232,[1]characters!$A:$J,10,FALSE)</f>
        <v>PremiumSS</v>
      </c>
      <c r="I232" s="8">
        <f>VLOOKUP(F232,[1]characters!$A:$I,9,FALSE)</f>
        <v>5</v>
      </c>
      <c r="J232" s="8" t="str">
        <f>VLOOKUP(F232,[1]characters!$A:$H,8,FALSE)</f>
        <v>blue</v>
      </c>
      <c r="K232" s="8" t="str">
        <f>VLOOKUP(F232,[1]characters!$A:$K,11,FALSE)</f>
        <v>heal</v>
      </c>
      <c r="L232" s="8" t="str">
        <f>VLOOKUP(F232,[1]characters!$A:$M,13,FALSE)</f>
        <v>animal</v>
      </c>
      <c r="M232" s="16">
        <f>VLOOKUP(D232,gacha_188_base!A:B,2,FALSE)</f>
        <v>114</v>
      </c>
      <c r="N232" s="38">
        <f>IFERROR(VLOOKUP($F232,bug_conf_sheet!$A:$H,3,FALSE),VLOOKUP("other",bug_conf_sheet!$A:$H,3,FALSE))</f>
        <v>1</v>
      </c>
      <c r="O232" s="38">
        <f>IFERROR(VLOOKUP($F232,bug_conf_sheet!$A:$H,4,FALSE),VLOOKUP("other",bug_conf_sheet!$A:$H,4,FALSE))</f>
        <v>0</v>
      </c>
      <c r="P232" s="38">
        <f>IFERROR(VLOOKUP($F232,bug_conf_sheet!$A:$H,5,FALSE),VLOOKUP("other",bug_conf_sheet!$A:$H,5,FALSE))</f>
        <v>0</v>
      </c>
      <c r="Q232" s="38">
        <f>IFERROR(VLOOKUP($F232,bug_conf_sheet!$A:$H,6,FALSE),VLOOKUP("other",bug_conf_sheet!$A:$H,6,FALSE))</f>
        <v>0</v>
      </c>
      <c r="R232" s="38">
        <f>IFERROR(VLOOKUP($F232,bug_conf_sheet!$A:$H,7,FALSE),VLOOKUP("other",bug_conf_sheet!$A:$H,7,FALSE))</f>
        <v>0</v>
      </c>
      <c r="S232" s="38">
        <f>IFERROR(VLOOKUP($F232,bug_conf_sheet!$A:$H,8,FALSE),VLOOKUP("other",bug_conf_sheet!$A:$H,8,FALSE))</f>
        <v>1</v>
      </c>
    </row>
    <row r="233" spans="1:19" ht="21" hidden="1" customHeight="1">
      <c r="A233" s="7" t="str">
        <f t="shared" si="24"/>
        <v>1881604</v>
      </c>
      <c r="B233" s="2" t="str">
        <f t="shared" si="14"/>
        <v>1881</v>
      </c>
      <c r="C233" s="8" t="str">
        <f t="shared" si="25"/>
        <v>1PremiumS3</v>
      </c>
      <c r="D233" s="8" t="str">
        <f t="shared" si="16"/>
        <v>1PremiumS3</v>
      </c>
      <c r="E233" s="10">
        <v>1</v>
      </c>
      <c r="F233" s="6">
        <v>604</v>
      </c>
      <c r="G233" s="8" t="str">
        <f>VLOOKUP(F233,[1]characters!$A:$C,3,FALSE)</f>
        <v>バルドル</v>
      </c>
      <c r="H233" s="8" t="str">
        <f>VLOOKUP(F233,[1]characters!$A:$J,10,FALSE)</f>
        <v>PremiumS</v>
      </c>
      <c r="I233" s="8">
        <f>VLOOKUP(F233,[1]characters!$A:$I,9,FALSE)</f>
        <v>3</v>
      </c>
      <c r="J233" s="8" t="str">
        <f>VLOOKUP(F233,[1]characters!$A:$H,8,FALSE)</f>
        <v>yellow</v>
      </c>
      <c r="K233" s="8" t="str">
        <f>VLOOKUP(F233,[1]characters!$A:$K,11,FALSE)</f>
        <v>heal</v>
      </c>
      <c r="L233" s="8" t="str">
        <f>VLOOKUP(F233,[1]characters!$A:$M,13,FALSE)</f>
        <v>god</v>
      </c>
      <c r="M233" s="16">
        <f>VLOOKUP(D233,gacha_188_base!A:B,2,FALSE)</f>
        <v>11309</v>
      </c>
      <c r="N233" s="38">
        <f>IFERROR(VLOOKUP($F233,bug_conf_sheet!$A:$H,3,FALSE),VLOOKUP("other",bug_conf_sheet!$A:$H,3,FALSE))</f>
        <v>1</v>
      </c>
      <c r="O233" s="38">
        <f>IFERROR(VLOOKUP($F233,bug_conf_sheet!$A:$H,4,FALSE),VLOOKUP("other",bug_conf_sheet!$A:$H,4,FALSE))</f>
        <v>0</v>
      </c>
      <c r="P233" s="38">
        <f>IFERROR(VLOOKUP($F233,bug_conf_sheet!$A:$H,5,FALSE),VLOOKUP("other",bug_conf_sheet!$A:$H,5,FALSE))</f>
        <v>0</v>
      </c>
      <c r="Q233" s="38">
        <f>IFERROR(VLOOKUP($F233,bug_conf_sheet!$A:$H,6,FALSE),VLOOKUP("other",bug_conf_sheet!$A:$H,6,FALSE))</f>
        <v>0</v>
      </c>
      <c r="R233" s="38">
        <f>IFERROR(VLOOKUP($F233,bug_conf_sheet!$A:$H,7,FALSE),VLOOKUP("other",bug_conf_sheet!$A:$H,7,FALSE))</f>
        <v>0</v>
      </c>
      <c r="S233" s="38">
        <f>IFERROR(VLOOKUP($F233,bug_conf_sheet!$A:$H,8,FALSE),VLOOKUP("other",bug_conf_sheet!$A:$H,8,FALSE))</f>
        <v>1</v>
      </c>
    </row>
    <row r="234" spans="1:19" ht="21" hidden="1" customHeight="1">
      <c r="A234" s="7" t="str">
        <f t="shared" ref="A234:A235" si="26">B234&amp;F234</f>
        <v>1881605</v>
      </c>
      <c r="B234" s="2" t="str">
        <f t="shared" si="14"/>
        <v>1881</v>
      </c>
      <c r="C234" s="8" t="str">
        <f t="shared" ref="C234:C235" si="27">E234&amp;H234&amp;I234</f>
        <v>1PremiumS4</v>
      </c>
      <c r="D234" s="8" t="str">
        <f t="shared" ref="D234:D235" si="28">E234&amp;H234&amp;I234</f>
        <v>1PremiumS4</v>
      </c>
      <c r="E234" s="10">
        <v>1</v>
      </c>
      <c r="F234" s="6">
        <v>605</v>
      </c>
      <c r="G234" s="8" t="str">
        <f>VLOOKUP(F234,[1]characters!$A:$C,3,FALSE)</f>
        <v>祝福される光耀 バルドル</v>
      </c>
      <c r="H234" s="8" t="str">
        <f>VLOOKUP(F234,[1]characters!$A:$J,10,FALSE)</f>
        <v>PremiumS</v>
      </c>
      <c r="I234" s="8">
        <f>VLOOKUP(F234,[1]characters!$A:$I,9,FALSE)</f>
        <v>4</v>
      </c>
      <c r="J234" s="8" t="str">
        <f>VLOOKUP(F234,[1]characters!$A:$H,8,FALSE)</f>
        <v>yellow</v>
      </c>
      <c r="K234" s="8" t="str">
        <f>VLOOKUP(F234,[1]characters!$A:$K,11,FALSE)</f>
        <v>heal</v>
      </c>
      <c r="L234" s="8" t="str">
        <f>VLOOKUP(F234,[1]characters!$A:$M,13,FALSE)</f>
        <v>god</v>
      </c>
      <c r="M234" s="16">
        <f>VLOOKUP(D234,gacha_188_base!A:B,2,FALSE)</f>
        <v>2827</v>
      </c>
      <c r="N234" s="38">
        <f>IFERROR(VLOOKUP($F234,bug_conf_sheet!$A:$H,3,FALSE),VLOOKUP("other",bug_conf_sheet!$A:$H,3,FALSE))</f>
        <v>1</v>
      </c>
      <c r="O234" s="38">
        <f>IFERROR(VLOOKUP($F234,bug_conf_sheet!$A:$H,4,FALSE),VLOOKUP("other",bug_conf_sheet!$A:$H,4,FALSE))</f>
        <v>0</v>
      </c>
      <c r="P234" s="38">
        <f>IFERROR(VLOOKUP($F234,bug_conf_sheet!$A:$H,5,FALSE),VLOOKUP("other",bug_conf_sheet!$A:$H,5,FALSE))</f>
        <v>0</v>
      </c>
      <c r="Q234" s="38">
        <f>IFERROR(VLOOKUP($F234,bug_conf_sheet!$A:$H,6,FALSE),VLOOKUP("other",bug_conf_sheet!$A:$H,6,FALSE))</f>
        <v>0</v>
      </c>
      <c r="R234" s="38">
        <f>IFERROR(VLOOKUP($F234,bug_conf_sheet!$A:$H,7,FALSE),VLOOKUP("other",bug_conf_sheet!$A:$H,7,FALSE))</f>
        <v>0</v>
      </c>
      <c r="S234" s="38">
        <f>IFERROR(VLOOKUP($F234,bug_conf_sheet!$A:$H,8,FALSE),VLOOKUP("other",bug_conf_sheet!$A:$H,8,FALSE))</f>
        <v>1</v>
      </c>
    </row>
    <row r="235" spans="1:19" ht="21" customHeight="1">
      <c r="A235" s="7" t="str">
        <f t="shared" si="26"/>
        <v>1881606</v>
      </c>
      <c r="B235" s="2" t="str">
        <f t="shared" si="14"/>
        <v>1881</v>
      </c>
      <c r="C235" s="8" t="str">
        <f t="shared" si="27"/>
        <v>1PremiumS5</v>
      </c>
      <c r="D235" s="8" t="str">
        <f t="shared" si="28"/>
        <v>1PremiumS5</v>
      </c>
      <c r="E235" s="10">
        <v>1</v>
      </c>
      <c r="F235" s="6">
        <v>606</v>
      </c>
      <c r="G235" s="8" t="str">
        <f>VLOOKUP(F235,[1]characters!$A:$C,3,FALSE)</f>
        <v>冀望の光芒 バルドル</v>
      </c>
      <c r="H235" s="8" t="str">
        <f>VLOOKUP(F235,[1]characters!$A:$J,10,FALSE)</f>
        <v>PremiumS</v>
      </c>
      <c r="I235" s="8">
        <f>VLOOKUP(F235,[1]characters!$A:$I,9,FALSE)</f>
        <v>5</v>
      </c>
      <c r="J235" s="8" t="str">
        <f>VLOOKUP(F235,[1]characters!$A:$H,8,FALSE)</f>
        <v>yellow</v>
      </c>
      <c r="K235" s="8" t="str">
        <f>VLOOKUP(F235,[1]characters!$A:$K,11,FALSE)</f>
        <v>heal</v>
      </c>
      <c r="L235" s="8" t="str">
        <f>VLOOKUP(F235,[1]characters!$A:$M,13,FALSE)</f>
        <v>god</v>
      </c>
      <c r="M235" s="16">
        <f>VLOOKUP(D235,gacha_188_base!A:B,2,FALSE)</f>
        <v>942</v>
      </c>
      <c r="N235" s="38">
        <f>IFERROR(VLOOKUP($F235,bug_conf_sheet!$A:$H,3,FALSE),VLOOKUP("other",bug_conf_sheet!$A:$H,3,FALSE))</f>
        <v>1</v>
      </c>
      <c r="O235" s="38">
        <f>IFERROR(VLOOKUP($F235,bug_conf_sheet!$A:$H,4,FALSE),VLOOKUP("other",bug_conf_sheet!$A:$H,4,FALSE))</f>
        <v>0</v>
      </c>
      <c r="P235" s="38">
        <f>IFERROR(VLOOKUP($F235,bug_conf_sheet!$A:$H,5,FALSE),VLOOKUP("other",bug_conf_sheet!$A:$H,5,FALSE))</f>
        <v>0</v>
      </c>
      <c r="Q235" s="38">
        <f>IFERROR(VLOOKUP($F235,bug_conf_sheet!$A:$H,6,FALSE),VLOOKUP("other",bug_conf_sheet!$A:$H,6,FALSE))</f>
        <v>0</v>
      </c>
      <c r="R235" s="38">
        <f>IFERROR(VLOOKUP($F235,bug_conf_sheet!$A:$H,7,FALSE),VLOOKUP("other",bug_conf_sheet!$A:$H,7,FALSE))</f>
        <v>0</v>
      </c>
      <c r="S235" s="38">
        <f>IFERROR(VLOOKUP($F235,bug_conf_sheet!$A:$H,8,FALSE),VLOOKUP("other",bug_conf_sheet!$A:$H,8,FALSE))</f>
        <v>1</v>
      </c>
    </row>
    <row r="236" spans="1:19" ht="21" hidden="1" customHeight="1">
      <c r="A236" s="7" t="str">
        <f t="shared" si="24"/>
        <v>1881619</v>
      </c>
      <c r="B236" s="2" t="str">
        <f t="shared" si="14"/>
        <v>1881</v>
      </c>
      <c r="C236" s="8" t="str">
        <f t="shared" si="25"/>
        <v>1PremiumSS4</v>
      </c>
      <c r="D236" s="8" t="str">
        <f>E236&amp;H236&amp;I236&amp;"new"</f>
        <v>1PremiumSS4new</v>
      </c>
      <c r="E236" s="10">
        <v>1</v>
      </c>
      <c r="F236" s="6">
        <v>619</v>
      </c>
      <c r="G236" s="8" t="str">
        <f>VLOOKUP(F236,[1]characters!$A:$C,3,FALSE)</f>
        <v>メビウス</v>
      </c>
      <c r="H236" s="8" t="str">
        <f>VLOOKUP(F236,[1]characters!$A:$J,10,FALSE)</f>
        <v>PremiumSS</v>
      </c>
      <c r="I236" s="8">
        <f>VLOOKUP(F236,[1]characters!$A:$I,9,FALSE)</f>
        <v>4</v>
      </c>
      <c r="J236" s="8" t="str">
        <f>VLOOKUP(F236,[1]characters!$A:$H,8,FALSE)</f>
        <v>blue</v>
      </c>
      <c r="K236" s="8" t="str">
        <f>VLOOKUP(F236,[1]characters!$A:$K,11,FALSE)</f>
        <v>balance</v>
      </c>
      <c r="L236" s="8" t="str">
        <f>VLOOKUP(F236,[1]characters!$A:$M,13,FALSE)</f>
        <v>human</v>
      </c>
      <c r="M236" s="16">
        <f>VLOOKUP(D236,gacha_188_base!A:B,2,FALSE)</f>
        <v>4688</v>
      </c>
      <c r="N236" s="38">
        <f>IFERROR(VLOOKUP($F236,bug_conf_sheet!$A:$H,3,FALSE),VLOOKUP("other",bug_conf_sheet!$A:$H,3,FALSE))</f>
        <v>1</v>
      </c>
      <c r="O236" s="38">
        <f>IFERROR(VLOOKUP($F236,bug_conf_sheet!$A:$H,4,FALSE),VLOOKUP("other",bug_conf_sheet!$A:$H,4,FALSE))</f>
        <v>0</v>
      </c>
      <c r="P236" s="38">
        <f>IFERROR(VLOOKUP($F236,bug_conf_sheet!$A:$H,5,FALSE),VLOOKUP("other",bug_conf_sheet!$A:$H,5,FALSE))</f>
        <v>0</v>
      </c>
      <c r="Q236" s="38">
        <f>IFERROR(VLOOKUP($F236,bug_conf_sheet!$A:$H,6,FALSE),VLOOKUP("other",bug_conf_sheet!$A:$H,6,FALSE))</f>
        <v>0</v>
      </c>
      <c r="R236" s="38">
        <f>IFERROR(VLOOKUP($F236,bug_conf_sheet!$A:$H,7,FALSE),VLOOKUP("other",bug_conf_sheet!$A:$H,7,FALSE))</f>
        <v>0</v>
      </c>
      <c r="S236" s="38">
        <f>IFERROR(VLOOKUP($F236,bug_conf_sheet!$A:$H,8,FALSE),VLOOKUP("other",bug_conf_sheet!$A:$H,8,FALSE))</f>
        <v>1</v>
      </c>
    </row>
    <row r="237" spans="1:19" ht="21" customHeight="1">
      <c r="A237" s="7" t="str">
        <f t="shared" si="24"/>
        <v>1881620</v>
      </c>
      <c r="B237" s="2" t="str">
        <f t="shared" si="14"/>
        <v>1881</v>
      </c>
      <c r="C237" s="8" t="str">
        <f t="shared" si="25"/>
        <v>1PremiumSS5</v>
      </c>
      <c r="D237" s="8" t="str">
        <f>E237&amp;H237&amp;I237&amp;"new"</f>
        <v>1PremiumSS5new</v>
      </c>
      <c r="E237" s="10">
        <v>1</v>
      </c>
      <c r="F237" s="6">
        <v>620</v>
      </c>
      <c r="G237" s="8" t="str">
        <f>VLOOKUP(F237,[1]characters!$A:$C,3,FALSE)</f>
        <v>奇跡の調和 メビウス</v>
      </c>
      <c r="H237" s="8" t="str">
        <f>VLOOKUP(F237,[1]characters!$A:$J,10,FALSE)</f>
        <v>PremiumSS</v>
      </c>
      <c r="I237" s="8">
        <f>VLOOKUP(F237,[1]characters!$A:$I,9,FALSE)</f>
        <v>5</v>
      </c>
      <c r="J237" s="8" t="str">
        <f>VLOOKUP(F237,[1]characters!$A:$H,8,FALSE)</f>
        <v>blue</v>
      </c>
      <c r="K237" s="8" t="str">
        <f>VLOOKUP(F237,[1]characters!$A:$K,11,FALSE)</f>
        <v>balance</v>
      </c>
      <c r="L237" s="8" t="str">
        <f>VLOOKUP(F237,[1]characters!$A:$M,13,FALSE)</f>
        <v>human</v>
      </c>
      <c r="M237" s="16">
        <f>VLOOKUP(D237,gacha_188_base!A:B,2,FALSE)</f>
        <v>313</v>
      </c>
      <c r="N237" s="38">
        <f>IFERROR(VLOOKUP($F237,bug_conf_sheet!$A:$H,3,FALSE),VLOOKUP("other",bug_conf_sheet!$A:$H,3,FALSE))</f>
        <v>1</v>
      </c>
      <c r="O237" s="38">
        <f>IFERROR(VLOOKUP($F237,bug_conf_sheet!$A:$H,4,FALSE),VLOOKUP("other",bug_conf_sheet!$A:$H,4,FALSE))</f>
        <v>0</v>
      </c>
      <c r="P237" s="38">
        <f>IFERROR(VLOOKUP($F237,bug_conf_sheet!$A:$H,5,FALSE),VLOOKUP("other",bug_conf_sheet!$A:$H,5,FALSE))</f>
        <v>0</v>
      </c>
      <c r="Q237" s="38">
        <f>IFERROR(VLOOKUP($F237,bug_conf_sheet!$A:$H,6,FALSE),VLOOKUP("other",bug_conf_sheet!$A:$H,6,FALSE))</f>
        <v>0</v>
      </c>
      <c r="R237" s="38">
        <f>IFERROR(VLOOKUP($F237,bug_conf_sheet!$A:$H,7,FALSE),VLOOKUP("other",bug_conf_sheet!$A:$H,7,FALSE))</f>
        <v>0</v>
      </c>
      <c r="S237" s="38">
        <f>IFERROR(VLOOKUP($F237,bug_conf_sheet!$A:$H,8,FALSE),VLOOKUP("other",bug_conf_sheet!$A:$H,8,FALSE))</f>
        <v>1</v>
      </c>
    </row>
    <row r="238" spans="1:19" ht="21" hidden="1" customHeight="1">
      <c r="A238" s="7" t="str">
        <f t="shared" ref="A238:A273" si="29">B238&amp;F238</f>
        <v>1883127</v>
      </c>
      <c r="B238" s="2" t="str">
        <f t="shared" si="14"/>
        <v>1883</v>
      </c>
      <c r="C238" s="8" t="str">
        <f t="shared" ref="C238:C253" si="30">E238&amp;H238&amp;I238</f>
        <v>3PremiumW4</v>
      </c>
      <c r="D238" s="8" t="str">
        <f t="shared" ref="D238:D273" si="31">E238&amp;H238&amp;I238</f>
        <v>3PremiumW4</v>
      </c>
      <c r="E238" s="10">
        <v>3</v>
      </c>
      <c r="F238" s="6">
        <v>127</v>
      </c>
      <c r="G238" s="8" t="str">
        <f>VLOOKUP(F238,[1]characters!$A:$C,3,FALSE)</f>
        <v>狂喜の賢者 ユノ</v>
      </c>
      <c r="H238" s="8" t="str">
        <f>VLOOKUP(F238,[1]characters!$A:$J,10,FALSE)</f>
        <v>PremiumW</v>
      </c>
      <c r="I238" s="8">
        <f>VLOOKUP(F238,[1]characters!$A:$I,9,FALSE)</f>
        <v>4</v>
      </c>
      <c r="J238" s="8" t="str">
        <f>VLOOKUP(F238,[1]characters!$A:$H,8,FALSE)</f>
        <v>red</v>
      </c>
      <c r="K238" s="8" t="str">
        <f>VLOOKUP(F238,[1]characters!$A:$K,11,FALSE)</f>
        <v>attack</v>
      </c>
      <c r="L238" s="8" t="str">
        <f>VLOOKUP(F238,[1]characters!$A:$M,13,FALSE)</f>
        <v>human</v>
      </c>
      <c r="M238" s="16">
        <f>VLOOKUP(D238,gacha_188_base!A:B,2,FALSE)</f>
        <v>7958</v>
      </c>
      <c r="N238" s="38">
        <f>IFERROR(VLOOKUP($F238,bug_conf_sheet!$A:$H,3,FALSE),VLOOKUP("other",bug_conf_sheet!$A:$H,3,FALSE))</f>
        <v>1</v>
      </c>
      <c r="O238" s="38">
        <f>IFERROR(VLOOKUP($F238,bug_conf_sheet!$A:$H,4,FALSE),VLOOKUP("other",bug_conf_sheet!$A:$H,4,FALSE))</f>
        <v>0</v>
      </c>
      <c r="P238" s="38">
        <f>IFERROR(VLOOKUP($F238,bug_conf_sheet!$A:$H,5,FALSE),VLOOKUP("other",bug_conf_sheet!$A:$H,5,FALSE))</f>
        <v>0</v>
      </c>
      <c r="Q238" s="38">
        <f>IFERROR(VLOOKUP($F238,bug_conf_sheet!$A:$H,6,FALSE),VLOOKUP("other",bug_conf_sheet!$A:$H,6,FALSE))</f>
        <v>0</v>
      </c>
      <c r="R238" s="38">
        <f>IFERROR(VLOOKUP($F238,bug_conf_sheet!$A:$H,7,FALSE),VLOOKUP("other",bug_conf_sheet!$A:$H,7,FALSE))</f>
        <v>0</v>
      </c>
      <c r="S238" s="38">
        <f>IFERROR(VLOOKUP($F238,bug_conf_sheet!$A:$H,8,FALSE),VLOOKUP("other",bug_conf_sheet!$A:$H,8,FALSE))</f>
        <v>1</v>
      </c>
    </row>
    <row r="239" spans="1:19" ht="21" hidden="1" customHeight="1">
      <c r="A239" s="7" t="str">
        <f t="shared" si="29"/>
        <v>1883129</v>
      </c>
      <c r="B239" s="2" t="str">
        <f t="shared" si="14"/>
        <v>1883</v>
      </c>
      <c r="C239" s="8" t="str">
        <f t="shared" si="30"/>
        <v>3PremiumW4</v>
      </c>
      <c r="D239" s="8" t="str">
        <f t="shared" si="31"/>
        <v>3PremiumW4</v>
      </c>
      <c r="E239" s="10">
        <v>3</v>
      </c>
      <c r="F239" s="6">
        <v>129</v>
      </c>
      <c r="G239" s="8" t="str">
        <f>VLOOKUP(F239,[1]characters!$A:$C,3,FALSE)</f>
        <v>孤高の狼憑き アマラ</v>
      </c>
      <c r="H239" s="8" t="str">
        <f>VLOOKUP(F239,[1]characters!$A:$J,10,FALSE)</f>
        <v>PremiumW</v>
      </c>
      <c r="I239" s="8">
        <f>VLOOKUP(F239,[1]characters!$A:$I,9,FALSE)</f>
        <v>4</v>
      </c>
      <c r="J239" s="8" t="str">
        <f>VLOOKUP(F239,[1]characters!$A:$H,8,FALSE)</f>
        <v>green</v>
      </c>
      <c r="K239" s="8" t="str">
        <f>VLOOKUP(F239,[1]characters!$A:$K,11,FALSE)</f>
        <v>attack</v>
      </c>
      <c r="L239" s="8" t="str">
        <f>VLOOKUP(F239,[1]characters!$A:$M,13,FALSE)</f>
        <v>human</v>
      </c>
      <c r="M239" s="16">
        <f>VLOOKUP(D239,gacha_188_base!A:B,2,FALSE)</f>
        <v>7958</v>
      </c>
      <c r="N239" s="38">
        <f>IFERROR(VLOOKUP($F239,bug_conf_sheet!$A:$H,3,FALSE),VLOOKUP("other",bug_conf_sheet!$A:$H,3,FALSE))</f>
        <v>1</v>
      </c>
      <c r="O239" s="38">
        <f>IFERROR(VLOOKUP($F239,bug_conf_sheet!$A:$H,4,FALSE),VLOOKUP("other",bug_conf_sheet!$A:$H,4,FALSE))</f>
        <v>0</v>
      </c>
      <c r="P239" s="38">
        <f>IFERROR(VLOOKUP($F239,bug_conf_sheet!$A:$H,5,FALSE),VLOOKUP("other",bug_conf_sheet!$A:$H,5,FALSE))</f>
        <v>0</v>
      </c>
      <c r="Q239" s="38">
        <f>IFERROR(VLOOKUP($F239,bug_conf_sheet!$A:$H,6,FALSE),VLOOKUP("other",bug_conf_sheet!$A:$H,6,FALSE))</f>
        <v>0</v>
      </c>
      <c r="R239" s="38">
        <f>IFERROR(VLOOKUP($F239,bug_conf_sheet!$A:$H,7,FALSE),VLOOKUP("other",bug_conf_sheet!$A:$H,7,FALSE))</f>
        <v>0</v>
      </c>
      <c r="S239" s="38">
        <f>IFERROR(VLOOKUP($F239,bug_conf_sheet!$A:$H,8,FALSE),VLOOKUP("other",bug_conf_sheet!$A:$H,8,FALSE))</f>
        <v>1</v>
      </c>
    </row>
    <row r="240" spans="1:19" ht="21" hidden="1" customHeight="1">
      <c r="A240" s="7" t="str">
        <f t="shared" si="29"/>
        <v>1883131</v>
      </c>
      <c r="B240" s="2" t="str">
        <f t="shared" si="14"/>
        <v>1883</v>
      </c>
      <c r="C240" s="8" t="str">
        <f t="shared" si="30"/>
        <v>3PremiumW4</v>
      </c>
      <c r="D240" s="8" t="str">
        <f t="shared" si="31"/>
        <v>3PremiumW4</v>
      </c>
      <c r="E240" s="10">
        <v>3</v>
      </c>
      <c r="F240" s="6">
        <v>131</v>
      </c>
      <c r="G240" s="8" t="str">
        <f>VLOOKUP(F240,[1]characters!$A:$C,3,FALSE)</f>
        <v>月下の人狼 ローレンス</v>
      </c>
      <c r="H240" s="8" t="str">
        <f>VLOOKUP(F240,[1]characters!$A:$J,10,FALSE)</f>
        <v>PremiumW</v>
      </c>
      <c r="I240" s="8">
        <f>VLOOKUP(F240,[1]characters!$A:$I,9,FALSE)</f>
        <v>4</v>
      </c>
      <c r="J240" s="8" t="str">
        <f>VLOOKUP(F240,[1]characters!$A:$H,8,FALSE)</f>
        <v>blue</v>
      </c>
      <c r="K240" s="8" t="str">
        <f>VLOOKUP(F240,[1]characters!$A:$K,11,FALSE)</f>
        <v>attack</v>
      </c>
      <c r="L240" s="8" t="str">
        <f>VLOOKUP(F240,[1]characters!$A:$M,13,FALSE)</f>
        <v>animal</v>
      </c>
      <c r="M240" s="16">
        <f>VLOOKUP(D240,gacha_188_base!A:B,2,FALSE)</f>
        <v>7958</v>
      </c>
      <c r="N240" s="38">
        <f>IFERROR(VLOOKUP($F240,bug_conf_sheet!$A:$H,3,FALSE),VLOOKUP("other",bug_conf_sheet!$A:$H,3,FALSE))</f>
        <v>1</v>
      </c>
      <c r="O240" s="38">
        <f>IFERROR(VLOOKUP($F240,bug_conf_sheet!$A:$H,4,FALSE),VLOOKUP("other",bug_conf_sheet!$A:$H,4,FALSE))</f>
        <v>0</v>
      </c>
      <c r="P240" s="38">
        <f>IFERROR(VLOOKUP($F240,bug_conf_sheet!$A:$H,5,FALSE),VLOOKUP("other",bug_conf_sheet!$A:$H,5,FALSE))</f>
        <v>0</v>
      </c>
      <c r="Q240" s="38">
        <f>IFERROR(VLOOKUP($F240,bug_conf_sheet!$A:$H,6,FALSE),VLOOKUP("other",bug_conf_sheet!$A:$H,6,FALSE))</f>
        <v>0</v>
      </c>
      <c r="R240" s="38">
        <f>IFERROR(VLOOKUP($F240,bug_conf_sheet!$A:$H,7,FALSE),VLOOKUP("other",bug_conf_sheet!$A:$H,7,FALSE))</f>
        <v>0</v>
      </c>
      <c r="S240" s="38">
        <f>IFERROR(VLOOKUP($F240,bug_conf_sheet!$A:$H,8,FALSE),VLOOKUP("other",bug_conf_sheet!$A:$H,8,FALSE))</f>
        <v>1</v>
      </c>
    </row>
    <row r="241" spans="1:19" ht="21" hidden="1" customHeight="1">
      <c r="A241" s="7" t="str">
        <f t="shared" si="29"/>
        <v>1883133</v>
      </c>
      <c r="B241" s="2" t="str">
        <f t="shared" si="14"/>
        <v>1883</v>
      </c>
      <c r="C241" s="8" t="str">
        <f t="shared" si="30"/>
        <v>3PremiumW4</v>
      </c>
      <c r="D241" s="8" t="str">
        <f t="shared" si="31"/>
        <v>3PremiumW4</v>
      </c>
      <c r="E241" s="10">
        <v>3</v>
      </c>
      <c r="F241" s="6">
        <v>133</v>
      </c>
      <c r="G241" s="8" t="str">
        <f>VLOOKUP(F241,[1]characters!$A:$C,3,FALSE)</f>
        <v>迅雷の刀剣 ハヤト</v>
      </c>
      <c r="H241" s="8" t="str">
        <f>VLOOKUP(F241,[1]characters!$A:$J,10,FALSE)</f>
        <v>PremiumW</v>
      </c>
      <c r="I241" s="8">
        <f>VLOOKUP(F241,[1]characters!$A:$I,9,FALSE)</f>
        <v>4</v>
      </c>
      <c r="J241" s="8" t="str">
        <f>VLOOKUP(F241,[1]characters!$A:$H,8,FALSE)</f>
        <v>yellow</v>
      </c>
      <c r="K241" s="8" t="str">
        <f>VLOOKUP(F241,[1]characters!$A:$K,11,FALSE)</f>
        <v>attack</v>
      </c>
      <c r="L241" s="8" t="str">
        <f>VLOOKUP(F241,[1]characters!$A:$M,13,FALSE)</f>
        <v>human</v>
      </c>
      <c r="M241" s="16">
        <f>VLOOKUP(D241,gacha_188_base!A:B,2,FALSE)</f>
        <v>7958</v>
      </c>
      <c r="N241" s="38">
        <f>IFERROR(VLOOKUP($F241,bug_conf_sheet!$A:$H,3,FALSE),VLOOKUP("other",bug_conf_sheet!$A:$H,3,FALSE))</f>
        <v>1</v>
      </c>
      <c r="O241" s="38">
        <f>IFERROR(VLOOKUP($F241,bug_conf_sheet!$A:$H,4,FALSE),VLOOKUP("other",bug_conf_sheet!$A:$H,4,FALSE))</f>
        <v>0</v>
      </c>
      <c r="P241" s="38">
        <f>IFERROR(VLOOKUP($F241,bug_conf_sheet!$A:$H,5,FALSE),VLOOKUP("other",bug_conf_sheet!$A:$H,5,FALSE))</f>
        <v>0</v>
      </c>
      <c r="Q241" s="38">
        <f>IFERROR(VLOOKUP($F241,bug_conf_sheet!$A:$H,6,FALSE),VLOOKUP("other",bug_conf_sheet!$A:$H,6,FALSE))</f>
        <v>0</v>
      </c>
      <c r="R241" s="38">
        <f>IFERROR(VLOOKUP($F241,bug_conf_sheet!$A:$H,7,FALSE),VLOOKUP("other",bug_conf_sheet!$A:$H,7,FALSE))</f>
        <v>0</v>
      </c>
      <c r="S241" s="38">
        <f>IFERROR(VLOOKUP($F241,bug_conf_sheet!$A:$H,8,FALSE),VLOOKUP("other",bug_conf_sheet!$A:$H,8,FALSE))</f>
        <v>1</v>
      </c>
    </row>
    <row r="242" spans="1:19" ht="21" hidden="1" customHeight="1">
      <c r="A242" s="7" t="str">
        <f t="shared" si="29"/>
        <v>1883135</v>
      </c>
      <c r="B242" s="2" t="str">
        <f t="shared" si="14"/>
        <v>1883</v>
      </c>
      <c r="C242" s="8" t="str">
        <f t="shared" si="30"/>
        <v>3PremiumW4</v>
      </c>
      <c r="D242" s="8" t="str">
        <f t="shared" si="31"/>
        <v>3PremiumW4</v>
      </c>
      <c r="E242" s="10">
        <v>3</v>
      </c>
      <c r="F242" s="6">
        <v>135</v>
      </c>
      <c r="G242" s="8" t="str">
        <f>VLOOKUP(F242,[1]characters!$A:$C,3,FALSE)</f>
        <v>京の炎華夕霧</v>
      </c>
      <c r="H242" s="8" t="str">
        <f>VLOOKUP(F242,[1]characters!$A:$J,10,FALSE)</f>
        <v>PremiumW</v>
      </c>
      <c r="I242" s="8">
        <f>VLOOKUP(F242,[1]characters!$A:$I,9,FALSE)</f>
        <v>4</v>
      </c>
      <c r="J242" s="8" t="str">
        <f>VLOOKUP(F242,[1]characters!$A:$H,8,FALSE)</f>
        <v>red</v>
      </c>
      <c r="K242" s="8" t="str">
        <f>VLOOKUP(F242,[1]characters!$A:$K,11,FALSE)</f>
        <v>balance</v>
      </c>
      <c r="L242" s="8" t="str">
        <f>VLOOKUP(F242,[1]characters!$A:$M,13,FALSE)</f>
        <v>human</v>
      </c>
      <c r="M242" s="16">
        <f>VLOOKUP(D242,gacha_188_base!A:B,2,FALSE)</f>
        <v>7958</v>
      </c>
      <c r="N242" s="38">
        <f>IFERROR(VLOOKUP($F242,bug_conf_sheet!$A:$H,3,FALSE),VLOOKUP("other",bug_conf_sheet!$A:$H,3,FALSE))</f>
        <v>1</v>
      </c>
      <c r="O242" s="38">
        <f>IFERROR(VLOOKUP($F242,bug_conf_sheet!$A:$H,4,FALSE),VLOOKUP("other",bug_conf_sheet!$A:$H,4,FALSE))</f>
        <v>0</v>
      </c>
      <c r="P242" s="38">
        <f>IFERROR(VLOOKUP($F242,bug_conf_sheet!$A:$H,5,FALSE),VLOOKUP("other",bug_conf_sheet!$A:$H,5,FALSE))</f>
        <v>0</v>
      </c>
      <c r="Q242" s="38">
        <f>IFERROR(VLOOKUP($F242,bug_conf_sheet!$A:$H,6,FALSE),VLOOKUP("other",bug_conf_sheet!$A:$H,6,FALSE))</f>
        <v>0</v>
      </c>
      <c r="R242" s="38">
        <f>IFERROR(VLOOKUP($F242,bug_conf_sheet!$A:$H,7,FALSE),VLOOKUP("other",bug_conf_sheet!$A:$H,7,FALSE))</f>
        <v>0</v>
      </c>
      <c r="S242" s="38">
        <f>IFERROR(VLOOKUP($F242,bug_conf_sheet!$A:$H,8,FALSE),VLOOKUP("other",bug_conf_sheet!$A:$H,8,FALSE))</f>
        <v>1</v>
      </c>
    </row>
    <row r="243" spans="1:19" ht="21" hidden="1" customHeight="1">
      <c r="A243" s="7" t="str">
        <f t="shared" si="29"/>
        <v>1883137</v>
      </c>
      <c r="B243" s="2" t="str">
        <f t="shared" si="14"/>
        <v>1883</v>
      </c>
      <c r="C243" s="8" t="str">
        <f t="shared" si="30"/>
        <v>3PremiumW4</v>
      </c>
      <c r="D243" s="8" t="str">
        <f t="shared" si="31"/>
        <v>3PremiumW4</v>
      </c>
      <c r="E243" s="10">
        <v>3</v>
      </c>
      <c r="F243" s="9">
        <v>137</v>
      </c>
      <c r="G243" s="8" t="str">
        <f>VLOOKUP(F243,[1]characters!$A:$C,3,FALSE)</f>
        <v>清福の仕立屋 チハヤ</v>
      </c>
      <c r="H243" s="8" t="str">
        <f>VLOOKUP(F243,[1]characters!$A:$J,10,FALSE)</f>
        <v>PremiumW</v>
      </c>
      <c r="I243" s="8">
        <f>VLOOKUP(F243,[1]characters!$A:$I,9,FALSE)</f>
        <v>4</v>
      </c>
      <c r="J243" s="8" t="str">
        <f>VLOOKUP(F243,[1]characters!$A:$H,8,FALSE)</f>
        <v>green</v>
      </c>
      <c r="K243" s="8" t="str">
        <f>VLOOKUP(F243,[1]characters!$A:$K,11,FALSE)</f>
        <v>balance</v>
      </c>
      <c r="L243" s="8" t="str">
        <f>VLOOKUP(F243,[1]characters!$A:$M,13,FALSE)</f>
        <v>human</v>
      </c>
      <c r="M243" s="16">
        <f>VLOOKUP(D243,gacha_188_base!A:B,2,FALSE)</f>
        <v>7958</v>
      </c>
      <c r="N243" s="38">
        <f>IFERROR(VLOOKUP($F243,bug_conf_sheet!$A:$H,3,FALSE),VLOOKUP("other",bug_conf_sheet!$A:$H,3,FALSE))</f>
        <v>1</v>
      </c>
      <c r="O243" s="38">
        <f>IFERROR(VLOOKUP($F243,bug_conf_sheet!$A:$H,4,FALSE),VLOOKUP("other",bug_conf_sheet!$A:$H,4,FALSE))</f>
        <v>0</v>
      </c>
      <c r="P243" s="38">
        <f>IFERROR(VLOOKUP($F243,bug_conf_sheet!$A:$H,5,FALSE),VLOOKUP("other",bug_conf_sheet!$A:$H,5,FALSE))</f>
        <v>0</v>
      </c>
      <c r="Q243" s="38">
        <f>IFERROR(VLOOKUP($F243,bug_conf_sheet!$A:$H,6,FALSE),VLOOKUP("other",bug_conf_sheet!$A:$H,6,FALSE))</f>
        <v>0</v>
      </c>
      <c r="R243" s="38">
        <f>IFERROR(VLOOKUP($F243,bug_conf_sheet!$A:$H,7,FALSE),VLOOKUP("other",bug_conf_sheet!$A:$H,7,FALSE))</f>
        <v>0</v>
      </c>
      <c r="S243" s="38">
        <f>IFERROR(VLOOKUP($F243,bug_conf_sheet!$A:$H,8,FALSE),VLOOKUP("other",bug_conf_sheet!$A:$H,8,FALSE))</f>
        <v>1</v>
      </c>
    </row>
    <row r="244" spans="1:19" ht="21" hidden="1" customHeight="1">
      <c r="A244" s="7" t="str">
        <f t="shared" si="29"/>
        <v>1883139</v>
      </c>
      <c r="B244" s="2" t="str">
        <f t="shared" si="14"/>
        <v>1883</v>
      </c>
      <c r="C244" s="8" t="str">
        <f t="shared" si="30"/>
        <v>3PremiumW4</v>
      </c>
      <c r="D244" s="8" t="str">
        <f t="shared" si="31"/>
        <v>3PremiumW4</v>
      </c>
      <c r="E244" s="10">
        <v>3</v>
      </c>
      <c r="F244" s="6">
        <v>139</v>
      </c>
      <c r="G244" s="8" t="str">
        <f>VLOOKUP(F244,[1]characters!$A:$C,3,FALSE)</f>
        <v>蒼昇刃姫 トモエ</v>
      </c>
      <c r="H244" s="8" t="str">
        <f>VLOOKUP(F244,[1]characters!$A:$J,10,FALSE)</f>
        <v>PremiumW</v>
      </c>
      <c r="I244" s="8">
        <f>VLOOKUP(F244,[1]characters!$A:$I,9,FALSE)</f>
        <v>4</v>
      </c>
      <c r="J244" s="8" t="str">
        <f>VLOOKUP(F244,[1]characters!$A:$H,8,FALSE)</f>
        <v>blue</v>
      </c>
      <c r="K244" s="8" t="str">
        <f>VLOOKUP(F244,[1]characters!$A:$K,11,FALSE)</f>
        <v>balance</v>
      </c>
      <c r="L244" s="8" t="str">
        <f>VLOOKUP(F244,[1]characters!$A:$M,13,FALSE)</f>
        <v>human</v>
      </c>
      <c r="M244" s="16">
        <f>VLOOKUP(D244,gacha_188_base!A:B,2,FALSE)</f>
        <v>7958</v>
      </c>
      <c r="N244" s="38">
        <f>IFERROR(VLOOKUP($F244,bug_conf_sheet!$A:$H,3,FALSE),VLOOKUP("other",bug_conf_sheet!$A:$H,3,FALSE))</f>
        <v>1</v>
      </c>
      <c r="O244" s="38">
        <f>IFERROR(VLOOKUP($F244,bug_conf_sheet!$A:$H,4,FALSE),VLOOKUP("other",bug_conf_sheet!$A:$H,4,FALSE))</f>
        <v>0</v>
      </c>
      <c r="P244" s="38">
        <f>IFERROR(VLOOKUP($F244,bug_conf_sheet!$A:$H,5,FALSE),VLOOKUP("other",bug_conf_sheet!$A:$H,5,FALSE))</f>
        <v>0</v>
      </c>
      <c r="Q244" s="38">
        <f>IFERROR(VLOOKUP($F244,bug_conf_sheet!$A:$H,6,FALSE),VLOOKUP("other",bug_conf_sheet!$A:$H,6,FALSE))</f>
        <v>0</v>
      </c>
      <c r="R244" s="38">
        <f>IFERROR(VLOOKUP($F244,bug_conf_sheet!$A:$H,7,FALSE),VLOOKUP("other",bug_conf_sheet!$A:$H,7,FALSE))</f>
        <v>0</v>
      </c>
      <c r="S244" s="38">
        <f>IFERROR(VLOOKUP($F244,bug_conf_sheet!$A:$H,8,FALSE),VLOOKUP("other",bug_conf_sheet!$A:$H,8,FALSE))</f>
        <v>1</v>
      </c>
    </row>
    <row r="245" spans="1:19" ht="21" hidden="1" customHeight="1">
      <c r="A245" s="7" t="str">
        <f t="shared" si="29"/>
        <v>1883141</v>
      </c>
      <c r="B245" s="2" t="str">
        <f t="shared" si="14"/>
        <v>1883</v>
      </c>
      <c r="C245" s="8" t="str">
        <f t="shared" si="30"/>
        <v>3PremiumW4</v>
      </c>
      <c r="D245" s="8" t="str">
        <f t="shared" si="31"/>
        <v>3PremiumW4</v>
      </c>
      <c r="E245" s="10">
        <v>3</v>
      </c>
      <c r="F245" s="13">
        <v>141</v>
      </c>
      <c r="G245" s="8" t="str">
        <f>VLOOKUP(F245,[1]characters!$A:$C,3,FALSE)</f>
        <v>妖狐演舞 タマモ</v>
      </c>
      <c r="H245" s="8" t="str">
        <f>VLOOKUP(F245,[1]characters!$A:$J,10,FALSE)</f>
        <v>PremiumW</v>
      </c>
      <c r="I245" s="8">
        <f>VLOOKUP(F245,[1]characters!$A:$I,9,FALSE)</f>
        <v>4</v>
      </c>
      <c r="J245" s="8" t="str">
        <f>VLOOKUP(F245,[1]characters!$A:$H,8,FALSE)</f>
        <v>yellow</v>
      </c>
      <c r="K245" s="8" t="str">
        <f>VLOOKUP(F245,[1]characters!$A:$K,11,FALSE)</f>
        <v>balance</v>
      </c>
      <c r="L245" s="8" t="str">
        <f>VLOOKUP(F245,[1]characters!$A:$M,13,FALSE)</f>
        <v>animal</v>
      </c>
      <c r="M245" s="16">
        <f>VLOOKUP(D245,gacha_188_base!A:B,2,FALSE)</f>
        <v>7958</v>
      </c>
      <c r="N245" s="38">
        <f>IFERROR(VLOOKUP($F245,bug_conf_sheet!$A:$H,3,FALSE),VLOOKUP("other",bug_conf_sheet!$A:$H,3,FALSE))</f>
        <v>1</v>
      </c>
      <c r="O245" s="38">
        <f>IFERROR(VLOOKUP($F245,bug_conf_sheet!$A:$H,4,FALSE),VLOOKUP("other",bug_conf_sheet!$A:$H,4,FALSE))</f>
        <v>0</v>
      </c>
      <c r="P245" s="38">
        <f>IFERROR(VLOOKUP($F245,bug_conf_sheet!$A:$H,5,FALSE),VLOOKUP("other",bug_conf_sheet!$A:$H,5,FALSE))</f>
        <v>0</v>
      </c>
      <c r="Q245" s="38">
        <f>IFERROR(VLOOKUP($F245,bug_conf_sheet!$A:$H,6,FALSE),VLOOKUP("other",bug_conf_sheet!$A:$H,6,FALSE))</f>
        <v>0</v>
      </c>
      <c r="R245" s="38">
        <f>IFERROR(VLOOKUP($F245,bug_conf_sheet!$A:$H,7,FALSE),VLOOKUP("other",bug_conf_sheet!$A:$H,7,FALSE))</f>
        <v>0</v>
      </c>
      <c r="S245" s="38">
        <f>IFERROR(VLOOKUP($F245,bug_conf_sheet!$A:$H,8,FALSE),VLOOKUP("other",bug_conf_sheet!$A:$H,8,FALSE))</f>
        <v>1</v>
      </c>
    </row>
    <row r="246" spans="1:19" s="14" customFormat="1" ht="21" hidden="1" customHeight="1" thickBot="1">
      <c r="A246" s="7" t="str">
        <f t="shared" si="29"/>
        <v>1883143</v>
      </c>
      <c r="B246" s="2" t="str">
        <f t="shared" si="14"/>
        <v>1883</v>
      </c>
      <c r="C246" s="8" t="str">
        <f t="shared" si="30"/>
        <v>3PremiumW4</v>
      </c>
      <c r="D246" s="8" t="str">
        <f t="shared" si="31"/>
        <v>3PremiumW4</v>
      </c>
      <c r="E246" s="10">
        <v>3</v>
      </c>
      <c r="F246" s="6">
        <v>143</v>
      </c>
      <c r="G246" s="8" t="str">
        <f>VLOOKUP(F246,[1]characters!$A:$C,3,FALSE)</f>
        <v>深紅の死神 赤ずきん</v>
      </c>
      <c r="H246" s="8" t="str">
        <f>VLOOKUP(F246,[1]characters!$A:$J,10,FALSE)</f>
        <v>PremiumW</v>
      </c>
      <c r="I246" s="8">
        <f>VLOOKUP(F246,[1]characters!$A:$I,9,FALSE)</f>
        <v>4</v>
      </c>
      <c r="J246" s="8" t="str">
        <f>VLOOKUP(F246,[1]characters!$A:$H,8,FALSE)</f>
        <v>red</v>
      </c>
      <c r="K246" s="8" t="str">
        <f>VLOOKUP(F246,[1]characters!$A:$K,11,FALSE)</f>
        <v>balance</v>
      </c>
      <c r="L246" s="8" t="str">
        <f>VLOOKUP(F246,[1]characters!$A:$M,13,FALSE)</f>
        <v>human</v>
      </c>
      <c r="M246" s="16">
        <f>VLOOKUP(D246,gacha_188_base!A:B,2,FALSE)</f>
        <v>7958</v>
      </c>
      <c r="N246" s="38">
        <f>IFERROR(VLOOKUP($F246,bug_conf_sheet!$A:$H,3,FALSE),VLOOKUP("other",bug_conf_sheet!$A:$H,3,FALSE))</f>
        <v>1</v>
      </c>
      <c r="O246" s="38">
        <f>IFERROR(VLOOKUP($F246,bug_conf_sheet!$A:$H,4,FALSE),VLOOKUP("other",bug_conf_sheet!$A:$H,4,FALSE))</f>
        <v>0</v>
      </c>
      <c r="P246" s="38">
        <f>IFERROR(VLOOKUP($F246,bug_conf_sheet!$A:$H,5,FALSE),VLOOKUP("other",bug_conf_sheet!$A:$H,5,FALSE))</f>
        <v>0</v>
      </c>
      <c r="Q246" s="38">
        <f>IFERROR(VLOOKUP($F246,bug_conf_sheet!$A:$H,6,FALSE),VLOOKUP("other",bug_conf_sheet!$A:$H,6,FALSE))</f>
        <v>0</v>
      </c>
      <c r="R246" s="38">
        <f>IFERROR(VLOOKUP($F246,bug_conf_sheet!$A:$H,7,FALSE),VLOOKUP("other",bug_conf_sheet!$A:$H,7,FALSE))</f>
        <v>0</v>
      </c>
      <c r="S246" s="38">
        <f>IFERROR(VLOOKUP($F246,bug_conf_sheet!$A:$H,8,FALSE),VLOOKUP("other",bug_conf_sheet!$A:$H,8,FALSE))</f>
        <v>1</v>
      </c>
    </row>
    <row r="247" spans="1:19" ht="21" hidden="1" customHeight="1">
      <c r="A247" s="7" t="str">
        <f t="shared" si="29"/>
        <v>1883145</v>
      </c>
      <c r="B247" s="2" t="str">
        <f t="shared" si="14"/>
        <v>1883</v>
      </c>
      <c r="C247" s="8" t="str">
        <f t="shared" si="30"/>
        <v>3PremiumW4</v>
      </c>
      <c r="D247" s="8" t="str">
        <f t="shared" si="31"/>
        <v>3PremiumW4</v>
      </c>
      <c r="E247" s="10">
        <v>3</v>
      </c>
      <c r="F247" s="6">
        <v>145</v>
      </c>
      <c r="G247" s="8" t="str">
        <f>VLOOKUP(F247,[1]characters!$A:$C,3,FALSE)</f>
        <v>魔性妖艶 かぐや</v>
      </c>
      <c r="H247" s="8" t="str">
        <f>VLOOKUP(F247,[1]characters!$A:$J,10,FALSE)</f>
        <v>PremiumW</v>
      </c>
      <c r="I247" s="8">
        <f>VLOOKUP(F247,[1]characters!$A:$I,9,FALSE)</f>
        <v>4</v>
      </c>
      <c r="J247" s="8" t="str">
        <f>VLOOKUP(F247,[1]characters!$A:$H,8,FALSE)</f>
        <v>green</v>
      </c>
      <c r="K247" s="8" t="str">
        <f>VLOOKUP(F247,[1]characters!$A:$K,11,FALSE)</f>
        <v>hp</v>
      </c>
      <c r="L247" s="8" t="str">
        <f>VLOOKUP(F247,[1]characters!$A:$M,13,FALSE)</f>
        <v>human</v>
      </c>
      <c r="M247" s="16">
        <f>VLOOKUP(D247,gacha_188_base!A:B,2,FALSE)</f>
        <v>7958</v>
      </c>
      <c r="N247" s="38">
        <f>IFERROR(VLOOKUP($F247,bug_conf_sheet!$A:$H,3,FALSE),VLOOKUP("other",bug_conf_sheet!$A:$H,3,FALSE))</f>
        <v>1</v>
      </c>
      <c r="O247" s="38">
        <f>IFERROR(VLOOKUP($F247,bug_conf_sheet!$A:$H,4,FALSE),VLOOKUP("other",bug_conf_sheet!$A:$H,4,FALSE))</f>
        <v>0</v>
      </c>
      <c r="P247" s="38">
        <f>IFERROR(VLOOKUP($F247,bug_conf_sheet!$A:$H,5,FALSE),VLOOKUP("other",bug_conf_sheet!$A:$H,5,FALSE))</f>
        <v>0</v>
      </c>
      <c r="Q247" s="38">
        <f>IFERROR(VLOOKUP($F247,bug_conf_sheet!$A:$H,6,FALSE),VLOOKUP("other",bug_conf_sheet!$A:$H,6,FALSE))</f>
        <v>0</v>
      </c>
      <c r="R247" s="38">
        <f>IFERROR(VLOOKUP($F247,bug_conf_sheet!$A:$H,7,FALSE),VLOOKUP("other",bug_conf_sheet!$A:$H,7,FALSE))</f>
        <v>0</v>
      </c>
      <c r="S247" s="38">
        <f>IFERROR(VLOOKUP($F247,bug_conf_sheet!$A:$H,8,FALSE),VLOOKUP("other",bug_conf_sheet!$A:$H,8,FALSE))</f>
        <v>1</v>
      </c>
    </row>
    <row r="248" spans="1:19" ht="21" hidden="1" customHeight="1">
      <c r="A248" s="7" t="str">
        <f t="shared" si="29"/>
        <v>1883147</v>
      </c>
      <c r="B248" s="2" t="str">
        <f t="shared" si="14"/>
        <v>1883</v>
      </c>
      <c r="C248" s="8" t="str">
        <f t="shared" si="30"/>
        <v>3PremiumW4</v>
      </c>
      <c r="D248" s="8" t="str">
        <f t="shared" si="31"/>
        <v>3PremiumW4</v>
      </c>
      <c r="E248" s="10">
        <v>3</v>
      </c>
      <c r="F248" s="6">
        <v>147</v>
      </c>
      <c r="G248" s="8" t="str">
        <f>VLOOKUP(F248,[1]characters!$A:$C,3,FALSE)</f>
        <v>蒼き閃光 元マーメイド</v>
      </c>
      <c r="H248" s="8" t="str">
        <f>VLOOKUP(F248,[1]characters!$A:$J,10,FALSE)</f>
        <v>PremiumW</v>
      </c>
      <c r="I248" s="8">
        <f>VLOOKUP(F248,[1]characters!$A:$I,9,FALSE)</f>
        <v>4</v>
      </c>
      <c r="J248" s="8" t="str">
        <f>VLOOKUP(F248,[1]characters!$A:$H,8,FALSE)</f>
        <v>blue</v>
      </c>
      <c r="K248" s="8" t="str">
        <f>VLOOKUP(F248,[1]characters!$A:$K,11,FALSE)</f>
        <v>hp</v>
      </c>
      <c r="L248" s="8" t="str">
        <f>VLOOKUP(F248,[1]characters!$A:$M,13,FALSE)</f>
        <v>human</v>
      </c>
      <c r="M248" s="16">
        <f>VLOOKUP(D248,gacha_188_base!A:B,2,FALSE)</f>
        <v>7958</v>
      </c>
      <c r="N248" s="38">
        <f>IFERROR(VLOOKUP($F248,bug_conf_sheet!$A:$H,3,FALSE),VLOOKUP("other",bug_conf_sheet!$A:$H,3,FALSE))</f>
        <v>1</v>
      </c>
      <c r="O248" s="38">
        <f>IFERROR(VLOOKUP($F248,bug_conf_sheet!$A:$H,4,FALSE),VLOOKUP("other",bug_conf_sheet!$A:$H,4,FALSE))</f>
        <v>0</v>
      </c>
      <c r="P248" s="38">
        <f>IFERROR(VLOOKUP($F248,bug_conf_sheet!$A:$H,5,FALSE),VLOOKUP("other",bug_conf_sheet!$A:$H,5,FALSE))</f>
        <v>0</v>
      </c>
      <c r="Q248" s="38">
        <f>IFERROR(VLOOKUP($F248,bug_conf_sheet!$A:$H,6,FALSE),VLOOKUP("other",bug_conf_sheet!$A:$H,6,FALSE))</f>
        <v>0</v>
      </c>
      <c r="R248" s="38">
        <f>IFERROR(VLOOKUP($F248,bug_conf_sheet!$A:$H,7,FALSE),VLOOKUP("other",bug_conf_sheet!$A:$H,7,FALSE))</f>
        <v>0</v>
      </c>
      <c r="S248" s="38">
        <f>IFERROR(VLOOKUP($F248,bug_conf_sheet!$A:$H,8,FALSE),VLOOKUP("other",bug_conf_sheet!$A:$H,8,FALSE))</f>
        <v>1</v>
      </c>
    </row>
    <row r="249" spans="1:19" ht="21" hidden="1" customHeight="1">
      <c r="A249" s="7" t="str">
        <f t="shared" si="29"/>
        <v>1883149</v>
      </c>
      <c r="B249" s="2" t="str">
        <f t="shared" si="14"/>
        <v>1883</v>
      </c>
      <c r="C249" s="8" t="str">
        <f t="shared" si="30"/>
        <v>3PremiumW4</v>
      </c>
      <c r="D249" s="8" t="str">
        <f t="shared" si="31"/>
        <v>3PremiumW4</v>
      </c>
      <c r="E249" s="10">
        <v>3</v>
      </c>
      <c r="F249" s="6">
        <v>149</v>
      </c>
      <c r="G249" s="8" t="str">
        <f>VLOOKUP(F249,[1]characters!$A:$C,3,FALSE)</f>
        <v>雷撃蹴技を極めし者 シンデレラ</v>
      </c>
      <c r="H249" s="8" t="str">
        <f>VLOOKUP(F249,[1]characters!$A:$J,10,FALSE)</f>
        <v>PremiumW</v>
      </c>
      <c r="I249" s="8">
        <f>VLOOKUP(F249,[1]characters!$A:$I,9,FALSE)</f>
        <v>4</v>
      </c>
      <c r="J249" s="8" t="str">
        <f>VLOOKUP(F249,[1]characters!$A:$H,8,FALSE)</f>
        <v>yellow</v>
      </c>
      <c r="K249" s="8" t="str">
        <f>VLOOKUP(F249,[1]characters!$A:$K,11,FALSE)</f>
        <v>balance</v>
      </c>
      <c r="L249" s="8" t="str">
        <f>VLOOKUP(F249,[1]characters!$A:$M,13,FALSE)</f>
        <v>human</v>
      </c>
      <c r="M249" s="16">
        <f>VLOOKUP(D249,gacha_188_base!A:B,2,FALSE)</f>
        <v>7958</v>
      </c>
      <c r="N249" s="38">
        <f>IFERROR(VLOOKUP($F249,bug_conf_sheet!$A:$H,3,FALSE),VLOOKUP("other",bug_conf_sheet!$A:$H,3,FALSE))</f>
        <v>1</v>
      </c>
      <c r="O249" s="38">
        <f>IFERROR(VLOOKUP($F249,bug_conf_sheet!$A:$H,4,FALSE),VLOOKUP("other",bug_conf_sheet!$A:$H,4,FALSE))</f>
        <v>0</v>
      </c>
      <c r="P249" s="38">
        <f>IFERROR(VLOOKUP($F249,bug_conf_sheet!$A:$H,5,FALSE),VLOOKUP("other",bug_conf_sheet!$A:$H,5,FALSE))</f>
        <v>0</v>
      </c>
      <c r="Q249" s="38">
        <f>IFERROR(VLOOKUP($F249,bug_conf_sheet!$A:$H,6,FALSE),VLOOKUP("other",bug_conf_sheet!$A:$H,6,FALSE))</f>
        <v>0</v>
      </c>
      <c r="R249" s="38">
        <f>IFERROR(VLOOKUP($F249,bug_conf_sheet!$A:$H,7,FALSE),VLOOKUP("other",bug_conf_sheet!$A:$H,7,FALSE))</f>
        <v>0</v>
      </c>
      <c r="S249" s="38">
        <f>IFERROR(VLOOKUP($F249,bug_conf_sheet!$A:$H,8,FALSE),VLOOKUP("other",bug_conf_sheet!$A:$H,8,FALSE))</f>
        <v>1</v>
      </c>
    </row>
    <row r="250" spans="1:19" ht="21" hidden="1" customHeight="1">
      <c r="A250" s="7" t="str">
        <f t="shared" si="29"/>
        <v>1883151</v>
      </c>
      <c r="B250" s="2" t="str">
        <f t="shared" si="14"/>
        <v>1883</v>
      </c>
      <c r="C250" s="8" t="str">
        <f t="shared" si="30"/>
        <v>3PremiumW4</v>
      </c>
      <c r="D250" s="8" t="str">
        <f t="shared" si="31"/>
        <v>3PremiumW4</v>
      </c>
      <c r="E250" s="10">
        <v>3</v>
      </c>
      <c r="F250" s="6">
        <v>151</v>
      </c>
      <c r="G250" s="8" t="str">
        <f>VLOOKUP(F250,[1]characters!$A:$C,3,FALSE)</f>
        <v>毒煙の処刑人サキ</v>
      </c>
      <c r="H250" s="8" t="str">
        <f>VLOOKUP(F250,[1]characters!$A:$J,10,FALSE)</f>
        <v>PremiumW</v>
      </c>
      <c r="I250" s="8">
        <f>VLOOKUP(F250,[1]characters!$A:$I,9,FALSE)</f>
        <v>4</v>
      </c>
      <c r="J250" s="8" t="str">
        <f>VLOOKUP(F250,[1]characters!$A:$H,8,FALSE)</f>
        <v>red</v>
      </c>
      <c r="K250" s="8" t="str">
        <f>VLOOKUP(F250,[1]characters!$A:$K,11,FALSE)</f>
        <v>technical</v>
      </c>
      <c r="L250" s="8" t="str">
        <f>VLOOKUP(F250,[1]characters!$A:$M,13,FALSE)</f>
        <v>human</v>
      </c>
      <c r="M250" s="16">
        <f>VLOOKUP(D250,gacha_188_base!A:B,2,FALSE)</f>
        <v>7958</v>
      </c>
      <c r="N250" s="38">
        <f>IFERROR(VLOOKUP($F250,bug_conf_sheet!$A:$H,3,FALSE),VLOOKUP("other",bug_conf_sheet!$A:$H,3,FALSE))</f>
        <v>1</v>
      </c>
      <c r="O250" s="38">
        <f>IFERROR(VLOOKUP($F250,bug_conf_sheet!$A:$H,4,FALSE),VLOOKUP("other",bug_conf_sheet!$A:$H,4,FALSE))</f>
        <v>0</v>
      </c>
      <c r="P250" s="38">
        <f>IFERROR(VLOOKUP($F250,bug_conf_sheet!$A:$H,5,FALSE),VLOOKUP("other",bug_conf_sheet!$A:$H,5,FALSE))</f>
        <v>0</v>
      </c>
      <c r="Q250" s="38">
        <f>IFERROR(VLOOKUP($F250,bug_conf_sheet!$A:$H,6,FALSE),VLOOKUP("other",bug_conf_sheet!$A:$H,6,FALSE))</f>
        <v>0</v>
      </c>
      <c r="R250" s="38">
        <f>IFERROR(VLOOKUP($F250,bug_conf_sheet!$A:$H,7,FALSE),VLOOKUP("other",bug_conf_sheet!$A:$H,7,FALSE))</f>
        <v>0</v>
      </c>
      <c r="S250" s="38">
        <f>IFERROR(VLOOKUP($F250,bug_conf_sheet!$A:$H,8,FALSE),VLOOKUP("other",bug_conf_sheet!$A:$H,8,FALSE))</f>
        <v>1</v>
      </c>
    </row>
    <row r="251" spans="1:19" ht="21" hidden="1" customHeight="1">
      <c r="A251" s="7" t="str">
        <f t="shared" si="29"/>
        <v>1883153</v>
      </c>
      <c r="B251" s="2" t="str">
        <f t="shared" si="14"/>
        <v>1883</v>
      </c>
      <c r="C251" s="8" t="str">
        <f t="shared" si="30"/>
        <v>3PremiumW4</v>
      </c>
      <c r="D251" s="8" t="str">
        <f t="shared" si="31"/>
        <v>3PremiumW4</v>
      </c>
      <c r="E251" s="10">
        <v>3</v>
      </c>
      <c r="F251" s="6">
        <v>153</v>
      </c>
      <c r="G251" s="8" t="str">
        <f>VLOOKUP(F251,[1]characters!$A:$C,3,FALSE)</f>
        <v>拳聖ランラン</v>
      </c>
      <c r="H251" s="8" t="str">
        <f>VLOOKUP(F251,[1]characters!$A:$J,10,FALSE)</f>
        <v>PremiumW</v>
      </c>
      <c r="I251" s="8">
        <f>VLOOKUP(F251,[1]characters!$A:$I,9,FALSE)</f>
        <v>4</v>
      </c>
      <c r="J251" s="8" t="str">
        <f>VLOOKUP(F251,[1]characters!$A:$H,8,FALSE)</f>
        <v>green</v>
      </c>
      <c r="K251" s="8" t="str">
        <f>VLOOKUP(F251,[1]characters!$A:$K,11,FALSE)</f>
        <v>heal</v>
      </c>
      <c r="L251" s="8" t="str">
        <f>VLOOKUP(F251,[1]characters!$A:$M,13,FALSE)</f>
        <v>human</v>
      </c>
      <c r="M251" s="16">
        <f>VLOOKUP(D251,gacha_188_base!A:B,2,FALSE)</f>
        <v>7958</v>
      </c>
      <c r="N251" s="38">
        <f>IFERROR(VLOOKUP($F251,bug_conf_sheet!$A:$H,3,FALSE),VLOOKUP("other",bug_conf_sheet!$A:$H,3,FALSE))</f>
        <v>1</v>
      </c>
      <c r="O251" s="38">
        <f>IFERROR(VLOOKUP($F251,bug_conf_sheet!$A:$H,4,FALSE),VLOOKUP("other",bug_conf_sheet!$A:$H,4,FALSE))</f>
        <v>0</v>
      </c>
      <c r="P251" s="38">
        <f>IFERROR(VLOOKUP($F251,bug_conf_sheet!$A:$H,5,FALSE),VLOOKUP("other",bug_conf_sheet!$A:$H,5,FALSE))</f>
        <v>0</v>
      </c>
      <c r="Q251" s="38">
        <f>IFERROR(VLOOKUP($F251,bug_conf_sheet!$A:$H,6,FALSE),VLOOKUP("other",bug_conf_sheet!$A:$H,6,FALSE))</f>
        <v>0</v>
      </c>
      <c r="R251" s="38">
        <f>IFERROR(VLOOKUP($F251,bug_conf_sheet!$A:$H,7,FALSE),VLOOKUP("other",bug_conf_sheet!$A:$H,7,FALSE))</f>
        <v>0</v>
      </c>
      <c r="S251" s="38">
        <f>IFERROR(VLOOKUP($F251,bug_conf_sheet!$A:$H,8,FALSE),VLOOKUP("other",bug_conf_sheet!$A:$H,8,FALSE))</f>
        <v>1</v>
      </c>
    </row>
    <row r="252" spans="1:19" ht="21" hidden="1" customHeight="1">
      <c r="A252" s="7" t="str">
        <f t="shared" si="29"/>
        <v>1883155</v>
      </c>
      <c r="B252" s="2" t="str">
        <f t="shared" si="14"/>
        <v>1883</v>
      </c>
      <c r="C252" s="8" t="str">
        <f t="shared" si="30"/>
        <v>3PremiumW4</v>
      </c>
      <c r="D252" s="8" t="str">
        <f t="shared" si="31"/>
        <v>3PremiumW4</v>
      </c>
      <c r="E252" s="10">
        <v>3</v>
      </c>
      <c r="F252" s="6">
        <v>155</v>
      </c>
      <c r="G252" s="8" t="str">
        <f>VLOOKUP(F252,[1]characters!$A:$C,3,FALSE)</f>
        <v>隻眼の掃除屋 ハンナ</v>
      </c>
      <c r="H252" s="8" t="str">
        <f>VLOOKUP(F252,[1]characters!$A:$J,10,FALSE)</f>
        <v>PremiumW</v>
      </c>
      <c r="I252" s="8">
        <f>VLOOKUP(F252,[1]characters!$A:$I,9,FALSE)</f>
        <v>4</v>
      </c>
      <c r="J252" s="8" t="str">
        <f>VLOOKUP(F252,[1]characters!$A:$H,8,FALSE)</f>
        <v>blue</v>
      </c>
      <c r="K252" s="8" t="str">
        <f>VLOOKUP(F252,[1]characters!$A:$K,11,FALSE)</f>
        <v>heal</v>
      </c>
      <c r="L252" s="8" t="str">
        <f>VLOOKUP(F252,[1]characters!$A:$M,13,FALSE)</f>
        <v>human</v>
      </c>
      <c r="M252" s="16">
        <f>VLOOKUP(D252,gacha_188_base!A:B,2,FALSE)</f>
        <v>7958</v>
      </c>
      <c r="N252" s="38">
        <f>IFERROR(VLOOKUP($F252,bug_conf_sheet!$A:$H,3,FALSE),VLOOKUP("other",bug_conf_sheet!$A:$H,3,FALSE))</f>
        <v>1</v>
      </c>
      <c r="O252" s="38">
        <f>IFERROR(VLOOKUP($F252,bug_conf_sheet!$A:$H,4,FALSE),VLOOKUP("other",bug_conf_sheet!$A:$H,4,FALSE))</f>
        <v>0</v>
      </c>
      <c r="P252" s="38">
        <f>IFERROR(VLOOKUP($F252,bug_conf_sheet!$A:$H,5,FALSE),VLOOKUP("other",bug_conf_sheet!$A:$H,5,FALSE))</f>
        <v>0</v>
      </c>
      <c r="Q252" s="38">
        <f>IFERROR(VLOOKUP($F252,bug_conf_sheet!$A:$H,6,FALSE),VLOOKUP("other",bug_conf_sheet!$A:$H,6,FALSE))</f>
        <v>0</v>
      </c>
      <c r="R252" s="38">
        <f>IFERROR(VLOOKUP($F252,bug_conf_sheet!$A:$H,7,FALSE),VLOOKUP("other",bug_conf_sheet!$A:$H,7,FALSE))</f>
        <v>0</v>
      </c>
      <c r="S252" s="38">
        <f>IFERROR(VLOOKUP($F252,bug_conf_sheet!$A:$H,8,FALSE),VLOOKUP("other",bug_conf_sheet!$A:$H,8,FALSE))</f>
        <v>1</v>
      </c>
    </row>
    <row r="253" spans="1:19" ht="21" hidden="1" customHeight="1">
      <c r="A253" s="7" t="str">
        <f t="shared" si="29"/>
        <v>1883157</v>
      </c>
      <c r="B253" s="2" t="str">
        <f t="shared" si="14"/>
        <v>1883</v>
      </c>
      <c r="C253" s="8" t="str">
        <f t="shared" si="30"/>
        <v>3PremiumW4</v>
      </c>
      <c r="D253" s="8" t="str">
        <f t="shared" si="31"/>
        <v>3PremiumW4</v>
      </c>
      <c r="E253" s="10">
        <v>3</v>
      </c>
      <c r="F253" s="6">
        <v>157</v>
      </c>
      <c r="G253" s="8" t="str">
        <f>VLOOKUP(F253,[1]characters!$A:$C,3,FALSE)</f>
        <v>雷光舞姫 エレナ</v>
      </c>
      <c r="H253" s="8" t="str">
        <f>VLOOKUP(F253,[1]characters!$A:$J,10,FALSE)</f>
        <v>PremiumW</v>
      </c>
      <c r="I253" s="8">
        <f>VLOOKUP(F253,[1]characters!$A:$I,9,FALSE)</f>
        <v>4</v>
      </c>
      <c r="J253" s="8" t="str">
        <f>VLOOKUP(F253,[1]characters!$A:$H,8,FALSE)</f>
        <v>yellow</v>
      </c>
      <c r="K253" s="8" t="str">
        <f>VLOOKUP(F253,[1]characters!$A:$K,11,FALSE)</f>
        <v>heal</v>
      </c>
      <c r="L253" s="8" t="str">
        <f>VLOOKUP(F253,[1]characters!$A:$M,13,FALSE)</f>
        <v>human</v>
      </c>
      <c r="M253" s="16">
        <f>VLOOKUP(D253,gacha_188_base!A:B,2,FALSE)</f>
        <v>7958</v>
      </c>
      <c r="N253" s="38">
        <f>IFERROR(VLOOKUP($F253,bug_conf_sheet!$A:$H,3,FALSE),VLOOKUP("other",bug_conf_sheet!$A:$H,3,FALSE))</f>
        <v>1</v>
      </c>
      <c r="O253" s="38">
        <f>IFERROR(VLOOKUP($F253,bug_conf_sheet!$A:$H,4,FALSE),VLOOKUP("other",bug_conf_sheet!$A:$H,4,FALSE))</f>
        <v>0</v>
      </c>
      <c r="P253" s="38">
        <f>IFERROR(VLOOKUP($F253,bug_conf_sheet!$A:$H,5,FALSE),VLOOKUP("other",bug_conf_sheet!$A:$H,5,FALSE))</f>
        <v>0</v>
      </c>
      <c r="Q253" s="38">
        <f>IFERROR(VLOOKUP($F253,bug_conf_sheet!$A:$H,6,FALSE),VLOOKUP("other",bug_conf_sheet!$A:$H,6,FALSE))</f>
        <v>0</v>
      </c>
      <c r="R253" s="38">
        <f>IFERROR(VLOOKUP($F253,bug_conf_sheet!$A:$H,7,FALSE),VLOOKUP("other",bug_conf_sheet!$A:$H,7,FALSE))</f>
        <v>0</v>
      </c>
      <c r="S253" s="38">
        <f>IFERROR(VLOOKUP($F253,bug_conf_sheet!$A:$H,8,FALSE),VLOOKUP("other",bug_conf_sheet!$A:$H,8,FALSE))</f>
        <v>1</v>
      </c>
    </row>
    <row r="254" spans="1:19" ht="21" hidden="1" customHeight="1">
      <c r="A254" s="7" t="str">
        <f t="shared" si="29"/>
        <v>1883159</v>
      </c>
      <c r="B254" s="2" t="str">
        <f t="shared" si="14"/>
        <v>1883</v>
      </c>
      <c r="C254" s="8" t="str">
        <f t="shared" ref="C254:C294" si="32">E254&amp;H254&amp;I254</f>
        <v>3PremiumW4</v>
      </c>
      <c r="D254" s="8" t="str">
        <f t="shared" si="31"/>
        <v>3PremiumW4</v>
      </c>
      <c r="E254" s="10">
        <v>3</v>
      </c>
      <c r="F254" s="6">
        <v>159</v>
      </c>
      <c r="G254" s="8" t="str">
        <f>VLOOKUP(F254,[1]characters!$A:$C,3,FALSE)</f>
        <v>邪を狩りし者 シャルロッテ</v>
      </c>
      <c r="H254" s="8" t="str">
        <f>VLOOKUP(F254,[1]characters!$A:$J,10,FALSE)</f>
        <v>PremiumW</v>
      </c>
      <c r="I254" s="8">
        <f>VLOOKUP(F254,[1]characters!$A:$I,9,FALSE)</f>
        <v>4</v>
      </c>
      <c r="J254" s="8" t="str">
        <f>VLOOKUP(F254,[1]characters!$A:$H,8,FALSE)</f>
        <v>red</v>
      </c>
      <c r="K254" s="8" t="str">
        <f>VLOOKUP(F254,[1]characters!$A:$K,11,FALSE)</f>
        <v>heal</v>
      </c>
      <c r="L254" s="8" t="str">
        <f>VLOOKUP(F254,[1]characters!$A:$M,13,FALSE)</f>
        <v>human</v>
      </c>
      <c r="M254" s="16">
        <f>VLOOKUP(D254,gacha_188_base!A:B,2,FALSE)</f>
        <v>7958</v>
      </c>
      <c r="N254" s="38">
        <f>IFERROR(VLOOKUP($F254,bug_conf_sheet!$A:$H,3,FALSE),VLOOKUP("other",bug_conf_sheet!$A:$H,3,FALSE))</f>
        <v>1</v>
      </c>
      <c r="O254" s="38">
        <f>IFERROR(VLOOKUP($F254,bug_conf_sheet!$A:$H,4,FALSE),VLOOKUP("other",bug_conf_sheet!$A:$H,4,FALSE))</f>
        <v>0</v>
      </c>
      <c r="P254" s="38">
        <f>IFERROR(VLOOKUP($F254,bug_conf_sheet!$A:$H,5,FALSE),VLOOKUP("other",bug_conf_sheet!$A:$H,5,FALSE))</f>
        <v>0</v>
      </c>
      <c r="Q254" s="38">
        <f>IFERROR(VLOOKUP($F254,bug_conf_sheet!$A:$H,6,FALSE),VLOOKUP("other",bug_conf_sheet!$A:$H,6,FALSE))</f>
        <v>0</v>
      </c>
      <c r="R254" s="38">
        <f>IFERROR(VLOOKUP($F254,bug_conf_sheet!$A:$H,7,FALSE),VLOOKUP("other",bug_conf_sheet!$A:$H,7,FALSE))</f>
        <v>0</v>
      </c>
      <c r="S254" s="38">
        <f>IFERROR(VLOOKUP($F254,bug_conf_sheet!$A:$H,8,FALSE),VLOOKUP("other",bug_conf_sheet!$A:$H,8,FALSE))</f>
        <v>1</v>
      </c>
    </row>
    <row r="255" spans="1:19" ht="21" hidden="1" customHeight="1">
      <c r="A255" s="7" t="str">
        <f t="shared" si="29"/>
        <v>1883161</v>
      </c>
      <c r="B255" s="2" t="str">
        <f t="shared" si="14"/>
        <v>1883</v>
      </c>
      <c r="C255" s="8" t="str">
        <f t="shared" si="32"/>
        <v>3PremiumW4</v>
      </c>
      <c r="D255" s="8" t="str">
        <f t="shared" si="31"/>
        <v>3PremiumW4</v>
      </c>
      <c r="E255" s="10">
        <v>3</v>
      </c>
      <c r="F255" s="6">
        <v>161</v>
      </c>
      <c r="G255" s="8" t="str">
        <f>VLOOKUP(F255,[1]characters!$A:$C,3,FALSE)</f>
        <v>咆哮の先導者 クリエ</v>
      </c>
      <c r="H255" s="8" t="str">
        <f>VLOOKUP(F255,[1]characters!$A:$J,10,FALSE)</f>
        <v>PremiumW</v>
      </c>
      <c r="I255" s="8">
        <f>VLOOKUP(F255,[1]characters!$A:$I,9,FALSE)</f>
        <v>4</v>
      </c>
      <c r="J255" s="8" t="str">
        <f>VLOOKUP(F255,[1]characters!$A:$H,8,FALSE)</f>
        <v>green</v>
      </c>
      <c r="K255" s="8" t="str">
        <f>VLOOKUP(F255,[1]characters!$A:$K,11,FALSE)</f>
        <v>balance</v>
      </c>
      <c r="L255" s="8" t="str">
        <f>VLOOKUP(F255,[1]characters!$A:$M,13,FALSE)</f>
        <v>human</v>
      </c>
      <c r="M255" s="16">
        <f>VLOOKUP(D255,gacha_188_base!A:B,2,FALSE)</f>
        <v>7958</v>
      </c>
      <c r="N255" s="38">
        <f>IFERROR(VLOOKUP($F255,bug_conf_sheet!$A:$H,3,FALSE),VLOOKUP("other",bug_conf_sheet!$A:$H,3,FALSE))</f>
        <v>1</v>
      </c>
      <c r="O255" s="38">
        <f>IFERROR(VLOOKUP($F255,bug_conf_sheet!$A:$H,4,FALSE),VLOOKUP("other",bug_conf_sheet!$A:$H,4,FALSE))</f>
        <v>0</v>
      </c>
      <c r="P255" s="38">
        <f>IFERROR(VLOOKUP($F255,bug_conf_sheet!$A:$H,5,FALSE),VLOOKUP("other",bug_conf_sheet!$A:$H,5,FALSE))</f>
        <v>0</v>
      </c>
      <c r="Q255" s="38">
        <f>IFERROR(VLOOKUP($F255,bug_conf_sheet!$A:$H,6,FALSE),VLOOKUP("other",bug_conf_sheet!$A:$H,6,FALSE))</f>
        <v>0</v>
      </c>
      <c r="R255" s="38">
        <f>IFERROR(VLOOKUP($F255,bug_conf_sheet!$A:$H,7,FALSE),VLOOKUP("other",bug_conf_sheet!$A:$H,7,FALSE))</f>
        <v>0</v>
      </c>
      <c r="S255" s="38">
        <f>IFERROR(VLOOKUP($F255,bug_conf_sheet!$A:$H,8,FALSE),VLOOKUP("other",bug_conf_sheet!$A:$H,8,FALSE))</f>
        <v>1</v>
      </c>
    </row>
    <row r="256" spans="1:19" ht="21" hidden="1" customHeight="1">
      <c r="A256" s="7" t="str">
        <f t="shared" si="29"/>
        <v>1883163</v>
      </c>
      <c r="B256" s="2" t="str">
        <f t="shared" si="14"/>
        <v>1883</v>
      </c>
      <c r="C256" s="8" t="str">
        <f t="shared" si="32"/>
        <v>3PremiumW4</v>
      </c>
      <c r="D256" s="8" t="str">
        <f t="shared" si="31"/>
        <v>3PremiumW4</v>
      </c>
      <c r="E256" s="10">
        <v>3</v>
      </c>
      <c r="F256" s="6">
        <v>163</v>
      </c>
      <c r="G256" s="8" t="str">
        <f>VLOOKUP(F256,[1]characters!$A:$C,3,FALSE)</f>
        <v>冷酷な狂嬢 クララ</v>
      </c>
      <c r="H256" s="8" t="str">
        <f>VLOOKUP(F256,[1]characters!$A:$J,10,FALSE)</f>
        <v>PremiumW</v>
      </c>
      <c r="I256" s="8">
        <f>VLOOKUP(F256,[1]characters!$A:$I,9,FALSE)</f>
        <v>4</v>
      </c>
      <c r="J256" s="8" t="str">
        <f>VLOOKUP(F256,[1]characters!$A:$H,8,FALSE)</f>
        <v>blue</v>
      </c>
      <c r="K256" s="8" t="str">
        <f>VLOOKUP(F256,[1]characters!$A:$K,11,FALSE)</f>
        <v>attack</v>
      </c>
      <c r="L256" s="8" t="str">
        <f>VLOOKUP(F256,[1]characters!$A:$M,13,FALSE)</f>
        <v>human</v>
      </c>
      <c r="M256" s="16">
        <f>VLOOKUP(D256,gacha_188_base!A:B,2,FALSE)</f>
        <v>7958</v>
      </c>
      <c r="N256" s="38">
        <f>IFERROR(VLOOKUP($F256,bug_conf_sheet!$A:$H,3,FALSE),VLOOKUP("other",bug_conf_sheet!$A:$H,3,FALSE))</f>
        <v>1</v>
      </c>
      <c r="O256" s="38">
        <f>IFERROR(VLOOKUP($F256,bug_conf_sheet!$A:$H,4,FALSE),VLOOKUP("other",bug_conf_sheet!$A:$H,4,FALSE))</f>
        <v>0</v>
      </c>
      <c r="P256" s="38">
        <f>IFERROR(VLOOKUP($F256,bug_conf_sheet!$A:$H,5,FALSE),VLOOKUP("other",bug_conf_sheet!$A:$H,5,FALSE))</f>
        <v>0</v>
      </c>
      <c r="Q256" s="38">
        <f>IFERROR(VLOOKUP($F256,bug_conf_sheet!$A:$H,6,FALSE),VLOOKUP("other",bug_conf_sheet!$A:$H,6,FALSE))</f>
        <v>0</v>
      </c>
      <c r="R256" s="38">
        <f>IFERROR(VLOOKUP($F256,bug_conf_sheet!$A:$H,7,FALSE),VLOOKUP("other",bug_conf_sheet!$A:$H,7,FALSE))</f>
        <v>0</v>
      </c>
      <c r="S256" s="38">
        <f>IFERROR(VLOOKUP($F256,bug_conf_sheet!$A:$H,8,FALSE),VLOOKUP("other",bug_conf_sheet!$A:$H,8,FALSE))</f>
        <v>1</v>
      </c>
    </row>
    <row r="257" spans="1:19" ht="21" hidden="1" customHeight="1">
      <c r="A257" s="7" t="str">
        <f t="shared" si="29"/>
        <v>1883165</v>
      </c>
      <c r="B257" s="2" t="str">
        <f t="shared" si="14"/>
        <v>1883</v>
      </c>
      <c r="C257" s="8" t="str">
        <f t="shared" si="32"/>
        <v>3PremiumW4</v>
      </c>
      <c r="D257" s="8" t="str">
        <f t="shared" si="31"/>
        <v>3PremiumW4</v>
      </c>
      <c r="E257" s="10">
        <v>3</v>
      </c>
      <c r="F257" s="6">
        <v>165</v>
      </c>
      <c r="G257" s="8" t="str">
        <f>VLOOKUP(F257,[1]characters!$A:$C,3,FALSE)</f>
        <v>イブとたったひとりのトモダチ</v>
      </c>
      <c r="H257" s="8" t="str">
        <f>VLOOKUP(F257,[1]characters!$A:$J,10,FALSE)</f>
        <v>PremiumW</v>
      </c>
      <c r="I257" s="8">
        <f>VLOOKUP(F257,[1]characters!$A:$I,9,FALSE)</f>
        <v>4</v>
      </c>
      <c r="J257" s="8" t="str">
        <f>VLOOKUP(F257,[1]characters!$A:$H,8,FALSE)</f>
        <v>yellow</v>
      </c>
      <c r="K257" s="8" t="str">
        <f>VLOOKUP(F257,[1]characters!$A:$K,11,FALSE)</f>
        <v>technical</v>
      </c>
      <c r="L257" s="8" t="str">
        <f>VLOOKUP(F257,[1]characters!$A:$M,13,FALSE)</f>
        <v>human</v>
      </c>
      <c r="M257" s="16">
        <f>VLOOKUP(D257,gacha_188_base!A:B,2,FALSE)</f>
        <v>7958</v>
      </c>
      <c r="N257" s="38">
        <f>IFERROR(VLOOKUP($F257,bug_conf_sheet!$A:$H,3,FALSE),VLOOKUP("other",bug_conf_sheet!$A:$H,3,FALSE))</f>
        <v>1</v>
      </c>
      <c r="O257" s="38">
        <f>IFERROR(VLOOKUP($F257,bug_conf_sheet!$A:$H,4,FALSE),VLOOKUP("other",bug_conf_sheet!$A:$H,4,FALSE))</f>
        <v>0</v>
      </c>
      <c r="P257" s="38">
        <f>IFERROR(VLOOKUP($F257,bug_conf_sheet!$A:$H,5,FALSE),VLOOKUP("other",bug_conf_sheet!$A:$H,5,FALSE))</f>
        <v>0</v>
      </c>
      <c r="Q257" s="38">
        <f>IFERROR(VLOOKUP($F257,bug_conf_sheet!$A:$H,6,FALSE),VLOOKUP("other",bug_conf_sheet!$A:$H,6,FALSE))</f>
        <v>0</v>
      </c>
      <c r="R257" s="38">
        <f>IFERROR(VLOOKUP($F257,bug_conf_sheet!$A:$H,7,FALSE),VLOOKUP("other",bug_conf_sheet!$A:$H,7,FALSE))</f>
        <v>0</v>
      </c>
      <c r="S257" s="38">
        <f>IFERROR(VLOOKUP($F257,bug_conf_sheet!$A:$H,8,FALSE),VLOOKUP("other",bug_conf_sheet!$A:$H,8,FALSE))</f>
        <v>1</v>
      </c>
    </row>
    <row r="258" spans="1:19" ht="21" hidden="1" customHeight="1">
      <c r="A258" s="7" t="str">
        <f t="shared" si="29"/>
        <v>1883167</v>
      </c>
      <c r="B258" s="2" t="str">
        <f t="shared" si="14"/>
        <v>1883</v>
      </c>
      <c r="C258" s="8" t="str">
        <f t="shared" si="32"/>
        <v>3PremiumN4</v>
      </c>
      <c r="D258" s="8" t="str">
        <f t="shared" si="31"/>
        <v>3PremiumN4</v>
      </c>
      <c r="E258" s="10">
        <v>3</v>
      </c>
      <c r="F258" s="6">
        <v>167</v>
      </c>
      <c r="G258" s="8" t="str">
        <f>VLOOKUP(F258,[1]characters!$A:$C,3,FALSE)</f>
        <v>逆徒 ベリアル</v>
      </c>
      <c r="H258" s="8" t="str">
        <f>VLOOKUP(F258,[1]characters!$A:$J,10,FALSE)</f>
        <v>PremiumN</v>
      </c>
      <c r="I258" s="8">
        <f>VLOOKUP(F258,[1]characters!$A:$I,9,FALSE)</f>
        <v>4</v>
      </c>
      <c r="J258" s="8" t="str">
        <f>VLOOKUP(F258,[1]characters!$A:$H,8,FALSE)</f>
        <v>red</v>
      </c>
      <c r="K258" s="8" t="str">
        <f>VLOOKUP(F258,[1]characters!$A:$K,11,FALSE)</f>
        <v>attack</v>
      </c>
      <c r="L258" s="8" t="str">
        <f>VLOOKUP(F258,[1]characters!$A:$M,13,FALSE)</f>
        <v>god</v>
      </c>
      <c r="M258" s="16">
        <f>VLOOKUP(D258,gacha_188_base!A:B,2,FALSE)</f>
        <v>14962</v>
      </c>
      <c r="N258" s="38">
        <f>IFERROR(VLOOKUP($F258,bug_conf_sheet!$A:$H,3,FALSE),VLOOKUP("other",bug_conf_sheet!$A:$H,3,FALSE))</f>
        <v>1</v>
      </c>
      <c r="O258" s="38">
        <f>IFERROR(VLOOKUP($F258,bug_conf_sheet!$A:$H,4,FALSE),VLOOKUP("other",bug_conf_sheet!$A:$H,4,FALSE))</f>
        <v>0</v>
      </c>
      <c r="P258" s="38">
        <f>IFERROR(VLOOKUP($F258,bug_conf_sheet!$A:$H,5,FALSE),VLOOKUP("other",bug_conf_sheet!$A:$H,5,FALSE))</f>
        <v>0</v>
      </c>
      <c r="Q258" s="38">
        <f>IFERROR(VLOOKUP($F258,bug_conf_sheet!$A:$H,6,FALSE),VLOOKUP("other",bug_conf_sheet!$A:$H,6,FALSE))</f>
        <v>0</v>
      </c>
      <c r="R258" s="38">
        <f>IFERROR(VLOOKUP($F258,bug_conf_sheet!$A:$H,7,FALSE),VLOOKUP("other",bug_conf_sheet!$A:$H,7,FALSE))</f>
        <v>0</v>
      </c>
      <c r="S258" s="38">
        <f>IFERROR(VLOOKUP($F258,bug_conf_sheet!$A:$H,8,FALSE),VLOOKUP("other",bug_conf_sheet!$A:$H,8,FALSE))</f>
        <v>1</v>
      </c>
    </row>
    <row r="259" spans="1:19" ht="21" customHeight="1">
      <c r="A259" s="7" t="str">
        <f t="shared" si="29"/>
        <v>1883168</v>
      </c>
      <c r="B259" s="2" t="str">
        <f t="shared" ref="B259:B322" si="33">188&amp;E259</f>
        <v>1883</v>
      </c>
      <c r="C259" s="8" t="str">
        <f t="shared" si="32"/>
        <v>3PremiumN5</v>
      </c>
      <c r="D259" s="8" t="str">
        <f t="shared" si="31"/>
        <v>3PremiumN5</v>
      </c>
      <c r="E259" s="10">
        <v>3</v>
      </c>
      <c r="F259" s="6">
        <v>168</v>
      </c>
      <c r="G259" s="8" t="str">
        <f>VLOOKUP(F259,[1]characters!$A:$C,3,FALSE)</f>
        <v>猛進の大逆者 ベリアル</v>
      </c>
      <c r="H259" s="8" t="str">
        <f>VLOOKUP(F259,[1]characters!$A:$J,10,FALSE)</f>
        <v>PremiumN</v>
      </c>
      <c r="I259" s="8">
        <f>VLOOKUP(F259,[1]characters!$A:$I,9,FALSE)</f>
        <v>5</v>
      </c>
      <c r="J259" s="8" t="str">
        <f>VLOOKUP(F259,[1]characters!$A:$H,8,FALSE)</f>
        <v>red</v>
      </c>
      <c r="K259" s="8" t="str">
        <f>VLOOKUP(F259,[1]characters!$A:$K,11,FALSE)</f>
        <v>attack</v>
      </c>
      <c r="L259" s="8" t="str">
        <f>VLOOKUP(F259,[1]characters!$A:$M,13,FALSE)</f>
        <v>god</v>
      </c>
      <c r="M259" s="16">
        <f>VLOOKUP(D259,gacha_188_base!A:B,2,FALSE)</f>
        <v>955</v>
      </c>
      <c r="N259" s="38">
        <f>IFERROR(VLOOKUP($F259,bug_conf_sheet!$A:$H,3,FALSE),VLOOKUP("other",bug_conf_sheet!$A:$H,3,FALSE))</f>
        <v>1</v>
      </c>
      <c r="O259" s="38">
        <f>IFERROR(VLOOKUP($F259,bug_conf_sheet!$A:$H,4,FALSE),VLOOKUP("other",bug_conf_sheet!$A:$H,4,FALSE))</f>
        <v>0</v>
      </c>
      <c r="P259" s="38">
        <f>IFERROR(VLOOKUP($F259,bug_conf_sheet!$A:$H,5,FALSE),VLOOKUP("other",bug_conf_sheet!$A:$H,5,FALSE))</f>
        <v>0</v>
      </c>
      <c r="Q259" s="38">
        <f>IFERROR(VLOOKUP($F259,bug_conf_sheet!$A:$H,6,FALSE),VLOOKUP("other",bug_conf_sheet!$A:$H,6,FALSE))</f>
        <v>0</v>
      </c>
      <c r="R259" s="38">
        <f>IFERROR(VLOOKUP($F259,bug_conf_sheet!$A:$H,7,FALSE),VLOOKUP("other",bug_conf_sheet!$A:$H,7,FALSE))</f>
        <v>0</v>
      </c>
      <c r="S259" s="38">
        <f>IFERROR(VLOOKUP($F259,bug_conf_sheet!$A:$H,8,FALSE),VLOOKUP("other",bug_conf_sheet!$A:$H,8,FALSE))</f>
        <v>1</v>
      </c>
    </row>
    <row r="260" spans="1:19" ht="21" hidden="1" customHeight="1">
      <c r="A260" s="7" t="str">
        <f t="shared" si="29"/>
        <v>1883170</v>
      </c>
      <c r="B260" s="2" t="str">
        <f t="shared" si="33"/>
        <v>1883</v>
      </c>
      <c r="C260" s="8" t="str">
        <f t="shared" si="32"/>
        <v>3PremiumN4</v>
      </c>
      <c r="D260" s="8" t="str">
        <f t="shared" si="31"/>
        <v>3PremiumN4</v>
      </c>
      <c r="E260" s="10">
        <v>3</v>
      </c>
      <c r="F260" s="6">
        <v>170</v>
      </c>
      <c r="G260" s="8" t="str">
        <f>VLOOKUP(F260,[1]characters!$A:$C,3,FALSE)</f>
        <v>識徒 オセ</v>
      </c>
      <c r="H260" s="8" t="str">
        <f>VLOOKUP(F260,[1]characters!$A:$J,10,FALSE)</f>
        <v>PremiumN</v>
      </c>
      <c r="I260" s="8">
        <f>VLOOKUP(F260,[1]characters!$A:$I,9,FALSE)</f>
        <v>4</v>
      </c>
      <c r="J260" s="8" t="str">
        <f>VLOOKUP(F260,[1]characters!$A:$H,8,FALSE)</f>
        <v>green</v>
      </c>
      <c r="K260" s="8" t="str">
        <f>VLOOKUP(F260,[1]characters!$A:$K,11,FALSE)</f>
        <v>attack</v>
      </c>
      <c r="L260" s="8" t="str">
        <f>VLOOKUP(F260,[1]characters!$A:$M,13,FALSE)</f>
        <v>god</v>
      </c>
      <c r="M260" s="16">
        <f>VLOOKUP(D260,gacha_188_base!A:B,2,FALSE)</f>
        <v>14962</v>
      </c>
      <c r="N260" s="38">
        <f>IFERROR(VLOOKUP($F260,bug_conf_sheet!$A:$H,3,FALSE),VLOOKUP("other",bug_conf_sheet!$A:$H,3,FALSE))</f>
        <v>1</v>
      </c>
      <c r="O260" s="38">
        <f>IFERROR(VLOOKUP($F260,bug_conf_sheet!$A:$H,4,FALSE),VLOOKUP("other",bug_conf_sheet!$A:$H,4,FALSE))</f>
        <v>0</v>
      </c>
      <c r="P260" s="38">
        <f>IFERROR(VLOOKUP($F260,bug_conf_sheet!$A:$H,5,FALSE),VLOOKUP("other",bug_conf_sheet!$A:$H,5,FALSE))</f>
        <v>0</v>
      </c>
      <c r="Q260" s="38">
        <f>IFERROR(VLOOKUP($F260,bug_conf_sheet!$A:$H,6,FALSE),VLOOKUP("other",bug_conf_sheet!$A:$H,6,FALSE))</f>
        <v>0</v>
      </c>
      <c r="R260" s="38">
        <f>IFERROR(VLOOKUP($F260,bug_conf_sheet!$A:$H,7,FALSE),VLOOKUP("other",bug_conf_sheet!$A:$H,7,FALSE))</f>
        <v>0</v>
      </c>
      <c r="S260" s="38">
        <f>IFERROR(VLOOKUP($F260,bug_conf_sheet!$A:$H,8,FALSE),VLOOKUP("other",bug_conf_sheet!$A:$H,8,FALSE))</f>
        <v>1</v>
      </c>
    </row>
    <row r="261" spans="1:19" ht="21" customHeight="1">
      <c r="A261" s="7" t="str">
        <f t="shared" si="29"/>
        <v>1883171</v>
      </c>
      <c r="B261" s="2" t="str">
        <f t="shared" si="33"/>
        <v>1883</v>
      </c>
      <c r="C261" s="8" t="str">
        <f t="shared" si="32"/>
        <v>3PremiumN5</v>
      </c>
      <c r="D261" s="8" t="str">
        <f t="shared" si="31"/>
        <v>3PremiumN5</v>
      </c>
      <c r="E261" s="10">
        <v>3</v>
      </c>
      <c r="F261" s="6">
        <v>171</v>
      </c>
      <c r="G261" s="8" t="str">
        <f>VLOOKUP(F261,[1]characters!$A:$C,3,FALSE)</f>
        <v>精解の預知者 オセ</v>
      </c>
      <c r="H261" s="8" t="str">
        <f>VLOOKUP(F261,[1]characters!$A:$J,10,FALSE)</f>
        <v>PremiumN</v>
      </c>
      <c r="I261" s="8">
        <f>VLOOKUP(F261,[1]characters!$A:$I,9,FALSE)</f>
        <v>5</v>
      </c>
      <c r="J261" s="8" t="str">
        <f>VLOOKUP(F261,[1]characters!$A:$H,8,FALSE)</f>
        <v>green</v>
      </c>
      <c r="K261" s="8" t="str">
        <f>VLOOKUP(F261,[1]characters!$A:$K,11,FALSE)</f>
        <v>attack</v>
      </c>
      <c r="L261" s="8" t="str">
        <f>VLOOKUP(F261,[1]characters!$A:$M,13,FALSE)</f>
        <v>god</v>
      </c>
      <c r="M261" s="16">
        <f>VLOOKUP(D261,gacha_188_base!A:B,2,FALSE)</f>
        <v>955</v>
      </c>
      <c r="N261" s="38">
        <f>IFERROR(VLOOKUP($F261,bug_conf_sheet!$A:$H,3,FALSE),VLOOKUP("other",bug_conf_sheet!$A:$H,3,FALSE))</f>
        <v>1</v>
      </c>
      <c r="O261" s="38">
        <f>IFERROR(VLOOKUP($F261,bug_conf_sheet!$A:$H,4,FALSE),VLOOKUP("other",bug_conf_sheet!$A:$H,4,FALSE))</f>
        <v>0</v>
      </c>
      <c r="P261" s="38">
        <f>IFERROR(VLOOKUP($F261,bug_conf_sheet!$A:$H,5,FALSE),VLOOKUP("other",bug_conf_sheet!$A:$H,5,FALSE))</f>
        <v>0</v>
      </c>
      <c r="Q261" s="38">
        <f>IFERROR(VLOOKUP($F261,bug_conf_sheet!$A:$H,6,FALSE),VLOOKUP("other",bug_conf_sheet!$A:$H,6,FALSE))</f>
        <v>0</v>
      </c>
      <c r="R261" s="38">
        <f>IFERROR(VLOOKUP($F261,bug_conf_sheet!$A:$H,7,FALSE),VLOOKUP("other",bug_conf_sheet!$A:$H,7,FALSE))</f>
        <v>0</v>
      </c>
      <c r="S261" s="38">
        <f>IFERROR(VLOOKUP($F261,bug_conf_sheet!$A:$H,8,FALSE),VLOOKUP("other",bug_conf_sheet!$A:$H,8,FALSE))</f>
        <v>1</v>
      </c>
    </row>
    <row r="262" spans="1:19" ht="21" hidden="1" customHeight="1">
      <c r="A262" s="7" t="str">
        <f t="shared" si="29"/>
        <v>1883173</v>
      </c>
      <c r="B262" s="2" t="str">
        <f t="shared" si="33"/>
        <v>1883</v>
      </c>
      <c r="C262" s="8" t="str">
        <f t="shared" si="32"/>
        <v>3PremiumN4</v>
      </c>
      <c r="D262" s="8" t="str">
        <f t="shared" si="31"/>
        <v>3PremiumN4</v>
      </c>
      <c r="E262" s="10">
        <v>3</v>
      </c>
      <c r="F262" s="6">
        <v>173</v>
      </c>
      <c r="G262" s="8" t="str">
        <f>VLOOKUP(F262,[1]characters!$A:$C,3,FALSE)</f>
        <v>公爵 フォルネウス</v>
      </c>
      <c r="H262" s="8" t="str">
        <f>VLOOKUP(F262,[1]characters!$A:$J,10,FALSE)</f>
        <v>PremiumN</v>
      </c>
      <c r="I262" s="8">
        <f>VLOOKUP(F262,[1]characters!$A:$I,9,FALSE)</f>
        <v>4</v>
      </c>
      <c r="J262" s="8" t="str">
        <f>VLOOKUP(F262,[1]characters!$A:$H,8,FALSE)</f>
        <v>blue</v>
      </c>
      <c r="K262" s="8" t="str">
        <f>VLOOKUP(F262,[1]characters!$A:$K,11,FALSE)</f>
        <v>attack</v>
      </c>
      <c r="L262" s="8" t="str">
        <f>VLOOKUP(F262,[1]characters!$A:$M,13,FALSE)</f>
        <v>god</v>
      </c>
      <c r="M262" s="16">
        <f>VLOOKUP(D262,gacha_188_base!A:B,2,FALSE)</f>
        <v>14962</v>
      </c>
      <c r="N262" s="38">
        <f>IFERROR(VLOOKUP($F262,bug_conf_sheet!$A:$H,3,FALSE),VLOOKUP("other",bug_conf_sheet!$A:$H,3,FALSE))</f>
        <v>1</v>
      </c>
      <c r="O262" s="38">
        <f>IFERROR(VLOOKUP($F262,bug_conf_sheet!$A:$H,4,FALSE),VLOOKUP("other",bug_conf_sheet!$A:$H,4,FALSE))</f>
        <v>0</v>
      </c>
      <c r="P262" s="38">
        <f>IFERROR(VLOOKUP($F262,bug_conf_sheet!$A:$H,5,FALSE),VLOOKUP("other",bug_conf_sheet!$A:$H,5,FALSE))</f>
        <v>0</v>
      </c>
      <c r="Q262" s="38">
        <f>IFERROR(VLOOKUP($F262,bug_conf_sheet!$A:$H,6,FALSE),VLOOKUP("other",bug_conf_sheet!$A:$H,6,FALSE))</f>
        <v>0</v>
      </c>
      <c r="R262" s="38">
        <f>IFERROR(VLOOKUP($F262,bug_conf_sheet!$A:$H,7,FALSE),VLOOKUP("other",bug_conf_sheet!$A:$H,7,FALSE))</f>
        <v>0</v>
      </c>
      <c r="S262" s="38">
        <f>IFERROR(VLOOKUP($F262,bug_conf_sheet!$A:$H,8,FALSE),VLOOKUP("other",bug_conf_sheet!$A:$H,8,FALSE))</f>
        <v>1</v>
      </c>
    </row>
    <row r="263" spans="1:19" ht="21" customHeight="1">
      <c r="A263" s="7" t="str">
        <f t="shared" si="29"/>
        <v>1883174</v>
      </c>
      <c r="B263" s="2" t="str">
        <f t="shared" si="33"/>
        <v>1883</v>
      </c>
      <c r="C263" s="8" t="str">
        <f t="shared" si="32"/>
        <v>3PremiumN5</v>
      </c>
      <c r="D263" s="8" t="str">
        <f t="shared" si="31"/>
        <v>3PremiumN5</v>
      </c>
      <c r="E263" s="10">
        <v>3</v>
      </c>
      <c r="F263" s="6">
        <v>174</v>
      </c>
      <c r="G263" s="8" t="str">
        <f>VLOOKUP(F263,[1]characters!$A:$C,3,FALSE)</f>
        <v>偽愛の大公爵 フォルネウス</v>
      </c>
      <c r="H263" s="8" t="str">
        <f>VLOOKUP(F263,[1]characters!$A:$J,10,FALSE)</f>
        <v>PremiumN</v>
      </c>
      <c r="I263" s="8">
        <f>VLOOKUP(F263,[1]characters!$A:$I,9,FALSE)</f>
        <v>5</v>
      </c>
      <c r="J263" s="8" t="str">
        <f>VLOOKUP(F263,[1]characters!$A:$H,8,FALSE)</f>
        <v>blue</v>
      </c>
      <c r="K263" s="8" t="str">
        <f>VLOOKUP(F263,[1]characters!$A:$K,11,FALSE)</f>
        <v>attack</v>
      </c>
      <c r="L263" s="8" t="str">
        <f>VLOOKUP(F263,[1]characters!$A:$M,13,FALSE)</f>
        <v>god</v>
      </c>
      <c r="M263" s="16">
        <f>VLOOKUP(D263,gacha_188_base!A:B,2,FALSE)</f>
        <v>955</v>
      </c>
      <c r="N263" s="38">
        <f>IFERROR(VLOOKUP($F263,bug_conf_sheet!$A:$H,3,FALSE),VLOOKUP("other",bug_conf_sheet!$A:$H,3,FALSE))</f>
        <v>1</v>
      </c>
      <c r="O263" s="38">
        <f>IFERROR(VLOOKUP($F263,bug_conf_sheet!$A:$H,4,FALSE),VLOOKUP("other",bug_conf_sheet!$A:$H,4,FALSE))</f>
        <v>0</v>
      </c>
      <c r="P263" s="38">
        <f>IFERROR(VLOOKUP($F263,bug_conf_sheet!$A:$H,5,FALSE),VLOOKUP("other",bug_conf_sheet!$A:$H,5,FALSE))</f>
        <v>0</v>
      </c>
      <c r="Q263" s="38">
        <f>IFERROR(VLOOKUP($F263,bug_conf_sheet!$A:$H,6,FALSE),VLOOKUP("other",bug_conf_sheet!$A:$H,6,FALSE))</f>
        <v>0</v>
      </c>
      <c r="R263" s="38">
        <f>IFERROR(VLOOKUP($F263,bug_conf_sheet!$A:$H,7,FALSE),VLOOKUP("other",bug_conf_sheet!$A:$H,7,FALSE))</f>
        <v>0</v>
      </c>
      <c r="S263" s="38">
        <f>IFERROR(VLOOKUP($F263,bug_conf_sheet!$A:$H,8,FALSE),VLOOKUP("other",bug_conf_sheet!$A:$H,8,FALSE))</f>
        <v>1</v>
      </c>
    </row>
    <row r="264" spans="1:19" ht="21" hidden="1" customHeight="1">
      <c r="A264" s="7" t="str">
        <f t="shared" si="29"/>
        <v>1883176</v>
      </c>
      <c r="B264" s="2" t="str">
        <f t="shared" si="33"/>
        <v>1883</v>
      </c>
      <c r="C264" s="8" t="str">
        <f t="shared" si="32"/>
        <v>3PremiumN4</v>
      </c>
      <c r="D264" s="8" t="str">
        <f t="shared" si="31"/>
        <v>3PremiumN4</v>
      </c>
      <c r="E264" s="10">
        <v>3</v>
      </c>
      <c r="F264" s="6">
        <v>176</v>
      </c>
      <c r="G264" s="8" t="str">
        <f>VLOOKUP(F264,[1]characters!$A:$C,3,FALSE)</f>
        <v>異教徒 バフォメット</v>
      </c>
      <c r="H264" s="8" t="str">
        <f>VLOOKUP(F264,[1]characters!$A:$J,10,FALSE)</f>
        <v>PremiumN</v>
      </c>
      <c r="I264" s="8">
        <f>VLOOKUP(F264,[1]characters!$A:$I,9,FALSE)</f>
        <v>4</v>
      </c>
      <c r="J264" s="8" t="str">
        <f>VLOOKUP(F264,[1]characters!$A:$H,8,FALSE)</f>
        <v>yellow</v>
      </c>
      <c r="K264" s="8" t="str">
        <f>VLOOKUP(F264,[1]characters!$A:$K,11,FALSE)</f>
        <v>attack</v>
      </c>
      <c r="L264" s="8" t="str">
        <f>VLOOKUP(F264,[1]characters!$A:$M,13,FALSE)</f>
        <v>god</v>
      </c>
      <c r="M264" s="16">
        <f>VLOOKUP(D264,gacha_188_base!A:B,2,FALSE)</f>
        <v>14962</v>
      </c>
      <c r="N264" s="38">
        <f>IFERROR(VLOOKUP($F264,bug_conf_sheet!$A:$H,3,FALSE),VLOOKUP("other",bug_conf_sheet!$A:$H,3,FALSE))</f>
        <v>1</v>
      </c>
      <c r="O264" s="38">
        <f>IFERROR(VLOOKUP($F264,bug_conf_sheet!$A:$H,4,FALSE),VLOOKUP("other",bug_conf_sheet!$A:$H,4,FALSE))</f>
        <v>0</v>
      </c>
      <c r="P264" s="38">
        <f>IFERROR(VLOOKUP($F264,bug_conf_sheet!$A:$H,5,FALSE),VLOOKUP("other",bug_conf_sheet!$A:$H,5,FALSE))</f>
        <v>0</v>
      </c>
      <c r="Q264" s="38">
        <f>IFERROR(VLOOKUP($F264,bug_conf_sheet!$A:$H,6,FALSE),VLOOKUP("other",bug_conf_sheet!$A:$H,6,FALSE))</f>
        <v>0</v>
      </c>
      <c r="R264" s="38">
        <f>IFERROR(VLOOKUP($F264,bug_conf_sheet!$A:$H,7,FALSE),VLOOKUP("other",bug_conf_sheet!$A:$H,7,FALSE))</f>
        <v>0</v>
      </c>
      <c r="S264" s="38">
        <f>IFERROR(VLOOKUP($F264,bug_conf_sheet!$A:$H,8,FALSE),VLOOKUP("other",bug_conf_sheet!$A:$H,8,FALSE))</f>
        <v>1</v>
      </c>
    </row>
    <row r="265" spans="1:19" ht="21" customHeight="1">
      <c r="A265" s="7" t="str">
        <f t="shared" si="29"/>
        <v>1883177</v>
      </c>
      <c r="B265" s="2" t="str">
        <f t="shared" si="33"/>
        <v>1883</v>
      </c>
      <c r="C265" s="8" t="str">
        <f t="shared" si="32"/>
        <v>3PremiumN5</v>
      </c>
      <c r="D265" s="8" t="str">
        <f t="shared" si="31"/>
        <v>3PremiumN5</v>
      </c>
      <c r="E265" s="10">
        <v>3</v>
      </c>
      <c r="F265" s="6">
        <v>177</v>
      </c>
      <c r="G265" s="8" t="str">
        <f>VLOOKUP(F265,[1]characters!$A:$C,3,FALSE)</f>
        <v>黒魔の異端師 バフォメット</v>
      </c>
      <c r="H265" s="8" t="str">
        <f>VLOOKUP(F265,[1]characters!$A:$J,10,FALSE)</f>
        <v>PremiumN</v>
      </c>
      <c r="I265" s="8">
        <f>VLOOKUP(F265,[1]characters!$A:$I,9,FALSE)</f>
        <v>5</v>
      </c>
      <c r="J265" s="8" t="str">
        <f>VLOOKUP(F265,[1]characters!$A:$H,8,FALSE)</f>
        <v>yellow</v>
      </c>
      <c r="K265" s="8" t="str">
        <f>VLOOKUP(F265,[1]characters!$A:$K,11,FALSE)</f>
        <v>attack</v>
      </c>
      <c r="L265" s="8" t="str">
        <f>VLOOKUP(F265,[1]characters!$A:$M,13,FALSE)</f>
        <v>god</v>
      </c>
      <c r="M265" s="16">
        <f>VLOOKUP(D265,gacha_188_base!A:B,2,FALSE)</f>
        <v>955</v>
      </c>
      <c r="N265" s="38">
        <f>IFERROR(VLOOKUP($F265,bug_conf_sheet!$A:$H,3,FALSE),VLOOKUP("other",bug_conf_sheet!$A:$H,3,FALSE))</f>
        <v>1</v>
      </c>
      <c r="O265" s="38">
        <f>IFERROR(VLOOKUP($F265,bug_conf_sheet!$A:$H,4,FALSE),VLOOKUP("other",bug_conf_sheet!$A:$H,4,FALSE))</f>
        <v>0</v>
      </c>
      <c r="P265" s="38">
        <f>IFERROR(VLOOKUP($F265,bug_conf_sheet!$A:$H,5,FALSE),VLOOKUP("other",bug_conf_sheet!$A:$H,5,FALSE))</f>
        <v>0</v>
      </c>
      <c r="Q265" s="38">
        <f>IFERROR(VLOOKUP($F265,bug_conf_sheet!$A:$H,6,FALSE),VLOOKUP("other",bug_conf_sheet!$A:$H,6,FALSE))</f>
        <v>0</v>
      </c>
      <c r="R265" s="38">
        <f>IFERROR(VLOOKUP($F265,bug_conf_sheet!$A:$H,7,FALSE),VLOOKUP("other",bug_conf_sheet!$A:$H,7,FALSE))</f>
        <v>0</v>
      </c>
      <c r="S265" s="38">
        <f>IFERROR(VLOOKUP($F265,bug_conf_sheet!$A:$H,8,FALSE),VLOOKUP("other",bug_conf_sheet!$A:$H,8,FALSE))</f>
        <v>1</v>
      </c>
    </row>
    <row r="266" spans="1:19" ht="21" hidden="1" customHeight="1">
      <c r="A266" s="7" t="str">
        <f t="shared" si="29"/>
        <v>1883179</v>
      </c>
      <c r="B266" s="2" t="str">
        <f t="shared" si="33"/>
        <v>1883</v>
      </c>
      <c r="C266" s="8" t="str">
        <f t="shared" si="32"/>
        <v>3PremiumN4</v>
      </c>
      <c r="D266" s="8" t="str">
        <f t="shared" si="31"/>
        <v>3PremiumN4</v>
      </c>
      <c r="E266" s="10">
        <v>3</v>
      </c>
      <c r="F266" s="6">
        <v>179</v>
      </c>
      <c r="G266" s="8" t="str">
        <f>VLOOKUP(F266,[1]characters!$A:$C,3,FALSE)</f>
        <v>番犬 ケルベロス</v>
      </c>
      <c r="H266" s="8" t="str">
        <f>VLOOKUP(F266,[1]characters!$A:$J,10,FALSE)</f>
        <v>PremiumN</v>
      </c>
      <c r="I266" s="8">
        <f>VLOOKUP(F266,[1]characters!$A:$I,9,FALSE)</f>
        <v>4</v>
      </c>
      <c r="J266" s="8" t="str">
        <f>VLOOKUP(F266,[1]characters!$A:$H,8,FALSE)</f>
        <v>red</v>
      </c>
      <c r="K266" s="8" t="str">
        <f>VLOOKUP(F266,[1]characters!$A:$K,11,FALSE)</f>
        <v>balance</v>
      </c>
      <c r="L266" s="8" t="str">
        <f>VLOOKUP(F266,[1]characters!$A:$M,13,FALSE)</f>
        <v>animal</v>
      </c>
      <c r="M266" s="16">
        <f>VLOOKUP(D266,gacha_188_base!A:B,2,FALSE)</f>
        <v>14962</v>
      </c>
      <c r="N266" s="38">
        <f>IFERROR(VLOOKUP($F266,bug_conf_sheet!$A:$H,3,FALSE),VLOOKUP("other",bug_conf_sheet!$A:$H,3,FALSE))</f>
        <v>1</v>
      </c>
      <c r="O266" s="38">
        <f>IFERROR(VLOOKUP($F266,bug_conf_sheet!$A:$H,4,FALSE),VLOOKUP("other",bug_conf_sheet!$A:$H,4,FALSE))</f>
        <v>0</v>
      </c>
      <c r="P266" s="38">
        <f>IFERROR(VLOOKUP($F266,bug_conf_sheet!$A:$H,5,FALSE),VLOOKUP("other",bug_conf_sheet!$A:$H,5,FALSE))</f>
        <v>0</v>
      </c>
      <c r="Q266" s="38">
        <f>IFERROR(VLOOKUP($F266,bug_conf_sheet!$A:$H,6,FALSE),VLOOKUP("other",bug_conf_sheet!$A:$H,6,FALSE))</f>
        <v>0</v>
      </c>
      <c r="R266" s="38">
        <f>IFERROR(VLOOKUP($F266,bug_conf_sheet!$A:$H,7,FALSE),VLOOKUP("other",bug_conf_sheet!$A:$H,7,FALSE))</f>
        <v>0</v>
      </c>
      <c r="S266" s="38">
        <f>IFERROR(VLOOKUP($F266,bug_conf_sheet!$A:$H,8,FALSE),VLOOKUP("other",bug_conf_sheet!$A:$H,8,FALSE))</f>
        <v>1</v>
      </c>
    </row>
    <row r="267" spans="1:19" ht="21" customHeight="1">
      <c r="A267" s="7" t="str">
        <f t="shared" si="29"/>
        <v>1883180</v>
      </c>
      <c r="B267" s="2" t="str">
        <f t="shared" si="33"/>
        <v>1883</v>
      </c>
      <c r="C267" s="8" t="str">
        <f t="shared" si="32"/>
        <v>3PremiumN5</v>
      </c>
      <c r="D267" s="8" t="str">
        <f t="shared" si="31"/>
        <v>3PremiumN5</v>
      </c>
      <c r="E267" s="10">
        <v>3</v>
      </c>
      <c r="F267" s="6">
        <v>180</v>
      </c>
      <c r="G267" s="8" t="str">
        <f>VLOOKUP(F267,[1]characters!$A:$C,3,FALSE)</f>
        <v>地獄の大門番 ケルベロス</v>
      </c>
      <c r="H267" s="8" t="str">
        <f>VLOOKUP(F267,[1]characters!$A:$J,10,FALSE)</f>
        <v>PremiumN</v>
      </c>
      <c r="I267" s="8">
        <f>VLOOKUP(F267,[1]characters!$A:$I,9,FALSE)</f>
        <v>5</v>
      </c>
      <c r="J267" s="8" t="str">
        <f>VLOOKUP(F267,[1]characters!$A:$H,8,FALSE)</f>
        <v>red</v>
      </c>
      <c r="K267" s="8" t="str">
        <f>VLOOKUP(F267,[1]characters!$A:$K,11,FALSE)</f>
        <v>balance</v>
      </c>
      <c r="L267" s="8" t="str">
        <f>VLOOKUP(F267,[1]characters!$A:$M,13,FALSE)</f>
        <v>animal</v>
      </c>
      <c r="M267" s="16">
        <f>VLOOKUP(D267,gacha_188_base!A:B,2,FALSE)</f>
        <v>955</v>
      </c>
      <c r="N267" s="38">
        <f>IFERROR(VLOOKUP($F267,bug_conf_sheet!$A:$H,3,FALSE),VLOOKUP("other",bug_conf_sheet!$A:$H,3,FALSE))</f>
        <v>1</v>
      </c>
      <c r="O267" s="38">
        <f>IFERROR(VLOOKUP($F267,bug_conf_sheet!$A:$H,4,FALSE),VLOOKUP("other",bug_conf_sheet!$A:$H,4,FALSE))</f>
        <v>0</v>
      </c>
      <c r="P267" s="38">
        <f>IFERROR(VLOOKUP($F267,bug_conf_sheet!$A:$H,5,FALSE),VLOOKUP("other",bug_conf_sheet!$A:$H,5,FALSE))</f>
        <v>0</v>
      </c>
      <c r="Q267" s="38">
        <f>IFERROR(VLOOKUP($F267,bug_conf_sheet!$A:$H,6,FALSE),VLOOKUP("other",bug_conf_sheet!$A:$H,6,FALSE))</f>
        <v>0</v>
      </c>
      <c r="R267" s="38">
        <f>IFERROR(VLOOKUP($F267,bug_conf_sheet!$A:$H,7,FALSE),VLOOKUP("other",bug_conf_sheet!$A:$H,7,FALSE))</f>
        <v>0</v>
      </c>
      <c r="S267" s="38">
        <f>IFERROR(VLOOKUP($F267,bug_conf_sheet!$A:$H,8,FALSE),VLOOKUP("other",bug_conf_sheet!$A:$H,8,FALSE))</f>
        <v>1</v>
      </c>
    </row>
    <row r="268" spans="1:19" ht="21" hidden="1" customHeight="1">
      <c r="A268" s="7" t="str">
        <f t="shared" si="29"/>
        <v>1883182</v>
      </c>
      <c r="B268" s="2" t="str">
        <f t="shared" si="33"/>
        <v>1883</v>
      </c>
      <c r="C268" s="8" t="str">
        <f t="shared" si="32"/>
        <v>3PremiumN4</v>
      </c>
      <c r="D268" s="8" t="str">
        <f t="shared" si="31"/>
        <v>3PremiumN4</v>
      </c>
      <c r="E268" s="10">
        <v>3</v>
      </c>
      <c r="F268" s="6">
        <v>182</v>
      </c>
      <c r="G268" s="8" t="str">
        <f>VLOOKUP(F268,[1]characters!$A:$C,3,FALSE)</f>
        <v>放蕩者 ベヒモス</v>
      </c>
      <c r="H268" s="8" t="str">
        <f>VLOOKUP(F268,[1]characters!$A:$J,10,FALSE)</f>
        <v>PremiumN</v>
      </c>
      <c r="I268" s="8">
        <f>VLOOKUP(F268,[1]characters!$A:$I,9,FALSE)</f>
        <v>4</v>
      </c>
      <c r="J268" s="8" t="str">
        <f>VLOOKUP(F268,[1]characters!$A:$H,8,FALSE)</f>
        <v>green</v>
      </c>
      <c r="K268" s="8" t="str">
        <f>VLOOKUP(F268,[1]characters!$A:$K,11,FALSE)</f>
        <v>hp</v>
      </c>
      <c r="L268" s="8" t="str">
        <f>VLOOKUP(F268,[1]characters!$A:$M,13,FALSE)</f>
        <v>animal</v>
      </c>
      <c r="M268" s="16">
        <f>VLOOKUP(D268,gacha_188_base!A:B,2,FALSE)</f>
        <v>14962</v>
      </c>
      <c r="N268" s="38">
        <f>IFERROR(VLOOKUP($F268,bug_conf_sheet!$A:$H,3,FALSE),VLOOKUP("other",bug_conf_sheet!$A:$H,3,FALSE))</f>
        <v>1</v>
      </c>
      <c r="O268" s="38">
        <f>IFERROR(VLOOKUP($F268,bug_conf_sheet!$A:$H,4,FALSE),VLOOKUP("other",bug_conf_sheet!$A:$H,4,FALSE))</f>
        <v>0</v>
      </c>
      <c r="P268" s="38">
        <f>IFERROR(VLOOKUP($F268,bug_conf_sheet!$A:$H,5,FALSE),VLOOKUP("other",bug_conf_sheet!$A:$H,5,FALSE))</f>
        <v>0</v>
      </c>
      <c r="Q268" s="38">
        <f>IFERROR(VLOOKUP($F268,bug_conf_sheet!$A:$H,6,FALSE),VLOOKUP("other",bug_conf_sheet!$A:$H,6,FALSE))</f>
        <v>0</v>
      </c>
      <c r="R268" s="38">
        <f>IFERROR(VLOOKUP($F268,bug_conf_sheet!$A:$H,7,FALSE),VLOOKUP("other",bug_conf_sheet!$A:$H,7,FALSE))</f>
        <v>0</v>
      </c>
      <c r="S268" s="38">
        <f>IFERROR(VLOOKUP($F268,bug_conf_sheet!$A:$H,8,FALSE),VLOOKUP("other",bug_conf_sheet!$A:$H,8,FALSE))</f>
        <v>1</v>
      </c>
    </row>
    <row r="269" spans="1:19" ht="21" customHeight="1">
      <c r="A269" s="7" t="str">
        <f t="shared" si="29"/>
        <v>1883183</v>
      </c>
      <c r="B269" s="2" t="str">
        <f t="shared" si="33"/>
        <v>1883</v>
      </c>
      <c r="C269" s="8" t="str">
        <f t="shared" si="32"/>
        <v>3PremiumN5</v>
      </c>
      <c r="D269" s="8" t="str">
        <f t="shared" si="31"/>
        <v>3PremiumN5</v>
      </c>
      <c r="E269" s="10">
        <v>3</v>
      </c>
      <c r="F269" s="6">
        <v>183</v>
      </c>
      <c r="G269" s="8" t="str">
        <f>VLOOKUP(F269,[1]characters!$A:$C,3,FALSE)</f>
        <v>鈍重な彷徨者 ベヒモス</v>
      </c>
      <c r="H269" s="8" t="str">
        <f>VLOOKUP(F269,[1]characters!$A:$J,10,FALSE)</f>
        <v>PremiumN</v>
      </c>
      <c r="I269" s="8">
        <f>VLOOKUP(F269,[1]characters!$A:$I,9,FALSE)</f>
        <v>5</v>
      </c>
      <c r="J269" s="8" t="str">
        <f>VLOOKUP(F269,[1]characters!$A:$H,8,FALSE)</f>
        <v>green</v>
      </c>
      <c r="K269" s="8" t="str">
        <f>VLOOKUP(F269,[1]characters!$A:$K,11,FALSE)</f>
        <v>hp</v>
      </c>
      <c r="L269" s="8" t="str">
        <f>VLOOKUP(F269,[1]characters!$A:$M,13,FALSE)</f>
        <v>animal</v>
      </c>
      <c r="M269" s="16">
        <f>VLOOKUP(D269,gacha_188_base!A:B,2,FALSE)</f>
        <v>955</v>
      </c>
      <c r="N269" s="38">
        <f>IFERROR(VLOOKUP($F269,bug_conf_sheet!$A:$H,3,FALSE),VLOOKUP("other",bug_conf_sheet!$A:$H,3,FALSE))</f>
        <v>1</v>
      </c>
      <c r="O269" s="38">
        <f>IFERROR(VLOOKUP($F269,bug_conf_sheet!$A:$H,4,FALSE),VLOOKUP("other",bug_conf_sheet!$A:$H,4,FALSE))</f>
        <v>0</v>
      </c>
      <c r="P269" s="38">
        <f>IFERROR(VLOOKUP($F269,bug_conf_sheet!$A:$H,5,FALSE),VLOOKUP("other",bug_conf_sheet!$A:$H,5,FALSE))</f>
        <v>0</v>
      </c>
      <c r="Q269" s="38">
        <f>IFERROR(VLOOKUP($F269,bug_conf_sheet!$A:$H,6,FALSE),VLOOKUP("other",bug_conf_sheet!$A:$H,6,FALSE))</f>
        <v>0</v>
      </c>
      <c r="R269" s="38">
        <f>IFERROR(VLOOKUP($F269,bug_conf_sheet!$A:$H,7,FALSE),VLOOKUP("other",bug_conf_sheet!$A:$H,7,FALSE))</f>
        <v>0</v>
      </c>
      <c r="S269" s="38">
        <f>IFERROR(VLOOKUP($F269,bug_conf_sheet!$A:$H,8,FALSE),VLOOKUP("other",bug_conf_sheet!$A:$H,8,FALSE))</f>
        <v>1</v>
      </c>
    </row>
    <row r="270" spans="1:19" ht="21" hidden="1" customHeight="1">
      <c r="A270" s="7" t="str">
        <f t="shared" si="29"/>
        <v>1883185</v>
      </c>
      <c r="B270" s="2" t="str">
        <f t="shared" si="33"/>
        <v>1883</v>
      </c>
      <c r="C270" s="8" t="str">
        <f t="shared" si="32"/>
        <v>3PremiumN4</v>
      </c>
      <c r="D270" s="8" t="str">
        <f t="shared" si="31"/>
        <v>3PremiumN4</v>
      </c>
      <c r="E270" s="10">
        <v>3</v>
      </c>
      <c r="F270" s="6">
        <v>185</v>
      </c>
      <c r="G270" s="8" t="str">
        <f>VLOOKUP(F270,[1]characters!$A:$C,3,FALSE)</f>
        <v>海姫 クラーケン</v>
      </c>
      <c r="H270" s="8" t="str">
        <f>VLOOKUP(F270,[1]characters!$A:$J,10,FALSE)</f>
        <v>PremiumN</v>
      </c>
      <c r="I270" s="8">
        <f>VLOOKUP(F270,[1]characters!$A:$I,9,FALSE)</f>
        <v>4</v>
      </c>
      <c r="J270" s="8" t="str">
        <f>VLOOKUP(F270,[1]characters!$A:$H,8,FALSE)</f>
        <v>blue</v>
      </c>
      <c r="K270" s="8" t="str">
        <f>VLOOKUP(F270,[1]characters!$A:$K,11,FALSE)</f>
        <v>heal</v>
      </c>
      <c r="L270" s="8" t="str">
        <f>VLOOKUP(F270,[1]characters!$A:$M,13,FALSE)</f>
        <v>animal</v>
      </c>
      <c r="M270" s="16">
        <f>VLOOKUP(D270,gacha_188_base!A:B,2,FALSE)</f>
        <v>14962</v>
      </c>
      <c r="N270" s="38">
        <f>IFERROR(VLOOKUP($F270,bug_conf_sheet!$A:$H,3,FALSE),VLOOKUP("other",bug_conf_sheet!$A:$H,3,FALSE))</f>
        <v>1</v>
      </c>
      <c r="O270" s="38">
        <f>IFERROR(VLOOKUP($F270,bug_conf_sheet!$A:$H,4,FALSE),VLOOKUP("other",bug_conf_sheet!$A:$H,4,FALSE))</f>
        <v>0</v>
      </c>
      <c r="P270" s="38">
        <f>IFERROR(VLOOKUP($F270,bug_conf_sheet!$A:$H,5,FALSE),VLOOKUP("other",bug_conf_sheet!$A:$H,5,FALSE))</f>
        <v>0</v>
      </c>
      <c r="Q270" s="38">
        <f>IFERROR(VLOOKUP($F270,bug_conf_sheet!$A:$H,6,FALSE),VLOOKUP("other",bug_conf_sheet!$A:$H,6,FALSE))</f>
        <v>0</v>
      </c>
      <c r="R270" s="38">
        <f>IFERROR(VLOOKUP($F270,bug_conf_sheet!$A:$H,7,FALSE),VLOOKUP("other",bug_conf_sheet!$A:$H,7,FALSE))</f>
        <v>0</v>
      </c>
      <c r="S270" s="38">
        <f>IFERROR(VLOOKUP($F270,bug_conf_sheet!$A:$H,8,FALSE),VLOOKUP("other",bug_conf_sheet!$A:$H,8,FALSE))</f>
        <v>1</v>
      </c>
    </row>
    <row r="271" spans="1:19" ht="21" customHeight="1">
      <c r="A271" s="7" t="str">
        <f t="shared" si="29"/>
        <v>1883186</v>
      </c>
      <c r="B271" s="2" t="str">
        <f t="shared" si="33"/>
        <v>1883</v>
      </c>
      <c r="C271" s="8" t="str">
        <f t="shared" si="32"/>
        <v>3PremiumN5</v>
      </c>
      <c r="D271" s="8" t="str">
        <f t="shared" si="31"/>
        <v>3PremiumN5</v>
      </c>
      <c r="E271" s="10">
        <v>3</v>
      </c>
      <c r="F271" s="9">
        <v>186</v>
      </c>
      <c r="G271" s="8" t="str">
        <f>VLOOKUP(F271,[1]characters!$A:$C,3,FALSE)</f>
        <v>誇り高き多触姫・クラーケン</v>
      </c>
      <c r="H271" s="8" t="str">
        <f>VLOOKUP(F271,[1]characters!$A:$J,10,FALSE)</f>
        <v>PremiumN</v>
      </c>
      <c r="I271" s="8">
        <f>VLOOKUP(F271,[1]characters!$A:$I,9,FALSE)</f>
        <v>5</v>
      </c>
      <c r="J271" s="8" t="str">
        <f>VLOOKUP(F271,[1]characters!$A:$H,8,FALSE)</f>
        <v>blue</v>
      </c>
      <c r="K271" s="8" t="str">
        <f>VLOOKUP(F271,[1]characters!$A:$K,11,FALSE)</f>
        <v>heal</v>
      </c>
      <c r="L271" s="8" t="str">
        <f>VLOOKUP(F271,[1]characters!$A:$M,13,FALSE)</f>
        <v>animal</v>
      </c>
      <c r="M271" s="16">
        <f>VLOOKUP(D271,gacha_188_base!A:B,2,FALSE)</f>
        <v>955</v>
      </c>
      <c r="N271" s="38">
        <f>IFERROR(VLOOKUP($F271,bug_conf_sheet!$A:$H,3,FALSE),VLOOKUP("other",bug_conf_sheet!$A:$H,3,FALSE))</f>
        <v>1</v>
      </c>
      <c r="O271" s="38">
        <f>IFERROR(VLOOKUP($F271,bug_conf_sheet!$A:$H,4,FALSE),VLOOKUP("other",bug_conf_sheet!$A:$H,4,FALSE))</f>
        <v>0</v>
      </c>
      <c r="P271" s="38">
        <f>IFERROR(VLOOKUP($F271,bug_conf_sheet!$A:$H,5,FALSE),VLOOKUP("other",bug_conf_sheet!$A:$H,5,FALSE))</f>
        <v>0</v>
      </c>
      <c r="Q271" s="38">
        <f>IFERROR(VLOOKUP($F271,bug_conf_sheet!$A:$H,6,FALSE),VLOOKUP("other",bug_conf_sheet!$A:$H,6,FALSE))</f>
        <v>0</v>
      </c>
      <c r="R271" s="38">
        <f>IFERROR(VLOOKUP($F271,bug_conf_sheet!$A:$H,7,FALSE),VLOOKUP("other",bug_conf_sheet!$A:$H,7,FALSE))</f>
        <v>0</v>
      </c>
      <c r="S271" s="38">
        <f>IFERROR(VLOOKUP($F271,bug_conf_sheet!$A:$H,8,FALSE),VLOOKUP("other",bug_conf_sheet!$A:$H,8,FALSE))</f>
        <v>1</v>
      </c>
    </row>
    <row r="272" spans="1:19" ht="21" hidden="1" customHeight="1">
      <c r="A272" s="7" t="str">
        <f t="shared" si="29"/>
        <v>1883188</v>
      </c>
      <c r="B272" s="2" t="str">
        <f t="shared" si="33"/>
        <v>1883</v>
      </c>
      <c r="C272" s="8" t="str">
        <f t="shared" si="32"/>
        <v>3PremiumN4</v>
      </c>
      <c r="D272" s="8" t="str">
        <f t="shared" si="31"/>
        <v>3PremiumN4</v>
      </c>
      <c r="E272" s="10">
        <v>3</v>
      </c>
      <c r="F272" s="9">
        <v>188</v>
      </c>
      <c r="G272" s="8" t="str">
        <f>VLOOKUP(F272,[1]characters!$A:$C,3,FALSE)</f>
        <v>猛禽 ホルス</v>
      </c>
      <c r="H272" s="8" t="str">
        <f>VLOOKUP(F272,[1]characters!$A:$J,10,FALSE)</f>
        <v>PremiumN</v>
      </c>
      <c r="I272" s="8">
        <f>VLOOKUP(F272,[1]characters!$A:$I,9,FALSE)</f>
        <v>4</v>
      </c>
      <c r="J272" s="8" t="str">
        <f>VLOOKUP(F272,[1]characters!$A:$H,8,FALSE)</f>
        <v>yellow</v>
      </c>
      <c r="K272" s="8" t="str">
        <f>VLOOKUP(F272,[1]characters!$A:$K,11,FALSE)</f>
        <v>attack</v>
      </c>
      <c r="L272" s="8" t="str">
        <f>VLOOKUP(F272,[1]characters!$A:$M,13,FALSE)</f>
        <v>animal</v>
      </c>
      <c r="M272" s="16">
        <f>VLOOKUP(D272,gacha_188_base!A:B,2,FALSE)</f>
        <v>14962</v>
      </c>
      <c r="N272" s="38">
        <f>IFERROR(VLOOKUP($F272,bug_conf_sheet!$A:$H,3,FALSE),VLOOKUP("other",bug_conf_sheet!$A:$H,3,FALSE))</f>
        <v>1</v>
      </c>
      <c r="O272" s="38">
        <f>IFERROR(VLOOKUP($F272,bug_conf_sheet!$A:$H,4,FALSE),VLOOKUP("other",bug_conf_sheet!$A:$H,4,FALSE))</f>
        <v>0</v>
      </c>
      <c r="P272" s="38">
        <f>IFERROR(VLOOKUP($F272,bug_conf_sheet!$A:$H,5,FALSE),VLOOKUP("other",bug_conf_sheet!$A:$H,5,FALSE))</f>
        <v>0</v>
      </c>
      <c r="Q272" s="38">
        <f>IFERROR(VLOOKUP($F272,bug_conf_sheet!$A:$H,6,FALSE),VLOOKUP("other",bug_conf_sheet!$A:$H,6,FALSE))</f>
        <v>0</v>
      </c>
      <c r="R272" s="38">
        <f>IFERROR(VLOOKUP($F272,bug_conf_sheet!$A:$H,7,FALSE),VLOOKUP("other",bug_conf_sheet!$A:$H,7,FALSE))</f>
        <v>0</v>
      </c>
      <c r="S272" s="38">
        <f>IFERROR(VLOOKUP($F272,bug_conf_sheet!$A:$H,8,FALSE),VLOOKUP("other",bug_conf_sheet!$A:$H,8,FALSE))</f>
        <v>1</v>
      </c>
    </row>
    <row r="273" spans="1:19" ht="21" customHeight="1">
      <c r="A273" s="7" t="str">
        <f t="shared" si="29"/>
        <v>1883189</v>
      </c>
      <c r="B273" s="2" t="str">
        <f t="shared" si="33"/>
        <v>1883</v>
      </c>
      <c r="C273" s="8" t="str">
        <f t="shared" si="32"/>
        <v>3PremiumN5</v>
      </c>
      <c r="D273" s="8" t="str">
        <f t="shared" si="31"/>
        <v>3PremiumN5</v>
      </c>
      <c r="E273" s="10">
        <v>3</v>
      </c>
      <c r="F273" s="9">
        <v>189</v>
      </c>
      <c r="G273" s="8" t="str">
        <f>VLOOKUP(F273,[1]characters!$A:$C,3,FALSE)</f>
        <v>迅雷の王禽 ホルス</v>
      </c>
      <c r="H273" s="8" t="str">
        <f>VLOOKUP(F273,[1]characters!$A:$J,10,FALSE)</f>
        <v>PremiumN</v>
      </c>
      <c r="I273" s="8">
        <f>VLOOKUP(F273,[1]characters!$A:$I,9,FALSE)</f>
        <v>5</v>
      </c>
      <c r="J273" s="8" t="str">
        <f>VLOOKUP(F273,[1]characters!$A:$H,8,FALSE)</f>
        <v>yellow</v>
      </c>
      <c r="K273" s="8" t="str">
        <f>VLOOKUP(F273,[1]characters!$A:$K,11,FALSE)</f>
        <v>attack</v>
      </c>
      <c r="L273" s="8" t="str">
        <f>VLOOKUP(F273,[1]characters!$A:$M,13,FALSE)</f>
        <v>animal</v>
      </c>
      <c r="M273" s="16">
        <f>VLOOKUP(D273,gacha_188_base!A:B,2,FALSE)</f>
        <v>955</v>
      </c>
      <c r="N273" s="38">
        <f>IFERROR(VLOOKUP($F273,bug_conf_sheet!$A:$H,3,FALSE),VLOOKUP("other",bug_conf_sheet!$A:$H,3,FALSE))</f>
        <v>1</v>
      </c>
      <c r="O273" s="38">
        <f>IFERROR(VLOOKUP($F273,bug_conf_sheet!$A:$H,4,FALSE),VLOOKUP("other",bug_conf_sheet!$A:$H,4,FALSE))</f>
        <v>0</v>
      </c>
      <c r="P273" s="38">
        <f>IFERROR(VLOOKUP($F273,bug_conf_sheet!$A:$H,5,FALSE),VLOOKUP("other",bug_conf_sheet!$A:$H,5,FALSE))</f>
        <v>0</v>
      </c>
      <c r="Q273" s="38">
        <f>IFERROR(VLOOKUP($F273,bug_conf_sheet!$A:$H,6,FALSE),VLOOKUP("other",bug_conf_sheet!$A:$H,6,FALSE))</f>
        <v>0</v>
      </c>
      <c r="R273" s="38">
        <f>IFERROR(VLOOKUP($F273,bug_conf_sheet!$A:$H,7,FALSE),VLOOKUP("other",bug_conf_sheet!$A:$H,7,FALSE))</f>
        <v>0</v>
      </c>
      <c r="S273" s="38">
        <f>IFERROR(VLOOKUP($F273,bug_conf_sheet!$A:$H,8,FALSE),VLOOKUP("other",bug_conf_sheet!$A:$H,8,FALSE))</f>
        <v>1</v>
      </c>
    </row>
    <row r="274" spans="1:19" ht="21" hidden="1" customHeight="1">
      <c r="A274" s="7" t="str">
        <f t="shared" ref="A274:A316" si="34">B274&amp;F274</f>
        <v>1883191</v>
      </c>
      <c r="B274" s="2" t="str">
        <f t="shared" si="33"/>
        <v>1883</v>
      </c>
      <c r="C274" s="8" t="str">
        <f t="shared" si="32"/>
        <v>3PremiumN4</v>
      </c>
      <c r="D274" s="8" t="str">
        <f t="shared" ref="D274:D316" si="35">E274&amp;H274&amp;I274</f>
        <v>3PremiumN4</v>
      </c>
      <c r="E274" s="10">
        <v>3</v>
      </c>
      <c r="F274" s="6">
        <v>191</v>
      </c>
      <c r="G274" s="8" t="str">
        <f>VLOOKUP(F274,[1]characters!$A:$C,3,FALSE)</f>
        <v>始祖 卑弥呼</v>
      </c>
      <c r="H274" s="8" t="str">
        <f>VLOOKUP(F274,[1]characters!$A:$J,10,FALSE)</f>
        <v>PremiumN</v>
      </c>
      <c r="I274" s="8">
        <f>VLOOKUP(F274,[1]characters!$A:$I,9,FALSE)</f>
        <v>4</v>
      </c>
      <c r="J274" s="8" t="str">
        <f>VLOOKUP(F274,[1]characters!$A:$H,8,FALSE)</f>
        <v>red</v>
      </c>
      <c r="K274" s="8" t="str">
        <f>VLOOKUP(F274,[1]characters!$A:$K,11,FALSE)</f>
        <v>balance</v>
      </c>
      <c r="L274" s="8" t="str">
        <f>VLOOKUP(F274,[1]characters!$A:$M,13,FALSE)</f>
        <v>human</v>
      </c>
      <c r="M274" s="16">
        <f>VLOOKUP(D274,gacha_188_base!A:B,2,FALSE)</f>
        <v>14962</v>
      </c>
      <c r="N274" s="38">
        <f>IFERROR(VLOOKUP($F274,bug_conf_sheet!$A:$H,3,FALSE),VLOOKUP("other",bug_conf_sheet!$A:$H,3,FALSE))</f>
        <v>1</v>
      </c>
      <c r="O274" s="38">
        <f>IFERROR(VLOOKUP($F274,bug_conf_sheet!$A:$H,4,FALSE),VLOOKUP("other",bug_conf_sheet!$A:$H,4,FALSE))</f>
        <v>0</v>
      </c>
      <c r="P274" s="38">
        <f>IFERROR(VLOOKUP($F274,bug_conf_sheet!$A:$H,5,FALSE),VLOOKUP("other",bug_conf_sheet!$A:$H,5,FALSE))</f>
        <v>0</v>
      </c>
      <c r="Q274" s="38">
        <f>IFERROR(VLOOKUP($F274,bug_conf_sheet!$A:$H,6,FALSE),VLOOKUP("other",bug_conf_sheet!$A:$H,6,FALSE))</f>
        <v>0</v>
      </c>
      <c r="R274" s="38">
        <f>IFERROR(VLOOKUP($F274,bug_conf_sheet!$A:$H,7,FALSE),VLOOKUP("other",bug_conf_sheet!$A:$H,7,FALSE))</f>
        <v>0</v>
      </c>
      <c r="S274" s="38">
        <f>IFERROR(VLOOKUP($F274,bug_conf_sheet!$A:$H,8,FALSE),VLOOKUP("other",bug_conf_sheet!$A:$H,8,FALSE))</f>
        <v>1</v>
      </c>
    </row>
    <row r="275" spans="1:19" ht="21" customHeight="1">
      <c r="A275" s="7" t="str">
        <f t="shared" si="34"/>
        <v>1883192</v>
      </c>
      <c r="B275" s="2" t="str">
        <f t="shared" si="33"/>
        <v>1883</v>
      </c>
      <c r="C275" s="8" t="str">
        <f t="shared" si="32"/>
        <v>3PremiumN5</v>
      </c>
      <c r="D275" s="8" t="str">
        <f t="shared" si="35"/>
        <v>3PremiumN5</v>
      </c>
      <c r="E275" s="10">
        <v>3</v>
      </c>
      <c r="F275" s="6">
        <v>192</v>
      </c>
      <c r="G275" s="8" t="str">
        <f>VLOOKUP(F275,[1]characters!$A:$C,3,FALSE)</f>
        <v>荘厳なる始祖帝 卑弥呼</v>
      </c>
      <c r="H275" s="8" t="str">
        <f>VLOOKUP(F275,[1]characters!$A:$J,10,FALSE)</f>
        <v>PremiumN</v>
      </c>
      <c r="I275" s="8">
        <f>VLOOKUP(F275,[1]characters!$A:$I,9,FALSE)</f>
        <v>5</v>
      </c>
      <c r="J275" s="8" t="str">
        <f>VLOOKUP(F275,[1]characters!$A:$H,8,FALSE)</f>
        <v>red</v>
      </c>
      <c r="K275" s="8" t="str">
        <f>VLOOKUP(F275,[1]characters!$A:$K,11,FALSE)</f>
        <v>balance</v>
      </c>
      <c r="L275" s="8" t="str">
        <f>VLOOKUP(F275,[1]characters!$A:$M,13,FALSE)</f>
        <v>human</v>
      </c>
      <c r="M275" s="16">
        <f>VLOOKUP(D275,gacha_188_base!A:B,2,FALSE)</f>
        <v>955</v>
      </c>
      <c r="N275" s="38">
        <f>IFERROR(VLOOKUP($F275,bug_conf_sheet!$A:$H,3,FALSE),VLOOKUP("other",bug_conf_sheet!$A:$H,3,FALSE))</f>
        <v>1</v>
      </c>
      <c r="O275" s="38">
        <f>IFERROR(VLOOKUP($F275,bug_conf_sheet!$A:$H,4,FALSE),VLOOKUP("other",bug_conf_sheet!$A:$H,4,FALSE))</f>
        <v>0</v>
      </c>
      <c r="P275" s="38">
        <f>IFERROR(VLOOKUP($F275,bug_conf_sheet!$A:$H,5,FALSE),VLOOKUP("other",bug_conf_sheet!$A:$H,5,FALSE))</f>
        <v>0</v>
      </c>
      <c r="Q275" s="38">
        <f>IFERROR(VLOOKUP($F275,bug_conf_sheet!$A:$H,6,FALSE),VLOOKUP("other",bug_conf_sheet!$A:$H,6,FALSE))</f>
        <v>0</v>
      </c>
      <c r="R275" s="38">
        <f>IFERROR(VLOOKUP($F275,bug_conf_sheet!$A:$H,7,FALSE),VLOOKUP("other",bug_conf_sheet!$A:$H,7,FALSE))</f>
        <v>0</v>
      </c>
      <c r="S275" s="38">
        <f>IFERROR(VLOOKUP($F275,bug_conf_sheet!$A:$H,8,FALSE),VLOOKUP("other",bug_conf_sheet!$A:$H,8,FALSE))</f>
        <v>1</v>
      </c>
    </row>
    <row r="276" spans="1:19" ht="21" hidden="1" customHeight="1">
      <c r="A276" s="7" t="str">
        <f t="shared" si="34"/>
        <v>1883194</v>
      </c>
      <c r="B276" s="2" t="str">
        <f t="shared" si="33"/>
        <v>1883</v>
      </c>
      <c r="C276" s="8" t="str">
        <f t="shared" si="32"/>
        <v>3PremiumN4</v>
      </c>
      <c r="D276" s="8" t="str">
        <f t="shared" si="35"/>
        <v>3PremiumN4</v>
      </c>
      <c r="E276" s="10">
        <v>3</v>
      </c>
      <c r="F276" s="12">
        <v>194</v>
      </c>
      <c r="G276" s="8" t="str">
        <f>VLOOKUP(F276,[1]characters!$A:$C,3,FALSE)</f>
        <v>スナイパー ロビンフッド</v>
      </c>
      <c r="H276" s="8" t="str">
        <f>VLOOKUP(F276,[1]characters!$A:$J,10,FALSE)</f>
        <v>PremiumN</v>
      </c>
      <c r="I276" s="8">
        <f>VLOOKUP(F276,[1]characters!$A:$I,9,FALSE)</f>
        <v>4</v>
      </c>
      <c r="J276" s="8" t="str">
        <f>VLOOKUP(F276,[1]characters!$A:$H,8,FALSE)</f>
        <v>green</v>
      </c>
      <c r="K276" s="8" t="str">
        <f>VLOOKUP(F276,[1]characters!$A:$K,11,FALSE)</f>
        <v>balance</v>
      </c>
      <c r="L276" s="8" t="str">
        <f>VLOOKUP(F276,[1]characters!$A:$M,13,FALSE)</f>
        <v>human</v>
      </c>
      <c r="M276" s="16">
        <f>VLOOKUP(D276,gacha_188_base!A:B,2,FALSE)</f>
        <v>14962</v>
      </c>
      <c r="N276" s="38">
        <f>IFERROR(VLOOKUP($F276,bug_conf_sheet!$A:$H,3,FALSE),VLOOKUP("other",bug_conf_sheet!$A:$H,3,FALSE))</f>
        <v>1</v>
      </c>
      <c r="O276" s="38">
        <f>IFERROR(VLOOKUP($F276,bug_conf_sheet!$A:$H,4,FALSE),VLOOKUP("other",bug_conf_sheet!$A:$H,4,FALSE))</f>
        <v>0</v>
      </c>
      <c r="P276" s="38">
        <f>IFERROR(VLOOKUP($F276,bug_conf_sheet!$A:$H,5,FALSE),VLOOKUP("other",bug_conf_sheet!$A:$H,5,FALSE))</f>
        <v>0</v>
      </c>
      <c r="Q276" s="38">
        <f>IFERROR(VLOOKUP($F276,bug_conf_sheet!$A:$H,6,FALSE),VLOOKUP("other",bug_conf_sheet!$A:$H,6,FALSE))</f>
        <v>0</v>
      </c>
      <c r="R276" s="38">
        <f>IFERROR(VLOOKUP($F276,bug_conf_sheet!$A:$H,7,FALSE),VLOOKUP("other",bug_conf_sheet!$A:$H,7,FALSE))</f>
        <v>0</v>
      </c>
      <c r="S276" s="38">
        <f>IFERROR(VLOOKUP($F276,bug_conf_sheet!$A:$H,8,FALSE),VLOOKUP("other",bug_conf_sheet!$A:$H,8,FALSE))</f>
        <v>1</v>
      </c>
    </row>
    <row r="277" spans="1:19" ht="21" customHeight="1">
      <c r="A277" s="7" t="str">
        <f t="shared" si="34"/>
        <v>1883195</v>
      </c>
      <c r="B277" s="2" t="str">
        <f t="shared" si="33"/>
        <v>1883</v>
      </c>
      <c r="C277" s="8" t="str">
        <f t="shared" si="32"/>
        <v>3PremiumN5</v>
      </c>
      <c r="D277" s="8" t="str">
        <f t="shared" si="35"/>
        <v>3PremiumN5</v>
      </c>
      <c r="E277" s="10">
        <v>3</v>
      </c>
      <c r="F277" s="6">
        <v>195</v>
      </c>
      <c r="G277" s="8" t="str">
        <f>VLOOKUP(F277,[1]characters!$A:$C,3,FALSE)</f>
        <v>グランドハンター ロビンフッド</v>
      </c>
      <c r="H277" s="8" t="str">
        <f>VLOOKUP(F277,[1]characters!$A:$J,10,FALSE)</f>
        <v>PremiumN</v>
      </c>
      <c r="I277" s="8">
        <f>VLOOKUP(F277,[1]characters!$A:$I,9,FALSE)</f>
        <v>5</v>
      </c>
      <c r="J277" s="8" t="str">
        <f>VLOOKUP(F277,[1]characters!$A:$H,8,FALSE)</f>
        <v>green</v>
      </c>
      <c r="K277" s="8" t="str">
        <f>VLOOKUP(F277,[1]characters!$A:$K,11,FALSE)</f>
        <v>balance</v>
      </c>
      <c r="L277" s="8" t="str">
        <f>VLOOKUP(F277,[1]characters!$A:$M,13,FALSE)</f>
        <v>human</v>
      </c>
      <c r="M277" s="16">
        <f>VLOOKUP(D277,gacha_188_base!A:B,2,FALSE)</f>
        <v>955</v>
      </c>
      <c r="N277" s="38">
        <f>IFERROR(VLOOKUP($F277,bug_conf_sheet!$A:$H,3,FALSE),VLOOKUP("other",bug_conf_sheet!$A:$H,3,FALSE))</f>
        <v>1</v>
      </c>
      <c r="O277" s="38">
        <f>IFERROR(VLOOKUP($F277,bug_conf_sheet!$A:$H,4,FALSE),VLOOKUP("other",bug_conf_sheet!$A:$H,4,FALSE))</f>
        <v>0</v>
      </c>
      <c r="P277" s="38">
        <f>IFERROR(VLOOKUP($F277,bug_conf_sheet!$A:$H,5,FALSE),VLOOKUP("other",bug_conf_sheet!$A:$H,5,FALSE))</f>
        <v>0</v>
      </c>
      <c r="Q277" s="38">
        <f>IFERROR(VLOOKUP($F277,bug_conf_sheet!$A:$H,6,FALSE),VLOOKUP("other",bug_conf_sheet!$A:$H,6,FALSE))</f>
        <v>0</v>
      </c>
      <c r="R277" s="38">
        <f>IFERROR(VLOOKUP($F277,bug_conf_sheet!$A:$H,7,FALSE),VLOOKUP("other",bug_conf_sheet!$A:$H,7,FALSE))</f>
        <v>0</v>
      </c>
      <c r="S277" s="38">
        <f>IFERROR(VLOOKUP($F277,bug_conf_sheet!$A:$H,8,FALSE),VLOOKUP("other",bug_conf_sheet!$A:$H,8,FALSE))</f>
        <v>1</v>
      </c>
    </row>
    <row r="278" spans="1:19" ht="21" hidden="1" customHeight="1">
      <c r="A278" s="7" t="str">
        <f t="shared" si="34"/>
        <v>1883197</v>
      </c>
      <c r="B278" s="2" t="str">
        <f t="shared" si="33"/>
        <v>1883</v>
      </c>
      <c r="C278" s="8" t="str">
        <f t="shared" si="32"/>
        <v>3PremiumN4</v>
      </c>
      <c r="D278" s="8" t="str">
        <f t="shared" si="35"/>
        <v>3PremiumN4</v>
      </c>
      <c r="E278" s="10">
        <v>3</v>
      </c>
      <c r="F278" s="13">
        <v>197</v>
      </c>
      <c r="G278" s="8" t="str">
        <f>VLOOKUP(F278,[1]characters!$A:$C,3,FALSE)</f>
        <v>鉄腕 アキレス</v>
      </c>
      <c r="H278" s="8" t="str">
        <f>VLOOKUP(F278,[1]characters!$A:$J,10,FALSE)</f>
        <v>PremiumN</v>
      </c>
      <c r="I278" s="8">
        <f>VLOOKUP(F278,[1]characters!$A:$I,9,FALSE)</f>
        <v>4</v>
      </c>
      <c r="J278" s="8" t="str">
        <f>VLOOKUP(F278,[1]characters!$A:$H,8,FALSE)</f>
        <v>yellow</v>
      </c>
      <c r="K278" s="8" t="str">
        <f>VLOOKUP(F278,[1]characters!$A:$K,11,FALSE)</f>
        <v>balance</v>
      </c>
      <c r="L278" s="8" t="str">
        <f>VLOOKUP(F278,[1]characters!$A:$M,13,FALSE)</f>
        <v>human</v>
      </c>
      <c r="M278" s="16">
        <f>VLOOKUP(D278,gacha_188_base!A:B,2,FALSE)</f>
        <v>14962</v>
      </c>
      <c r="N278" s="38">
        <f>IFERROR(VLOOKUP($F278,bug_conf_sheet!$A:$H,3,FALSE),VLOOKUP("other",bug_conf_sheet!$A:$H,3,FALSE))</f>
        <v>1</v>
      </c>
      <c r="O278" s="38">
        <f>IFERROR(VLOOKUP($F278,bug_conf_sheet!$A:$H,4,FALSE),VLOOKUP("other",bug_conf_sheet!$A:$H,4,FALSE))</f>
        <v>0</v>
      </c>
      <c r="P278" s="38">
        <f>IFERROR(VLOOKUP($F278,bug_conf_sheet!$A:$H,5,FALSE),VLOOKUP("other",bug_conf_sheet!$A:$H,5,FALSE))</f>
        <v>0</v>
      </c>
      <c r="Q278" s="38">
        <f>IFERROR(VLOOKUP($F278,bug_conf_sheet!$A:$H,6,FALSE),VLOOKUP("other",bug_conf_sheet!$A:$H,6,FALSE))</f>
        <v>0</v>
      </c>
      <c r="R278" s="38">
        <f>IFERROR(VLOOKUP($F278,bug_conf_sheet!$A:$H,7,FALSE),VLOOKUP("other",bug_conf_sheet!$A:$H,7,FALSE))</f>
        <v>0</v>
      </c>
      <c r="S278" s="38">
        <f>IFERROR(VLOOKUP($F278,bug_conf_sheet!$A:$H,8,FALSE),VLOOKUP("other",bug_conf_sheet!$A:$H,8,FALSE))</f>
        <v>1</v>
      </c>
    </row>
    <row r="279" spans="1:19" ht="21" customHeight="1">
      <c r="A279" s="7" t="str">
        <f t="shared" si="34"/>
        <v>1883198</v>
      </c>
      <c r="B279" s="2" t="str">
        <f t="shared" si="33"/>
        <v>1883</v>
      </c>
      <c r="C279" s="8" t="str">
        <f t="shared" si="32"/>
        <v>3PremiumN5</v>
      </c>
      <c r="D279" s="8" t="str">
        <f t="shared" si="35"/>
        <v>3PremiumN5</v>
      </c>
      <c r="E279" s="10">
        <v>3</v>
      </c>
      <c r="F279" s="6">
        <v>198</v>
      </c>
      <c r="G279" s="8" t="str">
        <f>VLOOKUP(F279,[1]characters!$A:$C,3,FALSE)</f>
        <v>砕骨の剛腕 アキレス</v>
      </c>
      <c r="H279" s="8" t="str">
        <f>VLOOKUP(F279,[1]characters!$A:$J,10,FALSE)</f>
        <v>PremiumN</v>
      </c>
      <c r="I279" s="8">
        <f>VLOOKUP(F279,[1]characters!$A:$I,9,FALSE)</f>
        <v>5</v>
      </c>
      <c r="J279" s="8" t="str">
        <f>VLOOKUP(F279,[1]characters!$A:$H,8,FALSE)</f>
        <v>yellow</v>
      </c>
      <c r="K279" s="8" t="str">
        <f>VLOOKUP(F279,[1]characters!$A:$K,11,FALSE)</f>
        <v>balance</v>
      </c>
      <c r="L279" s="8" t="str">
        <f>VLOOKUP(F279,[1]characters!$A:$M,13,FALSE)</f>
        <v>human</v>
      </c>
      <c r="M279" s="16">
        <f>VLOOKUP(D279,gacha_188_base!A:B,2,FALSE)</f>
        <v>955</v>
      </c>
      <c r="N279" s="38">
        <f>IFERROR(VLOOKUP($F279,bug_conf_sheet!$A:$H,3,FALSE),VLOOKUP("other",bug_conf_sheet!$A:$H,3,FALSE))</f>
        <v>1</v>
      </c>
      <c r="O279" s="38">
        <f>IFERROR(VLOOKUP($F279,bug_conf_sheet!$A:$H,4,FALSE),VLOOKUP("other",bug_conf_sheet!$A:$H,4,FALSE))</f>
        <v>0</v>
      </c>
      <c r="P279" s="38">
        <f>IFERROR(VLOOKUP($F279,bug_conf_sheet!$A:$H,5,FALSE),VLOOKUP("other",bug_conf_sheet!$A:$H,5,FALSE))</f>
        <v>0</v>
      </c>
      <c r="Q279" s="38">
        <f>IFERROR(VLOOKUP($F279,bug_conf_sheet!$A:$H,6,FALSE),VLOOKUP("other",bug_conf_sheet!$A:$H,6,FALSE))</f>
        <v>0</v>
      </c>
      <c r="R279" s="38">
        <f>IFERROR(VLOOKUP($F279,bug_conf_sheet!$A:$H,7,FALSE),VLOOKUP("other",bug_conf_sheet!$A:$H,7,FALSE))</f>
        <v>0</v>
      </c>
      <c r="S279" s="38">
        <f>IFERROR(VLOOKUP($F279,bug_conf_sheet!$A:$H,8,FALSE),VLOOKUP("other",bug_conf_sheet!$A:$H,8,FALSE))</f>
        <v>1</v>
      </c>
    </row>
    <row r="280" spans="1:19" ht="21" hidden="1" customHeight="1">
      <c r="A280" s="7" t="str">
        <f t="shared" si="34"/>
        <v>1883200</v>
      </c>
      <c r="B280" s="2" t="str">
        <f t="shared" si="33"/>
        <v>1883</v>
      </c>
      <c r="C280" s="8" t="str">
        <f t="shared" si="32"/>
        <v>3PremiumN4</v>
      </c>
      <c r="D280" s="8" t="str">
        <f t="shared" si="35"/>
        <v>3PremiumN4</v>
      </c>
      <c r="E280" s="10">
        <v>3</v>
      </c>
      <c r="F280" s="6">
        <v>200</v>
      </c>
      <c r="G280" s="8" t="str">
        <f>VLOOKUP(F280,[1]characters!$A:$C,3,FALSE)</f>
        <v>大剣士 ジークフリート</v>
      </c>
      <c r="H280" s="8" t="str">
        <f>VLOOKUP(F280,[1]characters!$A:$J,10,FALSE)</f>
        <v>PremiumN</v>
      </c>
      <c r="I280" s="8">
        <f>VLOOKUP(F280,[1]characters!$A:$I,9,FALSE)</f>
        <v>4</v>
      </c>
      <c r="J280" s="8" t="str">
        <f>VLOOKUP(F280,[1]characters!$A:$H,8,FALSE)</f>
        <v>blue</v>
      </c>
      <c r="K280" s="8" t="str">
        <f>VLOOKUP(F280,[1]characters!$A:$K,11,FALSE)</f>
        <v>balance</v>
      </c>
      <c r="L280" s="8" t="str">
        <f>VLOOKUP(F280,[1]characters!$A:$M,13,FALSE)</f>
        <v>human</v>
      </c>
      <c r="M280" s="16">
        <f>VLOOKUP(D280,gacha_188_base!A:B,2,FALSE)</f>
        <v>14962</v>
      </c>
      <c r="N280" s="38">
        <f>IFERROR(VLOOKUP($F280,bug_conf_sheet!$A:$H,3,FALSE),VLOOKUP("other",bug_conf_sheet!$A:$H,3,FALSE))</f>
        <v>1</v>
      </c>
      <c r="O280" s="38">
        <f>IFERROR(VLOOKUP($F280,bug_conf_sheet!$A:$H,4,FALSE),VLOOKUP("other",bug_conf_sheet!$A:$H,4,FALSE))</f>
        <v>0</v>
      </c>
      <c r="P280" s="38">
        <f>IFERROR(VLOOKUP($F280,bug_conf_sheet!$A:$H,5,FALSE),VLOOKUP("other",bug_conf_sheet!$A:$H,5,FALSE))</f>
        <v>0</v>
      </c>
      <c r="Q280" s="38">
        <f>IFERROR(VLOOKUP($F280,bug_conf_sheet!$A:$H,6,FALSE),VLOOKUP("other",bug_conf_sheet!$A:$H,6,FALSE))</f>
        <v>0</v>
      </c>
      <c r="R280" s="38">
        <f>IFERROR(VLOOKUP($F280,bug_conf_sheet!$A:$H,7,FALSE),VLOOKUP("other",bug_conf_sheet!$A:$H,7,FALSE))</f>
        <v>0</v>
      </c>
      <c r="S280" s="38">
        <f>IFERROR(VLOOKUP($F280,bug_conf_sheet!$A:$H,8,FALSE),VLOOKUP("other",bug_conf_sheet!$A:$H,8,FALSE))</f>
        <v>1</v>
      </c>
    </row>
    <row r="281" spans="1:19" ht="21" customHeight="1">
      <c r="A281" s="7" t="str">
        <f t="shared" si="34"/>
        <v>1883201</v>
      </c>
      <c r="B281" s="2" t="str">
        <f t="shared" si="33"/>
        <v>1883</v>
      </c>
      <c r="C281" s="8" t="str">
        <f t="shared" si="32"/>
        <v>3PremiumN5</v>
      </c>
      <c r="D281" s="8" t="str">
        <f t="shared" si="35"/>
        <v>3PremiumN5</v>
      </c>
      <c r="E281" s="10">
        <v>3</v>
      </c>
      <c r="F281" s="5">
        <v>201</v>
      </c>
      <c r="G281" s="8" t="str">
        <f>VLOOKUP(F281,[1]characters!$A:$C,3,FALSE)</f>
        <v>斬空の大破剣 ジークフリート</v>
      </c>
      <c r="H281" s="8" t="str">
        <f>VLOOKUP(F281,[1]characters!$A:$J,10,FALSE)</f>
        <v>PremiumN</v>
      </c>
      <c r="I281" s="8">
        <f>VLOOKUP(F281,[1]characters!$A:$I,9,FALSE)</f>
        <v>5</v>
      </c>
      <c r="J281" s="8" t="str">
        <f>VLOOKUP(F281,[1]characters!$A:$H,8,FALSE)</f>
        <v>blue</v>
      </c>
      <c r="K281" s="8" t="str">
        <f>VLOOKUP(F281,[1]characters!$A:$K,11,FALSE)</f>
        <v>balance</v>
      </c>
      <c r="L281" s="8" t="str">
        <f>VLOOKUP(F281,[1]characters!$A:$M,13,FALSE)</f>
        <v>human</v>
      </c>
      <c r="M281" s="16">
        <f>VLOOKUP(D281,gacha_188_base!A:B,2,FALSE)</f>
        <v>955</v>
      </c>
      <c r="N281" s="38">
        <f>IFERROR(VLOOKUP($F281,bug_conf_sheet!$A:$H,3,FALSE),VLOOKUP("other",bug_conf_sheet!$A:$H,3,FALSE))</f>
        <v>1</v>
      </c>
      <c r="O281" s="38">
        <f>IFERROR(VLOOKUP($F281,bug_conf_sheet!$A:$H,4,FALSE),VLOOKUP("other",bug_conf_sheet!$A:$H,4,FALSE))</f>
        <v>0</v>
      </c>
      <c r="P281" s="38">
        <f>IFERROR(VLOOKUP($F281,bug_conf_sheet!$A:$H,5,FALSE),VLOOKUP("other",bug_conf_sheet!$A:$H,5,FALSE))</f>
        <v>0</v>
      </c>
      <c r="Q281" s="38">
        <f>IFERROR(VLOOKUP($F281,bug_conf_sheet!$A:$H,6,FALSE),VLOOKUP("other",bug_conf_sheet!$A:$H,6,FALSE))</f>
        <v>0</v>
      </c>
      <c r="R281" s="38">
        <f>IFERROR(VLOOKUP($F281,bug_conf_sheet!$A:$H,7,FALSE),VLOOKUP("other",bug_conf_sheet!$A:$H,7,FALSE))</f>
        <v>0</v>
      </c>
      <c r="S281" s="38">
        <f>IFERROR(VLOOKUP($F281,bug_conf_sheet!$A:$H,8,FALSE),VLOOKUP("other",bug_conf_sheet!$A:$H,8,FALSE))</f>
        <v>1</v>
      </c>
    </row>
    <row r="282" spans="1:19" ht="21" hidden="1" customHeight="1">
      <c r="A282" s="7" t="str">
        <f t="shared" si="34"/>
        <v>1883203</v>
      </c>
      <c r="B282" s="2" t="str">
        <f t="shared" si="33"/>
        <v>1883</v>
      </c>
      <c r="C282" s="8" t="str">
        <f t="shared" si="32"/>
        <v>3PremiumN4</v>
      </c>
      <c r="D282" s="8" t="str">
        <f t="shared" si="35"/>
        <v>3PremiumN4</v>
      </c>
      <c r="E282" s="10">
        <v>3</v>
      </c>
      <c r="F282" s="5">
        <v>203</v>
      </c>
      <c r="G282" s="8" t="str">
        <f>VLOOKUP(F282,[1]characters!$A:$C,3,FALSE)</f>
        <v>焔神 プロメテウス</v>
      </c>
      <c r="H282" s="8" t="str">
        <f>VLOOKUP(F282,[1]characters!$A:$J,10,FALSE)</f>
        <v>PremiumN</v>
      </c>
      <c r="I282" s="8">
        <f>VLOOKUP(F282,[1]characters!$A:$I,9,FALSE)</f>
        <v>4</v>
      </c>
      <c r="J282" s="8" t="str">
        <f>VLOOKUP(F282,[1]characters!$A:$H,8,FALSE)</f>
        <v>red</v>
      </c>
      <c r="K282" s="8" t="str">
        <f>VLOOKUP(F282,[1]characters!$A:$K,11,FALSE)</f>
        <v>hp</v>
      </c>
      <c r="L282" s="8" t="str">
        <f>VLOOKUP(F282,[1]characters!$A:$M,13,FALSE)</f>
        <v>god</v>
      </c>
      <c r="M282" s="16">
        <f>VLOOKUP(D282,gacha_188_base!A:B,2,FALSE)</f>
        <v>14962</v>
      </c>
      <c r="N282" s="38">
        <f>IFERROR(VLOOKUP($F282,bug_conf_sheet!$A:$H,3,FALSE),VLOOKUP("other",bug_conf_sheet!$A:$H,3,FALSE))</f>
        <v>1</v>
      </c>
      <c r="O282" s="38">
        <f>IFERROR(VLOOKUP($F282,bug_conf_sheet!$A:$H,4,FALSE),VLOOKUP("other",bug_conf_sheet!$A:$H,4,FALSE))</f>
        <v>0</v>
      </c>
      <c r="P282" s="38">
        <f>IFERROR(VLOOKUP($F282,bug_conf_sheet!$A:$H,5,FALSE),VLOOKUP("other",bug_conf_sheet!$A:$H,5,FALSE))</f>
        <v>0</v>
      </c>
      <c r="Q282" s="38">
        <f>IFERROR(VLOOKUP($F282,bug_conf_sheet!$A:$H,6,FALSE),VLOOKUP("other",bug_conf_sheet!$A:$H,6,FALSE))</f>
        <v>0</v>
      </c>
      <c r="R282" s="38">
        <f>IFERROR(VLOOKUP($F282,bug_conf_sheet!$A:$H,7,FALSE),VLOOKUP("other",bug_conf_sheet!$A:$H,7,FALSE))</f>
        <v>0</v>
      </c>
      <c r="S282" s="38">
        <f>IFERROR(VLOOKUP($F282,bug_conf_sheet!$A:$H,8,FALSE),VLOOKUP("other",bug_conf_sheet!$A:$H,8,FALSE))</f>
        <v>1</v>
      </c>
    </row>
    <row r="283" spans="1:19" ht="21" customHeight="1">
      <c r="A283" s="7" t="str">
        <f t="shared" si="34"/>
        <v>1883204</v>
      </c>
      <c r="B283" s="2" t="str">
        <f t="shared" si="33"/>
        <v>1883</v>
      </c>
      <c r="C283" s="8" t="str">
        <f t="shared" si="32"/>
        <v>3PremiumN5</v>
      </c>
      <c r="D283" s="8" t="str">
        <f t="shared" si="35"/>
        <v>3PremiumN5</v>
      </c>
      <c r="E283" s="10">
        <v>3</v>
      </c>
      <c r="F283" s="5">
        <v>204</v>
      </c>
      <c r="G283" s="8" t="str">
        <f>VLOOKUP(F283,[1]characters!$A:$C,3,FALSE)</f>
        <v>慟哭の巨焔 プロメテウス</v>
      </c>
      <c r="H283" s="8" t="str">
        <f>VLOOKUP(F283,[1]characters!$A:$J,10,FALSE)</f>
        <v>PremiumN</v>
      </c>
      <c r="I283" s="8">
        <f>VLOOKUP(F283,[1]characters!$A:$I,9,FALSE)</f>
        <v>5</v>
      </c>
      <c r="J283" s="8" t="str">
        <f>VLOOKUP(F283,[1]characters!$A:$H,8,FALSE)</f>
        <v>red</v>
      </c>
      <c r="K283" s="8" t="str">
        <f>VLOOKUP(F283,[1]characters!$A:$K,11,FALSE)</f>
        <v>hp</v>
      </c>
      <c r="L283" s="8" t="str">
        <f>VLOOKUP(F283,[1]characters!$A:$M,13,FALSE)</f>
        <v>god</v>
      </c>
      <c r="M283" s="16">
        <f>VLOOKUP(D283,gacha_188_base!A:B,2,FALSE)</f>
        <v>955</v>
      </c>
      <c r="N283" s="38">
        <f>IFERROR(VLOOKUP($F283,bug_conf_sheet!$A:$H,3,FALSE),VLOOKUP("other",bug_conf_sheet!$A:$H,3,FALSE))</f>
        <v>1</v>
      </c>
      <c r="O283" s="38">
        <f>IFERROR(VLOOKUP($F283,bug_conf_sheet!$A:$H,4,FALSE),VLOOKUP("other",bug_conf_sheet!$A:$H,4,FALSE))</f>
        <v>0</v>
      </c>
      <c r="P283" s="38">
        <f>IFERROR(VLOOKUP($F283,bug_conf_sheet!$A:$H,5,FALSE),VLOOKUP("other",bug_conf_sheet!$A:$H,5,FALSE))</f>
        <v>0</v>
      </c>
      <c r="Q283" s="38">
        <f>IFERROR(VLOOKUP($F283,bug_conf_sheet!$A:$H,6,FALSE),VLOOKUP("other",bug_conf_sheet!$A:$H,6,FALSE))</f>
        <v>0</v>
      </c>
      <c r="R283" s="38">
        <f>IFERROR(VLOOKUP($F283,bug_conf_sheet!$A:$H,7,FALSE),VLOOKUP("other",bug_conf_sheet!$A:$H,7,FALSE))</f>
        <v>0</v>
      </c>
      <c r="S283" s="38">
        <f>IFERROR(VLOOKUP($F283,bug_conf_sheet!$A:$H,8,FALSE),VLOOKUP("other",bug_conf_sheet!$A:$H,8,FALSE))</f>
        <v>1</v>
      </c>
    </row>
    <row r="284" spans="1:19" ht="21" hidden="1" customHeight="1">
      <c r="A284" s="7" t="str">
        <f t="shared" si="34"/>
        <v>1883206</v>
      </c>
      <c r="B284" s="2" t="str">
        <f t="shared" si="33"/>
        <v>1883</v>
      </c>
      <c r="C284" s="8" t="str">
        <f t="shared" si="32"/>
        <v>3PremiumN4</v>
      </c>
      <c r="D284" s="8" t="str">
        <f t="shared" si="35"/>
        <v>3PremiumN4</v>
      </c>
      <c r="E284" s="10">
        <v>3</v>
      </c>
      <c r="F284" s="5">
        <v>206</v>
      </c>
      <c r="G284" s="8" t="str">
        <f>VLOOKUP(F284,[1]characters!$A:$C,3,FALSE)</f>
        <v>美神 アフロディーテ</v>
      </c>
      <c r="H284" s="8" t="str">
        <f>VLOOKUP(F284,[1]characters!$A:$J,10,FALSE)</f>
        <v>PremiumN</v>
      </c>
      <c r="I284" s="8">
        <f>VLOOKUP(F284,[1]characters!$A:$I,9,FALSE)</f>
        <v>4</v>
      </c>
      <c r="J284" s="8" t="str">
        <f>VLOOKUP(F284,[1]characters!$A:$H,8,FALSE)</f>
        <v>green</v>
      </c>
      <c r="K284" s="8" t="str">
        <f>VLOOKUP(F284,[1]characters!$A:$K,11,FALSE)</f>
        <v>hp</v>
      </c>
      <c r="L284" s="8" t="str">
        <f>VLOOKUP(F284,[1]characters!$A:$M,13,FALSE)</f>
        <v>god</v>
      </c>
      <c r="M284" s="16">
        <f>VLOOKUP(D284,gacha_188_base!A:B,2,FALSE)</f>
        <v>14962</v>
      </c>
      <c r="N284" s="38">
        <f>IFERROR(VLOOKUP($F284,bug_conf_sheet!$A:$H,3,FALSE),VLOOKUP("other",bug_conf_sheet!$A:$H,3,FALSE))</f>
        <v>1</v>
      </c>
      <c r="O284" s="38">
        <f>IFERROR(VLOOKUP($F284,bug_conf_sheet!$A:$H,4,FALSE),VLOOKUP("other",bug_conf_sheet!$A:$H,4,FALSE))</f>
        <v>0</v>
      </c>
      <c r="P284" s="38">
        <f>IFERROR(VLOOKUP($F284,bug_conf_sheet!$A:$H,5,FALSE),VLOOKUP("other",bug_conf_sheet!$A:$H,5,FALSE))</f>
        <v>0</v>
      </c>
      <c r="Q284" s="38">
        <f>IFERROR(VLOOKUP($F284,bug_conf_sheet!$A:$H,6,FALSE),VLOOKUP("other",bug_conf_sheet!$A:$H,6,FALSE))</f>
        <v>0</v>
      </c>
      <c r="R284" s="38">
        <f>IFERROR(VLOOKUP($F284,bug_conf_sheet!$A:$H,7,FALSE),VLOOKUP("other",bug_conf_sheet!$A:$H,7,FALSE))</f>
        <v>0</v>
      </c>
      <c r="S284" s="38">
        <f>IFERROR(VLOOKUP($F284,bug_conf_sheet!$A:$H,8,FALSE),VLOOKUP("other",bug_conf_sheet!$A:$H,8,FALSE))</f>
        <v>1</v>
      </c>
    </row>
    <row r="285" spans="1:19" ht="21" customHeight="1">
      <c r="A285" s="7" t="str">
        <f t="shared" si="34"/>
        <v>1883207</v>
      </c>
      <c r="B285" s="2" t="str">
        <f t="shared" si="33"/>
        <v>1883</v>
      </c>
      <c r="C285" s="8" t="str">
        <f t="shared" si="32"/>
        <v>3PremiumN5</v>
      </c>
      <c r="D285" s="8" t="str">
        <f t="shared" si="35"/>
        <v>3PremiumN5</v>
      </c>
      <c r="E285" s="10">
        <v>3</v>
      </c>
      <c r="F285" s="5">
        <v>207</v>
      </c>
      <c r="G285" s="8" t="str">
        <f>VLOOKUP(F285,[1]characters!$A:$C,3,FALSE)</f>
        <v>豊穣の麗神・アフロディーテ</v>
      </c>
      <c r="H285" s="8" t="str">
        <f>VLOOKUP(F285,[1]characters!$A:$J,10,FALSE)</f>
        <v>PremiumN</v>
      </c>
      <c r="I285" s="8">
        <f>VLOOKUP(F285,[1]characters!$A:$I,9,FALSE)</f>
        <v>5</v>
      </c>
      <c r="J285" s="8" t="str">
        <f>VLOOKUP(F285,[1]characters!$A:$H,8,FALSE)</f>
        <v>green</v>
      </c>
      <c r="K285" s="8" t="str">
        <f>VLOOKUP(F285,[1]characters!$A:$K,11,FALSE)</f>
        <v>hp</v>
      </c>
      <c r="L285" s="8" t="str">
        <f>VLOOKUP(F285,[1]characters!$A:$M,13,FALSE)</f>
        <v>god</v>
      </c>
      <c r="M285" s="16">
        <f>VLOOKUP(D285,gacha_188_base!A:B,2,FALSE)</f>
        <v>955</v>
      </c>
      <c r="N285" s="38">
        <f>IFERROR(VLOOKUP($F285,bug_conf_sheet!$A:$H,3,FALSE),VLOOKUP("other",bug_conf_sheet!$A:$H,3,FALSE))</f>
        <v>1</v>
      </c>
      <c r="O285" s="38">
        <f>IFERROR(VLOOKUP($F285,bug_conf_sheet!$A:$H,4,FALSE),VLOOKUP("other",bug_conf_sheet!$A:$H,4,FALSE))</f>
        <v>0</v>
      </c>
      <c r="P285" s="38">
        <f>IFERROR(VLOOKUP($F285,bug_conf_sheet!$A:$H,5,FALSE),VLOOKUP("other",bug_conf_sheet!$A:$H,5,FALSE))</f>
        <v>0</v>
      </c>
      <c r="Q285" s="38">
        <f>IFERROR(VLOOKUP($F285,bug_conf_sheet!$A:$H,6,FALSE),VLOOKUP("other",bug_conf_sheet!$A:$H,6,FALSE))</f>
        <v>0</v>
      </c>
      <c r="R285" s="38">
        <f>IFERROR(VLOOKUP($F285,bug_conf_sheet!$A:$H,7,FALSE),VLOOKUP("other",bug_conf_sheet!$A:$H,7,FALSE))</f>
        <v>0</v>
      </c>
      <c r="S285" s="38">
        <f>IFERROR(VLOOKUP($F285,bug_conf_sheet!$A:$H,8,FALSE),VLOOKUP("other",bug_conf_sheet!$A:$H,8,FALSE))</f>
        <v>1</v>
      </c>
    </row>
    <row r="286" spans="1:19" ht="21" hidden="1" customHeight="1">
      <c r="A286" s="7" t="str">
        <f t="shared" si="34"/>
        <v>1883209</v>
      </c>
      <c r="B286" s="2" t="str">
        <f t="shared" si="33"/>
        <v>1883</v>
      </c>
      <c r="C286" s="8" t="str">
        <f t="shared" si="32"/>
        <v>3PremiumN4</v>
      </c>
      <c r="D286" s="8" t="str">
        <f t="shared" si="35"/>
        <v>3PremiumN4</v>
      </c>
      <c r="E286" s="10">
        <v>3</v>
      </c>
      <c r="F286" s="5">
        <v>209</v>
      </c>
      <c r="G286" s="8" t="str">
        <f>VLOOKUP(F286,[1]characters!$A:$C,3,FALSE)</f>
        <v>孤神 テティス</v>
      </c>
      <c r="H286" s="8" t="str">
        <f>VLOOKUP(F286,[1]characters!$A:$J,10,FALSE)</f>
        <v>PremiumN</v>
      </c>
      <c r="I286" s="8">
        <f>VLOOKUP(F286,[1]characters!$A:$I,9,FALSE)</f>
        <v>4</v>
      </c>
      <c r="J286" s="8" t="str">
        <f>VLOOKUP(F286,[1]characters!$A:$H,8,FALSE)</f>
        <v>blue</v>
      </c>
      <c r="K286" s="8" t="str">
        <f>VLOOKUP(F286,[1]characters!$A:$K,11,FALSE)</f>
        <v>hp</v>
      </c>
      <c r="L286" s="8" t="str">
        <f>VLOOKUP(F286,[1]characters!$A:$M,13,FALSE)</f>
        <v>god</v>
      </c>
      <c r="M286" s="16">
        <f>VLOOKUP(D286,gacha_188_base!A:B,2,FALSE)</f>
        <v>14962</v>
      </c>
      <c r="N286" s="38">
        <f>IFERROR(VLOOKUP($F286,bug_conf_sheet!$A:$H,3,FALSE),VLOOKUP("other",bug_conf_sheet!$A:$H,3,FALSE))</f>
        <v>1</v>
      </c>
      <c r="O286" s="38">
        <f>IFERROR(VLOOKUP($F286,bug_conf_sheet!$A:$H,4,FALSE),VLOOKUP("other",bug_conf_sheet!$A:$H,4,FALSE))</f>
        <v>0</v>
      </c>
      <c r="P286" s="38">
        <f>IFERROR(VLOOKUP($F286,bug_conf_sheet!$A:$H,5,FALSE),VLOOKUP("other",bug_conf_sheet!$A:$H,5,FALSE))</f>
        <v>0</v>
      </c>
      <c r="Q286" s="38">
        <f>IFERROR(VLOOKUP($F286,bug_conf_sheet!$A:$H,6,FALSE),VLOOKUP("other",bug_conf_sheet!$A:$H,6,FALSE))</f>
        <v>0</v>
      </c>
      <c r="R286" s="38">
        <f>IFERROR(VLOOKUP($F286,bug_conf_sheet!$A:$H,7,FALSE),VLOOKUP("other",bug_conf_sheet!$A:$H,7,FALSE))</f>
        <v>0</v>
      </c>
      <c r="S286" s="38">
        <f>IFERROR(VLOOKUP($F286,bug_conf_sheet!$A:$H,8,FALSE),VLOOKUP("other",bug_conf_sheet!$A:$H,8,FALSE))</f>
        <v>1</v>
      </c>
    </row>
    <row r="287" spans="1:19" ht="21" customHeight="1">
      <c r="A287" s="7" t="str">
        <f t="shared" si="34"/>
        <v>1883210</v>
      </c>
      <c r="B287" s="2" t="str">
        <f t="shared" si="33"/>
        <v>1883</v>
      </c>
      <c r="C287" s="8" t="str">
        <f t="shared" si="32"/>
        <v>3PremiumN5</v>
      </c>
      <c r="D287" s="8" t="str">
        <f t="shared" si="35"/>
        <v>3PremiumN5</v>
      </c>
      <c r="E287" s="10">
        <v>3</v>
      </c>
      <c r="F287" s="5">
        <v>210</v>
      </c>
      <c r="G287" s="8" t="str">
        <f>VLOOKUP(F287,[1]characters!$A:$C,3,FALSE)</f>
        <v>海底の孤高神 テティス</v>
      </c>
      <c r="H287" s="8" t="str">
        <f>VLOOKUP(F287,[1]characters!$A:$J,10,FALSE)</f>
        <v>PremiumN</v>
      </c>
      <c r="I287" s="8">
        <f>VLOOKUP(F287,[1]characters!$A:$I,9,FALSE)</f>
        <v>5</v>
      </c>
      <c r="J287" s="8" t="str">
        <f>VLOOKUP(F287,[1]characters!$A:$H,8,FALSE)</f>
        <v>blue</v>
      </c>
      <c r="K287" s="8" t="str">
        <f>VLOOKUP(F287,[1]characters!$A:$K,11,FALSE)</f>
        <v>hp</v>
      </c>
      <c r="L287" s="8" t="str">
        <f>VLOOKUP(F287,[1]characters!$A:$M,13,FALSE)</f>
        <v>god</v>
      </c>
      <c r="M287" s="16">
        <f>VLOOKUP(D287,gacha_188_base!A:B,2,FALSE)</f>
        <v>955</v>
      </c>
      <c r="N287" s="38">
        <f>IFERROR(VLOOKUP($F287,bug_conf_sheet!$A:$H,3,FALSE),VLOOKUP("other",bug_conf_sheet!$A:$H,3,FALSE))</f>
        <v>1</v>
      </c>
      <c r="O287" s="38">
        <f>IFERROR(VLOOKUP($F287,bug_conf_sheet!$A:$H,4,FALSE),VLOOKUP("other",bug_conf_sheet!$A:$H,4,FALSE))</f>
        <v>0</v>
      </c>
      <c r="P287" s="38">
        <f>IFERROR(VLOOKUP($F287,bug_conf_sheet!$A:$H,5,FALSE),VLOOKUP("other",bug_conf_sheet!$A:$H,5,FALSE))</f>
        <v>0</v>
      </c>
      <c r="Q287" s="38">
        <f>IFERROR(VLOOKUP($F287,bug_conf_sheet!$A:$H,6,FALSE),VLOOKUP("other",bug_conf_sheet!$A:$H,6,FALSE))</f>
        <v>0</v>
      </c>
      <c r="R287" s="38">
        <f>IFERROR(VLOOKUP($F287,bug_conf_sheet!$A:$H,7,FALSE),VLOOKUP("other",bug_conf_sheet!$A:$H,7,FALSE))</f>
        <v>0</v>
      </c>
      <c r="S287" s="38">
        <f>IFERROR(VLOOKUP($F287,bug_conf_sheet!$A:$H,8,FALSE),VLOOKUP("other",bug_conf_sheet!$A:$H,8,FALSE))</f>
        <v>1</v>
      </c>
    </row>
    <row r="288" spans="1:19" ht="21" hidden="1" customHeight="1">
      <c r="A288" s="7" t="str">
        <f t="shared" si="34"/>
        <v>1883212</v>
      </c>
      <c r="B288" s="2" t="str">
        <f t="shared" si="33"/>
        <v>1883</v>
      </c>
      <c r="C288" s="8" t="str">
        <f t="shared" si="32"/>
        <v>3PremiumN4</v>
      </c>
      <c r="D288" s="8" t="str">
        <f t="shared" si="35"/>
        <v>3PremiumN4</v>
      </c>
      <c r="E288" s="10">
        <v>3</v>
      </c>
      <c r="F288" s="5">
        <v>212</v>
      </c>
      <c r="G288" s="8" t="str">
        <f>VLOOKUP(F288,[1]characters!$A:$C,3,FALSE)</f>
        <v>星神 アストライアー</v>
      </c>
      <c r="H288" s="8" t="str">
        <f>VLOOKUP(F288,[1]characters!$A:$J,10,FALSE)</f>
        <v>PremiumN</v>
      </c>
      <c r="I288" s="8">
        <f>VLOOKUP(F288,[1]characters!$A:$I,9,FALSE)</f>
        <v>4</v>
      </c>
      <c r="J288" s="8" t="str">
        <f>VLOOKUP(F288,[1]characters!$A:$H,8,FALSE)</f>
        <v>yellow</v>
      </c>
      <c r="K288" s="8" t="str">
        <f>VLOOKUP(F288,[1]characters!$A:$K,11,FALSE)</f>
        <v>balance</v>
      </c>
      <c r="L288" s="8" t="str">
        <f>VLOOKUP(F288,[1]characters!$A:$M,13,FALSE)</f>
        <v>god</v>
      </c>
      <c r="M288" s="16">
        <f>VLOOKUP(D288,gacha_188_base!A:B,2,FALSE)</f>
        <v>14962</v>
      </c>
      <c r="N288" s="38">
        <f>IFERROR(VLOOKUP($F288,bug_conf_sheet!$A:$H,3,FALSE),VLOOKUP("other",bug_conf_sheet!$A:$H,3,FALSE))</f>
        <v>1</v>
      </c>
      <c r="O288" s="38">
        <f>IFERROR(VLOOKUP($F288,bug_conf_sheet!$A:$H,4,FALSE),VLOOKUP("other",bug_conf_sheet!$A:$H,4,FALSE))</f>
        <v>0</v>
      </c>
      <c r="P288" s="38">
        <f>IFERROR(VLOOKUP($F288,bug_conf_sheet!$A:$H,5,FALSE),VLOOKUP("other",bug_conf_sheet!$A:$H,5,FALSE))</f>
        <v>0</v>
      </c>
      <c r="Q288" s="38">
        <f>IFERROR(VLOOKUP($F288,bug_conf_sheet!$A:$H,6,FALSE),VLOOKUP("other",bug_conf_sheet!$A:$H,6,FALSE))</f>
        <v>0</v>
      </c>
      <c r="R288" s="38">
        <f>IFERROR(VLOOKUP($F288,bug_conf_sheet!$A:$H,7,FALSE),VLOOKUP("other",bug_conf_sheet!$A:$H,7,FALSE))</f>
        <v>0</v>
      </c>
      <c r="S288" s="38">
        <f>IFERROR(VLOOKUP($F288,bug_conf_sheet!$A:$H,8,FALSE),VLOOKUP("other",bug_conf_sheet!$A:$H,8,FALSE))</f>
        <v>1</v>
      </c>
    </row>
    <row r="289" spans="1:19" ht="21" customHeight="1">
      <c r="A289" s="7" t="str">
        <f t="shared" si="34"/>
        <v>1883213</v>
      </c>
      <c r="B289" s="2" t="str">
        <f t="shared" si="33"/>
        <v>1883</v>
      </c>
      <c r="C289" s="8" t="str">
        <f t="shared" si="32"/>
        <v>3PremiumN5</v>
      </c>
      <c r="D289" s="8" t="str">
        <f t="shared" si="35"/>
        <v>3PremiumN5</v>
      </c>
      <c r="E289" s="10">
        <v>3</v>
      </c>
      <c r="F289" s="5">
        <v>213</v>
      </c>
      <c r="G289" s="8" t="str">
        <f>VLOOKUP(F289,[1]characters!$A:$C,3,FALSE)</f>
        <v>満天の星降神 アストライアー</v>
      </c>
      <c r="H289" s="8" t="str">
        <f>VLOOKUP(F289,[1]characters!$A:$J,10,FALSE)</f>
        <v>PremiumN</v>
      </c>
      <c r="I289" s="8">
        <f>VLOOKUP(F289,[1]characters!$A:$I,9,FALSE)</f>
        <v>5</v>
      </c>
      <c r="J289" s="8" t="str">
        <f>VLOOKUP(F289,[1]characters!$A:$H,8,FALSE)</f>
        <v>yellow</v>
      </c>
      <c r="K289" s="8" t="str">
        <f>VLOOKUP(F289,[1]characters!$A:$K,11,FALSE)</f>
        <v>balance</v>
      </c>
      <c r="L289" s="8" t="str">
        <f>VLOOKUP(F289,[1]characters!$A:$M,13,FALSE)</f>
        <v>god</v>
      </c>
      <c r="M289" s="16">
        <f>VLOOKUP(D289,gacha_188_base!A:B,2,FALSE)</f>
        <v>955</v>
      </c>
      <c r="N289" s="38">
        <f>IFERROR(VLOOKUP($F289,bug_conf_sheet!$A:$H,3,FALSE),VLOOKUP("other",bug_conf_sheet!$A:$H,3,FALSE))</f>
        <v>1</v>
      </c>
      <c r="O289" s="38">
        <f>IFERROR(VLOOKUP($F289,bug_conf_sheet!$A:$H,4,FALSE),VLOOKUP("other",bug_conf_sheet!$A:$H,4,FALSE))</f>
        <v>0</v>
      </c>
      <c r="P289" s="38">
        <f>IFERROR(VLOOKUP($F289,bug_conf_sheet!$A:$H,5,FALSE),VLOOKUP("other",bug_conf_sheet!$A:$H,5,FALSE))</f>
        <v>0</v>
      </c>
      <c r="Q289" s="38">
        <f>IFERROR(VLOOKUP($F289,bug_conf_sheet!$A:$H,6,FALSE),VLOOKUP("other",bug_conf_sheet!$A:$H,6,FALSE))</f>
        <v>0</v>
      </c>
      <c r="R289" s="38">
        <f>IFERROR(VLOOKUP($F289,bug_conf_sheet!$A:$H,7,FALSE),VLOOKUP("other",bug_conf_sheet!$A:$H,7,FALSE))</f>
        <v>0</v>
      </c>
      <c r="S289" s="38">
        <f>IFERROR(VLOOKUP($F289,bug_conf_sheet!$A:$H,8,FALSE),VLOOKUP("other",bug_conf_sheet!$A:$H,8,FALSE))</f>
        <v>1</v>
      </c>
    </row>
    <row r="290" spans="1:19" ht="21" hidden="1" customHeight="1">
      <c r="A290" s="7" t="str">
        <f t="shared" si="34"/>
        <v>1883215</v>
      </c>
      <c r="B290" s="2" t="str">
        <f t="shared" si="33"/>
        <v>1883</v>
      </c>
      <c r="C290" s="8" t="str">
        <f t="shared" si="32"/>
        <v>3PremiumN4</v>
      </c>
      <c r="D290" s="8" t="str">
        <f t="shared" si="35"/>
        <v>3PremiumN4</v>
      </c>
      <c r="E290" s="10">
        <v>3</v>
      </c>
      <c r="F290" s="5">
        <v>215</v>
      </c>
      <c r="G290" s="8" t="str">
        <f>VLOOKUP(F290,[1]characters!$A:$C,3,FALSE)</f>
        <v>死導者 アズラエル</v>
      </c>
      <c r="H290" s="8" t="str">
        <f>VLOOKUP(F290,[1]characters!$A:$J,10,FALSE)</f>
        <v>PremiumN</v>
      </c>
      <c r="I290" s="8">
        <f>VLOOKUP(F290,[1]characters!$A:$I,9,FALSE)</f>
        <v>4</v>
      </c>
      <c r="J290" s="8" t="str">
        <f>VLOOKUP(F290,[1]characters!$A:$H,8,FALSE)</f>
        <v>red</v>
      </c>
      <c r="K290" s="8" t="str">
        <f>VLOOKUP(F290,[1]characters!$A:$K,11,FALSE)</f>
        <v>balance</v>
      </c>
      <c r="L290" s="8" t="str">
        <f>VLOOKUP(F290,[1]characters!$A:$M,13,FALSE)</f>
        <v>god</v>
      </c>
      <c r="M290" s="16">
        <f>VLOOKUP(D290,gacha_188_base!A:B,2,FALSE)</f>
        <v>14962</v>
      </c>
      <c r="N290" s="38">
        <f>IFERROR(VLOOKUP($F290,bug_conf_sheet!$A:$H,3,FALSE),VLOOKUP("other",bug_conf_sheet!$A:$H,3,FALSE))</f>
        <v>1</v>
      </c>
      <c r="O290" s="38">
        <f>IFERROR(VLOOKUP($F290,bug_conf_sheet!$A:$H,4,FALSE),VLOOKUP("other",bug_conf_sheet!$A:$H,4,FALSE))</f>
        <v>0</v>
      </c>
      <c r="P290" s="38">
        <f>IFERROR(VLOOKUP($F290,bug_conf_sheet!$A:$H,5,FALSE),VLOOKUP("other",bug_conf_sheet!$A:$H,5,FALSE))</f>
        <v>0</v>
      </c>
      <c r="Q290" s="38">
        <f>IFERROR(VLOOKUP($F290,bug_conf_sheet!$A:$H,6,FALSE),VLOOKUP("other",bug_conf_sheet!$A:$H,6,FALSE))</f>
        <v>0</v>
      </c>
      <c r="R290" s="38">
        <f>IFERROR(VLOOKUP($F290,bug_conf_sheet!$A:$H,7,FALSE),VLOOKUP("other",bug_conf_sheet!$A:$H,7,FALSE))</f>
        <v>0</v>
      </c>
      <c r="S290" s="38">
        <f>IFERROR(VLOOKUP($F290,bug_conf_sheet!$A:$H,8,FALSE),VLOOKUP("other",bug_conf_sheet!$A:$H,8,FALSE))</f>
        <v>1</v>
      </c>
    </row>
    <row r="291" spans="1:19" ht="21" customHeight="1">
      <c r="A291" s="7" t="str">
        <f t="shared" si="34"/>
        <v>1883216</v>
      </c>
      <c r="B291" s="2" t="str">
        <f t="shared" si="33"/>
        <v>1883</v>
      </c>
      <c r="C291" s="8" t="str">
        <f t="shared" si="32"/>
        <v>3PremiumN5</v>
      </c>
      <c r="D291" s="8" t="str">
        <f t="shared" si="35"/>
        <v>3PremiumN5</v>
      </c>
      <c r="E291" s="10">
        <v>3</v>
      </c>
      <c r="F291" s="5">
        <v>216</v>
      </c>
      <c r="G291" s="8" t="str">
        <f>VLOOKUP(F291,[1]characters!$A:$C,3,FALSE)</f>
        <v>百読の死導司書 アズラエル</v>
      </c>
      <c r="H291" s="8" t="str">
        <f>VLOOKUP(F291,[1]characters!$A:$J,10,FALSE)</f>
        <v>PremiumN</v>
      </c>
      <c r="I291" s="8">
        <f>VLOOKUP(F291,[1]characters!$A:$I,9,FALSE)</f>
        <v>5</v>
      </c>
      <c r="J291" s="8" t="str">
        <f>VLOOKUP(F291,[1]characters!$A:$H,8,FALSE)</f>
        <v>red</v>
      </c>
      <c r="K291" s="8" t="str">
        <f>VLOOKUP(F291,[1]characters!$A:$K,11,FALSE)</f>
        <v>balance</v>
      </c>
      <c r="L291" s="8" t="str">
        <f>VLOOKUP(F291,[1]characters!$A:$M,13,FALSE)</f>
        <v>god</v>
      </c>
      <c r="M291" s="16">
        <f>VLOOKUP(D291,gacha_188_base!A:B,2,FALSE)</f>
        <v>955</v>
      </c>
      <c r="N291" s="38">
        <f>IFERROR(VLOOKUP($F291,bug_conf_sheet!$A:$H,3,FALSE),VLOOKUP("other",bug_conf_sheet!$A:$H,3,FALSE))</f>
        <v>1</v>
      </c>
      <c r="O291" s="38">
        <f>IFERROR(VLOOKUP($F291,bug_conf_sheet!$A:$H,4,FALSE),VLOOKUP("other",bug_conf_sheet!$A:$H,4,FALSE))</f>
        <v>0</v>
      </c>
      <c r="P291" s="38">
        <f>IFERROR(VLOOKUP($F291,bug_conf_sheet!$A:$H,5,FALSE),VLOOKUP("other",bug_conf_sheet!$A:$H,5,FALSE))</f>
        <v>0</v>
      </c>
      <c r="Q291" s="38">
        <f>IFERROR(VLOOKUP($F291,bug_conf_sheet!$A:$H,6,FALSE),VLOOKUP("other",bug_conf_sheet!$A:$H,6,FALSE))</f>
        <v>0</v>
      </c>
      <c r="R291" s="38">
        <f>IFERROR(VLOOKUP($F291,bug_conf_sheet!$A:$H,7,FALSE),VLOOKUP("other",bug_conf_sheet!$A:$H,7,FALSE))</f>
        <v>0</v>
      </c>
      <c r="S291" s="38">
        <f>IFERROR(VLOOKUP($F291,bug_conf_sheet!$A:$H,8,FALSE),VLOOKUP("other",bug_conf_sheet!$A:$H,8,FALSE))</f>
        <v>1</v>
      </c>
    </row>
    <row r="292" spans="1:19" ht="21" hidden="1" customHeight="1">
      <c r="A292" s="7" t="str">
        <f t="shared" si="34"/>
        <v>1883218</v>
      </c>
      <c r="B292" s="2" t="str">
        <f t="shared" si="33"/>
        <v>1883</v>
      </c>
      <c r="C292" s="8" t="str">
        <f t="shared" si="32"/>
        <v>3PremiumN4</v>
      </c>
      <c r="D292" s="8" t="str">
        <f t="shared" si="35"/>
        <v>3PremiumN4</v>
      </c>
      <c r="E292" s="10">
        <v>3</v>
      </c>
      <c r="F292" s="5">
        <v>218</v>
      </c>
      <c r="G292" s="8" t="str">
        <f>VLOOKUP(F292,[1]characters!$A:$C,3,FALSE)</f>
        <v>聖蛇 ケツァクアトル</v>
      </c>
      <c r="H292" s="8" t="str">
        <f>VLOOKUP(F292,[1]characters!$A:$J,10,FALSE)</f>
        <v>PremiumN</v>
      </c>
      <c r="I292" s="8">
        <f>VLOOKUP(F292,[1]characters!$A:$I,9,FALSE)</f>
        <v>4</v>
      </c>
      <c r="J292" s="8" t="str">
        <f>VLOOKUP(F292,[1]characters!$A:$H,8,FALSE)</f>
        <v>green</v>
      </c>
      <c r="K292" s="8" t="str">
        <f>VLOOKUP(F292,[1]characters!$A:$K,11,FALSE)</f>
        <v>hp</v>
      </c>
      <c r="L292" s="8" t="str">
        <f>VLOOKUP(F292,[1]characters!$A:$M,13,FALSE)</f>
        <v>dragon</v>
      </c>
      <c r="M292" s="16">
        <f>VLOOKUP(D292,gacha_188_base!A:B,2,FALSE)</f>
        <v>14962</v>
      </c>
      <c r="N292" s="38">
        <f>IFERROR(VLOOKUP($F292,bug_conf_sheet!$A:$H,3,FALSE),VLOOKUP("other",bug_conf_sheet!$A:$H,3,FALSE))</f>
        <v>1</v>
      </c>
      <c r="O292" s="38">
        <f>IFERROR(VLOOKUP($F292,bug_conf_sheet!$A:$H,4,FALSE),VLOOKUP("other",bug_conf_sheet!$A:$H,4,FALSE))</f>
        <v>0</v>
      </c>
      <c r="P292" s="38">
        <f>IFERROR(VLOOKUP($F292,bug_conf_sheet!$A:$H,5,FALSE),VLOOKUP("other",bug_conf_sheet!$A:$H,5,FALSE))</f>
        <v>0</v>
      </c>
      <c r="Q292" s="38">
        <f>IFERROR(VLOOKUP($F292,bug_conf_sheet!$A:$H,6,FALSE),VLOOKUP("other",bug_conf_sheet!$A:$H,6,FALSE))</f>
        <v>0</v>
      </c>
      <c r="R292" s="38">
        <f>IFERROR(VLOOKUP($F292,bug_conf_sheet!$A:$H,7,FALSE),VLOOKUP("other",bug_conf_sheet!$A:$H,7,FALSE))</f>
        <v>0</v>
      </c>
      <c r="S292" s="38">
        <f>IFERROR(VLOOKUP($F292,bug_conf_sheet!$A:$H,8,FALSE),VLOOKUP("other",bug_conf_sheet!$A:$H,8,FALSE))</f>
        <v>1</v>
      </c>
    </row>
    <row r="293" spans="1:19" ht="21" customHeight="1">
      <c r="A293" s="7" t="str">
        <f t="shared" si="34"/>
        <v>1883219</v>
      </c>
      <c r="B293" s="2" t="str">
        <f t="shared" si="33"/>
        <v>1883</v>
      </c>
      <c r="C293" s="8" t="str">
        <f t="shared" si="32"/>
        <v>3PremiumN5</v>
      </c>
      <c r="D293" s="8" t="str">
        <f t="shared" si="35"/>
        <v>3PremiumN5</v>
      </c>
      <c r="E293" s="10">
        <v>3</v>
      </c>
      <c r="F293" s="5">
        <v>219</v>
      </c>
      <c r="G293" s="8" t="str">
        <f>VLOOKUP(F293,[1]characters!$A:$C,3,FALSE)</f>
        <v>覇翼の聖蛇竜 ケツァクアトル</v>
      </c>
      <c r="H293" s="8" t="str">
        <f>VLOOKUP(F293,[1]characters!$A:$J,10,FALSE)</f>
        <v>PremiumN</v>
      </c>
      <c r="I293" s="8">
        <f>VLOOKUP(F293,[1]characters!$A:$I,9,FALSE)</f>
        <v>5</v>
      </c>
      <c r="J293" s="8" t="str">
        <f>VLOOKUP(F293,[1]characters!$A:$H,8,FALSE)</f>
        <v>green</v>
      </c>
      <c r="K293" s="8" t="str">
        <f>VLOOKUP(F293,[1]characters!$A:$K,11,FALSE)</f>
        <v>hp</v>
      </c>
      <c r="L293" s="8" t="str">
        <f>VLOOKUP(F293,[1]characters!$A:$M,13,FALSE)</f>
        <v>dragon</v>
      </c>
      <c r="M293" s="16">
        <f>VLOOKUP(D293,gacha_188_base!A:B,2,FALSE)</f>
        <v>955</v>
      </c>
      <c r="N293" s="38">
        <f>IFERROR(VLOOKUP($F293,bug_conf_sheet!$A:$H,3,FALSE),VLOOKUP("other",bug_conf_sheet!$A:$H,3,FALSE))</f>
        <v>1</v>
      </c>
      <c r="O293" s="38">
        <f>IFERROR(VLOOKUP($F293,bug_conf_sheet!$A:$H,4,FALSE),VLOOKUP("other",bug_conf_sheet!$A:$H,4,FALSE))</f>
        <v>0</v>
      </c>
      <c r="P293" s="38">
        <f>IFERROR(VLOOKUP($F293,bug_conf_sheet!$A:$H,5,FALSE),VLOOKUP("other",bug_conf_sheet!$A:$H,5,FALSE))</f>
        <v>0</v>
      </c>
      <c r="Q293" s="38">
        <f>IFERROR(VLOOKUP($F293,bug_conf_sheet!$A:$H,6,FALSE),VLOOKUP("other",bug_conf_sheet!$A:$H,6,FALSE))</f>
        <v>0</v>
      </c>
      <c r="R293" s="38">
        <f>IFERROR(VLOOKUP($F293,bug_conf_sheet!$A:$H,7,FALSE),VLOOKUP("other",bug_conf_sheet!$A:$H,7,FALSE))</f>
        <v>0</v>
      </c>
      <c r="S293" s="38">
        <f>IFERROR(VLOOKUP($F293,bug_conf_sheet!$A:$H,8,FALSE),VLOOKUP("other",bug_conf_sheet!$A:$H,8,FALSE))</f>
        <v>1</v>
      </c>
    </row>
    <row r="294" spans="1:19" ht="21" hidden="1" customHeight="1">
      <c r="A294" s="7" t="str">
        <f t="shared" si="34"/>
        <v>1883221</v>
      </c>
      <c r="B294" s="2" t="str">
        <f t="shared" si="33"/>
        <v>1883</v>
      </c>
      <c r="C294" s="8" t="str">
        <f t="shared" si="32"/>
        <v>3PremiumN4</v>
      </c>
      <c r="D294" s="8" t="str">
        <f t="shared" si="35"/>
        <v>3PremiumN4</v>
      </c>
      <c r="E294" s="10">
        <v>3</v>
      </c>
      <c r="F294" s="5">
        <v>221</v>
      </c>
      <c r="G294" s="8" t="str">
        <f>VLOOKUP(F294,[1]characters!$A:$C,3,FALSE)</f>
        <v>宰相 ルキフグス</v>
      </c>
      <c r="H294" s="8" t="str">
        <f>VLOOKUP(F294,[1]characters!$A:$J,10,FALSE)</f>
        <v>PremiumN</v>
      </c>
      <c r="I294" s="8">
        <f>VLOOKUP(F294,[1]characters!$A:$I,9,FALSE)</f>
        <v>4</v>
      </c>
      <c r="J294" s="8" t="str">
        <f>VLOOKUP(F294,[1]characters!$A:$H,8,FALSE)</f>
        <v>blue</v>
      </c>
      <c r="K294" s="8" t="str">
        <f>VLOOKUP(F294,[1]characters!$A:$K,11,FALSE)</f>
        <v>balance</v>
      </c>
      <c r="L294" s="8" t="str">
        <f>VLOOKUP(F294,[1]characters!$A:$M,13,FALSE)</f>
        <v>god</v>
      </c>
      <c r="M294" s="16">
        <f>VLOOKUP(D294,gacha_188_base!A:B,2,FALSE)</f>
        <v>14962</v>
      </c>
      <c r="N294" s="38">
        <f>IFERROR(VLOOKUP($F294,bug_conf_sheet!$A:$H,3,FALSE),VLOOKUP("other",bug_conf_sheet!$A:$H,3,FALSE))</f>
        <v>1</v>
      </c>
      <c r="O294" s="38">
        <f>IFERROR(VLOOKUP($F294,bug_conf_sheet!$A:$H,4,FALSE),VLOOKUP("other",bug_conf_sheet!$A:$H,4,FALSE))</f>
        <v>0</v>
      </c>
      <c r="P294" s="38">
        <f>IFERROR(VLOOKUP($F294,bug_conf_sheet!$A:$H,5,FALSE),VLOOKUP("other",bug_conf_sheet!$A:$H,5,FALSE))</f>
        <v>0</v>
      </c>
      <c r="Q294" s="38">
        <f>IFERROR(VLOOKUP($F294,bug_conf_sheet!$A:$H,6,FALSE),VLOOKUP("other",bug_conf_sheet!$A:$H,6,FALSE))</f>
        <v>0</v>
      </c>
      <c r="R294" s="38">
        <f>IFERROR(VLOOKUP($F294,bug_conf_sheet!$A:$H,7,FALSE),VLOOKUP("other",bug_conf_sheet!$A:$H,7,FALSE))</f>
        <v>0</v>
      </c>
      <c r="S294" s="38">
        <f>IFERROR(VLOOKUP($F294,bug_conf_sheet!$A:$H,8,FALSE),VLOOKUP("other",bug_conf_sheet!$A:$H,8,FALSE))</f>
        <v>1</v>
      </c>
    </row>
    <row r="295" spans="1:19" ht="21" customHeight="1">
      <c r="A295" s="7" t="str">
        <f t="shared" si="34"/>
        <v>1883222</v>
      </c>
      <c r="B295" s="2" t="str">
        <f t="shared" si="33"/>
        <v>1883</v>
      </c>
      <c r="C295" s="8" t="str">
        <f t="shared" ref="C295:C341" si="36">E295&amp;H295&amp;I295</f>
        <v>3PremiumN5</v>
      </c>
      <c r="D295" s="8" t="str">
        <f t="shared" si="35"/>
        <v>3PremiumN5</v>
      </c>
      <c r="E295" s="10">
        <v>3</v>
      </c>
      <c r="F295" s="5">
        <v>222</v>
      </c>
      <c r="G295" s="8" t="str">
        <f>VLOOKUP(F295,[1]characters!$A:$C,3,FALSE)</f>
        <v>避光の鉄鎖宰相 ルキフグス</v>
      </c>
      <c r="H295" s="8" t="str">
        <f>VLOOKUP(F295,[1]characters!$A:$J,10,FALSE)</f>
        <v>PremiumN</v>
      </c>
      <c r="I295" s="8">
        <f>VLOOKUP(F295,[1]characters!$A:$I,9,FALSE)</f>
        <v>5</v>
      </c>
      <c r="J295" s="8" t="str">
        <f>VLOOKUP(F295,[1]characters!$A:$H,8,FALSE)</f>
        <v>blue</v>
      </c>
      <c r="K295" s="8" t="str">
        <f>VLOOKUP(F295,[1]characters!$A:$K,11,FALSE)</f>
        <v>balance</v>
      </c>
      <c r="L295" s="8" t="str">
        <f>VLOOKUP(F295,[1]characters!$A:$M,13,FALSE)</f>
        <v>god</v>
      </c>
      <c r="M295" s="16">
        <f>VLOOKUP(D295,gacha_188_base!A:B,2,FALSE)</f>
        <v>955</v>
      </c>
      <c r="N295" s="38">
        <f>IFERROR(VLOOKUP($F295,bug_conf_sheet!$A:$H,3,FALSE),VLOOKUP("other",bug_conf_sheet!$A:$H,3,FALSE))</f>
        <v>1</v>
      </c>
      <c r="O295" s="38">
        <f>IFERROR(VLOOKUP($F295,bug_conf_sheet!$A:$H,4,FALSE),VLOOKUP("other",bug_conf_sheet!$A:$H,4,FALSE))</f>
        <v>0</v>
      </c>
      <c r="P295" s="38">
        <f>IFERROR(VLOOKUP($F295,bug_conf_sheet!$A:$H,5,FALSE),VLOOKUP("other",bug_conf_sheet!$A:$H,5,FALSE))</f>
        <v>0</v>
      </c>
      <c r="Q295" s="38">
        <f>IFERROR(VLOOKUP($F295,bug_conf_sheet!$A:$H,6,FALSE),VLOOKUP("other",bug_conf_sheet!$A:$H,6,FALSE))</f>
        <v>0</v>
      </c>
      <c r="R295" s="38">
        <f>IFERROR(VLOOKUP($F295,bug_conf_sheet!$A:$H,7,FALSE),VLOOKUP("other",bug_conf_sheet!$A:$H,7,FALSE))</f>
        <v>0</v>
      </c>
      <c r="S295" s="38">
        <f>IFERROR(VLOOKUP($F295,bug_conf_sheet!$A:$H,8,FALSE),VLOOKUP("other",bug_conf_sheet!$A:$H,8,FALSE))</f>
        <v>1</v>
      </c>
    </row>
    <row r="296" spans="1:19" ht="21" hidden="1" customHeight="1">
      <c r="A296" s="7" t="str">
        <f t="shared" si="34"/>
        <v>1883224</v>
      </c>
      <c r="B296" s="2" t="str">
        <f t="shared" si="33"/>
        <v>1883</v>
      </c>
      <c r="C296" s="8" t="str">
        <f t="shared" si="36"/>
        <v>3PremiumN4</v>
      </c>
      <c r="D296" s="8" t="str">
        <f t="shared" si="35"/>
        <v>3PremiumN4</v>
      </c>
      <c r="E296" s="10">
        <v>3</v>
      </c>
      <c r="F296" s="5">
        <v>224</v>
      </c>
      <c r="G296" s="8" t="str">
        <f>VLOOKUP(F296,[1]characters!$A:$C,3,FALSE)</f>
        <v>巨腕 ヘラクレス</v>
      </c>
      <c r="H296" s="8" t="str">
        <f>VLOOKUP(F296,[1]characters!$A:$J,10,FALSE)</f>
        <v>PremiumN</v>
      </c>
      <c r="I296" s="8">
        <f>VLOOKUP(F296,[1]characters!$A:$I,9,FALSE)</f>
        <v>4</v>
      </c>
      <c r="J296" s="8" t="str">
        <f>VLOOKUP(F296,[1]characters!$A:$H,8,FALSE)</f>
        <v>yellow</v>
      </c>
      <c r="K296" s="8" t="str">
        <f>VLOOKUP(F296,[1]characters!$A:$K,11,FALSE)</f>
        <v>balance</v>
      </c>
      <c r="L296" s="8" t="str">
        <f>VLOOKUP(F296,[1]characters!$A:$M,13,FALSE)</f>
        <v>human</v>
      </c>
      <c r="M296" s="16">
        <f>VLOOKUP(D296,gacha_188_base!A:B,2,FALSE)</f>
        <v>14962</v>
      </c>
      <c r="N296" s="38">
        <f>IFERROR(VLOOKUP($F296,bug_conf_sheet!$A:$H,3,FALSE),VLOOKUP("other",bug_conf_sheet!$A:$H,3,FALSE))</f>
        <v>1</v>
      </c>
      <c r="O296" s="38">
        <f>IFERROR(VLOOKUP($F296,bug_conf_sheet!$A:$H,4,FALSE),VLOOKUP("other",bug_conf_sheet!$A:$H,4,FALSE))</f>
        <v>0</v>
      </c>
      <c r="P296" s="38">
        <f>IFERROR(VLOOKUP($F296,bug_conf_sheet!$A:$H,5,FALSE),VLOOKUP("other",bug_conf_sheet!$A:$H,5,FALSE))</f>
        <v>0</v>
      </c>
      <c r="Q296" s="38">
        <f>IFERROR(VLOOKUP($F296,bug_conf_sheet!$A:$H,6,FALSE),VLOOKUP("other",bug_conf_sheet!$A:$H,6,FALSE))</f>
        <v>0</v>
      </c>
      <c r="R296" s="38">
        <f>IFERROR(VLOOKUP($F296,bug_conf_sheet!$A:$H,7,FALSE),VLOOKUP("other",bug_conf_sheet!$A:$H,7,FALSE))</f>
        <v>0</v>
      </c>
      <c r="S296" s="38">
        <f>IFERROR(VLOOKUP($F296,bug_conf_sheet!$A:$H,8,FALSE),VLOOKUP("other",bug_conf_sheet!$A:$H,8,FALSE))</f>
        <v>1</v>
      </c>
    </row>
    <row r="297" spans="1:19" ht="21" customHeight="1">
      <c r="A297" s="7" t="str">
        <f t="shared" si="34"/>
        <v>1883225</v>
      </c>
      <c r="B297" s="2" t="str">
        <f t="shared" si="33"/>
        <v>1883</v>
      </c>
      <c r="C297" s="8" t="str">
        <f t="shared" si="36"/>
        <v>3PremiumN5</v>
      </c>
      <c r="D297" s="8" t="str">
        <f t="shared" si="35"/>
        <v>3PremiumN5</v>
      </c>
      <c r="E297" s="10">
        <v>3</v>
      </c>
      <c r="F297" s="5">
        <v>225</v>
      </c>
      <c r="G297" s="8" t="str">
        <f>VLOOKUP(F297,[1]characters!$A:$C,3,FALSE)</f>
        <v>咆哮の巨獅腕 ヘラクレス</v>
      </c>
      <c r="H297" s="8" t="str">
        <f>VLOOKUP(F297,[1]characters!$A:$J,10,FALSE)</f>
        <v>PremiumN</v>
      </c>
      <c r="I297" s="8">
        <f>VLOOKUP(F297,[1]characters!$A:$I,9,FALSE)</f>
        <v>5</v>
      </c>
      <c r="J297" s="8" t="str">
        <f>VLOOKUP(F297,[1]characters!$A:$H,8,FALSE)</f>
        <v>yellow</v>
      </c>
      <c r="K297" s="8" t="str">
        <f>VLOOKUP(F297,[1]characters!$A:$K,11,FALSE)</f>
        <v>balance</v>
      </c>
      <c r="L297" s="8" t="str">
        <f>VLOOKUP(F297,[1]characters!$A:$M,13,FALSE)</f>
        <v>human</v>
      </c>
      <c r="M297" s="16">
        <f>VLOOKUP(D297,gacha_188_base!A:B,2,FALSE)</f>
        <v>955</v>
      </c>
      <c r="N297" s="38">
        <f>IFERROR(VLOOKUP($F297,bug_conf_sheet!$A:$H,3,FALSE),VLOOKUP("other",bug_conf_sheet!$A:$H,3,FALSE))</f>
        <v>1</v>
      </c>
      <c r="O297" s="38">
        <f>IFERROR(VLOOKUP($F297,bug_conf_sheet!$A:$H,4,FALSE),VLOOKUP("other",bug_conf_sheet!$A:$H,4,FALSE))</f>
        <v>0</v>
      </c>
      <c r="P297" s="38">
        <f>IFERROR(VLOOKUP($F297,bug_conf_sheet!$A:$H,5,FALSE),VLOOKUP("other",bug_conf_sheet!$A:$H,5,FALSE))</f>
        <v>0</v>
      </c>
      <c r="Q297" s="38">
        <f>IFERROR(VLOOKUP($F297,bug_conf_sheet!$A:$H,6,FALSE),VLOOKUP("other",bug_conf_sheet!$A:$H,6,FALSE))</f>
        <v>0</v>
      </c>
      <c r="R297" s="38">
        <f>IFERROR(VLOOKUP($F297,bug_conf_sheet!$A:$H,7,FALSE),VLOOKUP("other",bug_conf_sheet!$A:$H,7,FALSE))</f>
        <v>0</v>
      </c>
      <c r="S297" s="38">
        <f>IFERROR(VLOOKUP($F297,bug_conf_sheet!$A:$H,8,FALSE),VLOOKUP("other",bug_conf_sheet!$A:$H,8,FALSE))</f>
        <v>1</v>
      </c>
    </row>
    <row r="298" spans="1:19" ht="21" hidden="1" customHeight="1">
      <c r="A298" s="7" t="str">
        <f t="shared" si="34"/>
        <v>1883227</v>
      </c>
      <c r="B298" s="2" t="str">
        <f t="shared" si="33"/>
        <v>1883</v>
      </c>
      <c r="C298" s="8" t="str">
        <f t="shared" si="36"/>
        <v>3PremiumS4</v>
      </c>
      <c r="D298" s="8" t="str">
        <f t="shared" si="35"/>
        <v>3PremiumS4</v>
      </c>
      <c r="E298" s="10">
        <v>3</v>
      </c>
      <c r="F298" s="5">
        <v>227</v>
      </c>
      <c r="G298" s="8" t="str">
        <f>VLOOKUP(F298,[1]characters!$A:$C,3,FALSE)</f>
        <v>滅弾 アレス</v>
      </c>
      <c r="H298" s="8" t="str">
        <f>VLOOKUP(F298,[1]characters!$A:$J,10,FALSE)</f>
        <v>PremiumS</v>
      </c>
      <c r="I298" s="8">
        <f>VLOOKUP(F298,[1]characters!$A:$I,9,FALSE)</f>
        <v>4</v>
      </c>
      <c r="J298" s="8" t="str">
        <f>VLOOKUP(F298,[1]characters!$A:$H,8,FALSE)</f>
        <v>red</v>
      </c>
      <c r="K298" s="8" t="str">
        <f>VLOOKUP(F298,[1]characters!$A:$K,11,FALSE)</f>
        <v>attack</v>
      </c>
      <c r="L298" s="8" t="str">
        <f>VLOOKUP(F298,[1]characters!$A:$M,13,FALSE)</f>
        <v>god</v>
      </c>
      <c r="M298" s="16">
        <f>VLOOKUP(D298,gacha_188_base!A:B,2,FALSE)</f>
        <v>14962</v>
      </c>
      <c r="N298" s="38">
        <f>IFERROR(VLOOKUP($F298,bug_conf_sheet!$A:$H,3,FALSE),VLOOKUP("other",bug_conf_sheet!$A:$H,3,FALSE))</f>
        <v>1</v>
      </c>
      <c r="O298" s="38">
        <f>IFERROR(VLOOKUP($F298,bug_conf_sheet!$A:$H,4,FALSE),VLOOKUP("other",bug_conf_sheet!$A:$H,4,FALSE))</f>
        <v>0</v>
      </c>
      <c r="P298" s="38">
        <f>IFERROR(VLOOKUP($F298,bug_conf_sheet!$A:$H,5,FALSE),VLOOKUP("other",bug_conf_sheet!$A:$H,5,FALSE))</f>
        <v>0</v>
      </c>
      <c r="Q298" s="38">
        <f>IFERROR(VLOOKUP($F298,bug_conf_sheet!$A:$H,6,FALSE),VLOOKUP("other",bug_conf_sheet!$A:$H,6,FALSE))</f>
        <v>0</v>
      </c>
      <c r="R298" s="38">
        <f>IFERROR(VLOOKUP($F298,bug_conf_sheet!$A:$H,7,FALSE),VLOOKUP("other",bug_conf_sheet!$A:$H,7,FALSE))</f>
        <v>0</v>
      </c>
      <c r="S298" s="38">
        <f>IFERROR(VLOOKUP($F298,bug_conf_sheet!$A:$H,8,FALSE),VLOOKUP("other",bug_conf_sheet!$A:$H,8,FALSE))</f>
        <v>1</v>
      </c>
    </row>
    <row r="299" spans="1:19" ht="21" customHeight="1">
      <c r="A299" s="7" t="str">
        <f t="shared" si="34"/>
        <v>1883228</v>
      </c>
      <c r="B299" s="2" t="str">
        <f t="shared" si="33"/>
        <v>1883</v>
      </c>
      <c r="C299" s="8" t="str">
        <f t="shared" si="36"/>
        <v>3PremiumS5</v>
      </c>
      <c r="D299" s="8" t="str">
        <f t="shared" si="35"/>
        <v>3PremiumS5</v>
      </c>
      <c r="E299" s="10">
        <v>3</v>
      </c>
      <c r="F299" s="5">
        <v>228</v>
      </c>
      <c r="G299" s="8" t="str">
        <f>VLOOKUP(F299,[1]characters!$A:$C,3,FALSE)</f>
        <v>殲滅の掃射砲 アレス</v>
      </c>
      <c r="H299" s="8" t="str">
        <f>VLOOKUP(F299,[1]characters!$A:$J,10,FALSE)</f>
        <v>PremiumS</v>
      </c>
      <c r="I299" s="8">
        <f>VLOOKUP(F299,[1]characters!$A:$I,9,FALSE)</f>
        <v>5</v>
      </c>
      <c r="J299" s="8" t="str">
        <f>VLOOKUP(F299,[1]characters!$A:$H,8,FALSE)</f>
        <v>red</v>
      </c>
      <c r="K299" s="8" t="str">
        <f>VLOOKUP(F299,[1]characters!$A:$K,11,FALSE)</f>
        <v>attack</v>
      </c>
      <c r="L299" s="8" t="str">
        <f>VLOOKUP(F299,[1]characters!$A:$M,13,FALSE)</f>
        <v>god</v>
      </c>
      <c r="M299" s="16">
        <f>VLOOKUP(D299,gacha_188_base!A:B,2,FALSE)</f>
        <v>955</v>
      </c>
      <c r="N299" s="38">
        <f>IFERROR(VLOOKUP($F299,bug_conf_sheet!$A:$H,3,FALSE),VLOOKUP("other",bug_conf_sheet!$A:$H,3,FALSE))</f>
        <v>1</v>
      </c>
      <c r="O299" s="38">
        <f>IFERROR(VLOOKUP($F299,bug_conf_sheet!$A:$H,4,FALSE),VLOOKUP("other",bug_conf_sheet!$A:$H,4,FALSE))</f>
        <v>0</v>
      </c>
      <c r="P299" s="38">
        <f>IFERROR(VLOOKUP($F299,bug_conf_sheet!$A:$H,5,FALSE),VLOOKUP("other",bug_conf_sheet!$A:$H,5,FALSE))</f>
        <v>0</v>
      </c>
      <c r="Q299" s="38">
        <f>IFERROR(VLOOKUP($F299,bug_conf_sheet!$A:$H,6,FALSE),VLOOKUP("other",bug_conf_sheet!$A:$H,6,FALSE))</f>
        <v>0</v>
      </c>
      <c r="R299" s="38">
        <f>IFERROR(VLOOKUP($F299,bug_conf_sheet!$A:$H,7,FALSE),VLOOKUP("other",bug_conf_sheet!$A:$H,7,FALSE))</f>
        <v>0</v>
      </c>
      <c r="S299" s="38">
        <f>IFERROR(VLOOKUP($F299,bug_conf_sheet!$A:$H,8,FALSE),VLOOKUP("other",bug_conf_sheet!$A:$H,8,FALSE))</f>
        <v>1</v>
      </c>
    </row>
    <row r="300" spans="1:19" ht="21" hidden="1" customHeight="1">
      <c r="A300" s="7" t="str">
        <f t="shared" si="34"/>
        <v>1883230</v>
      </c>
      <c r="B300" s="2" t="str">
        <f t="shared" si="33"/>
        <v>1883</v>
      </c>
      <c r="C300" s="8" t="str">
        <f t="shared" si="36"/>
        <v>3PremiumS4</v>
      </c>
      <c r="D300" s="8" t="str">
        <f t="shared" si="35"/>
        <v>3PremiumS4</v>
      </c>
      <c r="E300" s="10">
        <v>3</v>
      </c>
      <c r="F300" s="5">
        <v>230</v>
      </c>
      <c r="G300" s="8" t="str">
        <f>VLOOKUP(F300,[1]characters!$A:$C,3,FALSE)</f>
        <v>毒銃 ヨルムンガンド</v>
      </c>
      <c r="H300" s="8" t="str">
        <f>VLOOKUP(F300,[1]characters!$A:$J,10,FALSE)</f>
        <v>PremiumS</v>
      </c>
      <c r="I300" s="8">
        <f>VLOOKUP(F300,[1]characters!$A:$I,9,FALSE)</f>
        <v>4</v>
      </c>
      <c r="J300" s="8" t="str">
        <f>VLOOKUP(F300,[1]characters!$A:$H,8,FALSE)</f>
        <v>green</v>
      </c>
      <c r="K300" s="8" t="str">
        <f>VLOOKUP(F300,[1]characters!$A:$K,11,FALSE)</f>
        <v>technical</v>
      </c>
      <c r="L300" s="8" t="str">
        <f>VLOOKUP(F300,[1]characters!$A:$M,13,FALSE)</f>
        <v>dragon</v>
      </c>
      <c r="M300" s="16">
        <f>VLOOKUP(D300,gacha_188_base!A:B,2,FALSE)</f>
        <v>14962</v>
      </c>
      <c r="N300" s="38">
        <f>IFERROR(VLOOKUP($F300,bug_conf_sheet!$A:$H,3,FALSE),VLOOKUP("other",bug_conf_sheet!$A:$H,3,FALSE))</f>
        <v>1</v>
      </c>
      <c r="O300" s="38">
        <f>IFERROR(VLOOKUP($F300,bug_conf_sheet!$A:$H,4,FALSE),VLOOKUP("other",bug_conf_sheet!$A:$H,4,FALSE))</f>
        <v>0</v>
      </c>
      <c r="P300" s="38">
        <f>IFERROR(VLOOKUP($F300,bug_conf_sheet!$A:$H,5,FALSE),VLOOKUP("other",bug_conf_sheet!$A:$H,5,FALSE))</f>
        <v>0</v>
      </c>
      <c r="Q300" s="38">
        <f>IFERROR(VLOOKUP($F300,bug_conf_sheet!$A:$H,6,FALSE),VLOOKUP("other",bug_conf_sheet!$A:$H,6,FALSE))</f>
        <v>0</v>
      </c>
      <c r="R300" s="38">
        <f>IFERROR(VLOOKUP($F300,bug_conf_sheet!$A:$H,7,FALSE),VLOOKUP("other",bug_conf_sheet!$A:$H,7,FALSE))</f>
        <v>0</v>
      </c>
      <c r="S300" s="38">
        <f>IFERROR(VLOOKUP($F300,bug_conf_sheet!$A:$H,8,FALSE),VLOOKUP("other",bug_conf_sheet!$A:$H,8,FALSE))</f>
        <v>1</v>
      </c>
    </row>
    <row r="301" spans="1:19" ht="21" customHeight="1">
      <c r="A301" s="7" t="str">
        <f t="shared" si="34"/>
        <v>1883231</v>
      </c>
      <c r="B301" s="2" t="str">
        <f t="shared" si="33"/>
        <v>1883</v>
      </c>
      <c r="C301" s="8" t="str">
        <f t="shared" si="36"/>
        <v>3PremiumS5</v>
      </c>
      <c r="D301" s="8" t="str">
        <f t="shared" si="35"/>
        <v>3PremiumS5</v>
      </c>
      <c r="E301" s="10">
        <v>3</v>
      </c>
      <c r="F301" s="5">
        <v>231</v>
      </c>
      <c r="G301" s="8" t="str">
        <f>VLOOKUP(F301,[1]characters!$A:$C,3,FALSE)</f>
        <v>必中の咬銃 ヨルムンガンド</v>
      </c>
      <c r="H301" s="8" t="str">
        <f>VLOOKUP(F301,[1]characters!$A:$J,10,FALSE)</f>
        <v>PremiumS</v>
      </c>
      <c r="I301" s="8">
        <f>VLOOKUP(F301,[1]characters!$A:$I,9,FALSE)</f>
        <v>5</v>
      </c>
      <c r="J301" s="8" t="str">
        <f>VLOOKUP(F301,[1]characters!$A:$H,8,FALSE)</f>
        <v>green</v>
      </c>
      <c r="K301" s="8" t="str">
        <f>VLOOKUP(F301,[1]characters!$A:$K,11,FALSE)</f>
        <v>technical</v>
      </c>
      <c r="L301" s="8" t="str">
        <f>VLOOKUP(F301,[1]characters!$A:$M,13,FALSE)</f>
        <v>dragon</v>
      </c>
      <c r="M301" s="16">
        <f>VLOOKUP(D301,gacha_188_base!A:B,2,FALSE)</f>
        <v>955</v>
      </c>
      <c r="N301" s="38">
        <f>IFERROR(VLOOKUP($F301,bug_conf_sheet!$A:$H,3,FALSE),VLOOKUP("other",bug_conf_sheet!$A:$H,3,FALSE))</f>
        <v>1</v>
      </c>
      <c r="O301" s="38">
        <f>IFERROR(VLOOKUP($F301,bug_conf_sheet!$A:$H,4,FALSE),VLOOKUP("other",bug_conf_sheet!$A:$H,4,FALSE))</f>
        <v>0</v>
      </c>
      <c r="P301" s="38">
        <f>IFERROR(VLOOKUP($F301,bug_conf_sheet!$A:$H,5,FALSE),VLOOKUP("other",bug_conf_sheet!$A:$H,5,FALSE))</f>
        <v>0</v>
      </c>
      <c r="Q301" s="38">
        <f>IFERROR(VLOOKUP($F301,bug_conf_sheet!$A:$H,6,FALSE),VLOOKUP("other",bug_conf_sheet!$A:$H,6,FALSE))</f>
        <v>0</v>
      </c>
      <c r="R301" s="38">
        <f>IFERROR(VLOOKUP($F301,bug_conf_sheet!$A:$H,7,FALSE),VLOOKUP("other",bug_conf_sheet!$A:$H,7,FALSE))</f>
        <v>0</v>
      </c>
      <c r="S301" s="38">
        <f>IFERROR(VLOOKUP($F301,bug_conf_sheet!$A:$H,8,FALSE),VLOOKUP("other",bug_conf_sheet!$A:$H,8,FALSE))</f>
        <v>1</v>
      </c>
    </row>
    <row r="302" spans="1:19" ht="21" hidden="1" customHeight="1">
      <c r="A302" s="7" t="str">
        <f t="shared" si="34"/>
        <v>1883233</v>
      </c>
      <c r="B302" s="2" t="str">
        <f t="shared" si="33"/>
        <v>1883</v>
      </c>
      <c r="C302" s="8" t="str">
        <f t="shared" si="36"/>
        <v>3PremiumS4</v>
      </c>
      <c r="D302" s="8" t="str">
        <f t="shared" si="35"/>
        <v>3PremiumS4</v>
      </c>
      <c r="E302" s="10">
        <v>3</v>
      </c>
      <c r="F302" s="5">
        <v>233</v>
      </c>
      <c r="G302" s="8" t="str">
        <f>VLOOKUP(F302,[1]characters!$A:$C,3,FALSE)</f>
        <v>遂行 パーシヴァル</v>
      </c>
      <c r="H302" s="8" t="str">
        <f>VLOOKUP(F302,[1]characters!$A:$J,10,FALSE)</f>
        <v>PremiumS</v>
      </c>
      <c r="I302" s="8">
        <f>VLOOKUP(F302,[1]characters!$A:$I,9,FALSE)</f>
        <v>4</v>
      </c>
      <c r="J302" s="8" t="str">
        <f>VLOOKUP(F302,[1]characters!$A:$H,8,FALSE)</f>
        <v>blue</v>
      </c>
      <c r="K302" s="8" t="str">
        <f>VLOOKUP(F302,[1]characters!$A:$K,11,FALSE)</f>
        <v>technical</v>
      </c>
      <c r="L302" s="8" t="str">
        <f>VLOOKUP(F302,[1]characters!$A:$M,13,FALSE)</f>
        <v>human</v>
      </c>
      <c r="M302" s="16">
        <f>VLOOKUP(D302,gacha_188_base!A:B,2,FALSE)</f>
        <v>14962</v>
      </c>
      <c r="N302" s="38">
        <f>IFERROR(VLOOKUP($F302,bug_conf_sheet!$A:$H,3,FALSE),VLOOKUP("other",bug_conf_sheet!$A:$H,3,FALSE))</f>
        <v>1</v>
      </c>
      <c r="O302" s="38">
        <f>IFERROR(VLOOKUP($F302,bug_conf_sheet!$A:$H,4,FALSE),VLOOKUP("other",bug_conf_sheet!$A:$H,4,FALSE))</f>
        <v>0</v>
      </c>
      <c r="P302" s="38">
        <f>IFERROR(VLOOKUP($F302,bug_conf_sheet!$A:$H,5,FALSE),VLOOKUP("other",bug_conf_sheet!$A:$H,5,FALSE))</f>
        <v>0</v>
      </c>
      <c r="Q302" s="38">
        <f>IFERROR(VLOOKUP($F302,bug_conf_sheet!$A:$H,6,FALSE),VLOOKUP("other",bug_conf_sheet!$A:$H,6,FALSE))</f>
        <v>0</v>
      </c>
      <c r="R302" s="38">
        <f>IFERROR(VLOOKUP($F302,bug_conf_sheet!$A:$H,7,FALSE),VLOOKUP("other",bug_conf_sheet!$A:$H,7,FALSE))</f>
        <v>0</v>
      </c>
      <c r="S302" s="38">
        <f>IFERROR(VLOOKUP($F302,bug_conf_sheet!$A:$H,8,FALSE),VLOOKUP("other",bug_conf_sheet!$A:$H,8,FALSE))</f>
        <v>1</v>
      </c>
    </row>
    <row r="303" spans="1:19" ht="21" customHeight="1">
      <c r="A303" s="7" t="str">
        <f t="shared" si="34"/>
        <v>1883234</v>
      </c>
      <c r="B303" s="2" t="str">
        <f t="shared" si="33"/>
        <v>1883</v>
      </c>
      <c r="C303" s="8" t="str">
        <f t="shared" si="36"/>
        <v>3PremiumS5</v>
      </c>
      <c r="D303" s="8" t="str">
        <f t="shared" si="35"/>
        <v>3PremiumS5</v>
      </c>
      <c r="E303" s="10">
        <v>3</v>
      </c>
      <c r="F303" s="5">
        <v>234</v>
      </c>
      <c r="G303" s="8" t="str">
        <f>VLOOKUP(F303,[1]characters!$A:$C,3,FALSE)</f>
        <v>精密なる照準 パーシヴァル</v>
      </c>
      <c r="H303" s="8" t="str">
        <f>VLOOKUP(F303,[1]characters!$A:$J,10,FALSE)</f>
        <v>PremiumS</v>
      </c>
      <c r="I303" s="8">
        <f>VLOOKUP(F303,[1]characters!$A:$I,9,FALSE)</f>
        <v>5</v>
      </c>
      <c r="J303" s="8" t="str">
        <f>VLOOKUP(F303,[1]characters!$A:$H,8,FALSE)</f>
        <v>blue</v>
      </c>
      <c r="K303" s="8" t="str">
        <f>VLOOKUP(F303,[1]characters!$A:$K,11,FALSE)</f>
        <v>technical</v>
      </c>
      <c r="L303" s="8" t="str">
        <f>VLOOKUP(F303,[1]characters!$A:$M,13,FALSE)</f>
        <v>human</v>
      </c>
      <c r="M303" s="16">
        <f>VLOOKUP(D303,gacha_188_base!A:B,2,FALSE)</f>
        <v>955</v>
      </c>
      <c r="N303" s="38">
        <f>IFERROR(VLOOKUP($F303,bug_conf_sheet!$A:$H,3,FALSE),VLOOKUP("other",bug_conf_sheet!$A:$H,3,FALSE))</f>
        <v>1</v>
      </c>
      <c r="O303" s="38">
        <f>IFERROR(VLOOKUP($F303,bug_conf_sheet!$A:$H,4,FALSE),VLOOKUP("other",bug_conf_sheet!$A:$H,4,FALSE))</f>
        <v>0</v>
      </c>
      <c r="P303" s="38">
        <f>IFERROR(VLOOKUP($F303,bug_conf_sheet!$A:$H,5,FALSE),VLOOKUP("other",bug_conf_sheet!$A:$H,5,FALSE))</f>
        <v>0</v>
      </c>
      <c r="Q303" s="38">
        <f>IFERROR(VLOOKUP($F303,bug_conf_sheet!$A:$H,6,FALSE),VLOOKUP("other",bug_conf_sheet!$A:$H,6,FALSE))</f>
        <v>0</v>
      </c>
      <c r="R303" s="38">
        <f>IFERROR(VLOOKUP($F303,bug_conf_sheet!$A:$H,7,FALSE),VLOOKUP("other",bug_conf_sheet!$A:$H,7,FALSE))</f>
        <v>0</v>
      </c>
      <c r="S303" s="38">
        <f>IFERROR(VLOOKUP($F303,bug_conf_sheet!$A:$H,8,FALSE),VLOOKUP("other",bug_conf_sheet!$A:$H,8,FALSE))</f>
        <v>1</v>
      </c>
    </row>
    <row r="304" spans="1:19" ht="21" hidden="1" customHeight="1">
      <c r="A304" s="7" t="str">
        <f t="shared" si="34"/>
        <v>1883236</v>
      </c>
      <c r="B304" s="2" t="str">
        <f t="shared" si="33"/>
        <v>1883</v>
      </c>
      <c r="C304" s="8" t="str">
        <f t="shared" si="36"/>
        <v>3PremiumS4</v>
      </c>
      <c r="D304" s="8" t="str">
        <f t="shared" si="35"/>
        <v>3PremiumS4</v>
      </c>
      <c r="E304" s="10">
        <v>3</v>
      </c>
      <c r="F304" s="5">
        <v>236</v>
      </c>
      <c r="G304" s="8" t="str">
        <f>VLOOKUP(F304,[1]characters!$A:$C,3,FALSE)</f>
        <v>神産 イザナミ</v>
      </c>
      <c r="H304" s="8" t="str">
        <f>VLOOKUP(F304,[1]characters!$A:$J,10,FALSE)</f>
        <v>PremiumS</v>
      </c>
      <c r="I304" s="8">
        <f>VLOOKUP(F304,[1]characters!$A:$I,9,FALSE)</f>
        <v>4</v>
      </c>
      <c r="J304" s="8" t="str">
        <f>VLOOKUP(F304,[1]characters!$A:$H,8,FALSE)</f>
        <v>yellow</v>
      </c>
      <c r="K304" s="8" t="str">
        <f>VLOOKUP(F304,[1]characters!$A:$K,11,FALSE)</f>
        <v>attack</v>
      </c>
      <c r="L304" s="8" t="str">
        <f>VLOOKUP(F304,[1]characters!$A:$M,13,FALSE)</f>
        <v>god</v>
      </c>
      <c r="M304" s="16">
        <f>VLOOKUP(D304,gacha_188_base!A:B,2,FALSE)</f>
        <v>14962</v>
      </c>
      <c r="N304" s="38">
        <f>IFERROR(VLOOKUP($F304,bug_conf_sheet!$A:$H,3,FALSE),VLOOKUP("other",bug_conf_sheet!$A:$H,3,FALSE))</f>
        <v>1</v>
      </c>
      <c r="O304" s="38">
        <f>IFERROR(VLOOKUP($F304,bug_conf_sheet!$A:$H,4,FALSE),VLOOKUP("other",bug_conf_sheet!$A:$H,4,FALSE))</f>
        <v>0</v>
      </c>
      <c r="P304" s="38">
        <f>IFERROR(VLOOKUP($F304,bug_conf_sheet!$A:$H,5,FALSE),VLOOKUP("other",bug_conf_sheet!$A:$H,5,FALSE))</f>
        <v>0</v>
      </c>
      <c r="Q304" s="38">
        <f>IFERROR(VLOOKUP($F304,bug_conf_sheet!$A:$H,6,FALSE),VLOOKUP("other",bug_conf_sheet!$A:$H,6,FALSE))</f>
        <v>0</v>
      </c>
      <c r="R304" s="38">
        <f>IFERROR(VLOOKUP($F304,bug_conf_sheet!$A:$H,7,FALSE),VLOOKUP("other",bug_conf_sheet!$A:$H,7,FALSE))</f>
        <v>0</v>
      </c>
      <c r="S304" s="38">
        <f>IFERROR(VLOOKUP($F304,bug_conf_sheet!$A:$H,8,FALSE),VLOOKUP("other",bug_conf_sheet!$A:$H,8,FALSE))</f>
        <v>1</v>
      </c>
    </row>
    <row r="305" spans="1:19" ht="21" customHeight="1">
      <c r="A305" s="7" t="str">
        <f t="shared" si="34"/>
        <v>1883237</v>
      </c>
      <c r="B305" s="2" t="str">
        <f t="shared" si="33"/>
        <v>1883</v>
      </c>
      <c r="C305" s="8" t="str">
        <f t="shared" si="36"/>
        <v>3PremiumS5</v>
      </c>
      <c r="D305" s="8" t="str">
        <f t="shared" si="35"/>
        <v>3PremiumS5</v>
      </c>
      <c r="E305" s="10">
        <v>3</v>
      </c>
      <c r="F305" s="5">
        <v>237</v>
      </c>
      <c r="G305" s="8" t="str">
        <f>VLOOKUP(F305,[1]characters!$A:$C,3,FALSE)</f>
        <v>森羅万象の神母 イザナミ</v>
      </c>
      <c r="H305" s="8" t="str">
        <f>VLOOKUP(F305,[1]characters!$A:$J,10,FALSE)</f>
        <v>PremiumS</v>
      </c>
      <c r="I305" s="8">
        <f>VLOOKUP(F305,[1]characters!$A:$I,9,FALSE)</f>
        <v>5</v>
      </c>
      <c r="J305" s="8" t="str">
        <f>VLOOKUP(F305,[1]characters!$A:$H,8,FALSE)</f>
        <v>yellow</v>
      </c>
      <c r="K305" s="8" t="str">
        <f>VLOOKUP(F305,[1]characters!$A:$K,11,FALSE)</f>
        <v>attack</v>
      </c>
      <c r="L305" s="8" t="str">
        <f>VLOOKUP(F305,[1]characters!$A:$M,13,FALSE)</f>
        <v>god</v>
      </c>
      <c r="M305" s="16">
        <f>VLOOKUP(D305,gacha_188_base!A:B,2,FALSE)</f>
        <v>955</v>
      </c>
      <c r="N305" s="38">
        <f>IFERROR(VLOOKUP($F305,bug_conf_sheet!$A:$H,3,FALSE),VLOOKUP("other",bug_conf_sheet!$A:$H,3,FALSE))</f>
        <v>1</v>
      </c>
      <c r="O305" s="38">
        <f>IFERROR(VLOOKUP($F305,bug_conf_sheet!$A:$H,4,FALSE),VLOOKUP("other",bug_conf_sheet!$A:$H,4,FALSE))</f>
        <v>0</v>
      </c>
      <c r="P305" s="38">
        <f>IFERROR(VLOOKUP($F305,bug_conf_sheet!$A:$H,5,FALSE),VLOOKUP("other",bug_conf_sheet!$A:$H,5,FALSE))</f>
        <v>0</v>
      </c>
      <c r="Q305" s="38">
        <f>IFERROR(VLOOKUP($F305,bug_conf_sheet!$A:$H,6,FALSE),VLOOKUP("other",bug_conf_sheet!$A:$H,6,FALSE))</f>
        <v>0</v>
      </c>
      <c r="R305" s="38">
        <f>IFERROR(VLOOKUP($F305,bug_conf_sheet!$A:$H,7,FALSE),VLOOKUP("other",bug_conf_sheet!$A:$H,7,FALSE))</f>
        <v>0</v>
      </c>
      <c r="S305" s="38">
        <f>IFERROR(VLOOKUP($F305,bug_conf_sheet!$A:$H,8,FALSE),VLOOKUP("other",bug_conf_sheet!$A:$H,8,FALSE))</f>
        <v>1</v>
      </c>
    </row>
    <row r="306" spans="1:19" ht="21" hidden="1" customHeight="1">
      <c r="A306" s="7" t="str">
        <f t="shared" si="34"/>
        <v>1883239</v>
      </c>
      <c r="B306" s="2" t="str">
        <f t="shared" si="33"/>
        <v>1883</v>
      </c>
      <c r="C306" s="8" t="str">
        <f t="shared" si="36"/>
        <v>3PremiumS4</v>
      </c>
      <c r="D306" s="8" t="str">
        <f t="shared" si="35"/>
        <v>3PremiumS4</v>
      </c>
      <c r="E306" s="10">
        <v>3</v>
      </c>
      <c r="F306" s="5">
        <v>239</v>
      </c>
      <c r="G306" s="8" t="str">
        <f>VLOOKUP(F306,[1]characters!$A:$C,3,FALSE)</f>
        <v>豪炎の天使 ウリエル</v>
      </c>
      <c r="H306" s="8" t="str">
        <f>VLOOKUP(F306,[1]characters!$A:$J,10,FALSE)</f>
        <v>PremiumS</v>
      </c>
      <c r="I306" s="8">
        <f>VLOOKUP(F306,[1]characters!$A:$I,9,FALSE)</f>
        <v>4</v>
      </c>
      <c r="J306" s="8" t="str">
        <f>VLOOKUP(F306,[1]characters!$A:$H,8,FALSE)</f>
        <v>red</v>
      </c>
      <c r="K306" s="8" t="str">
        <f>VLOOKUP(F306,[1]characters!$A:$K,11,FALSE)</f>
        <v>hp</v>
      </c>
      <c r="L306" s="8" t="str">
        <f>VLOOKUP(F306,[1]characters!$A:$M,13,FALSE)</f>
        <v>machine</v>
      </c>
      <c r="M306" s="16">
        <f>VLOOKUP(D306,gacha_188_base!A:B,2,FALSE)</f>
        <v>14962</v>
      </c>
      <c r="N306" s="38">
        <f>IFERROR(VLOOKUP($F306,bug_conf_sheet!$A:$H,3,FALSE),VLOOKUP("other",bug_conf_sheet!$A:$H,3,FALSE))</f>
        <v>1</v>
      </c>
      <c r="O306" s="38">
        <f>IFERROR(VLOOKUP($F306,bug_conf_sheet!$A:$H,4,FALSE),VLOOKUP("other",bug_conf_sheet!$A:$H,4,FALSE))</f>
        <v>0</v>
      </c>
      <c r="P306" s="38">
        <f>IFERROR(VLOOKUP($F306,bug_conf_sheet!$A:$H,5,FALSE),VLOOKUP("other",bug_conf_sheet!$A:$H,5,FALSE))</f>
        <v>0</v>
      </c>
      <c r="Q306" s="38">
        <f>IFERROR(VLOOKUP($F306,bug_conf_sheet!$A:$H,6,FALSE),VLOOKUP("other",bug_conf_sheet!$A:$H,6,FALSE))</f>
        <v>0</v>
      </c>
      <c r="R306" s="38">
        <f>IFERROR(VLOOKUP($F306,bug_conf_sheet!$A:$H,7,FALSE),VLOOKUP("other",bug_conf_sheet!$A:$H,7,FALSE))</f>
        <v>0</v>
      </c>
      <c r="S306" s="38">
        <f>IFERROR(VLOOKUP($F306,bug_conf_sheet!$A:$H,8,FALSE),VLOOKUP("other",bug_conf_sheet!$A:$H,8,FALSE))</f>
        <v>1</v>
      </c>
    </row>
    <row r="307" spans="1:19" ht="21" customHeight="1">
      <c r="A307" s="7" t="str">
        <f t="shared" si="34"/>
        <v>1883240</v>
      </c>
      <c r="B307" s="2" t="str">
        <f t="shared" si="33"/>
        <v>1883</v>
      </c>
      <c r="C307" s="8" t="str">
        <f t="shared" si="36"/>
        <v>3PremiumS5</v>
      </c>
      <c r="D307" s="8" t="str">
        <f t="shared" si="35"/>
        <v>3PremiumS5</v>
      </c>
      <c r="E307" s="10">
        <v>3</v>
      </c>
      <c r="F307" s="5">
        <v>240</v>
      </c>
      <c r="G307" s="8" t="str">
        <f>VLOOKUP(F307,[1]characters!$A:$C,3,FALSE)</f>
        <v>轟炎の天使 ウリエル・スレイヤー</v>
      </c>
      <c r="H307" s="8" t="str">
        <f>VLOOKUP(F307,[1]characters!$A:$J,10,FALSE)</f>
        <v>PremiumS</v>
      </c>
      <c r="I307" s="8">
        <f>VLOOKUP(F307,[1]characters!$A:$I,9,FALSE)</f>
        <v>5</v>
      </c>
      <c r="J307" s="8" t="str">
        <f>VLOOKUP(F307,[1]characters!$A:$H,8,FALSE)</f>
        <v>red</v>
      </c>
      <c r="K307" s="8" t="str">
        <f>VLOOKUP(F307,[1]characters!$A:$K,11,FALSE)</f>
        <v>hp</v>
      </c>
      <c r="L307" s="8" t="str">
        <f>VLOOKUP(F307,[1]characters!$A:$M,13,FALSE)</f>
        <v>machine</v>
      </c>
      <c r="M307" s="16">
        <f>VLOOKUP(D307,gacha_188_base!A:B,2,FALSE)</f>
        <v>955</v>
      </c>
      <c r="N307" s="38">
        <f>IFERROR(VLOOKUP($F307,bug_conf_sheet!$A:$H,3,FALSE),VLOOKUP("other",bug_conf_sheet!$A:$H,3,FALSE))</f>
        <v>1</v>
      </c>
      <c r="O307" s="38">
        <f>IFERROR(VLOOKUP($F307,bug_conf_sheet!$A:$H,4,FALSE),VLOOKUP("other",bug_conf_sheet!$A:$H,4,FALSE))</f>
        <v>0</v>
      </c>
      <c r="P307" s="38">
        <f>IFERROR(VLOOKUP($F307,bug_conf_sheet!$A:$H,5,FALSE),VLOOKUP("other",bug_conf_sheet!$A:$H,5,FALSE))</f>
        <v>0</v>
      </c>
      <c r="Q307" s="38">
        <f>IFERROR(VLOOKUP($F307,bug_conf_sheet!$A:$H,6,FALSE),VLOOKUP("other",bug_conf_sheet!$A:$H,6,FALSE))</f>
        <v>0</v>
      </c>
      <c r="R307" s="38">
        <f>IFERROR(VLOOKUP($F307,bug_conf_sheet!$A:$H,7,FALSE),VLOOKUP("other",bug_conf_sheet!$A:$H,7,FALSE))</f>
        <v>0</v>
      </c>
      <c r="S307" s="38">
        <f>IFERROR(VLOOKUP($F307,bug_conf_sheet!$A:$H,8,FALSE),VLOOKUP("other",bug_conf_sheet!$A:$H,8,FALSE))</f>
        <v>1</v>
      </c>
    </row>
    <row r="308" spans="1:19" ht="21" hidden="1" customHeight="1">
      <c r="A308" s="7" t="str">
        <f t="shared" si="34"/>
        <v>1883242</v>
      </c>
      <c r="B308" s="2" t="str">
        <f t="shared" si="33"/>
        <v>1883</v>
      </c>
      <c r="C308" s="8" t="str">
        <f t="shared" si="36"/>
        <v>3PremiumS4</v>
      </c>
      <c r="D308" s="8" t="str">
        <f t="shared" si="35"/>
        <v>3PremiumS4</v>
      </c>
      <c r="E308" s="10">
        <v>3</v>
      </c>
      <c r="F308" s="5">
        <v>242</v>
      </c>
      <c r="G308" s="8" t="str">
        <f>VLOOKUP(F308,[1]characters!$A:$C,3,FALSE)</f>
        <v>百花の天使 ガブリエル</v>
      </c>
      <c r="H308" s="8" t="str">
        <f>VLOOKUP(F308,[1]characters!$A:$J,10,FALSE)</f>
        <v>PremiumS</v>
      </c>
      <c r="I308" s="8">
        <f>VLOOKUP(F308,[1]characters!$A:$I,9,FALSE)</f>
        <v>4</v>
      </c>
      <c r="J308" s="8" t="str">
        <f>VLOOKUP(F308,[1]characters!$A:$H,8,FALSE)</f>
        <v>green</v>
      </c>
      <c r="K308" s="8" t="str">
        <f>VLOOKUP(F308,[1]characters!$A:$K,11,FALSE)</f>
        <v>balance</v>
      </c>
      <c r="L308" s="8" t="str">
        <f>VLOOKUP(F308,[1]characters!$A:$M,13,FALSE)</f>
        <v>machine</v>
      </c>
      <c r="M308" s="16">
        <f>VLOOKUP(D308,gacha_188_base!A:B,2,FALSE)</f>
        <v>14962</v>
      </c>
      <c r="N308" s="38">
        <f>IFERROR(VLOOKUP($F308,bug_conf_sheet!$A:$H,3,FALSE),VLOOKUP("other",bug_conf_sheet!$A:$H,3,FALSE))</f>
        <v>1</v>
      </c>
      <c r="O308" s="38">
        <f>IFERROR(VLOOKUP($F308,bug_conf_sheet!$A:$H,4,FALSE),VLOOKUP("other",bug_conf_sheet!$A:$H,4,FALSE))</f>
        <v>0</v>
      </c>
      <c r="P308" s="38">
        <f>IFERROR(VLOOKUP($F308,bug_conf_sheet!$A:$H,5,FALSE),VLOOKUP("other",bug_conf_sheet!$A:$H,5,FALSE))</f>
        <v>0</v>
      </c>
      <c r="Q308" s="38">
        <f>IFERROR(VLOOKUP($F308,bug_conf_sheet!$A:$H,6,FALSE),VLOOKUP("other",bug_conf_sheet!$A:$H,6,FALSE))</f>
        <v>0</v>
      </c>
      <c r="R308" s="38">
        <f>IFERROR(VLOOKUP($F308,bug_conf_sheet!$A:$H,7,FALSE),VLOOKUP("other",bug_conf_sheet!$A:$H,7,FALSE))</f>
        <v>0</v>
      </c>
      <c r="S308" s="38">
        <f>IFERROR(VLOOKUP($F308,bug_conf_sheet!$A:$H,8,FALSE),VLOOKUP("other",bug_conf_sheet!$A:$H,8,FALSE))</f>
        <v>1</v>
      </c>
    </row>
    <row r="309" spans="1:19" ht="21" customHeight="1">
      <c r="A309" s="7" t="str">
        <f t="shared" si="34"/>
        <v>1883243</v>
      </c>
      <c r="B309" s="2" t="str">
        <f t="shared" si="33"/>
        <v>1883</v>
      </c>
      <c r="C309" s="8" t="str">
        <f t="shared" si="36"/>
        <v>3PremiumS5</v>
      </c>
      <c r="D309" s="8" t="str">
        <f t="shared" si="35"/>
        <v>3PremiumS5</v>
      </c>
      <c r="E309" s="10">
        <v>3</v>
      </c>
      <c r="F309" s="5">
        <v>243</v>
      </c>
      <c r="G309" s="8" t="str">
        <f>VLOOKUP(F309,[1]characters!$A:$C,3,FALSE)</f>
        <v>万花の天使 ガブリエル・ブルーム</v>
      </c>
      <c r="H309" s="8" t="str">
        <f>VLOOKUP(F309,[1]characters!$A:$J,10,FALSE)</f>
        <v>PremiumS</v>
      </c>
      <c r="I309" s="8">
        <f>VLOOKUP(F309,[1]characters!$A:$I,9,FALSE)</f>
        <v>5</v>
      </c>
      <c r="J309" s="8" t="str">
        <f>VLOOKUP(F309,[1]characters!$A:$H,8,FALSE)</f>
        <v>green</v>
      </c>
      <c r="K309" s="8" t="str">
        <f>VLOOKUP(F309,[1]characters!$A:$K,11,FALSE)</f>
        <v>balance</v>
      </c>
      <c r="L309" s="8" t="str">
        <f>VLOOKUP(F309,[1]characters!$A:$M,13,FALSE)</f>
        <v>machine</v>
      </c>
      <c r="M309" s="16">
        <f>VLOOKUP(D309,gacha_188_base!A:B,2,FALSE)</f>
        <v>955</v>
      </c>
      <c r="N309" s="38">
        <f>IFERROR(VLOOKUP($F309,bug_conf_sheet!$A:$H,3,FALSE),VLOOKUP("other",bug_conf_sheet!$A:$H,3,FALSE))</f>
        <v>1</v>
      </c>
      <c r="O309" s="38">
        <f>IFERROR(VLOOKUP($F309,bug_conf_sheet!$A:$H,4,FALSE),VLOOKUP("other",bug_conf_sheet!$A:$H,4,FALSE))</f>
        <v>0</v>
      </c>
      <c r="P309" s="38">
        <f>IFERROR(VLOOKUP($F309,bug_conf_sheet!$A:$H,5,FALSE),VLOOKUP("other",bug_conf_sheet!$A:$H,5,FALSE))</f>
        <v>0</v>
      </c>
      <c r="Q309" s="38">
        <f>IFERROR(VLOOKUP($F309,bug_conf_sheet!$A:$H,6,FALSE),VLOOKUP("other",bug_conf_sheet!$A:$H,6,FALSE))</f>
        <v>0</v>
      </c>
      <c r="R309" s="38">
        <f>IFERROR(VLOOKUP($F309,bug_conf_sheet!$A:$H,7,FALSE),VLOOKUP("other",bug_conf_sheet!$A:$H,7,FALSE))</f>
        <v>0</v>
      </c>
      <c r="S309" s="38">
        <f>IFERROR(VLOOKUP($F309,bug_conf_sheet!$A:$H,8,FALSE),VLOOKUP("other",bug_conf_sheet!$A:$H,8,FALSE))</f>
        <v>1</v>
      </c>
    </row>
    <row r="310" spans="1:19" ht="21" hidden="1" customHeight="1">
      <c r="A310" s="7" t="str">
        <f t="shared" si="34"/>
        <v>1883245</v>
      </c>
      <c r="B310" s="2" t="str">
        <f t="shared" si="33"/>
        <v>1883</v>
      </c>
      <c r="C310" s="8" t="str">
        <f t="shared" si="36"/>
        <v>3PremiumS4</v>
      </c>
      <c r="D310" s="8" t="str">
        <f t="shared" si="35"/>
        <v>3PremiumS4</v>
      </c>
      <c r="E310" s="10">
        <v>3</v>
      </c>
      <c r="F310" s="5">
        <v>245</v>
      </c>
      <c r="G310" s="8" t="str">
        <f>VLOOKUP(F310,[1]characters!$A:$C,3,FALSE)</f>
        <v>鎮癒の天使 ラファエル</v>
      </c>
      <c r="H310" s="8" t="str">
        <f>VLOOKUP(F310,[1]characters!$A:$J,10,FALSE)</f>
        <v>PremiumS</v>
      </c>
      <c r="I310" s="8">
        <f>VLOOKUP(F310,[1]characters!$A:$I,9,FALSE)</f>
        <v>4</v>
      </c>
      <c r="J310" s="8" t="str">
        <f>VLOOKUP(F310,[1]characters!$A:$H,8,FALSE)</f>
        <v>blue</v>
      </c>
      <c r="K310" s="8" t="str">
        <f>VLOOKUP(F310,[1]characters!$A:$K,11,FALSE)</f>
        <v>balance</v>
      </c>
      <c r="L310" s="8" t="str">
        <f>VLOOKUP(F310,[1]characters!$A:$M,13,FALSE)</f>
        <v>machine</v>
      </c>
      <c r="M310" s="16">
        <f>VLOOKUP(D310,gacha_188_base!A:B,2,FALSE)</f>
        <v>14962</v>
      </c>
      <c r="N310" s="38">
        <f>IFERROR(VLOOKUP($F310,bug_conf_sheet!$A:$H,3,FALSE),VLOOKUP("other",bug_conf_sheet!$A:$H,3,FALSE))</f>
        <v>1</v>
      </c>
      <c r="O310" s="38">
        <f>IFERROR(VLOOKUP($F310,bug_conf_sheet!$A:$H,4,FALSE),VLOOKUP("other",bug_conf_sheet!$A:$H,4,FALSE))</f>
        <v>0</v>
      </c>
      <c r="P310" s="38">
        <f>IFERROR(VLOOKUP($F310,bug_conf_sheet!$A:$H,5,FALSE),VLOOKUP("other",bug_conf_sheet!$A:$H,5,FALSE))</f>
        <v>0</v>
      </c>
      <c r="Q310" s="38">
        <f>IFERROR(VLOOKUP($F310,bug_conf_sheet!$A:$H,6,FALSE),VLOOKUP("other",bug_conf_sheet!$A:$H,6,FALSE))</f>
        <v>0</v>
      </c>
      <c r="R310" s="38">
        <f>IFERROR(VLOOKUP($F310,bug_conf_sheet!$A:$H,7,FALSE),VLOOKUP("other",bug_conf_sheet!$A:$H,7,FALSE))</f>
        <v>0</v>
      </c>
      <c r="S310" s="38">
        <f>IFERROR(VLOOKUP($F310,bug_conf_sheet!$A:$H,8,FALSE),VLOOKUP("other",bug_conf_sheet!$A:$H,8,FALSE))</f>
        <v>1</v>
      </c>
    </row>
    <row r="311" spans="1:19" ht="21" customHeight="1">
      <c r="A311" s="7" t="str">
        <f t="shared" si="34"/>
        <v>1883246</v>
      </c>
      <c r="B311" s="2" t="str">
        <f t="shared" si="33"/>
        <v>1883</v>
      </c>
      <c r="C311" s="8" t="str">
        <f t="shared" si="36"/>
        <v>3PremiumS5</v>
      </c>
      <c r="D311" s="8" t="str">
        <f t="shared" si="35"/>
        <v>3PremiumS5</v>
      </c>
      <c r="E311" s="10">
        <v>3</v>
      </c>
      <c r="F311" s="5">
        <v>246</v>
      </c>
      <c r="G311" s="8" t="str">
        <f>VLOOKUP(F311,[1]characters!$A:$C,3,FALSE)</f>
        <v>真癒の天使 ラファエル・メディカ</v>
      </c>
      <c r="H311" s="8" t="str">
        <f>VLOOKUP(F311,[1]characters!$A:$J,10,FALSE)</f>
        <v>PremiumS</v>
      </c>
      <c r="I311" s="8">
        <f>VLOOKUP(F311,[1]characters!$A:$I,9,FALSE)</f>
        <v>5</v>
      </c>
      <c r="J311" s="8" t="str">
        <f>VLOOKUP(F311,[1]characters!$A:$H,8,FALSE)</f>
        <v>blue</v>
      </c>
      <c r="K311" s="8" t="str">
        <f>VLOOKUP(F311,[1]characters!$A:$K,11,FALSE)</f>
        <v>balance</v>
      </c>
      <c r="L311" s="8" t="str">
        <f>VLOOKUP(F311,[1]characters!$A:$M,13,FALSE)</f>
        <v>machine</v>
      </c>
      <c r="M311" s="16">
        <f>VLOOKUP(D311,gacha_188_base!A:B,2,FALSE)</f>
        <v>955</v>
      </c>
      <c r="N311" s="38">
        <f>IFERROR(VLOOKUP($F311,bug_conf_sheet!$A:$H,3,FALSE),VLOOKUP("other",bug_conf_sheet!$A:$H,3,FALSE))</f>
        <v>1</v>
      </c>
      <c r="O311" s="38">
        <f>IFERROR(VLOOKUP($F311,bug_conf_sheet!$A:$H,4,FALSE),VLOOKUP("other",bug_conf_sheet!$A:$H,4,FALSE))</f>
        <v>0</v>
      </c>
      <c r="P311" s="38">
        <f>IFERROR(VLOOKUP($F311,bug_conf_sheet!$A:$H,5,FALSE),VLOOKUP("other",bug_conf_sheet!$A:$H,5,FALSE))</f>
        <v>0</v>
      </c>
      <c r="Q311" s="38">
        <f>IFERROR(VLOOKUP($F311,bug_conf_sheet!$A:$H,6,FALSE),VLOOKUP("other",bug_conf_sheet!$A:$H,6,FALSE))</f>
        <v>0</v>
      </c>
      <c r="R311" s="38">
        <f>IFERROR(VLOOKUP($F311,bug_conf_sheet!$A:$H,7,FALSE),VLOOKUP("other",bug_conf_sheet!$A:$H,7,FALSE))</f>
        <v>0</v>
      </c>
      <c r="S311" s="38">
        <f>IFERROR(VLOOKUP($F311,bug_conf_sheet!$A:$H,8,FALSE),VLOOKUP("other",bug_conf_sheet!$A:$H,8,FALSE))</f>
        <v>1</v>
      </c>
    </row>
    <row r="312" spans="1:19" ht="21" hidden="1" customHeight="1">
      <c r="A312" s="7" t="str">
        <f t="shared" si="34"/>
        <v>1883248</v>
      </c>
      <c r="B312" s="2" t="str">
        <f t="shared" si="33"/>
        <v>1883</v>
      </c>
      <c r="C312" s="8" t="str">
        <f t="shared" si="36"/>
        <v>3PremiumS4</v>
      </c>
      <c r="D312" s="8" t="str">
        <f t="shared" si="35"/>
        <v>3PremiumS4</v>
      </c>
      <c r="E312" s="10">
        <v>3</v>
      </c>
      <c r="F312" s="5">
        <v>248</v>
      </c>
      <c r="G312" s="8" t="str">
        <f>VLOOKUP(F312,[1]characters!$A:$C,3,FALSE)</f>
        <v>彩電の天使 ミカエル</v>
      </c>
      <c r="H312" s="8" t="str">
        <f>VLOOKUP(F312,[1]characters!$A:$J,10,FALSE)</f>
        <v>PremiumS</v>
      </c>
      <c r="I312" s="8">
        <f>VLOOKUP(F312,[1]characters!$A:$I,9,FALSE)</f>
        <v>4</v>
      </c>
      <c r="J312" s="8" t="str">
        <f>VLOOKUP(F312,[1]characters!$A:$H,8,FALSE)</f>
        <v>yellow</v>
      </c>
      <c r="K312" s="8" t="str">
        <f>VLOOKUP(F312,[1]characters!$A:$K,11,FALSE)</f>
        <v>attack</v>
      </c>
      <c r="L312" s="8" t="str">
        <f>VLOOKUP(F312,[1]characters!$A:$M,13,FALSE)</f>
        <v>machine</v>
      </c>
      <c r="M312" s="16">
        <f>VLOOKUP(D312,gacha_188_base!A:B,2,FALSE)</f>
        <v>14962</v>
      </c>
      <c r="N312" s="38">
        <f>IFERROR(VLOOKUP($F312,bug_conf_sheet!$A:$H,3,FALSE),VLOOKUP("other",bug_conf_sheet!$A:$H,3,FALSE))</f>
        <v>1</v>
      </c>
      <c r="O312" s="38">
        <f>IFERROR(VLOOKUP($F312,bug_conf_sheet!$A:$H,4,FALSE),VLOOKUP("other",bug_conf_sheet!$A:$H,4,FALSE))</f>
        <v>0</v>
      </c>
      <c r="P312" s="38">
        <f>IFERROR(VLOOKUP($F312,bug_conf_sheet!$A:$H,5,FALSE),VLOOKUP("other",bug_conf_sheet!$A:$H,5,FALSE))</f>
        <v>0</v>
      </c>
      <c r="Q312" s="38">
        <f>IFERROR(VLOOKUP($F312,bug_conf_sheet!$A:$H,6,FALSE),VLOOKUP("other",bug_conf_sheet!$A:$H,6,FALSE))</f>
        <v>0</v>
      </c>
      <c r="R312" s="38">
        <f>IFERROR(VLOOKUP($F312,bug_conf_sheet!$A:$H,7,FALSE),VLOOKUP("other",bug_conf_sheet!$A:$H,7,FALSE))</f>
        <v>0</v>
      </c>
      <c r="S312" s="38">
        <f>IFERROR(VLOOKUP($F312,bug_conf_sheet!$A:$H,8,FALSE),VLOOKUP("other",bug_conf_sheet!$A:$H,8,FALSE))</f>
        <v>1</v>
      </c>
    </row>
    <row r="313" spans="1:19" ht="21" customHeight="1">
      <c r="A313" s="7" t="str">
        <f t="shared" si="34"/>
        <v>1883249</v>
      </c>
      <c r="B313" s="2" t="str">
        <f t="shared" si="33"/>
        <v>1883</v>
      </c>
      <c r="C313" s="8" t="str">
        <f t="shared" si="36"/>
        <v>3PremiumS5</v>
      </c>
      <c r="D313" s="8" t="str">
        <f t="shared" si="35"/>
        <v>3PremiumS5</v>
      </c>
      <c r="E313" s="10">
        <v>3</v>
      </c>
      <c r="F313" s="6">
        <v>249</v>
      </c>
      <c r="G313" s="8" t="str">
        <f>VLOOKUP(F313,[1]characters!$A:$C,3,FALSE)</f>
        <v>雷電の天使 ミカエル・ゲイナー</v>
      </c>
      <c r="H313" s="8" t="str">
        <f>VLOOKUP(F313,[1]characters!$A:$J,10,FALSE)</f>
        <v>PremiumS</v>
      </c>
      <c r="I313" s="8">
        <f>VLOOKUP(F313,[1]characters!$A:$I,9,FALSE)</f>
        <v>5</v>
      </c>
      <c r="J313" s="8" t="str">
        <f>VLOOKUP(F313,[1]characters!$A:$H,8,FALSE)</f>
        <v>yellow</v>
      </c>
      <c r="K313" s="8" t="str">
        <f>VLOOKUP(F313,[1]characters!$A:$K,11,FALSE)</f>
        <v>attack</v>
      </c>
      <c r="L313" s="8" t="str">
        <f>VLOOKUP(F313,[1]characters!$A:$M,13,FALSE)</f>
        <v>machine</v>
      </c>
      <c r="M313" s="16">
        <f>VLOOKUP(D313,gacha_188_base!A:B,2,FALSE)</f>
        <v>955</v>
      </c>
      <c r="N313" s="38">
        <f>IFERROR(VLOOKUP($F313,bug_conf_sheet!$A:$H,3,FALSE),VLOOKUP("other",bug_conf_sheet!$A:$H,3,FALSE))</f>
        <v>1</v>
      </c>
      <c r="O313" s="38">
        <f>IFERROR(VLOOKUP($F313,bug_conf_sheet!$A:$H,4,FALSE),VLOOKUP("other",bug_conf_sheet!$A:$H,4,FALSE))</f>
        <v>0</v>
      </c>
      <c r="P313" s="38">
        <f>IFERROR(VLOOKUP($F313,bug_conf_sheet!$A:$H,5,FALSE),VLOOKUP("other",bug_conf_sheet!$A:$H,5,FALSE))</f>
        <v>0</v>
      </c>
      <c r="Q313" s="38">
        <f>IFERROR(VLOOKUP($F313,bug_conf_sheet!$A:$H,6,FALSE),VLOOKUP("other",bug_conf_sheet!$A:$H,6,FALSE))</f>
        <v>0</v>
      </c>
      <c r="R313" s="38">
        <f>IFERROR(VLOOKUP($F313,bug_conf_sheet!$A:$H,7,FALSE),VLOOKUP("other",bug_conf_sheet!$A:$H,7,FALSE))</f>
        <v>0</v>
      </c>
      <c r="S313" s="38">
        <f>IFERROR(VLOOKUP($F313,bug_conf_sheet!$A:$H,8,FALSE),VLOOKUP("other",bug_conf_sheet!$A:$H,8,FALSE))</f>
        <v>1</v>
      </c>
    </row>
    <row r="314" spans="1:19" ht="21" hidden="1" customHeight="1">
      <c r="A314" s="7" t="str">
        <f t="shared" si="34"/>
        <v>1883251</v>
      </c>
      <c r="B314" s="2" t="str">
        <f t="shared" si="33"/>
        <v>1883</v>
      </c>
      <c r="C314" s="8" t="str">
        <f t="shared" si="36"/>
        <v>3PremiumS4</v>
      </c>
      <c r="D314" s="8" t="str">
        <f t="shared" si="35"/>
        <v>3PremiumS4</v>
      </c>
      <c r="E314" s="10">
        <v>3</v>
      </c>
      <c r="F314" s="6">
        <v>251</v>
      </c>
      <c r="G314" s="8" t="str">
        <f>VLOOKUP(F314,[1]characters!$A:$C,3,FALSE)</f>
        <v>強欲 マンモン</v>
      </c>
      <c r="H314" s="8" t="str">
        <f>VLOOKUP(F314,[1]characters!$A:$J,10,FALSE)</f>
        <v>PremiumS</v>
      </c>
      <c r="I314" s="8">
        <f>VLOOKUP(F314,[1]characters!$A:$I,9,FALSE)</f>
        <v>4</v>
      </c>
      <c r="J314" s="8" t="str">
        <f>VLOOKUP(F314,[1]characters!$A:$H,8,FALSE)</f>
        <v>red</v>
      </c>
      <c r="K314" s="8" t="str">
        <f>VLOOKUP(F314,[1]characters!$A:$K,11,FALSE)</f>
        <v>balance</v>
      </c>
      <c r="L314" s="8" t="str">
        <f>VLOOKUP(F314,[1]characters!$A:$M,13,FALSE)</f>
        <v>god</v>
      </c>
      <c r="M314" s="16">
        <f>VLOOKUP(D314,gacha_188_base!A:B,2,FALSE)</f>
        <v>14962</v>
      </c>
      <c r="N314" s="38">
        <f>IFERROR(VLOOKUP($F314,bug_conf_sheet!$A:$H,3,FALSE),VLOOKUP("other",bug_conf_sheet!$A:$H,3,FALSE))</f>
        <v>1</v>
      </c>
      <c r="O314" s="38">
        <f>IFERROR(VLOOKUP($F314,bug_conf_sheet!$A:$H,4,FALSE),VLOOKUP("other",bug_conf_sheet!$A:$H,4,FALSE))</f>
        <v>0</v>
      </c>
      <c r="P314" s="38">
        <f>IFERROR(VLOOKUP($F314,bug_conf_sheet!$A:$H,5,FALSE),VLOOKUP("other",bug_conf_sheet!$A:$H,5,FALSE))</f>
        <v>0</v>
      </c>
      <c r="Q314" s="38">
        <f>IFERROR(VLOOKUP($F314,bug_conf_sheet!$A:$H,6,FALSE),VLOOKUP("other",bug_conf_sheet!$A:$H,6,FALSE))</f>
        <v>0</v>
      </c>
      <c r="R314" s="38">
        <f>IFERROR(VLOOKUP($F314,bug_conf_sheet!$A:$H,7,FALSE),VLOOKUP("other",bug_conf_sheet!$A:$H,7,FALSE))</f>
        <v>0</v>
      </c>
      <c r="S314" s="38">
        <f>IFERROR(VLOOKUP($F314,bug_conf_sheet!$A:$H,8,FALSE),VLOOKUP("other",bug_conf_sheet!$A:$H,8,FALSE))</f>
        <v>1</v>
      </c>
    </row>
    <row r="315" spans="1:19" ht="21" customHeight="1">
      <c r="A315" s="7" t="str">
        <f t="shared" si="34"/>
        <v>1883252</v>
      </c>
      <c r="B315" s="2" t="str">
        <f t="shared" si="33"/>
        <v>1883</v>
      </c>
      <c r="C315" s="8" t="str">
        <f t="shared" si="36"/>
        <v>3PremiumS5</v>
      </c>
      <c r="D315" s="8" t="str">
        <f t="shared" si="35"/>
        <v>3PremiumS5</v>
      </c>
      <c r="E315" s="10">
        <v>3</v>
      </c>
      <c r="F315" s="6">
        <v>252</v>
      </c>
      <c r="G315" s="8" t="str">
        <f>VLOOKUP(F315,[1]characters!$A:$C,3,FALSE)</f>
        <v>強欲の沸騰 マンモン</v>
      </c>
      <c r="H315" s="8" t="str">
        <f>VLOOKUP(F315,[1]characters!$A:$J,10,FALSE)</f>
        <v>PremiumS</v>
      </c>
      <c r="I315" s="8">
        <f>VLOOKUP(F315,[1]characters!$A:$I,9,FALSE)</f>
        <v>5</v>
      </c>
      <c r="J315" s="8" t="str">
        <f>VLOOKUP(F315,[1]characters!$A:$H,8,FALSE)</f>
        <v>red</v>
      </c>
      <c r="K315" s="8" t="str">
        <f>VLOOKUP(F315,[1]characters!$A:$K,11,FALSE)</f>
        <v>balance</v>
      </c>
      <c r="L315" s="8" t="str">
        <f>VLOOKUP(F315,[1]characters!$A:$M,13,FALSE)</f>
        <v>god</v>
      </c>
      <c r="M315" s="16">
        <f>VLOOKUP(D315,gacha_188_base!A:B,2,FALSE)</f>
        <v>955</v>
      </c>
      <c r="N315" s="38">
        <f>IFERROR(VLOOKUP($F315,bug_conf_sheet!$A:$H,3,FALSE),VLOOKUP("other",bug_conf_sheet!$A:$H,3,FALSE))</f>
        <v>1</v>
      </c>
      <c r="O315" s="38">
        <f>IFERROR(VLOOKUP($F315,bug_conf_sheet!$A:$H,4,FALSE),VLOOKUP("other",bug_conf_sheet!$A:$H,4,FALSE))</f>
        <v>0</v>
      </c>
      <c r="P315" s="38">
        <f>IFERROR(VLOOKUP($F315,bug_conf_sheet!$A:$H,5,FALSE),VLOOKUP("other",bug_conf_sheet!$A:$H,5,FALSE))</f>
        <v>0</v>
      </c>
      <c r="Q315" s="38">
        <f>IFERROR(VLOOKUP($F315,bug_conf_sheet!$A:$H,6,FALSE),VLOOKUP("other",bug_conf_sheet!$A:$H,6,FALSE))</f>
        <v>0</v>
      </c>
      <c r="R315" s="38">
        <f>IFERROR(VLOOKUP($F315,bug_conf_sheet!$A:$H,7,FALSE),VLOOKUP("other",bug_conf_sheet!$A:$H,7,FALSE))</f>
        <v>0</v>
      </c>
      <c r="S315" s="38">
        <f>IFERROR(VLOOKUP($F315,bug_conf_sheet!$A:$H,8,FALSE),VLOOKUP("other",bug_conf_sheet!$A:$H,8,FALSE))</f>
        <v>1</v>
      </c>
    </row>
    <row r="316" spans="1:19" ht="21" hidden="1" customHeight="1">
      <c r="A316" s="7" t="str">
        <f t="shared" si="34"/>
        <v>1883254</v>
      </c>
      <c r="B316" s="2" t="str">
        <f t="shared" si="33"/>
        <v>1883</v>
      </c>
      <c r="C316" s="8" t="str">
        <f t="shared" si="36"/>
        <v>3PremiumS4</v>
      </c>
      <c r="D316" s="8" t="str">
        <f t="shared" si="35"/>
        <v>3PremiumS4</v>
      </c>
      <c r="E316" s="10">
        <v>3</v>
      </c>
      <c r="F316" s="6">
        <v>254</v>
      </c>
      <c r="G316" s="8" t="str">
        <f>VLOOKUP(F316,[1]characters!$A:$C,3,FALSE)</f>
        <v>怠惰 ベルフェゴール</v>
      </c>
      <c r="H316" s="8" t="str">
        <f>VLOOKUP(F316,[1]characters!$A:$J,10,FALSE)</f>
        <v>PremiumS</v>
      </c>
      <c r="I316" s="8">
        <f>VLOOKUP(F316,[1]characters!$A:$I,9,FALSE)</f>
        <v>4</v>
      </c>
      <c r="J316" s="8" t="str">
        <f>VLOOKUP(F316,[1]characters!$A:$H,8,FALSE)</f>
        <v>green</v>
      </c>
      <c r="K316" s="8" t="str">
        <f>VLOOKUP(F316,[1]characters!$A:$K,11,FALSE)</f>
        <v>technical</v>
      </c>
      <c r="L316" s="8" t="str">
        <f>VLOOKUP(F316,[1]characters!$A:$M,13,FALSE)</f>
        <v>god</v>
      </c>
      <c r="M316" s="16">
        <f>VLOOKUP(D316,gacha_188_base!A:B,2,FALSE)</f>
        <v>14962</v>
      </c>
      <c r="N316" s="38">
        <f>IFERROR(VLOOKUP($F316,bug_conf_sheet!$A:$H,3,FALSE),VLOOKUP("other",bug_conf_sheet!$A:$H,3,FALSE))</f>
        <v>1</v>
      </c>
      <c r="O316" s="38">
        <f>IFERROR(VLOOKUP($F316,bug_conf_sheet!$A:$H,4,FALSE),VLOOKUP("other",bug_conf_sheet!$A:$H,4,FALSE))</f>
        <v>0</v>
      </c>
      <c r="P316" s="38">
        <f>IFERROR(VLOOKUP($F316,bug_conf_sheet!$A:$H,5,FALSE),VLOOKUP("other",bug_conf_sheet!$A:$H,5,FALSE))</f>
        <v>0</v>
      </c>
      <c r="Q316" s="38">
        <f>IFERROR(VLOOKUP($F316,bug_conf_sheet!$A:$H,6,FALSE),VLOOKUP("other",bug_conf_sheet!$A:$H,6,FALSE))</f>
        <v>0</v>
      </c>
      <c r="R316" s="38">
        <f>IFERROR(VLOOKUP($F316,bug_conf_sheet!$A:$H,7,FALSE),VLOOKUP("other",bug_conf_sheet!$A:$H,7,FALSE))</f>
        <v>0</v>
      </c>
      <c r="S316" s="38">
        <f>IFERROR(VLOOKUP($F316,bug_conf_sheet!$A:$H,8,FALSE),VLOOKUP("other",bug_conf_sheet!$A:$H,8,FALSE))</f>
        <v>1</v>
      </c>
    </row>
    <row r="317" spans="1:19" ht="21" customHeight="1">
      <c r="A317" s="7" t="str">
        <f t="shared" ref="A317:A368" si="37">B317&amp;F317</f>
        <v>1883255</v>
      </c>
      <c r="B317" s="2" t="str">
        <f t="shared" si="33"/>
        <v>1883</v>
      </c>
      <c r="C317" s="8" t="str">
        <f t="shared" si="36"/>
        <v>3PremiumS5</v>
      </c>
      <c r="D317" s="8" t="str">
        <f t="shared" ref="D317:D368" si="38">E317&amp;H317&amp;I317</f>
        <v>3PremiumS5</v>
      </c>
      <c r="E317" s="10">
        <v>3</v>
      </c>
      <c r="F317" s="6">
        <v>255</v>
      </c>
      <c r="G317" s="8" t="str">
        <f>VLOOKUP(F317,[1]characters!$A:$C,3,FALSE)</f>
        <v>怠惰の頂点 ベルフェゴール</v>
      </c>
      <c r="H317" s="8" t="str">
        <f>VLOOKUP(F317,[1]characters!$A:$J,10,FALSE)</f>
        <v>PremiumS</v>
      </c>
      <c r="I317" s="8">
        <f>VLOOKUP(F317,[1]characters!$A:$I,9,FALSE)</f>
        <v>5</v>
      </c>
      <c r="J317" s="8" t="str">
        <f>VLOOKUP(F317,[1]characters!$A:$H,8,FALSE)</f>
        <v>green</v>
      </c>
      <c r="K317" s="8" t="str">
        <f>VLOOKUP(F317,[1]characters!$A:$K,11,FALSE)</f>
        <v>technical</v>
      </c>
      <c r="L317" s="8" t="str">
        <f>VLOOKUP(F317,[1]characters!$A:$M,13,FALSE)</f>
        <v>god</v>
      </c>
      <c r="M317" s="16">
        <f>VLOOKUP(D317,gacha_188_base!A:B,2,FALSE)</f>
        <v>955</v>
      </c>
      <c r="N317" s="38">
        <f>IFERROR(VLOOKUP($F317,bug_conf_sheet!$A:$H,3,FALSE),VLOOKUP("other",bug_conf_sheet!$A:$H,3,FALSE))</f>
        <v>1</v>
      </c>
      <c r="O317" s="38">
        <f>IFERROR(VLOOKUP($F317,bug_conf_sheet!$A:$H,4,FALSE),VLOOKUP("other",bug_conf_sheet!$A:$H,4,FALSE))</f>
        <v>0</v>
      </c>
      <c r="P317" s="38">
        <f>IFERROR(VLOOKUP($F317,bug_conf_sheet!$A:$H,5,FALSE),VLOOKUP("other",bug_conf_sheet!$A:$H,5,FALSE))</f>
        <v>0</v>
      </c>
      <c r="Q317" s="38">
        <f>IFERROR(VLOOKUP($F317,bug_conf_sheet!$A:$H,6,FALSE),VLOOKUP("other",bug_conf_sheet!$A:$H,6,FALSE))</f>
        <v>0</v>
      </c>
      <c r="R317" s="38">
        <f>IFERROR(VLOOKUP($F317,bug_conf_sheet!$A:$H,7,FALSE),VLOOKUP("other",bug_conf_sheet!$A:$H,7,FALSE))</f>
        <v>0</v>
      </c>
      <c r="S317" s="38">
        <f>IFERROR(VLOOKUP($F317,bug_conf_sheet!$A:$H,8,FALSE),VLOOKUP("other",bug_conf_sheet!$A:$H,8,FALSE))</f>
        <v>1</v>
      </c>
    </row>
    <row r="318" spans="1:19" ht="21" hidden="1" customHeight="1">
      <c r="A318" s="7" t="str">
        <f t="shared" si="37"/>
        <v>1883257</v>
      </c>
      <c r="B318" s="2" t="str">
        <f t="shared" si="33"/>
        <v>1883</v>
      </c>
      <c r="C318" s="8" t="str">
        <f t="shared" si="36"/>
        <v>3PremiumS4</v>
      </c>
      <c r="D318" s="8" t="str">
        <f t="shared" si="38"/>
        <v>3PremiumS4</v>
      </c>
      <c r="E318" s="10">
        <v>3</v>
      </c>
      <c r="F318" s="6">
        <v>257</v>
      </c>
      <c r="G318" s="8" t="str">
        <f>VLOOKUP(F318,[1]characters!$A:$C,3,FALSE)</f>
        <v>色欲 アスモデウス</v>
      </c>
      <c r="H318" s="8" t="str">
        <f>VLOOKUP(F318,[1]characters!$A:$J,10,FALSE)</f>
        <v>PremiumS</v>
      </c>
      <c r="I318" s="8">
        <f>VLOOKUP(F318,[1]characters!$A:$I,9,FALSE)</f>
        <v>4</v>
      </c>
      <c r="J318" s="8" t="str">
        <f>VLOOKUP(F318,[1]characters!$A:$H,8,FALSE)</f>
        <v>blue</v>
      </c>
      <c r="K318" s="8" t="str">
        <f>VLOOKUP(F318,[1]characters!$A:$K,11,FALSE)</f>
        <v>attack</v>
      </c>
      <c r="L318" s="8" t="str">
        <f>VLOOKUP(F318,[1]characters!$A:$M,13,FALSE)</f>
        <v>god</v>
      </c>
      <c r="M318" s="16">
        <f>VLOOKUP(D318,gacha_188_base!A:B,2,FALSE)</f>
        <v>14962</v>
      </c>
      <c r="N318" s="38">
        <f>IFERROR(VLOOKUP($F318,bug_conf_sheet!$A:$H,3,FALSE),VLOOKUP("other",bug_conf_sheet!$A:$H,3,FALSE))</f>
        <v>1</v>
      </c>
      <c r="O318" s="38">
        <f>IFERROR(VLOOKUP($F318,bug_conf_sheet!$A:$H,4,FALSE),VLOOKUP("other",bug_conf_sheet!$A:$H,4,FALSE))</f>
        <v>0</v>
      </c>
      <c r="P318" s="38">
        <f>IFERROR(VLOOKUP($F318,bug_conf_sheet!$A:$H,5,FALSE),VLOOKUP("other",bug_conf_sheet!$A:$H,5,FALSE))</f>
        <v>0</v>
      </c>
      <c r="Q318" s="38">
        <f>IFERROR(VLOOKUP($F318,bug_conf_sheet!$A:$H,6,FALSE),VLOOKUP("other",bug_conf_sheet!$A:$H,6,FALSE))</f>
        <v>0</v>
      </c>
      <c r="R318" s="38">
        <f>IFERROR(VLOOKUP($F318,bug_conf_sheet!$A:$H,7,FALSE),VLOOKUP("other",bug_conf_sheet!$A:$H,7,FALSE))</f>
        <v>0</v>
      </c>
      <c r="S318" s="38">
        <f>IFERROR(VLOOKUP($F318,bug_conf_sheet!$A:$H,8,FALSE),VLOOKUP("other",bug_conf_sheet!$A:$H,8,FALSE))</f>
        <v>1</v>
      </c>
    </row>
    <row r="319" spans="1:19" ht="21" customHeight="1">
      <c r="A319" s="7" t="str">
        <f t="shared" si="37"/>
        <v>1883258</v>
      </c>
      <c r="B319" s="2" t="str">
        <f t="shared" si="33"/>
        <v>1883</v>
      </c>
      <c r="C319" s="8" t="str">
        <f t="shared" si="36"/>
        <v>3PremiumS5</v>
      </c>
      <c r="D319" s="8" t="str">
        <f t="shared" si="38"/>
        <v>3PremiumS5</v>
      </c>
      <c r="E319" s="10">
        <v>3</v>
      </c>
      <c r="F319" s="6">
        <v>258</v>
      </c>
      <c r="G319" s="8" t="str">
        <f>VLOOKUP(F319,[1]characters!$A:$C,3,FALSE)</f>
        <v>色欲の源流 アスモデウス</v>
      </c>
      <c r="H319" s="8" t="str">
        <f>VLOOKUP(F319,[1]characters!$A:$J,10,FALSE)</f>
        <v>PremiumS</v>
      </c>
      <c r="I319" s="8">
        <f>VLOOKUP(F319,[1]characters!$A:$I,9,FALSE)</f>
        <v>5</v>
      </c>
      <c r="J319" s="8" t="str">
        <f>VLOOKUP(F319,[1]characters!$A:$H,8,FALSE)</f>
        <v>blue</v>
      </c>
      <c r="K319" s="8" t="str">
        <f>VLOOKUP(F319,[1]characters!$A:$K,11,FALSE)</f>
        <v>attack</v>
      </c>
      <c r="L319" s="8" t="str">
        <f>VLOOKUP(F319,[1]characters!$A:$M,13,FALSE)</f>
        <v>god</v>
      </c>
      <c r="M319" s="16">
        <f>VLOOKUP(D319,gacha_188_base!A:B,2,FALSE)</f>
        <v>955</v>
      </c>
      <c r="N319" s="38">
        <f>IFERROR(VLOOKUP($F319,bug_conf_sheet!$A:$H,3,FALSE),VLOOKUP("other",bug_conf_sheet!$A:$H,3,FALSE))</f>
        <v>1</v>
      </c>
      <c r="O319" s="38">
        <f>IFERROR(VLOOKUP($F319,bug_conf_sheet!$A:$H,4,FALSE),VLOOKUP("other",bug_conf_sheet!$A:$H,4,FALSE))</f>
        <v>0</v>
      </c>
      <c r="P319" s="38">
        <f>IFERROR(VLOOKUP($F319,bug_conf_sheet!$A:$H,5,FALSE),VLOOKUP("other",bug_conf_sheet!$A:$H,5,FALSE))</f>
        <v>0</v>
      </c>
      <c r="Q319" s="38">
        <f>IFERROR(VLOOKUP($F319,bug_conf_sheet!$A:$H,6,FALSE),VLOOKUP("other",bug_conf_sheet!$A:$H,6,FALSE))</f>
        <v>0</v>
      </c>
      <c r="R319" s="38">
        <f>IFERROR(VLOOKUP($F319,bug_conf_sheet!$A:$H,7,FALSE),VLOOKUP("other",bug_conf_sheet!$A:$H,7,FALSE))</f>
        <v>0</v>
      </c>
      <c r="S319" s="38">
        <f>IFERROR(VLOOKUP($F319,bug_conf_sheet!$A:$H,8,FALSE),VLOOKUP("other",bug_conf_sheet!$A:$H,8,FALSE))</f>
        <v>1</v>
      </c>
    </row>
    <row r="320" spans="1:19" ht="21" hidden="1" customHeight="1">
      <c r="A320" s="7" t="str">
        <f t="shared" si="37"/>
        <v>1883260</v>
      </c>
      <c r="B320" s="2" t="str">
        <f t="shared" si="33"/>
        <v>1883</v>
      </c>
      <c r="C320" s="8" t="str">
        <f t="shared" si="36"/>
        <v>3PremiumS4</v>
      </c>
      <c r="D320" s="8" t="str">
        <f t="shared" si="38"/>
        <v>3PremiumS4</v>
      </c>
      <c r="E320" s="10">
        <v>3</v>
      </c>
      <c r="F320" s="9">
        <v>260</v>
      </c>
      <c r="G320" s="8" t="str">
        <f>VLOOKUP(F320,[1]characters!$A:$C,3,FALSE)</f>
        <v>輪廻 ウロボロス</v>
      </c>
      <c r="H320" s="8" t="str">
        <f>VLOOKUP(F320,[1]characters!$A:$J,10,FALSE)</f>
        <v>PremiumS</v>
      </c>
      <c r="I320" s="8">
        <f>VLOOKUP(F320,[1]characters!$A:$I,9,FALSE)</f>
        <v>4</v>
      </c>
      <c r="J320" s="8" t="str">
        <f>VLOOKUP(F320,[1]characters!$A:$H,8,FALSE)</f>
        <v>yellow</v>
      </c>
      <c r="K320" s="8" t="str">
        <f>VLOOKUP(F320,[1]characters!$A:$K,11,FALSE)</f>
        <v>balance</v>
      </c>
      <c r="L320" s="8" t="str">
        <f>VLOOKUP(F320,[1]characters!$A:$M,13,FALSE)</f>
        <v>dragon</v>
      </c>
      <c r="M320" s="16">
        <f>VLOOKUP(D320,gacha_188_base!A:B,2,FALSE)</f>
        <v>14962</v>
      </c>
      <c r="N320" s="38">
        <f>IFERROR(VLOOKUP($F320,bug_conf_sheet!$A:$H,3,FALSE),VLOOKUP("other",bug_conf_sheet!$A:$H,3,FALSE))</f>
        <v>1</v>
      </c>
      <c r="O320" s="38">
        <f>IFERROR(VLOOKUP($F320,bug_conf_sheet!$A:$H,4,FALSE),VLOOKUP("other",bug_conf_sheet!$A:$H,4,FALSE))</f>
        <v>0</v>
      </c>
      <c r="P320" s="38">
        <f>IFERROR(VLOOKUP($F320,bug_conf_sheet!$A:$H,5,FALSE),VLOOKUP("other",bug_conf_sheet!$A:$H,5,FALSE))</f>
        <v>0</v>
      </c>
      <c r="Q320" s="38">
        <f>IFERROR(VLOOKUP($F320,bug_conf_sheet!$A:$H,6,FALSE),VLOOKUP("other",bug_conf_sheet!$A:$H,6,FALSE))</f>
        <v>0</v>
      </c>
      <c r="R320" s="38">
        <f>IFERROR(VLOOKUP($F320,bug_conf_sheet!$A:$H,7,FALSE),VLOOKUP("other",bug_conf_sheet!$A:$H,7,FALSE))</f>
        <v>0</v>
      </c>
      <c r="S320" s="38">
        <f>IFERROR(VLOOKUP($F320,bug_conf_sheet!$A:$H,8,FALSE),VLOOKUP("other",bug_conf_sheet!$A:$H,8,FALSE))</f>
        <v>1</v>
      </c>
    </row>
    <row r="321" spans="1:19" ht="21" customHeight="1">
      <c r="A321" s="7" t="str">
        <f t="shared" si="37"/>
        <v>1883261</v>
      </c>
      <c r="B321" s="2" t="str">
        <f t="shared" si="33"/>
        <v>1883</v>
      </c>
      <c r="C321" s="8" t="str">
        <f t="shared" si="36"/>
        <v>3PremiumS5</v>
      </c>
      <c r="D321" s="8" t="str">
        <f t="shared" si="38"/>
        <v>3PremiumS5</v>
      </c>
      <c r="E321" s="10">
        <v>3</v>
      </c>
      <c r="F321" s="9">
        <v>261</v>
      </c>
      <c r="G321" s="8" t="str">
        <f>VLOOKUP(F321,[1]characters!$A:$C,3,FALSE)</f>
        <v>輪廻の蛇龍 ウロボロス</v>
      </c>
      <c r="H321" s="8" t="str">
        <f>VLOOKUP(F321,[1]characters!$A:$J,10,FALSE)</f>
        <v>PremiumS</v>
      </c>
      <c r="I321" s="8">
        <f>VLOOKUP(F321,[1]characters!$A:$I,9,FALSE)</f>
        <v>5</v>
      </c>
      <c r="J321" s="8" t="str">
        <f>VLOOKUP(F321,[1]characters!$A:$H,8,FALSE)</f>
        <v>yellow</v>
      </c>
      <c r="K321" s="8" t="str">
        <f>VLOOKUP(F321,[1]characters!$A:$K,11,FALSE)</f>
        <v>balance</v>
      </c>
      <c r="L321" s="8" t="str">
        <f>VLOOKUP(F321,[1]characters!$A:$M,13,FALSE)</f>
        <v>dragon</v>
      </c>
      <c r="M321" s="16">
        <f>VLOOKUP(D321,gacha_188_base!A:B,2,FALSE)</f>
        <v>955</v>
      </c>
      <c r="N321" s="38">
        <f>IFERROR(VLOOKUP($F321,bug_conf_sheet!$A:$H,3,FALSE),VLOOKUP("other",bug_conf_sheet!$A:$H,3,FALSE))</f>
        <v>1</v>
      </c>
      <c r="O321" s="38">
        <f>IFERROR(VLOOKUP($F321,bug_conf_sheet!$A:$H,4,FALSE),VLOOKUP("other",bug_conf_sheet!$A:$H,4,FALSE))</f>
        <v>0</v>
      </c>
      <c r="P321" s="38">
        <f>IFERROR(VLOOKUP($F321,bug_conf_sheet!$A:$H,5,FALSE),VLOOKUP("other",bug_conf_sheet!$A:$H,5,FALSE))</f>
        <v>0</v>
      </c>
      <c r="Q321" s="38">
        <f>IFERROR(VLOOKUP($F321,bug_conf_sheet!$A:$H,6,FALSE),VLOOKUP("other",bug_conf_sheet!$A:$H,6,FALSE))</f>
        <v>0</v>
      </c>
      <c r="R321" s="38">
        <f>IFERROR(VLOOKUP($F321,bug_conf_sheet!$A:$H,7,FALSE),VLOOKUP("other",bug_conf_sheet!$A:$H,7,FALSE))</f>
        <v>0</v>
      </c>
      <c r="S321" s="38">
        <f>IFERROR(VLOOKUP($F321,bug_conf_sheet!$A:$H,8,FALSE),VLOOKUP("other",bug_conf_sheet!$A:$H,8,FALSE))</f>
        <v>1</v>
      </c>
    </row>
    <row r="322" spans="1:19" ht="21" hidden="1" customHeight="1">
      <c r="A322" s="7" t="str">
        <f t="shared" si="37"/>
        <v>1883320</v>
      </c>
      <c r="B322" s="2" t="str">
        <f t="shared" si="33"/>
        <v>1883</v>
      </c>
      <c r="C322" s="8" t="str">
        <f t="shared" si="36"/>
        <v>3PremiumSS4</v>
      </c>
      <c r="D322" s="8" t="str">
        <f t="shared" si="38"/>
        <v>3PremiumSS4</v>
      </c>
      <c r="E322" s="10">
        <v>3</v>
      </c>
      <c r="F322" s="6">
        <v>320</v>
      </c>
      <c r="G322" s="8" t="str">
        <f>VLOOKUP(F322,[1]characters!$A:$C,3,FALSE)</f>
        <v>烈志士 近藤勇</v>
      </c>
      <c r="H322" s="8" t="str">
        <f>VLOOKUP(F322,[1]characters!$A:$J,10,FALSE)</f>
        <v>PremiumSS</v>
      </c>
      <c r="I322" s="8">
        <f>VLOOKUP(F322,[1]characters!$A:$I,9,FALSE)</f>
        <v>4</v>
      </c>
      <c r="J322" s="8" t="str">
        <f>VLOOKUP(F322,[1]characters!$A:$H,8,FALSE)</f>
        <v>red</v>
      </c>
      <c r="K322" s="8" t="str">
        <f>VLOOKUP(F322,[1]characters!$A:$K,11,FALSE)</f>
        <v>hp</v>
      </c>
      <c r="L322" s="8" t="str">
        <f>VLOOKUP(F322,[1]characters!$A:$M,13,FALSE)</f>
        <v>human</v>
      </c>
      <c r="M322" s="16">
        <f>VLOOKUP(D322,gacha_188_base!A:B,2,FALSE)</f>
        <v>1709</v>
      </c>
      <c r="N322" s="38">
        <f>IFERROR(VLOOKUP($F322,bug_conf_sheet!$A:$H,3,FALSE),VLOOKUP("other",bug_conf_sheet!$A:$H,3,FALSE))</f>
        <v>1</v>
      </c>
      <c r="O322" s="38">
        <f>IFERROR(VLOOKUP($F322,bug_conf_sheet!$A:$H,4,FALSE),VLOOKUP("other",bug_conf_sheet!$A:$H,4,FALSE))</f>
        <v>0</v>
      </c>
      <c r="P322" s="38">
        <f>IFERROR(VLOOKUP($F322,bug_conf_sheet!$A:$H,5,FALSE),VLOOKUP("other",bug_conf_sheet!$A:$H,5,FALSE))</f>
        <v>0</v>
      </c>
      <c r="Q322" s="38">
        <f>IFERROR(VLOOKUP($F322,bug_conf_sheet!$A:$H,6,FALSE),VLOOKUP("other",bug_conf_sheet!$A:$H,6,FALSE))</f>
        <v>0</v>
      </c>
      <c r="R322" s="38">
        <f>IFERROR(VLOOKUP($F322,bug_conf_sheet!$A:$H,7,FALSE),VLOOKUP("other",bug_conf_sheet!$A:$H,7,FALSE))</f>
        <v>0</v>
      </c>
      <c r="S322" s="38">
        <f>IFERROR(VLOOKUP($F322,bug_conf_sheet!$A:$H,8,FALSE),VLOOKUP("other",bug_conf_sheet!$A:$H,8,FALSE))</f>
        <v>1</v>
      </c>
    </row>
    <row r="323" spans="1:19" ht="21" customHeight="1">
      <c r="A323" s="7" t="str">
        <f t="shared" si="37"/>
        <v>1883321</v>
      </c>
      <c r="B323" s="2" t="str">
        <f t="shared" ref="B323:B386" si="39">188&amp;E323</f>
        <v>1883</v>
      </c>
      <c r="C323" s="8" t="str">
        <f t="shared" si="36"/>
        <v>3PremiumSS5</v>
      </c>
      <c r="D323" s="8" t="str">
        <f t="shared" si="38"/>
        <v>3PremiumSS5</v>
      </c>
      <c r="E323" s="10">
        <v>3</v>
      </c>
      <c r="F323" s="6">
        <v>321</v>
      </c>
      <c r="G323" s="8" t="str">
        <f>VLOOKUP(F323,[1]characters!$A:$C,3,FALSE)</f>
        <v>巌鉄の烈志士 近藤勇</v>
      </c>
      <c r="H323" s="8" t="str">
        <f>VLOOKUP(F323,[1]characters!$A:$J,10,FALSE)</f>
        <v>PremiumSS</v>
      </c>
      <c r="I323" s="8">
        <f>VLOOKUP(F323,[1]characters!$A:$I,9,FALSE)</f>
        <v>5</v>
      </c>
      <c r="J323" s="8" t="str">
        <f>VLOOKUP(F323,[1]characters!$A:$H,8,FALSE)</f>
        <v>red</v>
      </c>
      <c r="K323" s="8" t="str">
        <f>VLOOKUP(F323,[1]characters!$A:$K,11,FALSE)</f>
        <v>hp</v>
      </c>
      <c r="L323" s="8" t="str">
        <f>VLOOKUP(F323,[1]characters!$A:$M,13,FALSE)</f>
        <v>human</v>
      </c>
      <c r="M323" s="16">
        <f>VLOOKUP(D323,gacha_188_base!A:B,2,FALSE)</f>
        <v>109</v>
      </c>
      <c r="N323" s="38">
        <f>IFERROR(VLOOKUP($F323,bug_conf_sheet!$A:$H,3,FALSE),VLOOKUP("other",bug_conf_sheet!$A:$H,3,FALSE))</f>
        <v>1</v>
      </c>
      <c r="O323" s="38">
        <f>IFERROR(VLOOKUP($F323,bug_conf_sheet!$A:$H,4,FALSE),VLOOKUP("other",bug_conf_sheet!$A:$H,4,FALSE))</f>
        <v>0</v>
      </c>
      <c r="P323" s="38">
        <f>IFERROR(VLOOKUP($F323,bug_conf_sheet!$A:$H,5,FALSE),VLOOKUP("other",bug_conf_sheet!$A:$H,5,FALSE))</f>
        <v>0</v>
      </c>
      <c r="Q323" s="38">
        <f>IFERROR(VLOOKUP($F323,bug_conf_sheet!$A:$H,6,FALSE),VLOOKUP("other",bug_conf_sheet!$A:$H,6,FALSE))</f>
        <v>0</v>
      </c>
      <c r="R323" s="38">
        <f>IFERROR(VLOOKUP($F323,bug_conf_sheet!$A:$H,7,FALSE),VLOOKUP("other",bug_conf_sheet!$A:$H,7,FALSE))</f>
        <v>0</v>
      </c>
      <c r="S323" s="38">
        <f>IFERROR(VLOOKUP($F323,bug_conf_sheet!$A:$H,8,FALSE),VLOOKUP("other",bug_conf_sheet!$A:$H,8,FALSE))</f>
        <v>1</v>
      </c>
    </row>
    <row r="324" spans="1:19" ht="21" hidden="1" customHeight="1">
      <c r="A324" s="7" t="str">
        <f t="shared" si="37"/>
        <v>1883322</v>
      </c>
      <c r="B324" s="2" t="str">
        <f t="shared" si="39"/>
        <v>1883</v>
      </c>
      <c r="C324" s="8" t="str">
        <f t="shared" si="36"/>
        <v>3PremiumSS4</v>
      </c>
      <c r="D324" s="8" t="str">
        <f t="shared" si="38"/>
        <v>3PremiumSS4</v>
      </c>
      <c r="E324" s="10">
        <v>3</v>
      </c>
      <c r="F324" s="6">
        <v>322</v>
      </c>
      <c r="G324" s="8" t="str">
        <f>VLOOKUP(F324,[1]characters!$A:$C,3,FALSE)</f>
        <v>愛志士 土方歳三</v>
      </c>
      <c r="H324" s="8" t="str">
        <f>VLOOKUP(F324,[1]characters!$A:$J,10,FALSE)</f>
        <v>PremiumSS</v>
      </c>
      <c r="I324" s="8">
        <f>VLOOKUP(F324,[1]characters!$A:$I,9,FALSE)</f>
        <v>4</v>
      </c>
      <c r="J324" s="8" t="str">
        <f>VLOOKUP(F324,[1]characters!$A:$H,8,FALSE)</f>
        <v>green</v>
      </c>
      <c r="K324" s="8" t="str">
        <f>VLOOKUP(F324,[1]characters!$A:$K,11,FALSE)</f>
        <v>attack</v>
      </c>
      <c r="L324" s="8" t="str">
        <f>VLOOKUP(F324,[1]characters!$A:$M,13,FALSE)</f>
        <v>human</v>
      </c>
      <c r="M324" s="16">
        <f>VLOOKUP(D324,gacha_188_base!A:B,2,FALSE)</f>
        <v>1709</v>
      </c>
      <c r="N324" s="38">
        <f>IFERROR(VLOOKUP($F324,bug_conf_sheet!$A:$H,3,FALSE),VLOOKUP("other",bug_conf_sheet!$A:$H,3,FALSE))</f>
        <v>1</v>
      </c>
      <c r="O324" s="38">
        <f>IFERROR(VLOOKUP($F324,bug_conf_sheet!$A:$H,4,FALSE),VLOOKUP("other",bug_conf_sheet!$A:$H,4,FALSE))</f>
        <v>0</v>
      </c>
      <c r="P324" s="38">
        <f>IFERROR(VLOOKUP($F324,bug_conf_sheet!$A:$H,5,FALSE),VLOOKUP("other",bug_conf_sheet!$A:$H,5,FALSE))</f>
        <v>0</v>
      </c>
      <c r="Q324" s="38">
        <f>IFERROR(VLOOKUP($F324,bug_conf_sheet!$A:$H,6,FALSE),VLOOKUP("other",bug_conf_sheet!$A:$H,6,FALSE))</f>
        <v>0</v>
      </c>
      <c r="R324" s="38">
        <f>IFERROR(VLOOKUP($F324,bug_conf_sheet!$A:$H,7,FALSE),VLOOKUP("other",bug_conf_sheet!$A:$H,7,FALSE))</f>
        <v>0</v>
      </c>
      <c r="S324" s="38">
        <f>IFERROR(VLOOKUP($F324,bug_conf_sheet!$A:$H,8,FALSE),VLOOKUP("other",bug_conf_sheet!$A:$H,8,FALSE))</f>
        <v>1</v>
      </c>
    </row>
    <row r="325" spans="1:19" ht="21" customHeight="1">
      <c r="A325" s="7" t="str">
        <f t="shared" si="37"/>
        <v>1883323</v>
      </c>
      <c r="B325" s="2" t="str">
        <f t="shared" si="39"/>
        <v>1883</v>
      </c>
      <c r="C325" s="8" t="str">
        <f t="shared" si="36"/>
        <v>3PremiumSS5</v>
      </c>
      <c r="D325" s="8" t="str">
        <f t="shared" si="38"/>
        <v>3PremiumSS5</v>
      </c>
      <c r="E325" s="10">
        <v>3</v>
      </c>
      <c r="F325" s="6">
        <v>323</v>
      </c>
      <c r="G325" s="8" t="str">
        <f>VLOOKUP(F325,[1]characters!$A:$C,3,FALSE)</f>
        <v>流麗の愛志士 土方歳三</v>
      </c>
      <c r="H325" s="8" t="str">
        <f>VLOOKUP(F325,[1]characters!$A:$J,10,FALSE)</f>
        <v>PremiumSS</v>
      </c>
      <c r="I325" s="8">
        <f>VLOOKUP(F325,[1]characters!$A:$I,9,FALSE)</f>
        <v>5</v>
      </c>
      <c r="J325" s="8" t="str">
        <f>VLOOKUP(F325,[1]characters!$A:$H,8,FALSE)</f>
        <v>green</v>
      </c>
      <c r="K325" s="8" t="str">
        <f>VLOOKUP(F325,[1]characters!$A:$K,11,FALSE)</f>
        <v>attack</v>
      </c>
      <c r="L325" s="8" t="str">
        <f>VLOOKUP(F325,[1]characters!$A:$M,13,FALSE)</f>
        <v>human</v>
      </c>
      <c r="M325" s="16">
        <f>VLOOKUP(D325,gacha_188_base!A:B,2,FALSE)</f>
        <v>109</v>
      </c>
      <c r="N325" s="38">
        <f>IFERROR(VLOOKUP($F325,bug_conf_sheet!$A:$H,3,FALSE),VLOOKUP("other",bug_conf_sheet!$A:$H,3,FALSE))</f>
        <v>1</v>
      </c>
      <c r="O325" s="38">
        <f>IFERROR(VLOOKUP($F325,bug_conf_sheet!$A:$H,4,FALSE),VLOOKUP("other",bug_conf_sheet!$A:$H,4,FALSE))</f>
        <v>0</v>
      </c>
      <c r="P325" s="38">
        <f>IFERROR(VLOOKUP($F325,bug_conf_sheet!$A:$H,5,FALSE),VLOOKUP("other",bug_conf_sheet!$A:$H,5,FALSE))</f>
        <v>0</v>
      </c>
      <c r="Q325" s="38">
        <f>IFERROR(VLOOKUP($F325,bug_conf_sheet!$A:$H,6,FALSE),VLOOKUP("other",bug_conf_sheet!$A:$H,6,FALSE))</f>
        <v>0</v>
      </c>
      <c r="R325" s="38">
        <f>IFERROR(VLOOKUP($F325,bug_conf_sheet!$A:$H,7,FALSE),VLOOKUP("other",bug_conf_sheet!$A:$H,7,FALSE))</f>
        <v>0</v>
      </c>
      <c r="S325" s="38">
        <f>IFERROR(VLOOKUP($F325,bug_conf_sheet!$A:$H,8,FALSE),VLOOKUP("other",bug_conf_sheet!$A:$H,8,FALSE))</f>
        <v>1</v>
      </c>
    </row>
    <row r="326" spans="1:19" ht="21" hidden="1" customHeight="1">
      <c r="A326" s="7" t="str">
        <f t="shared" si="37"/>
        <v>1883324</v>
      </c>
      <c r="B326" s="2" t="str">
        <f t="shared" si="39"/>
        <v>1883</v>
      </c>
      <c r="C326" s="8" t="str">
        <f t="shared" si="36"/>
        <v>3PremiumSS4</v>
      </c>
      <c r="D326" s="8" t="str">
        <f t="shared" si="38"/>
        <v>3PremiumSS4</v>
      </c>
      <c r="E326" s="10">
        <v>3</v>
      </c>
      <c r="F326" s="6">
        <v>324</v>
      </c>
      <c r="G326" s="8" t="str">
        <f>VLOOKUP(F326,[1]characters!$A:$C,3,FALSE)</f>
        <v>凛志士 沖田総司</v>
      </c>
      <c r="H326" s="8" t="str">
        <f>VLOOKUP(F326,[1]characters!$A:$J,10,FALSE)</f>
        <v>PremiumSS</v>
      </c>
      <c r="I326" s="8">
        <f>VLOOKUP(F326,[1]characters!$A:$I,9,FALSE)</f>
        <v>4</v>
      </c>
      <c r="J326" s="8" t="str">
        <f>VLOOKUP(F326,[1]characters!$A:$H,8,FALSE)</f>
        <v>blue</v>
      </c>
      <c r="K326" s="8" t="str">
        <f>VLOOKUP(F326,[1]characters!$A:$K,11,FALSE)</f>
        <v>balance</v>
      </c>
      <c r="L326" s="8" t="str">
        <f>VLOOKUP(F326,[1]characters!$A:$M,13,FALSE)</f>
        <v>human</v>
      </c>
      <c r="M326" s="16">
        <f>VLOOKUP(D326,gacha_188_base!A:B,2,FALSE)</f>
        <v>1709</v>
      </c>
      <c r="N326" s="38">
        <f>IFERROR(VLOOKUP($F326,bug_conf_sheet!$A:$H,3,FALSE),VLOOKUP("other",bug_conf_sheet!$A:$H,3,FALSE))</f>
        <v>1</v>
      </c>
      <c r="O326" s="38">
        <f>IFERROR(VLOOKUP($F326,bug_conf_sheet!$A:$H,4,FALSE),VLOOKUP("other",bug_conf_sheet!$A:$H,4,FALSE))</f>
        <v>0</v>
      </c>
      <c r="P326" s="38">
        <f>IFERROR(VLOOKUP($F326,bug_conf_sheet!$A:$H,5,FALSE),VLOOKUP("other",bug_conf_sheet!$A:$H,5,FALSE))</f>
        <v>0</v>
      </c>
      <c r="Q326" s="38">
        <f>IFERROR(VLOOKUP($F326,bug_conf_sheet!$A:$H,6,FALSE),VLOOKUP("other",bug_conf_sheet!$A:$H,6,FALSE))</f>
        <v>0</v>
      </c>
      <c r="R326" s="38">
        <f>IFERROR(VLOOKUP($F326,bug_conf_sheet!$A:$H,7,FALSE),VLOOKUP("other",bug_conf_sheet!$A:$H,7,FALSE))</f>
        <v>0</v>
      </c>
      <c r="S326" s="38">
        <f>IFERROR(VLOOKUP($F326,bug_conf_sheet!$A:$H,8,FALSE),VLOOKUP("other",bug_conf_sheet!$A:$H,8,FALSE))</f>
        <v>1</v>
      </c>
    </row>
    <row r="327" spans="1:19" s="14" customFormat="1" ht="21" customHeight="1" thickBot="1">
      <c r="A327" s="7" t="str">
        <f t="shared" si="37"/>
        <v>1883325</v>
      </c>
      <c r="B327" s="2" t="str">
        <f t="shared" si="39"/>
        <v>1883</v>
      </c>
      <c r="C327" s="8" t="str">
        <f t="shared" si="36"/>
        <v>3PremiumSS5</v>
      </c>
      <c r="D327" s="8" t="str">
        <f t="shared" si="38"/>
        <v>3PremiumSS5</v>
      </c>
      <c r="E327" s="10">
        <v>3</v>
      </c>
      <c r="F327" s="6">
        <v>325</v>
      </c>
      <c r="G327" s="8" t="str">
        <f>VLOOKUP(F327,[1]characters!$A:$C,3,FALSE)</f>
        <v>天賦の凛志士 沖田総司</v>
      </c>
      <c r="H327" s="8" t="str">
        <f>VLOOKUP(F327,[1]characters!$A:$J,10,FALSE)</f>
        <v>PremiumSS</v>
      </c>
      <c r="I327" s="8">
        <f>VLOOKUP(F327,[1]characters!$A:$I,9,FALSE)</f>
        <v>5</v>
      </c>
      <c r="J327" s="8" t="str">
        <f>VLOOKUP(F327,[1]characters!$A:$H,8,FALSE)</f>
        <v>blue</v>
      </c>
      <c r="K327" s="8" t="str">
        <f>VLOOKUP(F327,[1]characters!$A:$K,11,FALSE)</f>
        <v>balance</v>
      </c>
      <c r="L327" s="8" t="str">
        <f>VLOOKUP(F327,[1]characters!$A:$M,13,FALSE)</f>
        <v>human</v>
      </c>
      <c r="M327" s="16">
        <f>VLOOKUP(D327,gacha_188_base!A:B,2,FALSE)</f>
        <v>109</v>
      </c>
      <c r="N327" s="38">
        <f>IFERROR(VLOOKUP($F327,bug_conf_sheet!$A:$H,3,FALSE),VLOOKUP("other",bug_conf_sheet!$A:$H,3,FALSE))</f>
        <v>1</v>
      </c>
      <c r="O327" s="38">
        <f>IFERROR(VLOOKUP($F327,bug_conf_sheet!$A:$H,4,FALSE),VLOOKUP("other",bug_conf_sheet!$A:$H,4,FALSE))</f>
        <v>0</v>
      </c>
      <c r="P327" s="38">
        <f>IFERROR(VLOOKUP($F327,bug_conf_sheet!$A:$H,5,FALSE),VLOOKUP("other",bug_conf_sheet!$A:$H,5,FALSE))</f>
        <v>0</v>
      </c>
      <c r="Q327" s="38">
        <f>IFERROR(VLOOKUP($F327,bug_conf_sheet!$A:$H,6,FALSE),VLOOKUP("other",bug_conf_sheet!$A:$H,6,FALSE))</f>
        <v>0</v>
      </c>
      <c r="R327" s="38">
        <f>IFERROR(VLOOKUP($F327,bug_conf_sheet!$A:$H,7,FALSE),VLOOKUP("other",bug_conf_sheet!$A:$H,7,FALSE))</f>
        <v>0</v>
      </c>
      <c r="S327" s="38">
        <f>IFERROR(VLOOKUP($F327,bug_conf_sheet!$A:$H,8,FALSE),VLOOKUP("other",bug_conf_sheet!$A:$H,8,FALSE))</f>
        <v>1</v>
      </c>
    </row>
    <row r="328" spans="1:19" ht="21" hidden="1" customHeight="1">
      <c r="A328" s="7" t="str">
        <f t="shared" si="37"/>
        <v>1883326</v>
      </c>
      <c r="B328" s="2" t="str">
        <f t="shared" si="39"/>
        <v>1883</v>
      </c>
      <c r="C328" s="8" t="str">
        <f t="shared" si="36"/>
        <v>3PremiumSS4</v>
      </c>
      <c r="D328" s="8" t="str">
        <f t="shared" si="38"/>
        <v>3PremiumSS4</v>
      </c>
      <c r="E328" s="10">
        <v>3</v>
      </c>
      <c r="F328" s="6">
        <v>326</v>
      </c>
      <c r="G328" s="8" t="str">
        <f>VLOOKUP(F328,[1]characters!$A:$C,3,FALSE)</f>
        <v>妖志士 斎藤一</v>
      </c>
      <c r="H328" s="8" t="str">
        <f>VLOOKUP(F328,[1]characters!$A:$J,10,FALSE)</f>
        <v>PremiumSS</v>
      </c>
      <c r="I328" s="8">
        <f>VLOOKUP(F328,[1]characters!$A:$I,9,FALSE)</f>
        <v>4</v>
      </c>
      <c r="J328" s="8" t="str">
        <f>VLOOKUP(F328,[1]characters!$A:$H,8,FALSE)</f>
        <v>yellow</v>
      </c>
      <c r="K328" s="8" t="str">
        <f>VLOOKUP(F328,[1]characters!$A:$K,11,FALSE)</f>
        <v>technical</v>
      </c>
      <c r="L328" s="8" t="str">
        <f>VLOOKUP(F328,[1]characters!$A:$M,13,FALSE)</f>
        <v>human</v>
      </c>
      <c r="M328" s="16">
        <f>VLOOKUP(D328,gacha_188_base!A:B,2,FALSE)</f>
        <v>1709</v>
      </c>
      <c r="N328" s="38">
        <f>IFERROR(VLOOKUP($F328,bug_conf_sheet!$A:$H,3,FALSE),VLOOKUP("other",bug_conf_sheet!$A:$H,3,FALSE))</f>
        <v>1</v>
      </c>
      <c r="O328" s="38">
        <f>IFERROR(VLOOKUP($F328,bug_conf_sheet!$A:$H,4,FALSE),VLOOKUP("other",bug_conf_sheet!$A:$H,4,FALSE))</f>
        <v>0</v>
      </c>
      <c r="P328" s="38">
        <f>IFERROR(VLOOKUP($F328,bug_conf_sheet!$A:$H,5,FALSE),VLOOKUP("other",bug_conf_sheet!$A:$H,5,FALSE))</f>
        <v>0</v>
      </c>
      <c r="Q328" s="38">
        <f>IFERROR(VLOOKUP($F328,bug_conf_sheet!$A:$H,6,FALSE),VLOOKUP("other",bug_conf_sheet!$A:$H,6,FALSE))</f>
        <v>0</v>
      </c>
      <c r="R328" s="38">
        <f>IFERROR(VLOOKUP($F328,bug_conf_sheet!$A:$H,7,FALSE),VLOOKUP("other",bug_conf_sheet!$A:$H,7,FALSE))</f>
        <v>0</v>
      </c>
      <c r="S328" s="38">
        <f>IFERROR(VLOOKUP($F328,bug_conf_sheet!$A:$H,8,FALSE),VLOOKUP("other",bug_conf_sheet!$A:$H,8,FALSE))</f>
        <v>1</v>
      </c>
    </row>
    <row r="329" spans="1:19" ht="21" customHeight="1">
      <c r="A329" s="7" t="str">
        <f t="shared" si="37"/>
        <v>1883327</v>
      </c>
      <c r="B329" s="2" t="str">
        <f t="shared" si="39"/>
        <v>1883</v>
      </c>
      <c r="C329" s="8" t="str">
        <f t="shared" si="36"/>
        <v>3PremiumSS5</v>
      </c>
      <c r="D329" s="8" t="str">
        <f t="shared" si="38"/>
        <v>3PremiumSS5</v>
      </c>
      <c r="E329" s="10">
        <v>3</v>
      </c>
      <c r="F329" s="6">
        <v>327</v>
      </c>
      <c r="G329" s="8" t="str">
        <f>VLOOKUP(F329,[1]characters!$A:$C,3,FALSE)</f>
        <v>千殺の妖志士 斎藤一</v>
      </c>
      <c r="H329" s="8" t="str">
        <f>VLOOKUP(F329,[1]characters!$A:$J,10,FALSE)</f>
        <v>PremiumSS</v>
      </c>
      <c r="I329" s="8">
        <f>VLOOKUP(F329,[1]characters!$A:$I,9,FALSE)</f>
        <v>5</v>
      </c>
      <c r="J329" s="8" t="str">
        <f>VLOOKUP(F329,[1]characters!$A:$H,8,FALSE)</f>
        <v>yellow</v>
      </c>
      <c r="K329" s="8" t="str">
        <f>VLOOKUP(F329,[1]characters!$A:$K,11,FALSE)</f>
        <v>technical</v>
      </c>
      <c r="L329" s="8" t="str">
        <f>VLOOKUP(F329,[1]characters!$A:$M,13,FALSE)</f>
        <v>human</v>
      </c>
      <c r="M329" s="16">
        <f>VLOOKUP(D329,gacha_188_base!A:B,2,FALSE)</f>
        <v>109</v>
      </c>
      <c r="N329" s="38">
        <f>IFERROR(VLOOKUP($F329,bug_conf_sheet!$A:$H,3,FALSE),VLOOKUP("other",bug_conf_sheet!$A:$H,3,FALSE))</f>
        <v>1</v>
      </c>
      <c r="O329" s="38">
        <f>IFERROR(VLOOKUP($F329,bug_conf_sheet!$A:$H,4,FALSE),VLOOKUP("other",bug_conf_sheet!$A:$H,4,FALSE))</f>
        <v>0</v>
      </c>
      <c r="P329" s="38">
        <f>IFERROR(VLOOKUP($F329,bug_conf_sheet!$A:$H,5,FALSE),VLOOKUP("other",bug_conf_sheet!$A:$H,5,FALSE))</f>
        <v>0</v>
      </c>
      <c r="Q329" s="38">
        <f>IFERROR(VLOOKUP($F329,bug_conf_sheet!$A:$H,6,FALSE),VLOOKUP("other",bug_conf_sheet!$A:$H,6,FALSE))</f>
        <v>0</v>
      </c>
      <c r="R329" s="38">
        <f>IFERROR(VLOOKUP($F329,bug_conf_sheet!$A:$H,7,FALSE),VLOOKUP("other",bug_conf_sheet!$A:$H,7,FALSE))</f>
        <v>0</v>
      </c>
      <c r="S329" s="38">
        <f>IFERROR(VLOOKUP($F329,bug_conf_sheet!$A:$H,8,FALSE),VLOOKUP("other",bug_conf_sheet!$A:$H,8,FALSE))</f>
        <v>1</v>
      </c>
    </row>
    <row r="330" spans="1:19" ht="21" hidden="1" customHeight="1">
      <c r="A330" s="7" t="str">
        <f t="shared" si="37"/>
        <v>1883381</v>
      </c>
      <c r="B330" s="2" t="str">
        <f t="shared" si="39"/>
        <v>1883</v>
      </c>
      <c r="C330" s="8" t="str">
        <f t="shared" si="36"/>
        <v>3PremiumS4</v>
      </c>
      <c r="D330" s="8" t="str">
        <f t="shared" si="38"/>
        <v>3PremiumS4</v>
      </c>
      <c r="E330" s="10">
        <v>3</v>
      </c>
      <c r="F330" s="6">
        <v>381</v>
      </c>
      <c r="G330" s="8" t="str">
        <f>VLOOKUP(F330,[1]characters!$A:$C,3,FALSE)</f>
        <v>肉食の恋火 バハムート</v>
      </c>
      <c r="H330" s="8" t="str">
        <f>VLOOKUP(F330,[1]characters!$A:$J,10,FALSE)</f>
        <v>PremiumS</v>
      </c>
      <c r="I330" s="8">
        <f>VLOOKUP(F330,[1]characters!$A:$I,9,FALSE)</f>
        <v>4</v>
      </c>
      <c r="J330" s="8" t="str">
        <f>VLOOKUP(F330,[1]characters!$A:$H,8,FALSE)</f>
        <v>red</v>
      </c>
      <c r="K330" s="8" t="str">
        <f>VLOOKUP(F330,[1]characters!$A:$K,11,FALSE)</f>
        <v>technical</v>
      </c>
      <c r="L330" s="8" t="str">
        <f>VLOOKUP(F330,[1]characters!$A:$M,13,FALSE)</f>
        <v>dragon</v>
      </c>
      <c r="M330" s="16">
        <f>VLOOKUP(D330,gacha_188_base!A:B,2,FALSE)</f>
        <v>14962</v>
      </c>
      <c r="N330" s="38">
        <f>IFERROR(VLOOKUP($F330,bug_conf_sheet!$A:$H,3,FALSE),VLOOKUP("other",bug_conf_sheet!$A:$H,3,FALSE))</f>
        <v>1</v>
      </c>
      <c r="O330" s="38">
        <f>IFERROR(VLOOKUP($F330,bug_conf_sheet!$A:$H,4,FALSE),VLOOKUP("other",bug_conf_sheet!$A:$H,4,FALSE))</f>
        <v>0</v>
      </c>
      <c r="P330" s="38">
        <f>IFERROR(VLOOKUP($F330,bug_conf_sheet!$A:$H,5,FALSE),VLOOKUP("other",bug_conf_sheet!$A:$H,5,FALSE))</f>
        <v>0</v>
      </c>
      <c r="Q330" s="38">
        <f>IFERROR(VLOOKUP($F330,bug_conf_sheet!$A:$H,6,FALSE),VLOOKUP("other",bug_conf_sheet!$A:$H,6,FALSE))</f>
        <v>0</v>
      </c>
      <c r="R330" s="38">
        <f>IFERROR(VLOOKUP($F330,bug_conf_sheet!$A:$H,7,FALSE),VLOOKUP("other",bug_conf_sheet!$A:$H,7,FALSE))</f>
        <v>0</v>
      </c>
      <c r="S330" s="38">
        <f>IFERROR(VLOOKUP($F330,bug_conf_sheet!$A:$H,8,FALSE),VLOOKUP("other",bug_conf_sheet!$A:$H,8,FALSE))</f>
        <v>1</v>
      </c>
    </row>
    <row r="331" spans="1:19" ht="21" customHeight="1">
      <c r="A331" s="7" t="str">
        <f t="shared" si="37"/>
        <v>1883382</v>
      </c>
      <c r="B331" s="2" t="str">
        <f t="shared" si="39"/>
        <v>1883</v>
      </c>
      <c r="C331" s="8" t="str">
        <f t="shared" si="36"/>
        <v>3PremiumS5</v>
      </c>
      <c r="D331" s="8" t="str">
        <f t="shared" si="38"/>
        <v>3PremiumS5</v>
      </c>
      <c r="E331" s="10">
        <v>3</v>
      </c>
      <c r="F331" s="6">
        <v>382</v>
      </c>
      <c r="G331" s="8" t="str">
        <f>VLOOKUP(F331,[1]characters!$A:$C,3,FALSE)</f>
        <v>激情の愛炎 バハムート</v>
      </c>
      <c r="H331" s="8" t="str">
        <f>VLOOKUP(F331,[1]characters!$A:$J,10,FALSE)</f>
        <v>PremiumS</v>
      </c>
      <c r="I331" s="8">
        <f>VLOOKUP(F331,[1]characters!$A:$I,9,FALSE)</f>
        <v>5</v>
      </c>
      <c r="J331" s="8" t="str">
        <f>VLOOKUP(F331,[1]characters!$A:$H,8,FALSE)</f>
        <v>red</v>
      </c>
      <c r="K331" s="8" t="str">
        <f>VLOOKUP(F331,[1]characters!$A:$K,11,FALSE)</f>
        <v>technical</v>
      </c>
      <c r="L331" s="8" t="str">
        <f>VLOOKUP(F331,[1]characters!$A:$M,13,FALSE)</f>
        <v>dragon</v>
      </c>
      <c r="M331" s="16">
        <f>VLOOKUP(D331,gacha_188_base!A:B,2,FALSE)</f>
        <v>955</v>
      </c>
      <c r="N331" s="38">
        <f>IFERROR(VLOOKUP($F331,bug_conf_sheet!$A:$H,3,FALSE),VLOOKUP("other",bug_conf_sheet!$A:$H,3,FALSE))</f>
        <v>1</v>
      </c>
      <c r="O331" s="38">
        <f>IFERROR(VLOOKUP($F331,bug_conf_sheet!$A:$H,4,FALSE),VLOOKUP("other",bug_conf_sheet!$A:$H,4,FALSE))</f>
        <v>0</v>
      </c>
      <c r="P331" s="38">
        <f>IFERROR(VLOOKUP($F331,bug_conf_sheet!$A:$H,5,FALSE),VLOOKUP("other",bug_conf_sheet!$A:$H,5,FALSE))</f>
        <v>0</v>
      </c>
      <c r="Q331" s="38">
        <f>IFERROR(VLOOKUP($F331,bug_conf_sheet!$A:$H,6,FALSE),VLOOKUP("other",bug_conf_sheet!$A:$H,6,FALSE))</f>
        <v>0</v>
      </c>
      <c r="R331" s="38">
        <f>IFERROR(VLOOKUP($F331,bug_conf_sheet!$A:$H,7,FALSE),VLOOKUP("other",bug_conf_sheet!$A:$H,7,FALSE))</f>
        <v>0</v>
      </c>
      <c r="S331" s="38">
        <f>IFERROR(VLOOKUP($F331,bug_conf_sheet!$A:$H,8,FALSE),VLOOKUP("other",bug_conf_sheet!$A:$H,8,FALSE))</f>
        <v>1</v>
      </c>
    </row>
    <row r="332" spans="1:19" ht="21" hidden="1" customHeight="1">
      <c r="A332" s="7" t="str">
        <f t="shared" si="37"/>
        <v>1883383</v>
      </c>
      <c r="B332" s="2" t="str">
        <f t="shared" si="39"/>
        <v>1883</v>
      </c>
      <c r="C332" s="8" t="str">
        <f t="shared" si="36"/>
        <v>3PremiumSS4</v>
      </c>
      <c r="D332" s="8" t="str">
        <f t="shared" si="38"/>
        <v>3PremiumSS4</v>
      </c>
      <c r="E332" s="10">
        <v>3</v>
      </c>
      <c r="F332" s="6">
        <v>383</v>
      </c>
      <c r="G332" s="8" t="str">
        <f>VLOOKUP(F332,[1]characters!$A:$C,3,FALSE)</f>
        <v>酒宴の蟒蛇 ヤマタノオロチ</v>
      </c>
      <c r="H332" s="8" t="str">
        <f>VLOOKUP(F332,[1]characters!$A:$J,10,FALSE)</f>
        <v>PremiumSS</v>
      </c>
      <c r="I332" s="8">
        <f>VLOOKUP(F332,[1]characters!$A:$I,9,FALSE)</f>
        <v>4</v>
      </c>
      <c r="J332" s="8" t="str">
        <f>VLOOKUP(F332,[1]characters!$A:$H,8,FALSE)</f>
        <v>green</v>
      </c>
      <c r="K332" s="8" t="str">
        <f>VLOOKUP(F332,[1]characters!$A:$K,11,FALSE)</f>
        <v>hp</v>
      </c>
      <c r="L332" s="8" t="str">
        <f>VLOOKUP(F332,[1]characters!$A:$M,13,FALSE)</f>
        <v>dragon</v>
      </c>
      <c r="M332" s="16">
        <f>VLOOKUP(D332,gacha_188_base!A:B,2,FALSE)</f>
        <v>1709</v>
      </c>
      <c r="N332" s="38">
        <f>IFERROR(VLOOKUP($F332,bug_conf_sheet!$A:$H,3,FALSE),VLOOKUP("other",bug_conf_sheet!$A:$H,3,FALSE))</f>
        <v>1</v>
      </c>
      <c r="O332" s="38">
        <f>IFERROR(VLOOKUP($F332,bug_conf_sheet!$A:$H,4,FALSE),VLOOKUP("other",bug_conf_sheet!$A:$H,4,FALSE))</f>
        <v>0</v>
      </c>
      <c r="P332" s="38">
        <f>IFERROR(VLOOKUP($F332,bug_conf_sheet!$A:$H,5,FALSE),VLOOKUP("other",bug_conf_sheet!$A:$H,5,FALSE))</f>
        <v>0</v>
      </c>
      <c r="Q332" s="38">
        <f>IFERROR(VLOOKUP($F332,bug_conf_sheet!$A:$H,6,FALSE),VLOOKUP("other",bug_conf_sheet!$A:$H,6,FALSE))</f>
        <v>0</v>
      </c>
      <c r="R332" s="38">
        <f>IFERROR(VLOOKUP($F332,bug_conf_sheet!$A:$H,7,FALSE),VLOOKUP("other",bug_conf_sheet!$A:$H,7,FALSE))</f>
        <v>0</v>
      </c>
      <c r="S332" s="38">
        <f>IFERROR(VLOOKUP($F332,bug_conf_sheet!$A:$H,8,FALSE),VLOOKUP("other",bug_conf_sheet!$A:$H,8,FALSE))</f>
        <v>1</v>
      </c>
    </row>
    <row r="333" spans="1:19" ht="21" customHeight="1">
      <c r="A333" s="7" t="str">
        <f t="shared" si="37"/>
        <v>1883384</v>
      </c>
      <c r="B333" s="2" t="str">
        <f t="shared" si="39"/>
        <v>1883</v>
      </c>
      <c r="C333" s="8" t="str">
        <f t="shared" si="36"/>
        <v>3PremiumSS5</v>
      </c>
      <c r="D333" s="8" t="str">
        <f t="shared" si="38"/>
        <v>3PremiumSS5</v>
      </c>
      <c r="E333" s="10">
        <v>3</v>
      </c>
      <c r="F333" s="6">
        <v>384</v>
      </c>
      <c r="G333" s="8" t="str">
        <f>VLOOKUP(F333,[1]characters!$A:$C,3,FALSE)</f>
        <v>破国の呑龍 ヤマタノオロチ</v>
      </c>
      <c r="H333" s="8" t="str">
        <f>VLOOKUP(F333,[1]characters!$A:$J,10,FALSE)</f>
        <v>PremiumSS</v>
      </c>
      <c r="I333" s="8">
        <f>VLOOKUP(F333,[1]characters!$A:$I,9,FALSE)</f>
        <v>5</v>
      </c>
      <c r="J333" s="8" t="str">
        <f>VLOOKUP(F333,[1]characters!$A:$H,8,FALSE)</f>
        <v>green</v>
      </c>
      <c r="K333" s="8" t="str">
        <f>VLOOKUP(F333,[1]characters!$A:$K,11,FALSE)</f>
        <v>hp</v>
      </c>
      <c r="L333" s="8" t="str">
        <f>VLOOKUP(F333,[1]characters!$A:$M,13,FALSE)</f>
        <v>dragon</v>
      </c>
      <c r="M333" s="16">
        <f>VLOOKUP(D333,gacha_188_base!A:B,2,FALSE)</f>
        <v>109</v>
      </c>
      <c r="N333" s="38">
        <f>IFERROR(VLOOKUP($F333,bug_conf_sheet!$A:$H,3,FALSE),VLOOKUP("other",bug_conf_sheet!$A:$H,3,FALSE))</f>
        <v>1</v>
      </c>
      <c r="O333" s="38">
        <f>IFERROR(VLOOKUP($F333,bug_conf_sheet!$A:$H,4,FALSE),VLOOKUP("other",bug_conf_sheet!$A:$H,4,FALSE))</f>
        <v>0</v>
      </c>
      <c r="P333" s="38">
        <f>IFERROR(VLOOKUP($F333,bug_conf_sheet!$A:$H,5,FALSE),VLOOKUP("other",bug_conf_sheet!$A:$H,5,FALSE))</f>
        <v>0</v>
      </c>
      <c r="Q333" s="38">
        <f>IFERROR(VLOOKUP($F333,bug_conf_sheet!$A:$H,6,FALSE),VLOOKUP("other",bug_conf_sheet!$A:$H,6,FALSE))</f>
        <v>0</v>
      </c>
      <c r="R333" s="38">
        <f>IFERROR(VLOOKUP($F333,bug_conf_sheet!$A:$H,7,FALSE),VLOOKUP("other",bug_conf_sheet!$A:$H,7,FALSE))</f>
        <v>0</v>
      </c>
      <c r="S333" s="38">
        <f>IFERROR(VLOOKUP($F333,bug_conf_sheet!$A:$H,8,FALSE),VLOOKUP("other",bug_conf_sheet!$A:$H,8,FALSE))</f>
        <v>1</v>
      </c>
    </row>
    <row r="334" spans="1:19" ht="21" hidden="1" customHeight="1">
      <c r="A334" s="7" t="str">
        <f t="shared" si="37"/>
        <v>1883385</v>
      </c>
      <c r="B334" s="2" t="str">
        <f t="shared" si="39"/>
        <v>1883</v>
      </c>
      <c r="C334" s="8" t="str">
        <f t="shared" si="36"/>
        <v>3PremiumSS4</v>
      </c>
      <c r="D334" s="8" t="str">
        <f t="shared" si="38"/>
        <v>3PremiumSS4</v>
      </c>
      <c r="E334" s="10">
        <v>3</v>
      </c>
      <c r="F334" s="6">
        <v>385</v>
      </c>
      <c r="G334" s="8" t="str">
        <f>VLOOKUP(F334,[1]characters!$A:$C,3,FALSE)</f>
        <v>波烈の出奔 リヴァイアサン</v>
      </c>
      <c r="H334" s="8" t="str">
        <f>VLOOKUP(F334,[1]characters!$A:$J,10,FALSE)</f>
        <v>PremiumSS</v>
      </c>
      <c r="I334" s="8">
        <f>VLOOKUP(F334,[1]characters!$A:$I,9,FALSE)</f>
        <v>4</v>
      </c>
      <c r="J334" s="8" t="str">
        <f>VLOOKUP(F334,[1]characters!$A:$H,8,FALSE)</f>
        <v>blue</v>
      </c>
      <c r="K334" s="8" t="str">
        <f>VLOOKUP(F334,[1]characters!$A:$K,11,FALSE)</f>
        <v>balance</v>
      </c>
      <c r="L334" s="8" t="str">
        <f>VLOOKUP(F334,[1]characters!$A:$M,13,FALSE)</f>
        <v>dragon</v>
      </c>
      <c r="M334" s="16">
        <f>VLOOKUP(D334,gacha_188_base!A:B,2,FALSE)</f>
        <v>1709</v>
      </c>
      <c r="N334" s="38">
        <f>IFERROR(VLOOKUP($F334,bug_conf_sheet!$A:$H,3,FALSE),VLOOKUP("other",bug_conf_sheet!$A:$H,3,FALSE))</f>
        <v>1</v>
      </c>
      <c r="O334" s="38">
        <f>IFERROR(VLOOKUP($F334,bug_conf_sheet!$A:$H,4,FALSE),VLOOKUP("other",bug_conf_sheet!$A:$H,4,FALSE))</f>
        <v>0</v>
      </c>
      <c r="P334" s="38">
        <f>IFERROR(VLOOKUP($F334,bug_conf_sheet!$A:$H,5,FALSE),VLOOKUP("other",bug_conf_sheet!$A:$H,5,FALSE))</f>
        <v>0</v>
      </c>
      <c r="Q334" s="38">
        <f>IFERROR(VLOOKUP($F334,bug_conf_sheet!$A:$H,6,FALSE),VLOOKUP("other",bug_conf_sheet!$A:$H,6,FALSE))</f>
        <v>0</v>
      </c>
      <c r="R334" s="38">
        <f>IFERROR(VLOOKUP($F334,bug_conf_sheet!$A:$H,7,FALSE),VLOOKUP("other",bug_conf_sheet!$A:$H,7,FALSE))</f>
        <v>0</v>
      </c>
      <c r="S334" s="38">
        <f>IFERROR(VLOOKUP($F334,bug_conf_sheet!$A:$H,8,FALSE),VLOOKUP("other",bug_conf_sheet!$A:$H,8,FALSE))</f>
        <v>1</v>
      </c>
    </row>
    <row r="335" spans="1:19" ht="21" customHeight="1">
      <c r="A335" s="7" t="str">
        <f t="shared" si="37"/>
        <v>1883386</v>
      </c>
      <c r="B335" s="2" t="str">
        <f t="shared" si="39"/>
        <v>1883</v>
      </c>
      <c r="C335" s="8" t="str">
        <f t="shared" si="36"/>
        <v>3PremiumSS5</v>
      </c>
      <c r="D335" s="8" t="str">
        <f t="shared" si="38"/>
        <v>3PremiumSS5</v>
      </c>
      <c r="E335" s="10">
        <v>3</v>
      </c>
      <c r="F335" s="6">
        <v>386</v>
      </c>
      <c r="G335" s="8" t="str">
        <f>VLOOKUP(F335,[1]characters!$A:$C,3,FALSE)</f>
        <v>氾乱の海龍 リヴァイアサン</v>
      </c>
      <c r="H335" s="8" t="str">
        <f>VLOOKUP(F335,[1]characters!$A:$J,10,FALSE)</f>
        <v>PremiumSS</v>
      </c>
      <c r="I335" s="8">
        <f>VLOOKUP(F335,[1]characters!$A:$I,9,FALSE)</f>
        <v>5</v>
      </c>
      <c r="J335" s="8" t="str">
        <f>VLOOKUP(F335,[1]characters!$A:$H,8,FALSE)</f>
        <v>blue</v>
      </c>
      <c r="K335" s="8" t="str">
        <f>VLOOKUP(F335,[1]characters!$A:$K,11,FALSE)</f>
        <v>balance</v>
      </c>
      <c r="L335" s="8" t="str">
        <f>VLOOKUP(F335,[1]characters!$A:$M,13,FALSE)</f>
        <v>dragon</v>
      </c>
      <c r="M335" s="16">
        <f>VLOOKUP(D335,gacha_188_base!A:B,2,FALSE)</f>
        <v>109</v>
      </c>
      <c r="N335" s="38">
        <f>IFERROR(VLOOKUP($F335,bug_conf_sheet!$A:$H,3,FALSE),VLOOKUP("other",bug_conf_sheet!$A:$H,3,FALSE))</f>
        <v>1</v>
      </c>
      <c r="O335" s="38">
        <f>IFERROR(VLOOKUP($F335,bug_conf_sheet!$A:$H,4,FALSE),VLOOKUP("other",bug_conf_sheet!$A:$H,4,FALSE))</f>
        <v>0</v>
      </c>
      <c r="P335" s="38">
        <f>IFERROR(VLOOKUP($F335,bug_conf_sheet!$A:$H,5,FALSE),VLOOKUP("other",bug_conf_sheet!$A:$H,5,FALSE))</f>
        <v>0</v>
      </c>
      <c r="Q335" s="38">
        <f>IFERROR(VLOOKUP($F335,bug_conf_sheet!$A:$H,6,FALSE),VLOOKUP("other",bug_conf_sheet!$A:$H,6,FALSE))</f>
        <v>0</v>
      </c>
      <c r="R335" s="38">
        <f>IFERROR(VLOOKUP($F335,bug_conf_sheet!$A:$H,7,FALSE),VLOOKUP("other",bug_conf_sheet!$A:$H,7,FALSE))</f>
        <v>0</v>
      </c>
      <c r="S335" s="38">
        <f>IFERROR(VLOOKUP($F335,bug_conf_sheet!$A:$H,8,FALSE),VLOOKUP("other",bug_conf_sheet!$A:$H,8,FALSE))</f>
        <v>1</v>
      </c>
    </row>
    <row r="336" spans="1:19" ht="21" hidden="1" customHeight="1">
      <c r="A336" s="7" t="str">
        <f t="shared" si="37"/>
        <v>1883388</v>
      </c>
      <c r="B336" s="2" t="str">
        <f t="shared" si="39"/>
        <v>1883</v>
      </c>
      <c r="C336" s="8" t="str">
        <f t="shared" si="36"/>
        <v>3PremiumS4</v>
      </c>
      <c r="D336" s="8" t="str">
        <f t="shared" si="38"/>
        <v>3PremiumS4</v>
      </c>
      <c r="E336" s="10">
        <v>3</v>
      </c>
      <c r="F336" s="6">
        <v>388</v>
      </c>
      <c r="G336" s="8" t="str">
        <f>VLOOKUP(F336,[1]characters!$A:$C,3,FALSE)</f>
        <v>神円の恋姫 スフィンクス</v>
      </c>
      <c r="H336" s="8" t="str">
        <f>VLOOKUP(F336,[1]characters!$A:$J,10,FALSE)</f>
        <v>PremiumS</v>
      </c>
      <c r="I336" s="8">
        <f>VLOOKUP(F336,[1]characters!$A:$I,9,FALSE)</f>
        <v>4</v>
      </c>
      <c r="J336" s="8" t="str">
        <f>VLOOKUP(F336,[1]characters!$A:$H,8,FALSE)</f>
        <v>yellow</v>
      </c>
      <c r="K336" s="8" t="str">
        <f>VLOOKUP(F336,[1]characters!$A:$K,11,FALSE)</f>
        <v>heal</v>
      </c>
      <c r="L336" s="8" t="str">
        <f>VLOOKUP(F336,[1]characters!$A:$M,13,FALSE)</f>
        <v>animal</v>
      </c>
      <c r="M336" s="16">
        <f>VLOOKUP(D336,gacha_188_base!A:B,2,FALSE)</f>
        <v>14962</v>
      </c>
      <c r="N336" s="38">
        <f>IFERROR(VLOOKUP($F336,bug_conf_sheet!$A:$H,3,FALSE),VLOOKUP("other",bug_conf_sheet!$A:$H,3,FALSE))</f>
        <v>1</v>
      </c>
      <c r="O336" s="38">
        <f>IFERROR(VLOOKUP($F336,bug_conf_sheet!$A:$H,4,FALSE),VLOOKUP("other",bug_conf_sheet!$A:$H,4,FALSE))</f>
        <v>0</v>
      </c>
      <c r="P336" s="38">
        <f>IFERROR(VLOOKUP($F336,bug_conf_sheet!$A:$H,5,FALSE),VLOOKUP("other",bug_conf_sheet!$A:$H,5,FALSE))</f>
        <v>0</v>
      </c>
      <c r="Q336" s="38">
        <f>IFERROR(VLOOKUP($F336,bug_conf_sheet!$A:$H,6,FALSE),VLOOKUP("other",bug_conf_sheet!$A:$H,6,FALSE))</f>
        <v>0</v>
      </c>
      <c r="R336" s="38">
        <f>IFERROR(VLOOKUP($F336,bug_conf_sheet!$A:$H,7,FALSE),VLOOKUP("other",bug_conf_sheet!$A:$H,7,FALSE))</f>
        <v>0</v>
      </c>
      <c r="S336" s="38">
        <f>IFERROR(VLOOKUP($F336,bug_conf_sheet!$A:$H,8,FALSE),VLOOKUP("other",bug_conf_sheet!$A:$H,8,FALSE))</f>
        <v>1</v>
      </c>
    </row>
    <row r="337" spans="1:19" ht="21" customHeight="1">
      <c r="A337" s="7" t="str">
        <f t="shared" si="37"/>
        <v>1883389</v>
      </c>
      <c r="B337" s="2" t="str">
        <f t="shared" si="39"/>
        <v>1883</v>
      </c>
      <c r="C337" s="8" t="str">
        <f t="shared" si="36"/>
        <v>3PremiumS5</v>
      </c>
      <c r="D337" s="8" t="str">
        <f t="shared" si="38"/>
        <v>3PremiumS5</v>
      </c>
      <c r="E337" s="10">
        <v>3</v>
      </c>
      <c r="F337" s="6">
        <v>389</v>
      </c>
      <c r="G337" s="8" t="str">
        <f>VLOOKUP(F337,[1]characters!$A:$C,3,FALSE)</f>
        <v>操神の愛姫 スフィンクス</v>
      </c>
      <c r="H337" s="8" t="str">
        <f>VLOOKUP(F337,[1]characters!$A:$J,10,FALSE)</f>
        <v>PremiumS</v>
      </c>
      <c r="I337" s="8">
        <f>VLOOKUP(F337,[1]characters!$A:$I,9,FALSE)</f>
        <v>5</v>
      </c>
      <c r="J337" s="8" t="str">
        <f>VLOOKUP(F337,[1]characters!$A:$H,8,FALSE)</f>
        <v>yellow</v>
      </c>
      <c r="K337" s="8" t="str">
        <f>VLOOKUP(F337,[1]characters!$A:$K,11,FALSE)</f>
        <v>heal</v>
      </c>
      <c r="L337" s="8" t="str">
        <f>VLOOKUP(F337,[1]characters!$A:$M,13,FALSE)</f>
        <v>animal</v>
      </c>
      <c r="M337" s="16">
        <f>VLOOKUP(D337,gacha_188_base!A:B,2,FALSE)</f>
        <v>955</v>
      </c>
      <c r="N337" s="38">
        <f>IFERROR(VLOOKUP($F337,bug_conf_sheet!$A:$H,3,FALSE),VLOOKUP("other",bug_conf_sheet!$A:$H,3,FALSE))</f>
        <v>1</v>
      </c>
      <c r="O337" s="38">
        <f>IFERROR(VLOOKUP($F337,bug_conf_sheet!$A:$H,4,FALSE),VLOOKUP("other",bug_conf_sheet!$A:$H,4,FALSE))</f>
        <v>0</v>
      </c>
      <c r="P337" s="38">
        <f>IFERROR(VLOOKUP($F337,bug_conf_sheet!$A:$H,5,FALSE),VLOOKUP("other",bug_conf_sheet!$A:$H,5,FALSE))</f>
        <v>0</v>
      </c>
      <c r="Q337" s="38">
        <f>IFERROR(VLOOKUP($F337,bug_conf_sheet!$A:$H,6,FALSE),VLOOKUP("other",bug_conf_sheet!$A:$H,6,FALSE))</f>
        <v>0</v>
      </c>
      <c r="R337" s="38">
        <f>IFERROR(VLOOKUP($F337,bug_conf_sheet!$A:$H,7,FALSE),VLOOKUP("other",bug_conf_sheet!$A:$H,7,FALSE))</f>
        <v>0</v>
      </c>
      <c r="S337" s="38">
        <f>IFERROR(VLOOKUP($F337,bug_conf_sheet!$A:$H,8,FALSE),VLOOKUP("other",bug_conf_sheet!$A:$H,8,FALSE))</f>
        <v>1</v>
      </c>
    </row>
    <row r="338" spans="1:19" ht="21" hidden="1" customHeight="1">
      <c r="A338" s="7" t="str">
        <f t="shared" si="37"/>
        <v>1883390</v>
      </c>
      <c r="B338" s="2" t="str">
        <f t="shared" si="39"/>
        <v>1883</v>
      </c>
      <c r="C338" s="8" t="str">
        <f t="shared" si="36"/>
        <v>3PremiumSS4</v>
      </c>
      <c r="D338" s="8" t="str">
        <f t="shared" si="38"/>
        <v>3PremiumSS4</v>
      </c>
      <c r="E338" s="10">
        <v>3</v>
      </c>
      <c r="F338" s="6">
        <v>390</v>
      </c>
      <c r="G338" s="8" t="str">
        <f>VLOOKUP(F338,[1]characters!$A:$C,3,FALSE)</f>
        <v>華環の旅客 親指姫</v>
      </c>
      <c r="H338" s="8" t="str">
        <f>VLOOKUP(F338,[1]characters!$A:$J,10,FALSE)</f>
        <v>PremiumSS</v>
      </c>
      <c r="I338" s="8">
        <f>VLOOKUP(F338,[1]characters!$A:$I,9,FALSE)</f>
        <v>4</v>
      </c>
      <c r="J338" s="8" t="str">
        <f>VLOOKUP(F338,[1]characters!$A:$H,8,FALSE)</f>
        <v>red</v>
      </c>
      <c r="K338" s="8" t="str">
        <f>VLOOKUP(F338,[1]characters!$A:$K,11,FALSE)</f>
        <v>heal</v>
      </c>
      <c r="L338" s="8" t="str">
        <f>VLOOKUP(F338,[1]characters!$A:$M,13,FALSE)</f>
        <v>human</v>
      </c>
      <c r="M338" s="16">
        <f>VLOOKUP(D338,gacha_188_base!A:B,2,FALSE)</f>
        <v>1709</v>
      </c>
      <c r="N338" s="38">
        <f>IFERROR(VLOOKUP($F338,bug_conf_sheet!$A:$H,3,FALSE),VLOOKUP("other",bug_conf_sheet!$A:$H,3,FALSE))</f>
        <v>1</v>
      </c>
      <c r="O338" s="38">
        <f>IFERROR(VLOOKUP($F338,bug_conf_sheet!$A:$H,4,FALSE),VLOOKUP("other",bug_conf_sheet!$A:$H,4,FALSE))</f>
        <v>0</v>
      </c>
      <c r="P338" s="38">
        <f>IFERROR(VLOOKUP($F338,bug_conf_sheet!$A:$H,5,FALSE),VLOOKUP("other",bug_conf_sheet!$A:$H,5,FALSE))</f>
        <v>0</v>
      </c>
      <c r="Q338" s="38">
        <f>IFERROR(VLOOKUP($F338,bug_conf_sheet!$A:$H,6,FALSE),VLOOKUP("other",bug_conf_sheet!$A:$H,6,FALSE))</f>
        <v>0</v>
      </c>
      <c r="R338" s="38">
        <f>IFERROR(VLOOKUP($F338,bug_conf_sheet!$A:$H,7,FALSE),VLOOKUP("other",bug_conf_sheet!$A:$H,7,FALSE))</f>
        <v>0</v>
      </c>
      <c r="S338" s="38">
        <f>IFERROR(VLOOKUP($F338,bug_conf_sheet!$A:$H,8,FALSE),VLOOKUP("other",bug_conf_sheet!$A:$H,8,FALSE))</f>
        <v>1</v>
      </c>
    </row>
    <row r="339" spans="1:19" ht="21" customHeight="1">
      <c r="A339" s="7" t="str">
        <f t="shared" si="37"/>
        <v>1883391</v>
      </c>
      <c r="B339" s="2" t="str">
        <f t="shared" si="39"/>
        <v>1883</v>
      </c>
      <c r="C339" s="8" t="str">
        <f t="shared" si="36"/>
        <v>3PremiumSS5</v>
      </c>
      <c r="D339" s="8" t="str">
        <f t="shared" si="38"/>
        <v>3PremiumSS5</v>
      </c>
      <c r="E339" s="10">
        <v>3</v>
      </c>
      <c r="F339" s="6">
        <v>391</v>
      </c>
      <c r="G339" s="8" t="str">
        <f>VLOOKUP(F339,[1]characters!$A:$C,3,FALSE)</f>
        <v>燕翼の旅人 親指姫</v>
      </c>
      <c r="H339" s="8" t="str">
        <f>VLOOKUP(F339,[1]characters!$A:$J,10,FALSE)</f>
        <v>PremiumSS</v>
      </c>
      <c r="I339" s="8">
        <f>VLOOKUP(F339,[1]characters!$A:$I,9,FALSE)</f>
        <v>5</v>
      </c>
      <c r="J339" s="8" t="str">
        <f>VLOOKUP(F339,[1]characters!$A:$H,8,FALSE)</f>
        <v>red</v>
      </c>
      <c r="K339" s="8" t="str">
        <f>VLOOKUP(F339,[1]characters!$A:$K,11,FALSE)</f>
        <v>heal</v>
      </c>
      <c r="L339" s="8" t="str">
        <f>VLOOKUP(F339,[1]characters!$A:$M,13,FALSE)</f>
        <v>human</v>
      </c>
      <c r="M339" s="16">
        <f>VLOOKUP(D339,gacha_188_base!A:B,2,FALSE)</f>
        <v>109</v>
      </c>
      <c r="N339" s="38">
        <f>IFERROR(VLOOKUP($F339,bug_conf_sheet!$A:$H,3,FALSE),VLOOKUP("other",bug_conf_sheet!$A:$H,3,FALSE))</f>
        <v>1</v>
      </c>
      <c r="O339" s="38">
        <f>IFERROR(VLOOKUP($F339,bug_conf_sheet!$A:$H,4,FALSE),VLOOKUP("other",bug_conf_sheet!$A:$H,4,FALSE))</f>
        <v>0</v>
      </c>
      <c r="P339" s="38">
        <f>IFERROR(VLOOKUP($F339,bug_conf_sheet!$A:$H,5,FALSE),VLOOKUP("other",bug_conf_sheet!$A:$H,5,FALSE))</f>
        <v>0</v>
      </c>
      <c r="Q339" s="38">
        <f>IFERROR(VLOOKUP($F339,bug_conf_sheet!$A:$H,6,FALSE),VLOOKUP("other",bug_conf_sheet!$A:$H,6,FALSE))</f>
        <v>0</v>
      </c>
      <c r="R339" s="38">
        <f>IFERROR(VLOOKUP($F339,bug_conf_sheet!$A:$H,7,FALSE),VLOOKUP("other",bug_conf_sheet!$A:$H,7,FALSE))</f>
        <v>0</v>
      </c>
      <c r="S339" s="38">
        <f>IFERROR(VLOOKUP($F339,bug_conf_sheet!$A:$H,8,FALSE),VLOOKUP("other",bug_conf_sheet!$A:$H,8,FALSE))</f>
        <v>1</v>
      </c>
    </row>
    <row r="340" spans="1:19" ht="21" hidden="1" customHeight="1">
      <c r="A340" s="7" t="str">
        <f t="shared" si="37"/>
        <v>1883393</v>
      </c>
      <c r="B340" s="2" t="str">
        <f t="shared" si="39"/>
        <v>1883</v>
      </c>
      <c r="C340" s="8" t="str">
        <f t="shared" si="36"/>
        <v>3PremiumS4</v>
      </c>
      <c r="D340" s="8" t="str">
        <f t="shared" si="38"/>
        <v>3PremiumS4</v>
      </c>
      <c r="E340" s="10">
        <v>3</v>
      </c>
      <c r="F340" s="6">
        <v>393</v>
      </c>
      <c r="G340" s="8" t="str">
        <f>VLOOKUP(F340,[1]characters!$A:$C,3,FALSE)</f>
        <v>影縫い ピーターパン</v>
      </c>
      <c r="H340" s="8" t="str">
        <f>VLOOKUP(F340,[1]characters!$A:$J,10,FALSE)</f>
        <v>PremiumS</v>
      </c>
      <c r="I340" s="8">
        <f>VLOOKUP(F340,[1]characters!$A:$I,9,FALSE)</f>
        <v>4</v>
      </c>
      <c r="J340" s="8" t="str">
        <f>VLOOKUP(F340,[1]characters!$A:$H,8,FALSE)</f>
        <v>green</v>
      </c>
      <c r="K340" s="8" t="str">
        <f>VLOOKUP(F340,[1]characters!$A:$K,11,FALSE)</f>
        <v>attack</v>
      </c>
      <c r="L340" s="8" t="str">
        <f>VLOOKUP(F340,[1]characters!$A:$M,13,FALSE)</f>
        <v>human</v>
      </c>
      <c r="M340" s="16">
        <f>VLOOKUP(D340,gacha_188_base!A:B,2,FALSE)</f>
        <v>14962</v>
      </c>
      <c r="N340" s="38">
        <f>IFERROR(VLOOKUP($F340,bug_conf_sheet!$A:$H,3,FALSE),VLOOKUP("other",bug_conf_sheet!$A:$H,3,FALSE))</f>
        <v>1</v>
      </c>
      <c r="O340" s="38">
        <f>IFERROR(VLOOKUP($F340,bug_conf_sheet!$A:$H,4,FALSE),VLOOKUP("other",bug_conf_sheet!$A:$H,4,FALSE))</f>
        <v>0</v>
      </c>
      <c r="P340" s="38">
        <f>IFERROR(VLOOKUP($F340,bug_conf_sheet!$A:$H,5,FALSE),VLOOKUP("other",bug_conf_sheet!$A:$H,5,FALSE))</f>
        <v>0</v>
      </c>
      <c r="Q340" s="38">
        <f>IFERROR(VLOOKUP($F340,bug_conf_sheet!$A:$H,6,FALSE),VLOOKUP("other",bug_conf_sheet!$A:$H,6,FALSE))</f>
        <v>0</v>
      </c>
      <c r="R340" s="38">
        <f>IFERROR(VLOOKUP($F340,bug_conf_sheet!$A:$H,7,FALSE),VLOOKUP("other",bug_conf_sheet!$A:$H,7,FALSE))</f>
        <v>0</v>
      </c>
      <c r="S340" s="38">
        <f>IFERROR(VLOOKUP($F340,bug_conf_sheet!$A:$H,8,FALSE),VLOOKUP("other",bug_conf_sheet!$A:$H,8,FALSE))</f>
        <v>1</v>
      </c>
    </row>
    <row r="341" spans="1:19" ht="21" customHeight="1">
      <c r="A341" s="7" t="str">
        <f t="shared" si="37"/>
        <v>1883394</v>
      </c>
      <c r="B341" s="2" t="str">
        <f t="shared" si="39"/>
        <v>1883</v>
      </c>
      <c r="C341" s="8" t="str">
        <f t="shared" si="36"/>
        <v>3PremiumS5</v>
      </c>
      <c r="D341" s="8" t="str">
        <f t="shared" si="38"/>
        <v>3PremiumS5</v>
      </c>
      <c r="E341" s="10">
        <v>3</v>
      </c>
      <c r="F341" s="6">
        <v>394</v>
      </c>
      <c r="G341" s="8" t="str">
        <f>VLOOKUP(F341,[1]characters!$A:$C,3,FALSE)</f>
        <v>影求の悪童 ピーターパン</v>
      </c>
      <c r="H341" s="8" t="str">
        <f>VLOOKUP(F341,[1]characters!$A:$J,10,FALSE)</f>
        <v>PremiumS</v>
      </c>
      <c r="I341" s="8">
        <f>VLOOKUP(F341,[1]characters!$A:$I,9,FALSE)</f>
        <v>5</v>
      </c>
      <c r="J341" s="8" t="str">
        <f>VLOOKUP(F341,[1]characters!$A:$H,8,FALSE)</f>
        <v>green</v>
      </c>
      <c r="K341" s="8" t="str">
        <f>VLOOKUP(F341,[1]characters!$A:$K,11,FALSE)</f>
        <v>attack</v>
      </c>
      <c r="L341" s="8" t="str">
        <f>VLOOKUP(F341,[1]characters!$A:$M,13,FALSE)</f>
        <v>human</v>
      </c>
      <c r="M341" s="16">
        <f>VLOOKUP(D341,gacha_188_base!A:B,2,FALSE)</f>
        <v>955</v>
      </c>
      <c r="N341" s="38">
        <f>IFERROR(VLOOKUP($F341,bug_conf_sheet!$A:$H,3,FALSE),VLOOKUP("other",bug_conf_sheet!$A:$H,3,FALSE))</f>
        <v>1</v>
      </c>
      <c r="O341" s="38">
        <f>IFERROR(VLOOKUP($F341,bug_conf_sheet!$A:$H,4,FALSE),VLOOKUP("other",bug_conf_sheet!$A:$H,4,FALSE))</f>
        <v>0</v>
      </c>
      <c r="P341" s="38">
        <f>IFERROR(VLOOKUP($F341,bug_conf_sheet!$A:$H,5,FALSE),VLOOKUP("other",bug_conf_sheet!$A:$H,5,FALSE))</f>
        <v>0</v>
      </c>
      <c r="Q341" s="38">
        <f>IFERROR(VLOOKUP($F341,bug_conf_sheet!$A:$H,6,FALSE),VLOOKUP("other",bug_conf_sheet!$A:$H,6,FALSE))</f>
        <v>0</v>
      </c>
      <c r="R341" s="38">
        <f>IFERROR(VLOOKUP($F341,bug_conf_sheet!$A:$H,7,FALSE),VLOOKUP("other",bug_conf_sheet!$A:$H,7,FALSE))</f>
        <v>0</v>
      </c>
      <c r="S341" s="38">
        <f>IFERROR(VLOOKUP($F341,bug_conf_sheet!$A:$H,8,FALSE),VLOOKUP("other",bug_conf_sheet!$A:$H,8,FALSE))</f>
        <v>1</v>
      </c>
    </row>
    <row r="342" spans="1:19" ht="21" hidden="1" customHeight="1">
      <c r="A342" s="7" t="str">
        <f t="shared" si="37"/>
        <v>1883396</v>
      </c>
      <c r="B342" s="2" t="str">
        <f t="shared" si="39"/>
        <v>1883</v>
      </c>
      <c r="C342" s="8" t="str">
        <f t="shared" ref="C342:C393" si="40">E342&amp;H342&amp;I342</f>
        <v>3PremiumS4</v>
      </c>
      <c r="D342" s="8" t="str">
        <f t="shared" si="38"/>
        <v>3PremiumS4</v>
      </c>
      <c r="E342" s="10">
        <v>3</v>
      </c>
      <c r="F342" s="6">
        <v>396</v>
      </c>
      <c r="G342" s="8" t="str">
        <f>VLOOKUP(F342,[1]characters!$A:$C,3,FALSE)</f>
        <v>竜宮の水雷 乙姫</v>
      </c>
      <c r="H342" s="8" t="str">
        <f>VLOOKUP(F342,[1]characters!$A:$J,10,FALSE)</f>
        <v>PremiumS</v>
      </c>
      <c r="I342" s="8">
        <f>VLOOKUP(F342,[1]characters!$A:$I,9,FALSE)</f>
        <v>4</v>
      </c>
      <c r="J342" s="8" t="str">
        <f>VLOOKUP(F342,[1]characters!$A:$H,8,FALSE)</f>
        <v>blue</v>
      </c>
      <c r="K342" s="8" t="str">
        <f>VLOOKUP(F342,[1]characters!$A:$K,11,FALSE)</f>
        <v>hp</v>
      </c>
      <c r="L342" s="8" t="str">
        <f>VLOOKUP(F342,[1]characters!$A:$M,13,FALSE)</f>
        <v>human</v>
      </c>
      <c r="M342" s="16">
        <f>VLOOKUP(D342,gacha_188_base!A:B,2,FALSE)</f>
        <v>14962</v>
      </c>
      <c r="N342" s="38">
        <f>IFERROR(VLOOKUP($F342,bug_conf_sheet!$A:$H,3,FALSE),VLOOKUP("other",bug_conf_sheet!$A:$H,3,FALSE))</f>
        <v>1</v>
      </c>
      <c r="O342" s="38">
        <f>IFERROR(VLOOKUP($F342,bug_conf_sheet!$A:$H,4,FALSE),VLOOKUP("other",bug_conf_sheet!$A:$H,4,FALSE))</f>
        <v>0</v>
      </c>
      <c r="P342" s="38">
        <f>IFERROR(VLOOKUP($F342,bug_conf_sheet!$A:$H,5,FALSE),VLOOKUP("other",bug_conf_sheet!$A:$H,5,FALSE))</f>
        <v>0</v>
      </c>
      <c r="Q342" s="38">
        <f>IFERROR(VLOOKUP($F342,bug_conf_sheet!$A:$H,6,FALSE),VLOOKUP("other",bug_conf_sheet!$A:$H,6,FALSE))</f>
        <v>0</v>
      </c>
      <c r="R342" s="38">
        <f>IFERROR(VLOOKUP($F342,bug_conf_sheet!$A:$H,7,FALSE),VLOOKUP("other",bug_conf_sheet!$A:$H,7,FALSE))</f>
        <v>0</v>
      </c>
      <c r="S342" s="38">
        <f>IFERROR(VLOOKUP($F342,bug_conf_sheet!$A:$H,8,FALSE),VLOOKUP("other",bug_conf_sheet!$A:$H,8,FALSE))</f>
        <v>1</v>
      </c>
    </row>
    <row r="343" spans="1:19" ht="21" customHeight="1">
      <c r="A343" s="7" t="str">
        <f t="shared" si="37"/>
        <v>1883397</v>
      </c>
      <c r="B343" s="2" t="str">
        <f t="shared" si="39"/>
        <v>1883</v>
      </c>
      <c r="C343" s="8" t="str">
        <f t="shared" si="40"/>
        <v>3PremiumS5</v>
      </c>
      <c r="D343" s="8" t="str">
        <f t="shared" si="38"/>
        <v>3PremiumS5</v>
      </c>
      <c r="E343" s="10">
        <v>3</v>
      </c>
      <c r="F343" s="6">
        <v>397</v>
      </c>
      <c r="G343" s="8" t="str">
        <f>VLOOKUP(F343,[1]characters!$A:$C,3,FALSE)</f>
        <v>禁断の追箱 乙姫</v>
      </c>
      <c r="H343" s="8" t="str">
        <f>VLOOKUP(F343,[1]characters!$A:$J,10,FALSE)</f>
        <v>PremiumS</v>
      </c>
      <c r="I343" s="8">
        <f>VLOOKUP(F343,[1]characters!$A:$I,9,FALSE)</f>
        <v>5</v>
      </c>
      <c r="J343" s="8" t="str">
        <f>VLOOKUP(F343,[1]characters!$A:$H,8,FALSE)</f>
        <v>blue</v>
      </c>
      <c r="K343" s="8" t="str">
        <f>VLOOKUP(F343,[1]characters!$A:$K,11,FALSE)</f>
        <v>hp</v>
      </c>
      <c r="L343" s="8" t="str">
        <f>VLOOKUP(F343,[1]characters!$A:$M,13,FALSE)</f>
        <v>human</v>
      </c>
      <c r="M343" s="16">
        <f>VLOOKUP(D343,gacha_188_base!A:B,2,FALSE)</f>
        <v>955</v>
      </c>
      <c r="N343" s="38">
        <f>IFERROR(VLOOKUP($F343,bug_conf_sheet!$A:$H,3,FALSE),VLOOKUP("other",bug_conf_sheet!$A:$H,3,FALSE))</f>
        <v>1</v>
      </c>
      <c r="O343" s="38">
        <f>IFERROR(VLOOKUP($F343,bug_conf_sheet!$A:$H,4,FALSE),VLOOKUP("other",bug_conf_sheet!$A:$H,4,FALSE))</f>
        <v>0</v>
      </c>
      <c r="P343" s="38">
        <f>IFERROR(VLOOKUP($F343,bug_conf_sheet!$A:$H,5,FALSE),VLOOKUP("other",bug_conf_sheet!$A:$H,5,FALSE))</f>
        <v>0</v>
      </c>
      <c r="Q343" s="38">
        <f>IFERROR(VLOOKUP($F343,bug_conf_sheet!$A:$H,6,FALSE),VLOOKUP("other",bug_conf_sheet!$A:$H,6,FALSE))</f>
        <v>0</v>
      </c>
      <c r="R343" s="38">
        <f>IFERROR(VLOOKUP($F343,bug_conf_sheet!$A:$H,7,FALSE),VLOOKUP("other",bug_conf_sheet!$A:$H,7,FALSE))</f>
        <v>0</v>
      </c>
      <c r="S343" s="38">
        <f>IFERROR(VLOOKUP($F343,bug_conf_sheet!$A:$H,8,FALSE),VLOOKUP("other",bug_conf_sheet!$A:$H,8,FALSE))</f>
        <v>1</v>
      </c>
    </row>
    <row r="344" spans="1:19" ht="21" hidden="1" customHeight="1">
      <c r="A344" s="7" t="str">
        <f t="shared" si="37"/>
        <v>1883398</v>
      </c>
      <c r="B344" s="2" t="str">
        <f t="shared" si="39"/>
        <v>1883</v>
      </c>
      <c r="C344" s="8" t="str">
        <f t="shared" si="40"/>
        <v>3PremiumSS4</v>
      </c>
      <c r="D344" s="8" t="str">
        <f t="shared" si="38"/>
        <v>3PremiumSS4</v>
      </c>
      <c r="E344" s="10">
        <v>3</v>
      </c>
      <c r="F344" s="6">
        <v>398</v>
      </c>
      <c r="G344" s="8" t="str">
        <f>VLOOKUP(F344,[1]characters!$A:$C,3,FALSE)</f>
        <v>ヘンゼル＆グレーテル</v>
      </c>
      <c r="H344" s="8" t="str">
        <f>VLOOKUP(F344,[1]characters!$A:$J,10,FALSE)</f>
        <v>PremiumSS</v>
      </c>
      <c r="I344" s="8">
        <f>VLOOKUP(F344,[1]characters!$A:$I,9,FALSE)</f>
        <v>4</v>
      </c>
      <c r="J344" s="8" t="str">
        <f>VLOOKUP(F344,[1]characters!$A:$H,8,FALSE)</f>
        <v>yellow</v>
      </c>
      <c r="K344" s="8" t="str">
        <f>VLOOKUP(F344,[1]characters!$A:$K,11,FALSE)</f>
        <v>balance</v>
      </c>
      <c r="L344" s="8" t="str">
        <f>VLOOKUP(F344,[1]characters!$A:$M,13,FALSE)</f>
        <v>human</v>
      </c>
      <c r="M344" s="16">
        <f>VLOOKUP(D344,gacha_188_base!A:B,2,FALSE)</f>
        <v>1709</v>
      </c>
      <c r="N344" s="38">
        <f>IFERROR(VLOOKUP($F344,bug_conf_sheet!$A:$H,3,FALSE),VLOOKUP("other",bug_conf_sheet!$A:$H,3,FALSE))</f>
        <v>1</v>
      </c>
      <c r="O344" s="38">
        <f>IFERROR(VLOOKUP($F344,bug_conf_sheet!$A:$H,4,FALSE),VLOOKUP("other",bug_conf_sheet!$A:$H,4,FALSE))</f>
        <v>0</v>
      </c>
      <c r="P344" s="38">
        <f>IFERROR(VLOOKUP($F344,bug_conf_sheet!$A:$H,5,FALSE),VLOOKUP("other",bug_conf_sheet!$A:$H,5,FALSE))</f>
        <v>0</v>
      </c>
      <c r="Q344" s="38">
        <f>IFERROR(VLOOKUP($F344,bug_conf_sheet!$A:$H,6,FALSE),VLOOKUP("other",bug_conf_sheet!$A:$H,6,FALSE))</f>
        <v>0</v>
      </c>
      <c r="R344" s="38">
        <f>IFERROR(VLOOKUP($F344,bug_conf_sheet!$A:$H,7,FALSE),VLOOKUP("other",bug_conf_sheet!$A:$H,7,FALSE))</f>
        <v>0</v>
      </c>
      <c r="S344" s="38">
        <f>IFERROR(VLOOKUP($F344,bug_conf_sheet!$A:$H,8,FALSE),VLOOKUP("other",bug_conf_sheet!$A:$H,8,FALSE))</f>
        <v>1</v>
      </c>
    </row>
    <row r="345" spans="1:19" ht="21" customHeight="1">
      <c r="A345" s="7" t="str">
        <f t="shared" si="37"/>
        <v>1883399</v>
      </c>
      <c r="B345" s="2" t="str">
        <f t="shared" si="39"/>
        <v>1883</v>
      </c>
      <c r="C345" s="8" t="str">
        <f t="shared" si="40"/>
        <v>3PremiumSS5</v>
      </c>
      <c r="D345" s="8" t="str">
        <f t="shared" si="38"/>
        <v>3PremiumSS5</v>
      </c>
      <c r="E345" s="10">
        <v>3</v>
      </c>
      <c r="F345" s="6">
        <v>399</v>
      </c>
      <c r="G345" s="8" t="str">
        <f>VLOOKUP(F345,[1]characters!$A:$C,3,FALSE)</f>
        <v>信愛の兄妹 ヘンゼル＆グレーテル</v>
      </c>
      <c r="H345" s="8" t="str">
        <f>VLOOKUP(F345,[1]characters!$A:$J,10,FALSE)</f>
        <v>PremiumSS</v>
      </c>
      <c r="I345" s="8">
        <f>VLOOKUP(F345,[1]characters!$A:$I,9,FALSE)</f>
        <v>5</v>
      </c>
      <c r="J345" s="8" t="str">
        <f>VLOOKUP(F345,[1]characters!$A:$H,8,FALSE)</f>
        <v>yellow</v>
      </c>
      <c r="K345" s="8" t="str">
        <f>VLOOKUP(F345,[1]characters!$A:$K,11,FALSE)</f>
        <v>balance</v>
      </c>
      <c r="L345" s="8" t="str">
        <f>VLOOKUP(F345,[1]characters!$A:$M,13,FALSE)</f>
        <v>human</v>
      </c>
      <c r="M345" s="16">
        <f>VLOOKUP(D345,gacha_188_base!A:B,2,FALSE)</f>
        <v>109</v>
      </c>
      <c r="N345" s="38">
        <f>IFERROR(VLOOKUP($F345,bug_conf_sheet!$A:$H,3,FALSE),VLOOKUP("other",bug_conf_sheet!$A:$H,3,FALSE))</f>
        <v>1</v>
      </c>
      <c r="O345" s="38">
        <f>IFERROR(VLOOKUP($F345,bug_conf_sheet!$A:$H,4,FALSE),VLOOKUP("other",bug_conf_sheet!$A:$H,4,FALSE))</f>
        <v>0</v>
      </c>
      <c r="P345" s="38">
        <f>IFERROR(VLOOKUP($F345,bug_conf_sheet!$A:$H,5,FALSE),VLOOKUP("other",bug_conf_sheet!$A:$H,5,FALSE))</f>
        <v>0</v>
      </c>
      <c r="Q345" s="38">
        <f>IFERROR(VLOOKUP($F345,bug_conf_sheet!$A:$H,6,FALSE),VLOOKUP("other",bug_conf_sheet!$A:$H,6,FALSE))</f>
        <v>0</v>
      </c>
      <c r="R345" s="38">
        <f>IFERROR(VLOOKUP($F345,bug_conf_sheet!$A:$H,7,FALSE),VLOOKUP("other",bug_conf_sheet!$A:$H,7,FALSE))</f>
        <v>0</v>
      </c>
      <c r="S345" s="38">
        <f>IFERROR(VLOOKUP($F345,bug_conf_sheet!$A:$H,8,FALSE),VLOOKUP("other",bug_conf_sheet!$A:$H,8,FALSE))</f>
        <v>1</v>
      </c>
    </row>
    <row r="346" spans="1:19" ht="21" hidden="1" customHeight="1">
      <c r="A346" s="7" t="str">
        <f t="shared" si="37"/>
        <v>1883401</v>
      </c>
      <c r="B346" s="2" t="str">
        <f t="shared" si="39"/>
        <v>1883</v>
      </c>
      <c r="C346" s="8" t="str">
        <f t="shared" si="40"/>
        <v>3PremiumS4</v>
      </c>
      <c r="D346" s="8" t="str">
        <f t="shared" si="38"/>
        <v>3PremiumS4</v>
      </c>
      <c r="E346" s="10">
        <v>3</v>
      </c>
      <c r="F346" s="6">
        <v>401</v>
      </c>
      <c r="G346" s="8" t="str">
        <f>VLOOKUP(F346,[1]characters!$A:$C,3,FALSE)</f>
        <v>紅銀の孤狼 フェンリル</v>
      </c>
      <c r="H346" s="8" t="str">
        <f>VLOOKUP(F346,[1]characters!$A:$J,10,FALSE)</f>
        <v>PremiumS</v>
      </c>
      <c r="I346" s="8">
        <f>VLOOKUP(F346,[1]characters!$A:$I,9,FALSE)</f>
        <v>4</v>
      </c>
      <c r="J346" s="8" t="str">
        <f>VLOOKUP(F346,[1]characters!$A:$H,8,FALSE)</f>
        <v>red</v>
      </c>
      <c r="K346" s="8" t="str">
        <f>VLOOKUP(F346,[1]characters!$A:$K,11,FALSE)</f>
        <v>attack</v>
      </c>
      <c r="L346" s="8" t="str">
        <f>VLOOKUP(F346,[1]characters!$A:$M,13,FALSE)</f>
        <v>animal</v>
      </c>
      <c r="M346" s="16">
        <f>VLOOKUP(D346,gacha_188_base!A:B,2,FALSE)</f>
        <v>14962</v>
      </c>
      <c r="N346" s="38">
        <f>IFERROR(VLOOKUP($F346,bug_conf_sheet!$A:$H,3,FALSE),VLOOKUP("other",bug_conf_sheet!$A:$H,3,FALSE))</f>
        <v>1</v>
      </c>
      <c r="O346" s="38">
        <f>IFERROR(VLOOKUP($F346,bug_conf_sheet!$A:$H,4,FALSE),VLOOKUP("other",bug_conf_sheet!$A:$H,4,FALSE))</f>
        <v>0</v>
      </c>
      <c r="P346" s="38">
        <f>IFERROR(VLOOKUP($F346,bug_conf_sheet!$A:$H,5,FALSE),VLOOKUP("other",bug_conf_sheet!$A:$H,5,FALSE))</f>
        <v>0</v>
      </c>
      <c r="Q346" s="38">
        <f>IFERROR(VLOOKUP($F346,bug_conf_sheet!$A:$H,6,FALSE),VLOOKUP("other",bug_conf_sheet!$A:$H,6,FALSE))</f>
        <v>0</v>
      </c>
      <c r="R346" s="38">
        <f>IFERROR(VLOOKUP($F346,bug_conf_sheet!$A:$H,7,FALSE),VLOOKUP("other",bug_conf_sheet!$A:$H,7,FALSE))</f>
        <v>0</v>
      </c>
      <c r="S346" s="38">
        <f>IFERROR(VLOOKUP($F346,bug_conf_sheet!$A:$H,8,FALSE),VLOOKUP("other",bug_conf_sheet!$A:$H,8,FALSE))</f>
        <v>1</v>
      </c>
    </row>
    <row r="347" spans="1:19" ht="21" customHeight="1">
      <c r="A347" s="7" t="str">
        <f t="shared" si="37"/>
        <v>1883402</v>
      </c>
      <c r="B347" s="2" t="str">
        <f t="shared" si="39"/>
        <v>1883</v>
      </c>
      <c r="C347" s="8" t="str">
        <f t="shared" si="40"/>
        <v>3PremiumS5</v>
      </c>
      <c r="D347" s="8" t="str">
        <f t="shared" si="38"/>
        <v>3PremiumS5</v>
      </c>
      <c r="E347" s="10">
        <v>3</v>
      </c>
      <c r="F347" s="6">
        <v>402</v>
      </c>
      <c r="G347" s="8" t="str">
        <f>VLOOKUP(F347,[1]characters!$A:$C,3,FALSE)</f>
        <v>天災の神狼 フェンリル</v>
      </c>
      <c r="H347" s="8" t="str">
        <f>VLOOKUP(F347,[1]characters!$A:$J,10,FALSE)</f>
        <v>PremiumS</v>
      </c>
      <c r="I347" s="8">
        <f>VLOOKUP(F347,[1]characters!$A:$I,9,FALSE)</f>
        <v>5</v>
      </c>
      <c r="J347" s="8" t="str">
        <f>VLOOKUP(F347,[1]characters!$A:$H,8,FALSE)</f>
        <v>red</v>
      </c>
      <c r="K347" s="8" t="str">
        <f>VLOOKUP(F347,[1]characters!$A:$K,11,FALSE)</f>
        <v>attack</v>
      </c>
      <c r="L347" s="8" t="str">
        <f>VLOOKUP(F347,[1]characters!$A:$M,13,FALSE)</f>
        <v>animal</v>
      </c>
      <c r="M347" s="16">
        <f>VLOOKUP(D347,gacha_188_base!A:B,2,FALSE)</f>
        <v>955</v>
      </c>
      <c r="N347" s="38">
        <f>IFERROR(VLOOKUP($F347,bug_conf_sheet!$A:$H,3,FALSE),VLOOKUP("other",bug_conf_sheet!$A:$H,3,FALSE))</f>
        <v>1</v>
      </c>
      <c r="O347" s="38">
        <f>IFERROR(VLOOKUP($F347,bug_conf_sheet!$A:$H,4,FALSE),VLOOKUP("other",bug_conf_sheet!$A:$H,4,FALSE))</f>
        <v>0</v>
      </c>
      <c r="P347" s="38">
        <f>IFERROR(VLOOKUP($F347,bug_conf_sheet!$A:$H,5,FALSE),VLOOKUP("other",bug_conf_sheet!$A:$H,5,FALSE))</f>
        <v>0</v>
      </c>
      <c r="Q347" s="38">
        <f>IFERROR(VLOOKUP($F347,bug_conf_sheet!$A:$H,6,FALSE),VLOOKUP("other",bug_conf_sheet!$A:$H,6,FALSE))</f>
        <v>0</v>
      </c>
      <c r="R347" s="38">
        <f>IFERROR(VLOOKUP($F347,bug_conf_sheet!$A:$H,7,FALSE),VLOOKUP("other",bug_conf_sheet!$A:$H,7,FALSE))</f>
        <v>0</v>
      </c>
      <c r="S347" s="38">
        <f>IFERROR(VLOOKUP($F347,bug_conf_sheet!$A:$H,8,FALSE),VLOOKUP("other",bug_conf_sheet!$A:$H,8,FALSE))</f>
        <v>1</v>
      </c>
    </row>
    <row r="348" spans="1:19" ht="21" hidden="1" customHeight="1">
      <c r="A348" s="7" t="str">
        <f t="shared" si="37"/>
        <v>1883403</v>
      </c>
      <c r="B348" s="2" t="str">
        <f t="shared" si="39"/>
        <v>1883</v>
      </c>
      <c r="C348" s="8" t="str">
        <f t="shared" si="40"/>
        <v>3PremiumSS4</v>
      </c>
      <c r="D348" s="8" t="str">
        <f t="shared" si="38"/>
        <v>3PremiumSS4</v>
      </c>
      <c r="E348" s="10">
        <v>3</v>
      </c>
      <c r="F348" s="6">
        <v>403</v>
      </c>
      <c r="G348" s="8" t="str">
        <f>VLOOKUP(F348,[1]characters!$A:$C,3,FALSE)</f>
        <v>静撃の翠眼 八咫烏</v>
      </c>
      <c r="H348" s="8" t="str">
        <f>VLOOKUP(F348,[1]characters!$A:$J,10,FALSE)</f>
        <v>PremiumSS</v>
      </c>
      <c r="I348" s="8">
        <f>VLOOKUP(F348,[1]characters!$A:$I,9,FALSE)</f>
        <v>4</v>
      </c>
      <c r="J348" s="8" t="str">
        <f>VLOOKUP(F348,[1]characters!$A:$H,8,FALSE)</f>
        <v>green</v>
      </c>
      <c r="K348" s="8" t="str">
        <f>VLOOKUP(F348,[1]characters!$A:$K,11,FALSE)</f>
        <v>balance</v>
      </c>
      <c r="L348" s="8" t="str">
        <f>VLOOKUP(F348,[1]characters!$A:$M,13,FALSE)</f>
        <v>animal</v>
      </c>
      <c r="M348" s="16">
        <f>VLOOKUP(D348,gacha_188_base!A:B,2,FALSE)</f>
        <v>1709</v>
      </c>
      <c r="N348" s="38">
        <f>IFERROR(VLOOKUP($F348,bug_conf_sheet!$A:$H,3,FALSE),VLOOKUP("other",bug_conf_sheet!$A:$H,3,FALSE))</f>
        <v>1</v>
      </c>
      <c r="O348" s="38">
        <f>IFERROR(VLOOKUP($F348,bug_conf_sheet!$A:$H,4,FALSE),VLOOKUP("other",bug_conf_sheet!$A:$H,4,FALSE))</f>
        <v>0</v>
      </c>
      <c r="P348" s="38">
        <f>IFERROR(VLOOKUP($F348,bug_conf_sheet!$A:$H,5,FALSE),VLOOKUP("other",bug_conf_sheet!$A:$H,5,FALSE))</f>
        <v>0</v>
      </c>
      <c r="Q348" s="38">
        <f>IFERROR(VLOOKUP($F348,bug_conf_sheet!$A:$H,6,FALSE),VLOOKUP("other",bug_conf_sheet!$A:$H,6,FALSE))</f>
        <v>0</v>
      </c>
      <c r="R348" s="38">
        <f>IFERROR(VLOOKUP($F348,bug_conf_sheet!$A:$H,7,FALSE),VLOOKUP("other",bug_conf_sheet!$A:$H,7,FALSE))</f>
        <v>0</v>
      </c>
      <c r="S348" s="38">
        <f>IFERROR(VLOOKUP($F348,bug_conf_sheet!$A:$H,8,FALSE),VLOOKUP("other",bug_conf_sheet!$A:$H,8,FALSE))</f>
        <v>1</v>
      </c>
    </row>
    <row r="349" spans="1:19" ht="21" customHeight="1">
      <c r="A349" s="7" t="str">
        <f t="shared" si="37"/>
        <v>1883404</v>
      </c>
      <c r="B349" s="2" t="str">
        <f t="shared" si="39"/>
        <v>1883</v>
      </c>
      <c r="C349" s="8" t="str">
        <f t="shared" si="40"/>
        <v>3PremiumSS5</v>
      </c>
      <c r="D349" s="8" t="str">
        <f t="shared" si="38"/>
        <v>3PremiumSS5</v>
      </c>
      <c r="E349" s="10">
        <v>3</v>
      </c>
      <c r="F349" s="6">
        <v>404</v>
      </c>
      <c r="G349" s="8" t="str">
        <f>VLOOKUP(F349,[1]characters!$A:$C,3,FALSE)</f>
        <v>空襲の神眼 八咫烏</v>
      </c>
      <c r="H349" s="8" t="str">
        <f>VLOOKUP(F349,[1]characters!$A:$J,10,FALSE)</f>
        <v>PremiumSS</v>
      </c>
      <c r="I349" s="8">
        <f>VLOOKUP(F349,[1]characters!$A:$I,9,FALSE)</f>
        <v>5</v>
      </c>
      <c r="J349" s="8" t="str">
        <f>VLOOKUP(F349,[1]characters!$A:$H,8,FALSE)</f>
        <v>green</v>
      </c>
      <c r="K349" s="8" t="str">
        <f>VLOOKUP(F349,[1]characters!$A:$K,11,FALSE)</f>
        <v>balance</v>
      </c>
      <c r="L349" s="8" t="str">
        <f>VLOOKUP(F349,[1]characters!$A:$M,13,FALSE)</f>
        <v>animal</v>
      </c>
      <c r="M349" s="16">
        <f>VLOOKUP(D349,gacha_188_base!A:B,2,FALSE)</f>
        <v>109</v>
      </c>
      <c r="N349" s="38">
        <f>IFERROR(VLOOKUP($F349,bug_conf_sheet!$A:$H,3,FALSE),VLOOKUP("other",bug_conf_sheet!$A:$H,3,FALSE))</f>
        <v>1</v>
      </c>
      <c r="O349" s="38">
        <f>IFERROR(VLOOKUP($F349,bug_conf_sheet!$A:$H,4,FALSE),VLOOKUP("other",bug_conf_sheet!$A:$H,4,FALSE))</f>
        <v>0</v>
      </c>
      <c r="P349" s="38">
        <f>IFERROR(VLOOKUP($F349,bug_conf_sheet!$A:$H,5,FALSE),VLOOKUP("other",bug_conf_sheet!$A:$H,5,FALSE))</f>
        <v>0</v>
      </c>
      <c r="Q349" s="38">
        <f>IFERROR(VLOOKUP($F349,bug_conf_sheet!$A:$H,6,FALSE),VLOOKUP("other",bug_conf_sheet!$A:$H,6,FALSE))</f>
        <v>0</v>
      </c>
      <c r="R349" s="38">
        <f>IFERROR(VLOOKUP($F349,bug_conf_sheet!$A:$H,7,FALSE),VLOOKUP("other",bug_conf_sheet!$A:$H,7,FALSE))</f>
        <v>0</v>
      </c>
      <c r="S349" s="38">
        <f>IFERROR(VLOOKUP($F349,bug_conf_sheet!$A:$H,8,FALSE),VLOOKUP("other",bug_conf_sheet!$A:$H,8,FALSE))</f>
        <v>1</v>
      </c>
    </row>
    <row r="350" spans="1:19" ht="21" hidden="1" customHeight="1">
      <c r="A350" s="7" t="str">
        <f t="shared" si="37"/>
        <v>1883406</v>
      </c>
      <c r="B350" s="2" t="str">
        <f t="shared" si="39"/>
        <v>1883</v>
      </c>
      <c r="C350" s="8" t="str">
        <f t="shared" si="40"/>
        <v>3PremiumS4</v>
      </c>
      <c r="D350" s="8" t="str">
        <f t="shared" si="38"/>
        <v>3PremiumS4</v>
      </c>
      <c r="E350" s="10">
        <v>3</v>
      </c>
      <c r="F350" s="6">
        <v>406</v>
      </c>
      <c r="G350" s="8" t="str">
        <f>VLOOKUP(F350,[1]characters!$A:$C,3,FALSE)</f>
        <v>美笑の蒼蛇 エキドナ</v>
      </c>
      <c r="H350" s="8" t="str">
        <f>VLOOKUP(F350,[1]characters!$A:$J,10,FALSE)</f>
        <v>PremiumS</v>
      </c>
      <c r="I350" s="8">
        <f>VLOOKUP(F350,[1]characters!$A:$I,9,FALSE)</f>
        <v>4</v>
      </c>
      <c r="J350" s="8" t="str">
        <f>VLOOKUP(F350,[1]characters!$A:$H,8,FALSE)</f>
        <v>blue</v>
      </c>
      <c r="K350" s="8" t="str">
        <f>VLOOKUP(F350,[1]characters!$A:$K,11,FALSE)</f>
        <v>technical</v>
      </c>
      <c r="L350" s="8" t="str">
        <f>VLOOKUP(F350,[1]characters!$A:$M,13,FALSE)</f>
        <v>animal</v>
      </c>
      <c r="M350" s="16">
        <f>VLOOKUP(D350,gacha_188_base!A:B,2,FALSE)</f>
        <v>14962</v>
      </c>
      <c r="N350" s="38">
        <f>IFERROR(VLOOKUP($F350,bug_conf_sheet!$A:$H,3,FALSE),VLOOKUP("other",bug_conf_sheet!$A:$H,3,FALSE))</f>
        <v>1</v>
      </c>
      <c r="O350" s="38">
        <f>IFERROR(VLOOKUP($F350,bug_conf_sheet!$A:$H,4,FALSE),VLOOKUP("other",bug_conf_sheet!$A:$H,4,FALSE))</f>
        <v>0</v>
      </c>
      <c r="P350" s="38">
        <f>IFERROR(VLOOKUP($F350,bug_conf_sheet!$A:$H,5,FALSE),VLOOKUP("other",bug_conf_sheet!$A:$H,5,FALSE))</f>
        <v>0</v>
      </c>
      <c r="Q350" s="38">
        <f>IFERROR(VLOOKUP($F350,bug_conf_sheet!$A:$H,6,FALSE),VLOOKUP("other",bug_conf_sheet!$A:$H,6,FALSE))</f>
        <v>0</v>
      </c>
      <c r="R350" s="38">
        <f>IFERROR(VLOOKUP($F350,bug_conf_sheet!$A:$H,7,FALSE),VLOOKUP("other",bug_conf_sheet!$A:$H,7,FALSE))</f>
        <v>0</v>
      </c>
      <c r="S350" s="38">
        <f>IFERROR(VLOOKUP($F350,bug_conf_sheet!$A:$H,8,FALSE),VLOOKUP("other",bug_conf_sheet!$A:$H,8,FALSE))</f>
        <v>1</v>
      </c>
    </row>
    <row r="351" spans="1:19" ht="21" customHeight="1">
      <c r="A351" s="7" t="str">
        <f t="shared" si="37"/>
        <v>1883407</v>
      </c>
      <c r="B351" s="2" t="str">
        <f t="shared" si="39"/>
        <v>1883</v>
      </c>
      <c r="C351" s="8" t="str">
        <f t="shared" si="40"/>
        <v>3PremiumS5</v>
      </c>
      <c r="D351" s="8" t="str">
        <f t="shared" si="38"/>
        <v>3PremiumS5</v>
      </c>
      <c r="E351" s="10">
        <v>3</v>
      </c>
      <c r="F351" s="6">
        <v>407</v>
      </c>
      <c r="G351" s="8" t="str">
        <f>VLOOKUP(F351,[1]characters!$A:$C,3,FALSE)</f>
        <v>蠱惑の飛刀 エキドナ</v>
      </c>
      <c r="H351" s="8" t="str">
        <f>VLOOKUP(F351,[1]characters!$A:$J,10,FALSE)</f>
        <v>PremiumS</v>
      </c>
      <c r="I351" s="8">
        <f>VLOOKUP(F351,[1]characters!$A:$I,9,FALSE)</f>
        <v>5</v>
      </c>
      <c r="J351" s="8" t="str">
        <f>VLOOKUP(F351,[1]characters!$A:$H,8,FALSE)</f>
        <v>blue</v>
      </c>
      <c r="K351" s="8" t="str">
        <f>VLOOKUP(F351,[1]characters!$A:$K,11,FALSE)</f>
        <v>technical</v>
      </c>
      <c r="L351" s="8" t="str">
        <f>VLOOKUP(F351,[1]characters!$A:$M,13,FALSE)</f>
        <v>animal</v>
      </c>
      <c r="M351" s="16">
        <f>VLOOKUP(D351,gacha_188_base!A:B,2,FALSE)</f>
        <v>955</v>
      </c>
      <c r="N351" s="38">
        <f>IFERROR(VLOOKUP($F351,bug_conf_sheet!$A:$H,3,FALSE),VLOOKUP("other",bug_conf_sheet!$A:$H,3,FALSE))</f>
        <v>1</v>
      </c>
      <c r="O351" s="38">
        <f>IFERROR(VLOOKUP($F351,bug_conf_sheet!$A:$H,4,FALSE),VLOOKUP("other",bug_conf_sheet!$A:$H,4,FALSE))</f>
        <v>0</v>
      </c>
      <c r="P351" s="38">
        <f>IFERROR(VLOOKUP($F351,bug_conf_sheet!$A:$H,5,FALSE),VLOOKUP("other",bug_conf_sheet!$A:$H,5,FALSE))</f>
        <v>0</v>
      </c>
      <c r="Q351" s="38">
        <f>IFERROR(VLOOKUP($F351,bug_conf_sheet!$A:$H,6,FALSE),VLOOKUP("other",bug_conf_sheet!$A:$H,6,FALSE))</f>
        <v>0</v>
      </c>
      <c r="R351" s="38">
        <f>IFERROR(VLOOKUP($F351,bug_conf_sheet!$A:$H,7,FALSE),VLOOKUP("other",bug_conf_sheet!$A:$H,7,FALSE))</f>
        <v>0</v>
      </c>
      <c r="S351" s="38">
        <f>IFERROR(VLOOKUP($F351,bug_conf_sheet!$A:$H,8,FALSE),VLOOKUP("other",bug_conf_sheet!$A:$H,8,FALSE))</f>
        <v>1</v>
      </c>
    </row>
    <row r="352" spans="1:19" ht="21" hidden="1" customHeight="1">
      <c r="A352" s="7" t="str">
        <f t="shared" si="37"/>
        <v>1883408</v>
      </c>
      <c r="B352" s="2" t="str">
        <f t="shared" si="39"/>
        <v>1883</v>
      </c>
      <c r="C352" s="8" t="str">
        <f t="shared" si="40"/>
        <v>3PremiumSS4</v>
      </c>
      <c r="D352" s="8" t="str">
        <f t="shared" si="38"/>
        <v>3PremiumSS4</v>
      </c>
      <c r="E352" s="10">
        <v>3</v>
      </c>
      <c r="F352" s="6">
        <v>408</v>
      </c>
      <c r="G352" s="8" t="str">
        <f>VLOOKUP(F352,[1]characters!$A:$C,3,FALSE)</f>
        <v>皇魔 アスタロト</v>
      </c>
      <c r="H352" s="8" t="str">
        <f>VLOOKUP(F352,[1]characters!$A:$J,10,FALSE)</f>
        <v>PremiumSS</v>
      </c>
      <c r="I352" s="8">
        <f>VLOOKUP(F352,[1]characters!$A:$I,9,FALSE)</f>
        <v>4</v>
      </c>
      <c r="J352" s="8" t="str">
        <f>VLOOKUP(F352,[1]characters!$A:$H,8,FALSE)</f>
        <v>yellow</v>
      </c>
      <c r="K352" s="8" t="str">
        <f>VLOOKUP(F352,[1]characters!$A:$K,11,FALSE)</f>
        <v>attack</v>
      </c>
      <c r="L352" s="8" t="str">
        <f>VLOOKUP(F352,[1]characters!$A:$M,13,FALSE)</f>
        <v>god</v>
      </c>
      <c r="M352" s="16">
        <f>VLOOKUP(D352,gacha_188_base!A:B,2,FALSE)</f>
        <v>1709</v>
      </c>
      <c r="N352" s="38">
        <f>IFERROR(VLOOKUP($F352,bug_conf_sheet!$A:$H,3,FALSE),VLOOKUP("other",bug_conf_sheet!$A:$H,3,FALSE))</f>
        <v>1</v>
      </c>
      <c r="O352" s="38">
        <f>IFERROR(VLOOKUP($F352,bug_conf_sheet!$A:$H,4,FALSE),VLOOKUP("other",bug_conf_sheet!$A:$H,4,FALSE))</f>
        <v>0</v>
      </c>
      <c r="P352" s="38">
        <f>IFERROR(VLOOKUP($F352,bug_conf_sheet!$A:$H,5,FALSE),VLOOKUP("other",bug_conf_sheet!$A:$H,5,FALSE))</f>
        <v>0</v>
      </c>
      <c r="Q352" s="38">
        <f>IFERROR(VLOOKUP($F352,bug_conf_sheet!$A:$H,6,FALSE),VLOOKUP("other",bug_conf_sheet!$A:$H,6,FALSE))</f>
        <v>0</v>
      </c>
      <c r="R352" s="38">
        <f>IFERROR(VLOOKUP($F352,bug_conf_sheet!$A:$H,7,FALSE),VLOOKUP("other",bug_conf_sheet!$A:$H,7,FALSE))</f>
        <v>0</v>
      </c>
      <c r="S352" s="38">
        <f>IFERROR(VLOOKUP($F352,bug_conf_sheet!$A:$H,8,FALSE),VLOOKUP("other",bug_conf_sheet!$A:$H,8,FALSE))</f>
        <v>1</v>
      </c>
    </row>
    <row r="353" spans="1:19" ht="21" customHeight="1">
      <c r="A353" s="7" t="str">
        <f t="shared" si="37"/>
        <v>1883409</v>
      </c>
      <c r="B353" s="2" t="str">
        <f t="shared" si="39"/>
        <v>1883</v>
      </c>
      <c r="C353" s="8" t="str">
        <f t="shared" si="40"/>
        <v>3PremiumSS5</v>
      </c>
      <c r="D353" s="8" t="str">
        <f t="shared" si="38"/>
        <v>3PremiumSS5</v>
      </c>
      <c r="E353" s="10">
        <v>3</v>
      </c>
      <c r="F353" s="6">
        <v>409</v>
      </c>
      <c r="G353" s="8" t="str">
        <f>VLOOKUP(F353,[1]characters!$A:$C,3,FALSE)</f>
        <v>天眼の皇貴魔 アスタロト</v>
      </c>
      <c r="H353" s="8" t="str">
        <f>VLOOKUP(F353,[1]characters!$A:$J,10,FALSE)</f>
        <v>PremiumSS</v>
      </c>
      <c r="I353" s="8">
        <f>VLOOKUP(F353,[1]characters!$A:$I,9,FALSE)</f>
        <v>5</v>
      </c>
      <c r="J353" s="8" t="str">
        <f>VLOOKUP(F353,[1]characters!$A:$H,8,FALSE)</f>
        <v>yellow</v>
      </c>
      <c r="K353" s="8" t="str">
        <f>VLOOKUP(F353,[1]characters!$A:$K,11,FALSE)</f>
        <v>attack</v>
      </c>
      <c r="L353" s="8" t="str">
        <f>VLOOKUP(F353,[1]characters!$A:$M,13,FALSE)</f>
        <v>god</v>
      </c>
      <c r="M353" s="16">
        <f>VLOOKUP(D353,gacha_188_base!A:B,2,FALSE)</f>
        <v>109</v>
      </c>
      <c r="N353" s="38">
        <f>IFERROR(VLOOKUP($F353,bug_conf_sheet!$A:$H,3,FALSE),VLOOKUP("other",bug_conf_sheet!$A:$H,3,FALSE))</f>
        <v>1</v>
      </c>
      <c r="O353" s="38">
        <f>IFERROR(VLOOKUP($F353,bug_conf_sheet!$A:$H,4,FALSE),VLOOKUP("other",bug_conf_sheet!$A:$H,4,FALSE))</f>
        <v>0</v>
      </c>
      <c r="P353" s="38">
        <f>IFERROR(VLOOKUP($F353,bug_conf_sheet!$A:$H,5,FALSE),VLOOKUP("other",bug_conf_sheet!$A:$H,5,FALSE))</f>
        <v>0</v>
      </c>
      <c r="Q353" s="38">
        <f>IFERROR(VLOOKUP($F353,bug_conf_sheet!$A:$H,6,FALSE),VLOOKUP("other",bug_conf_sheet!$A:$H,6,FALSE))</f>
        <v>0</v>
      </c>
      <c r="R353" s="38">
        <f>IFERROR(VLOOKUP($F353,bug_conf_sheet!$A:$H,7,FALSE),VLOOKUP("other",bug_conf_sheet!$A:$H,7,FALSE))</f>
        <v>0</v>
      </c>
      <c r="S353" s="38">
        <f>IFERROR(VLOOKUP($F353,bug_conf_sheet!$A:$H,8,FALSE),VLOOKUP("other",bug_conf_sheet!$A:$H,8,FALSE))</f>
        <v>1</v>
      </c>
    </row>
    <row r="354" spans="1:19" ht="21" hidden="1" customHeight="1">
      <c r="A354" s="7" t="str">
        <f t="shared" si="37"/>
        <v>1883434</v>
      </c>
      <c r="B354" s="2" t="str">
        <f t="shared" si="39"/>
        <v>1883</v>
      </c>
      <c r="C354" s="8" t="str">
        <f t="shared" si="40"/>
        <v>3PremiumSS4</v>
      </c>
      <c r="D354" s="8" t="str">
        <f t="shared" si="38"/>
        <v>3PremiumSS4</v>
      </c>
      <c r="E354" s="10">
        <v>3</v>
      </c>
      <c r="F354" s="6">
        <v>434</v>
      </c>
      <c r="G354" s="8" t="str">
        <f>VLOOKUP(F354,[1]characters!$A:$C,3,FALSE)</f>
        <v>D.R.T.H.</v>
      </c>
      <c r="H354" s="8" t="str">
        <f>VLOOKUP(F354,[1]characters!$A:$J,10,FALSE)</f>
        <v>PremiumSS</v>
      </c>
      <c r="I354" s="8">
        <f>VLOOKUP(F354,[1]characters!$A:$I,9,FALSE)</f>
        <v>4</v>
      </c>
      <c r="J354" s="8" t="str">
        <f>VLOOKUP(F354,[1]characters!$A:$H,8,FALSE)</f>
        <v>red</v>
      </c>
      <c r="K354" s="8" t="str">
        <f>VLOOKUP(F354,[1]characters!$A:$K,11,FALSE)</f>
        <v>balance</v>
      </c>
      <c r="L354" s="8" t="str">
        <f>VLOOKUP(F354,[1]characters!$A:$M,13,FALSE)</f>
        <v>human</v>
      </c>
      <c r="M354" s="16">
        <f>VLOOKUP(D354,gacha_188_base!A:B,2,FALSE)</f>
        <v>1709</v>
      </c>
      <c r="N354" s="38">
        <f>IFERROR(VLOOKUP($F354,bug_conf_sheet!$A:$H,3,FALSE),VLOOKUP("other",bug_conf_sheet!$A:$H,3,FALSE))</f>
        <v>1</v>
      </c>
      <c r="O354" s="38">
        <f>IFERROR(VLOOKUP($F354,bug_conf_sheet!$A:$H,4,FALSE),VLOOKUP("other",bug_conf_sheet!$A:$H,4,FALSE))</f>
        <v>0</v>
      </c>
      <c r="P354" s="38">
        <f>IFERROR(VLOOKUP($F354,bug_conf_sheet!$A:$H,5,FALSE),VLOOKUP("other",bug_conf_sheet!$A:$H,5,FALSE))</f>
        <v>0</v>
      </c>
      <c r="Q354" s="38">
        <f>IFERROR(VLOOKUP($F354,bug_conf_sheet!$A:$H,6,FALSE),VLOOKUP("other",bug_conf_sheet!$A:$H,6,FALSE))</f>
        <v>0</v>
      </c>
      <c r="R354" s="38">
        <f>IFERROR(VLOOKUP($F354,bug_conf_sheet!$A:$H,7,FALSE),VLOOKUP("other",bug_conf_sheet!$A:$H,7,FALSE))</f>
        <v>0</v>
      </c>
      <c r="S354" s="38">
        <f>IFERROR(VLOOKUP($F354,bug_conf_sheet!$A:$H,8,FALSE),VLOOKUP("other",bug_conf_sheet!$A:$H,8,FALSE))</f>
        <v>1</v>
      </c>
    </row>
    <row r="355" spans="1:19" ht="21" customHeight="1">
      <c r="A355" s="7" t="str">
        <f t="shared" si="37"/>
        <v>1883435</v>
      </c>
      <c r="B355" s="2" t="str">
        <f t="shared" si="39"/>
        <v>1883</v>
      </c>
      <c r="C355" s="8" t="str">
        <f t="shared" si="40"/>
        <v>3PremiumSS5</v>
      </c>
      <c r="D355" s="8" t="str">
        <f t="shared" si="38"/>
        <v>3PremiumSS5</v>
      </c>
      <c r="E355" s="10">
        <v>3</v>
      </c>
      <c r="F355" s="6">
        <v>435</v>
      </c>
      <c r="G355" s="8" t="str">
        <f>VLOOKUP(F355,[1]characters!$A:$C,3,FALSE)</f>
        <v>曝弾の密偵 D.R.T.H.</v>
      </c>
      <c r="H355" s="8" t="str">
        <f>VLOOKUP(F355,[1]characters!$A:$J,10,FALSE)</f>
        <v>PremiumSS</v>
      </c>
      <c r="I355" s="8">
        <f>VLOOKUP(F355,[1]characters!$A:$I,9,FALSE)</f>
        <v>5</v>
      </c>
      <c r="J355" s="8" t="str">
        <f>VLOOKUP(F355,[1]characters!$A:$H,8,FALSE)</f>
        <v>red</v>
      </c>
      <c r="K355" s="8" t="str">
        <f>VLOOKUP(F355,[1]characters!$A:$K,11,FALSE)</f>
        <v>balance</v>
      </c>
      <c r="L355" s="8" t="str">
        <f>VLOOKUP(F355,[1]characters!$A:$M,13,FALSE)</f>
        <v>human</v>
      </c>
      <c r="M355" s="16">
        <f>VLOOKUP(D355,gacha_188_base!A:B,2,FALSE)</f>
        <v>109</v>
      </c>
      <c r="N355" s="38">
        <f>IFERROR(VLOOKUP($F355,bug_conf_sheet!$A:$H,3,FALSE),VLOOKUP("other",bug_conf_sheet!$A:$H,3,FALSE))</f>
        <v>1</v>
      </c>
      <c r="O355" s="38">
        <f>IFERROR(VLOOKUP($F355,bug_conf_sheet!$A:$H,4,FALSE),VLOOKUP("other",bug_conf_sheet!$A:$H,4,FALSE))</f>
        <v>0</v>
      </c>
      <c r="P355" s="38">
        <f>IFERROR(VLOOKUP($F355,bug_conf_sheet!$A:$H,5,FALSE),VLOOKUP("other",bug_conf_sheet!$A:$H,5,FALSE))</f>
        <v>0</v>
      </c>
      <c r="Q355" s="38">
        <f>IFERROR(VLOOKUP($F355,bug_conf_sheet!$A:$H,6,FALSE),VLOOKUP("other",bug_conf_sheet!$A:$H,6,FALSE))</f>
        <v>0</v>
      </c>
      <c r="R355" s="38">
        <f>IFERROR(VLOOKUP($F355,bug_conf_sheet!$A:$H,7,FALSE),VLOOKUP("other",bug_conf_sheet!$A:$H,7,FALSE))</f>
        <v>0</v>
      </c>
      <c r="S355" s="38">
        <f>IFERROR(VLOOKUP($F355,bug_conf_sheet!$A:$H,8,FALSE),VLOOKUP("other",bug_conf_sheet!$A:$H,8,FALSE))</f>
        <v>1</v>
      </c>
    </row>
    <row r="356" spans="1:19" ht="21" hidden="1" customHeight="1">
      <c r="A356" s="7" t="str">
        <f t="shared" si="37"/>
        <v>1883437</v>
      </c>
      <c r="B356" s="2" t="str">
        <f t="shared" si="39"/>
        <v>1883</v>
      </c>
      <c r="C356" s="8" t="str">
        <f t="shared" si="40"/>
        <v>3PremiumS4</v>
      </c>
      <c r="D356" s="8" t="str">
        <f t="shared" si="38"/>
        <v>3PremiumS4</v>
      </c>
      <c r="E356" s="10">
        <v>3</v>
      </c>
      <c r="F356" s="6">
        <v>437</v>
      </c>
      <c r="G356" s="8" t="str">
        <f>VLOOKUP(F356,[1]characters!$A:$C,3,FALSE)</f>
        <v>忘却者 カカシ</v>
      </c>
      <c r="H356" s="8" t="str">
        <f>VLOOKUP(F356,[1]characters!$A:$J,10,FALSE)</f>
        <v>PremiumS</v>
      </c>
      <c r="I356" s="8">
        <f>VLOOKUP(F356,[1]characters!$A:$I,9,FALSE)</f>
        <v>4</v>
      </c>
      <c r="J356" s="8" t="str">
        <f>VLOOKUP(F356,[1]characters!$A:$H,8,FALSE)</f>
        <v>green</v>
      </c>
      <c r="K356" s="8" t="str">
        <f>VLOOKUP(F356,[1]characters!$A:$K,11,FALSE)</f>
        <v>technical</v>
      </c>
      <c r="L356" s="8" t="str">
        <f>VLOOKUP(F356,[1]characters!$A:$M,13,FALSE)</f>
        <v>human</v>
      </c>
      <c r="M356" s="16">
        <f>VLOOKUP(D356,gacha_188_base!A:B,2,FALSE)</f>
        <v>14962</v>
      </c>
      <c r="N356" s="38">
        <f>IFERROR(VLOOKUP($F356,bug_conf_sheet!$A:$H,3,FALSE),VLOOKUP("other",bug_conf_sheet!$A:$H,3,FALSE))</f>
        <v>1</v>
      </c>
      <c r="O356" s="38">
        <f>IFERROR(VLOOKUP($F356,bug_conf_sheet!$A:$H,4,FALSE),VLOOKUP("other",bug_conf_sheet!$A:$H,4,FALSE))</f>
        <v>0</v>
      </c>
      <c r="P356" s="38">
        <f>IFERROR(VLOOKUP($F356,bug_conf_sheet!$A:$H,5,FALSE),VLOOKUP("other",bug_conf_sheet!$A:$H,5,FALSE))</f>
        <v>0</v>
      </c>
      <c r="Q356" s="38">
        <f>IFERROR(VLOOKUP($F356,bug_conf_sheet!$A:$H,6,FALSE),VLOOKUP("other",bug_conf_sheet!$A:$H,6,FALSE))</f>
        <v>0</v>
      </c>
      <c r="R356" s="38">
        <f>IFERROR(VLOOKUP($F356,bug_conf_sheet!$A:$H,7,FALSE),VLOOKUP("other",bug_conf_sheet!$A:$H,7,FALSE))</f>
        <v>0</v>
      </c>
      <c r="S356" s="38">
        <f>IFERROR(VLOOKUP($F356,bug_conf_sheet!$A:$H,8,FALSE),VLOOKUP("other",bug_conf_sheet!$A:$H,8,FALSE))</f>
        <v>1</v>
      </c>
    </row>
    <row r="357" spans="1:19" ht="21" customHeight="1">
      <c r="A357" s="7" t="str">
        <f t="shared" si="37"/>
        <v>1883438</v>
      </c>
      <c r="B357" s="2" t="str">
        <f t="shared" si="39"/>
        <v>1883</v>
      </c>
      <c r="C357" s="8" t="str">
        <f t="shared" si="40"/>
        <v>3PremiumS5</v>
      </c>
      <c r="D357" s="8" t="str">
        <f t="shared" si="38"/>
        <v>3PremiumS5</v>
      </c>
      <c r="E357" s="10">
        <v>3</v>
      </c>
      <c r="F357" s="6">
        <v>438</v>
      </c>
      <c r="G357" s="8" t="str">
        <f>VLOOKUP(F357,[1]characters!$A:$C,3,FALSE)</f>
        <v>記憶の奪還 カカシ</v>
      </c>
      <c r="H357" s="8" t="str">
        <f>VLOOKUP(F357,[1]characters!$A:$J,10,FALSE)</f>
        <v>PremiumS</v>
      </c>
      <c r="I357" s="8">
        <f>VLOOKUP(F357,[1]characters!$A:$I,9,FALSE)</f>
        <v>5</v>
      </c>
      <c r="J357" s="8" t="str">
        <f>VLOOKUP(F357,[1]characters!$A:$H,8,FALSE)</f>
        <v>green</v>
      </c>
      <c r="K357" s="8" t="str">
        <f>VLOOKUP(F357,[1]characters!$A:$K,11,FALSE)</f>
        <v>technical</v>
      </c>
      <c r="L357" s="8" t="str">
        <f>VLOOKUP(F357,[1]characters!$A:$M,13,FALSE)</f>
        <v>human</v>
      </c>
      <c r="M357" s="16">
        <f>VLOOKUP(D357,gacha_188_base!A:B,2,FALSE)</f>
        <v>955</v>
      </c>
      <c r="N357" s="38">
        <f>IFERROR(VLOOKUP($F357,bug_conf_sheet!$A:$H,3,FALSE),VLOOKUP("other",bug_conf_sheet!$A:$H,3,FALSE))</f>
        <v>1</v>
      </c>
      <c r="O357" s="38">
        <f>IFERROR(VLOOKUP($F357,bug_conf_sheet!$A:$H,4,FALSE),VLOOKUP("other",bug_conf_sheet!$A:$H,4,FALSE))</f>
        <v>0</v>
      </c>
      <c r="P357" s="38">
        <f>IFERROR(VLOOKUP($F357,bug_conf_sheet!$A:$H,5,FALSE),VLOOKUP("other",bug_conf_sheet!$A:$H,5,FALSE))</f>
        <v>0</v>
      </c>
      <c r="Q357" s="38">
        <f>IFERROR(VLOOKUP($F357,bug_conf_sheet!$A:$H,6,FALSE),VLOOKUP("other",bug_conf_sheet!$A:$H,6,FALSE))</f>
        <v>0</v>
      </c>
      <c r="R357" s="38">
        <f>IFERROR(VLOOKUP($F357,bug_conf_sheet!$A:$H,7,FALSE),VLOOKUP("other",bug_conf_sheet!$A:$H,7,FALSE))</f>
        <v>0</v>
      </c>
      <c r="S357" s="38">
        <f>IFERROR(VLOOKUP($F357,bug_conf_sheet!$A:$H,8,FALSE),VLOOKUP("other",bug_conf_sheet!$A:$H,8,FALSE))</f>
        <v>1</v>
      </c>
    </row>
    <row r="358" spans="1:19" ht="21" hidden="1" customHeight="1">
      <c r="A358" s="7" t="str">
        <f t="shared" si="37"/>
        <v>1883440</v>
      </c>
      <c r="B358" s="2" t="str">
        <f t="shared" si="39"/>
        <v>1883</v>
      </c>
      <c r="C358" s="8" t="str">
        <f t="shared" si="40"/>
        <v>3PremiumS4</v>
      </c>
      <c r="D358" s="8" t="str">
        <f t="shared" si="38"/>
        <v>3PremiumS4</v>
      </c>
      <c r="E358" s="10">
        <v>3</v>
      </c>
      <c r="F358" s="6">
        <v>440</v>
      </c>
      <c r="G358" s="8" t="str">
        <f>VLOOKUP(F358,[1]characters!$A:$C,3,FALSE)</f>
        <v>改良型 ブリキロガー</v>
      </c>
      <c r="H358" s="8" t="str">
        <f>VLOOKUP(F358,[1]characters!$A:$J,10,FALSE)</f>
        <v>PremiumS</v>
      </c>
      <c r="I358" s="8">
        <f>VLOOKUP(F358,[1]characters!$A:$I,9,FALSE)</f>
        <v>4</v>
      </c>
      <c r="J358" s="8" t="str">
        <f>VLOOKUP(F358,[1]characters!$A:$H,8,FALSE)</f>
        <v>blue</v>
      </c>
      <c r="K358" s="8" t="str">
        <f>VLOOKUP(F358,[1]characters!$A:$K,11,FALSE)</f>
        <v>attack</v>
      </c>
      <c r="L358" s="8" t="str">
        <f>VLOOKUP(F358,[1]characters!$A:$M,13,FALSE)</f>
        <v>machine</v>
      </c>
      <c r="M358" s="16">
        <f>VLOOKUP(D358,gacha_188_base!A:B,2,FALSE)</f>
        <v>14962</v>
      </c>
      <c r="N358" s="38">
        <f>IFERROR(VLOOKUP($F358,bug_conf_sheet!$A:$H,3,FALSE),VLOOKUP("other",bug_conf_sheet!$A:$H,3,FALSE))</f>
        <v>1</v>
      </c>
      <c r="O358" s="38">
        <f>IFERROR(VLOOKUP($F358,bug_conf_sheet!$A:$H,4,FALSE),VLOOKUP("other",bug_conf_sheet!$A:$H,4,FALSE))</f>
        <v>0</v>
      </c>
      <c r="P358" s="38">
        <f>IFERROR(VLOOKUP($F358,bug_conf_sheet!$A:$H,5,FALSE),VLOOKUP("other",bug_conf_sheet!$A:$H,5,FALSE))</f>
        <v>0</v>
      </c>
      <c r="Q358" s="38">
        <f>IFERROR(VLOOKUP($F358,bug_conf_sheet!$A:$H,6,FALSE),VLOOKUP("other",bug_conf_sheet!$A:$H,6,FALSE))</f>
        <v>0</v>
      </c>
      <c r="R358" s="38">
        <f>IFERROR(VLOOKUP($F358,bug_conf_sheet!$A:$H,7,FALSE),VLOOKUP("other",bug_conf_sheet!$A:$H,7,FALSE))</f>
        <v>0</v>
      </c>
      <c r="S358" s="38">
        <f>IFERROR(VLOOKUP($F358,bug_conf_sheet!$A:$H,8,FALSE),VLOOKUP("other",bug_conf_sheet!$A:$H,8,FALSE))</f>
        <v>1</v>
      </c>
    </row>
    <row r="359" spans="1:19" ht="21" customHeight="1">
      <c r="A359" s="7" t="str">
        <f t="shared" si="37"/>
        <v>1883441</v>
      </c>
      <c r="B359" s="2" t="str">
        <f t="shared" si="39"/>
        <v>1883</v>
      </c>
      <c r="C359" s="8" t="str">
        <f t="shared" si="40"/>
        <v>3PremiumS5</v>
      </c>
      <c r="D359" s="8" t="str">
        <f t="shared" si="38"/>
        <v>3PremiumS5</v>
      </c>
      <c r="E359" s="10">
        <v>3</v>
      </c>
      <c r="F359" s="6">
        <v>441</v>
      </c>
      <c r="G359" s="8" t="str">
        <f>VLOOKUP(F359,[1]characters!$A:$C,3,FALSE)</f>
        <v>求心の錻装 ブリキロガー</v>
      </c>
      <c r="H359" s="8" t="str">
        <f>VLOOKUP(F359,[1]characters!$A:$J,10,FALSE)</f>
        <v>PremiumS</v>
      </c>
      <c r="I359" s="8">
        <f>VLOOKUP(F359,[1]characters!$A:$I,9,FALSE)</f>
        <v>5</v>
      </c>
      <c r="J359" s="8" t="str">
        <f>VLOOKUP(F359,[1]characters!$A:$H,8,FALSE)</f>
        <v>blue</v>
      </c>
      <c r="K359" s="8" t="str">
        <f>VLOOKUP(F359,[1]characters!$A:$K,11,FALSE)</f>
        <v>attack</v>
      </c>
      <c r="L359" s="8" t="str">
        <f>VLOOKUP(F359,[1]characters!$A:$M,13,FALSE)</f>
        <v>machine</v>
      </c>
      <c r="M359" s="16">
        <f>VLOOKUP(D359,gacha_188_base!A:B,2,FALSE)</f>
        <v>955</v>
      </c>
      <c r="N359" s="38">
        <f>IFERROR(VLOOKUP($F359,bug_conf_sheet!$A:$H,3,FALSE),VLOOKUP("other",bug_conf_sheet!$A:$H,3,FALSE))</f>
        <v>1</v>
      </c>
      <c r="O359" s="38">
        <f>IFERROR(VLOOKUP($F359,bug_conf_sheet!$A:$H,4,FALSE),VLOOKUP("other",bug_conf_sheet!$A:$H,4,FALSE))</f>
        <v>0</v>
      </c>
      <c r="P359" s="38">
        <f>IFERROR(VLOOKUP($F359,bug_conf_sheet!$A:$H,5,FALSE),VLOOKUP("other",bug_conf_sheet!$A:$H,5,FALSE))</f>
        <v>0</v>
      </c>
      <c r="Q359" s="38">
        <f>IFERROR(VLOOKUP($F359,bug_conf_sheet!$A:$H,6,FALSE),VLOOKUP("other",bug_conf_sheet!$A:$H,6,FALSE))</f>
        <v>0</v>
      </c>
      <c r="R359" s="38">
        <f>IFERROR(VLOOKUP($F359,bug_conf_sheet!$A:$H,7,FALSE),VLOOKUP("other",bug_conf_sheet!$A:$H,7,FALSE))</f>
        <v>0</v>
      </c>
      <c r="S359" s="38">
        <f>IFERROR(VLOOKUP($F359,bug_conf_sheet!$A:$H,8,FALSE),VLOOKUP("other",bug_conf_sheet!$A:$H,8,FALSE))</f>
        <v>1</v>
      </c>
    </row>
    <row r="360" spans="1:19" ht="21" hidden="1" customHeight="1">
      <c r="A360" s="7" t="str">
        <f t="shared" si="37"/>
        <v>1883442</v>
      </c>
      <c r="B360" s="2" t="str">
        <f t="shared" si="39"/>
        <v>1883</v>
      </c>
      <c r="C360" s="8" t="str">
        <f t="shared" si="40"/>
        <v>3PremiumSS4</v>
      </c>
      <c r="D360" s="8" t="str">
        <f t="shared" si="38"/>
        <v>3PremiumSS4</v>
      </c>
      <c r="E360" s="10">
        <v>3</v>
      </c>
      <c r="F360" s="6">
        <v>442</v>
      </c>
      <c r="G360" s="8" t="str">
        <f>VLOOKUP(F360,[1]characters!$A:$C,3,FALSE)</f>
        <v>ブレイブリー・ライオン</v>
      </c>
      <c r="H360" s="8" t="str">
        <f>VLOOKUP(F360,[1]characters!$A:$J,10,FALSE)</f>
        <v>PremiumSS</v>
      </c>
      <c r="I360" s="8">
        <f>VLOOKUP(F360,[1]characters!$A:$I,9,FALSE)</f>
        <v>4</v>
      </c>
      <c r="J360" s="8" t="str">
        <f>VLOOKUP(F360,[1]characters!$A:$H,8,FALSE)</f>
        <v>yellow</v>
      </c>
      <c r="K360" s="8" t="str">
        <f>VLOOKUP(F360,[1]characters!$A:$K,11,FALSE)</f>
        <v>hp</v>
      </c>
      <c r="L360" s="8" t="str">
        <f>VLOOKUP(F360,[1]characters!$A:$M,13,FALSE)</f>
        <v>animal</v>
      </c>
      <c r="M360" s="16">
        <f>VLOOKUP(D360,gacha_188_base!A:B,2,FALSE)</f>
        <v>1709</v>
      </c>
      <c r="N360" s="38">
        <f>IFERROR(VLOOKUP($F360,bug_conf_sheet!$A:$H,3,FALSE),VLOOKUP("other",bug_conf_sheet!$A:$H,3,FALSE))</f>
        <v>1</v>
      </c>
      <c r="O360" s="38">
        <f>IFERROR(VLOOKUP($F360,bug_conf_sheet!$A:$H,4,FALSE),VLOOKUP("other",bug_conf_sheet!$A:$H,4,FALSE))</f>
        <v>0</v>
      </c>
      <c r="P360" s="38">
        <f>IFERROR(VLOOKUP($F360,bug_conf_sheet!$A:$H,5,FALSE),VLOOKUP("other",bug_conf_sheet!$A:$H,5,FALSE))</f>
        <v>0</v>
      </c>
      <c r="Q360" s="38">
        <f>IFERROR(VLOOKUP($F360,bug_conf_sheet!$A:$H,6,FALSE),VLOOKUP("other",bug_conf_sheet!$A:$H,6,FALSE))</f>
        <v>0</v>
      </c>
      <c r="R360" s="38">
        <f>IFERROR(VLOOKUP($F360,bug_conf_sheet!$A:$H,7,FALSE),VLOOKUP("other",bug_conf_sheet!$A:$H,7,FALSE))</f>
        <v>0</v>
      </c>
      <c r="S360" s="38">
        <f>IFERROR(VLOOKUP($F360,bug_conf_sheet!$A:$H,8,FALSE),VLOOKUP("other",bug_conf_sheet!$A:$H,8,FALSE))</f>
        <v>1</v>
      </c>
    </row>
    <row r="361" spans="1:19" ht="21" customHeight="1">
      <c r="A361" s="7" t="str">
        <f t="shared" si="37"/>
        <v>1883443</v>
      </c>
      <c r="B361" s="2" t="str">
        <f t="shared" si="39"/>
        <v>1883</v>
      </c>
      <c r="C361" s="8" t="str">
        <f t="shared" si="40"/>
        <v>3PremiumSS5</v>
      </c>
      <c r="D361" s="8" t="str">
        <f t="shared" si="38"/>
        <v>3PremiumSS5</v>
      </c>
      <c r="E361" s="10">
        <v>3</v>
      </c>
      <c r="F361" s="6">
        <v>443</v>
      </c>
      <c r="G361" s="8" t="str">
        <f>VLOOKUP(F361,[1]characters!$A:$C,3,FALSE)</f>
        <v>勇機結集 ブレイブリー・ライオン</v>
      </c>
      <c r="H361" s="8" t="str">
        <f>VLOOKUP(F361,[1]characters!$A:$J,10,FALSE)</f>
        <v>PremiumSS</v>
      </c>
      <c r="I361" s="8">
        <f>VLOOKUP(F361,[1]characters!$A:$I,9,FALSE)</f>
        <v>5</v>
      </c>
      <c r="J361" s="8" t="str">
        <f>VLOOKUP(F361,[1]characters!$A:$H,8,FALSE)</f>
        <v>yellow</v>
      </c>
      <c r="K361" s="8" t="str">
        <f>VLOOKUP(F361,[1]characters!$A:$K,11,FALSE)</f>
        <v>hp</v>
      </c>
      <c r="L361" s="8" t="str">
        <f>VLOOKUP(F361,[1]characters!$A:$M,13,FALSE)</f>
        <v>animal</v>
      </c>
      <c r="M361" s="16">
        <f>VLOOKUP(D361,gacha_188_base!A:B,2,FALSE)</f>
        <v>109</v>
      </c>
      <c r="N361" s="38">
        <f>IFERROR(VLOOKUP($F361,bug_conf_sheet!$A:$H,3,FALSE),VLOOKUP("other",bug_conf_sheet!$A:$H,3,FALSE))</f>
        <v>1</v>
      </c>
      <c r="O361" s="38">
        <f>IFERROR(VLOOKUP($F361,bug_conf_sheet!$A:$H,4,FALSE),VLOOKUP("other",bug_conf_sheet!$A:$H,4,FALSE))</f>
        <v>0</v>
      </c>
      <c r="P361" s="38">
        <f>IFERROR(VLOOKUP($F361,bug_conf_sheet!$A:$H,5,FALSE),VLOOKUP("other",bug_conf_sheet!$A:$H,5,FALSE))</f>
        <v>0</v>
      </c>
      <c r="Q361" s="38">
        <f>IFERROR(VLOOKUP($F361,bug_conf_sheet!$A:$H,6,FALSE),VLOOKUP("other",bug_conf_sheet!$A:$H,6,FALSE))</f>
        <v>0</v>
      </c>
      <c r="R361" s="38">
        <f>IFERROR(VLOOKUP($F361,bug_conf_sheet!$A:$H,7,FALSE),VLOOKUP("other",bug_conf_sheet!$A:$H,7,FALSE))</f>
        <v>0</v>
      </c>
      <c r="S361" s="38">
        <f>IFERROR(VLOOKUP($F361,bug_conf_sheet!$A:$H,8,FALSE),VLOOKUP("other",bug_conf_sheet!$A:$H,8,FALSE))</f>
        <v>1</v>
      </c>
    </row>
    <row r="362" spans="1:19" ht="21" hidden="1" customHeight="1">
      <c r="A362" s="7" t="str">
        <f t="shared" si="37"/>
        <v>1883463</v>
      </c>
      <c r="B362" s="2" t="str">
        <f t="shared" si="39"/>
        <v>1883</v>
      </c>
      <c r="C362" s="8" t="str">
        <f t="shared" si="40"/>
        <v>3PremiumS4</v>
      </c>
      <c r="D362" s="8" t="str">
        <f t="shared" si="38"/>
        <v>3PremiumS4</v>
      </c>
      <c r="E362" s="10">
        <v>3</v>
      </c>
      <c r="F362" s="9">
        <v>463</v>
      </c>
      <c r="G362" s="8" t="str">
        <f>VLOOKUP(F362,[1]characters!$A:$C,3,FALSE)</f>
        <v>燻銀 ガウェイン</v>
      </c>
      <c r="H362" s="8" t="str">
        <f>VLOOKUP(F362,[1]characters!$A:$J,10,FALSE)</f>
        <v>PremiumS</v>
      </c>
      <c r="I362" s="8">
        <f>VLOOKUP(F362,[1]characters!$A:$I,9,FALSE)</f>
        <v>4</v>
      </c>
      <c r="J362" s="8" t="str">
        <f>VLOOKUP(F362,[1]characters!$A:$H,8,FALSE)</f>
        <v>red</v>
      </c>
      <c r="K362" s="8" t="str">
        <f>VLOOKUP(F362,[1]characters!$A:$K,11,FALSE)</f>
        <v>hp</v>
      </c>
      <c r="L362" s="8" t="str">
        <f>VLOOKUP(F362,[1]characters!$A:$M,13,FALSE)</f>
        <v>human</v>
      </c>
      <c r="M362" s="16">
        <f>VLOOKUP(D362,gacha_188_base!A:B,2,FALSE)</f>
        <v>14962</v>
      </c>
      <c r="N362" s="38">
        <f>IFERROR(VLOOKUP($F362,bug_conf_sheet!$A:$H,3,FALSE),VLOOKUP("other",bug_conf_sheet!$A:$H,3,FALSE))</f>
        <v>1</v>
      </c>
      <c r="O362" s="38">
        <f>IFERROR(VLOOKUP($F362,bug_conf_sheet!$A:$H,4,FALSE),VLOOKUP("other",bug_conf_sheet!$A:$H,4,FALSE))</f>
        <v>0</v>
      </c>
      <c r="P362" s="38">
        <f>IFERROR(VLOOKUP($F362,bug_conf_sheet!$A:$H,5,FALSE),VLOOKUP("other",bug_conf_sheet!$A:$H,5,FALSE))</f>
        <v>0</v>
      </c>
      <c r="Q362" s="38">
        <f>IFERROR(VLOOKUP($F362,bug_conf_sheet!$A:$H,6,FALSE),VLOOKUP("other",bug_conf_sheet!$A:$H,6,FALSE))</f>
        <v>0</v>
      </c>
      <c r="R362" s="38">
        <f>IFERROR(VLOOKUP($F362,bug_conf_sheet!$A:$H,7,FALSE),VLOOKUP("other",bug_conf_sheet!$A:$H,7,FALSE))</f>
        <v>0</v>
      </c>
      <c r="S362" s="38">
        <f>IFERROR(VLOOKUP($F362,bug_conf_sheet!$A:$H,8,FALSE),VLOOKUP("other",bug_conf_sheet!$A:$H,8,FALSE))</f>
        <v>1</v>
      </c>
    </row>
    <row r="363" spans="1:19" ht="21" customHeight="1">
      <c r="A363" s="7" t="str">
        <f t="shared" si="37"/>
        <v>1883464</v>
      </c>
      <c r="B363" s="2" t="str">
        <f t="shared" si="39"/>
        <v>1883</v>
      </c>
      <c r="C363" s="8" t="str">
        <f t="shared" si="40"/>
        <v>3PremiumS5</v>
      </c>
      <c r="D363" s="8" t="str">
        <f t="shared" si="38"/>
        <v>3PremiumS5</v>
      </c>
      <c r="E363" s="10">
        <v>3</v>
      </c>
      <c r="F363" s="9">
        <v>464</v>
      </c>
      <c r="G363" s="8" t="str">
        <f>VLOOKUP(F363,[1]characters!$A:$C,3,FALSE)</f>
        <v>円熟の弾導 ガウェイン</v>
      </c>
      <c r="H363" s="8" t="str">
        <f>VLOOKUP(F363,[1]characters!$A:$J,10,FALSE)</f>
        <v>PremiumS</v>
      </c>
      <c r="I363" s="8">
        <f>VLOOKUP(F363,[1]characters!$A:$I,9,FALSE)</f>
        <v>5</v>
      </c>
      <c r="J363" s="8" t="str">
        <f>VLOOKUP(F363,[1]characters!$A:$H,8,FALSE)</f>
        <v>red</v>
      </c>
      <c r="K363" s="8" t="str">
        <f>VLOOKUP(F363,[1]characters!$A:$K,11,FALSE)</f>
        <v>hp</v>
      </c>
      <c r="L363" s="8" t="str">
        <f>VLOOKUP(F363,[1]characters!$A:$M,13,FALSE)</f>
        <v>human</v>
      </c>
      <c r="M363" s="16">
        <f>VLOOKUP(D363,gacha_188_base!A:B,2,FALSE)</f>
        <v>955</v>
      </c>
      <c r="N363" s="38">
        <f>IFERROR(VLOOKUP($F363,bug_conf_sheet!$A:$H,3,FALSE),VLOOKUP("other",bug_conf_sheet!$A:$H,3,FALSE))</f>
        <v>1</v>
      </c>
      <c r="O363" s="38">
        <f>IFERROR(VLOOKUP($F363,bug_conf_sheet!$A:$H,4,FALSE),VLOOKUP("other",bug_conf_sheet!$A:$H,4,FALSE))</f>
        <v>0</v>
      </c>
      <c r="P363" s="38">
        <f>IFERROR(VLOOKUP($F363,bug_conf_sheet!$A:$H,5,FALSE),VLOOKUP("other",bug_conf_sheet!$A:$H,5,FALSE))</f>
        <v>0</v>
      </c>
      <c r="Q363" s="38">
        <f>IFERROR(VLOOKUP($F363,bug_conf_sheet!$A:$H,6,FALSE),VLOOKUP("other",bug_conf_sheet!$A:$H,6,FALSE))</f>
        <v>0</v>
      </c>
      <c r="R363" s="38">
        <f>IFERROR(VLOOKUP($F363,bug_conf_sheet!$A:$H,7,FALSE),VLOOKUP("other",bug_conf_sheet!$A:$H,7,FALSE))</f>
        <v>0</v>
      </c>
      <c r="S363" s="38">
        <f>IFERROR(VLOOKUP($F363,bug_conf_sheet!$A:$H,8,FALSE),VLOOKUP("other",bug_conf_sheet!$A:$H,8,FALSE))</f>
        <v>1</v>
      </c>
    </row>
    <row r="364" spans="1:19" ht="21" hidden="1" customHeight="1">
      <c r="A364" s="7" t="str">
        <f t="shared" si="37"/>
        <v>1883465</v>
      </c>
      <c r="B364" s="2" t="str">
        <f t="shared" si="39"/>
        <v>1883</v>
      </c>
      <c r="C364" s="8" t="str">
        <f t="shared" si="40"/>
        <v>3PremiumSS4</v>
      </c>
      <c r="D364" s="8" t="str">
        <f t="shared" si="38"/>
        <v>3PremiumSS4</v>
      </c>
      <c r="E364" s="10">
        <v>3</v>
      </c>
      <c r="F364" s="9">
        <v>465</v>
      </c>
      <c r="G364" s="8" t="str">
        <f>VLOOKUP(F364,[1]characters!$A:$C,3,FALSE)</f>
        <v>真撃 ランスロット</v>
      </c>
      <c r="H364" s="8" t="str">
        <f>VLOOKUP(F364,[1]characters!$A:$J,10,FALSE)</f>
        <v>PremiumSS</v>
      </c>
      <c r="I364" s="8">
        <f>VLOOKUP(F364,[1]characters!$A:$I,9,FALSE)</f>
        <v>4</v>
      </c>
      <c r="J364" s="8" t="str">
        <f>VLOOKUP(F364,[1]characters!$A:$H,8,FALSE)</f>
        <v>green</v>
      </c>
      <c r="K364" s="8" t="str">
        <f>VLOOKUP(F364,[1]characters!$A:$K,11,FALSE)</f>
        <v>balance</v>
      </c>
      <c r="L364" s="8" t="str">
        <f>VLOOKUP(F364,[1]characters!$A:$M,13,FALSE)</f>
        <v>human</v>
      </c>
      <c r="M364" s="16">
        <f>VLOOKUP(D364,gacha_188_base!A:B,2,FALSE)</f>
        <v>1709</v>
      </c>
      <c r="N364" s="38">
        <f>IFERROR(VLOOKUP($F364,bug_conf_sheet!$A:$H,3,FALSE),VLOOKUP("other",bug_conf_sheet!$A:$H,3,FALSE))</f>
        <v>1</v>
      </c>
      <c r="O364" s="38">
        <f>IFERROR(VLOOKUP($F364,bug_conf_sheet!$A:$H,4,FALSE),VLOOKUP("other",bug_conf_sheet!$A:$H,4,FALSE))</f>
        <v>0</v>
      </c>
      <c r="P364" s="38">
        <f>IFERROR(VLOOKUP($F364,bug_conf_sheet!$A:$H,5,FALSE),VLOOKUP("other",bug_conf_sheet!$A:$H,5,FALSE))</f>
        <v>0</v>
      </c>
      <c r="Q364" s="38">
        <f>IFERROR(VLOOKUP($F364,bug_conf_sheet!$A:$H,6,FALSE),VLOOKUP("other",bug_conf_sheet!$A:$H,6,FALSE))</f>
        <v>0</v>
      </c>
      <c r="R364" s="38">
        <f>IFERROR(VLOOKUP($F364,bug_conf_sheet!$A:$H,7,FALSE),VLOOKUP("other",bug_conf_sheet!$A:$H,7,FALSE))</f>
        <v>0</v>
      </c>
      <c r="S364" s="38">
        <f>IFERROR(VLOOKUP($F364,bug_conf_sheet!$A:$H,8,FALSE),VLOOKUP("other",bug_conf_sheet!$A:$H,8,FALSE))</f>
        <v>1</v>
      </c>
    </row>
    <row r="365" spans="1:19" s="11" customFormat="1" ht="21" customHeight="1" thickBot="1">
      <c r="A365" s="7" t="str">
        <f t="shared" si="37"/>
        <v>1883466</v>
      </c>
      <c r="B365" s="2" t="str">
        <f t="shared" si="39"/>
        <v>1883</v>
      </c>
      <c r="C365" s="8" t="str">
        <f t="shared" si="40"/>
        <v>3PremiumSS5</v>
      </c>
      <c r="D365" s="8" t="str">
        <f t="shared" si="38"/>
        <v>3PremiumSS5</v>
      </c>
      <c r="E365" s="10">
        <v>3</v>
      </c>
      <c r="F365" s="6">
        <v>466</v>
      </c>
      <c r="G365" s="8" t="str">
        <f>VLOOKUP(F365,[1]characters!$A:$C,3,FALSE)</f>
        <v>真断の勇覇 ランスロット</v>
      </c>
      <c r="H365" s="8" t="str">
        <f>VLOOKUP(F365,[1]characters!$A:$J,10,FALSE)</f>
        <v>PremiumSS</v>
      </c>
      <c r="I365" s="8">
        <f>VLOOKUP(F365,[1]characters!$A:$I,9,FALSE)</f>
        <v>5</v>
      </c>
      <c r="J365" s="8" t="str">
        <f>VLOOKUP(F365,[1]characters!$A:$H,8,FALSE)</f>
        <v>green</v>
      </c>
      <c r="K365" s="8" t="str">
        <f>VLOOKUP(F365,[1]characters!$A:$K,11,FALSE)</f>
        <v>balance</v>
      </c>
      <c r="L365" s="8" t="str">
        <f>VLOOKUP(F365,[1]characters!$A:$M,13,FALSE)</f>
        <v>human</v>
      </c>
      <c r="M365" s="16">
        <f>VLOOKUP(D365,gacha_188_base!A:B,2,FALSE)</f>
        <v>109</v>
      </c>
      <c r="N365" s="38">
        <f>IFERROR(VLOOKUP($F365,bug_conf_sheet!$A:$H,3,FALSE),VLOOKUP("other",bug_conf_sheet!$A:$H,3,FALSE))</f>
        <v>1</v>
      </c>
      <c r="O365" s="38">
        <f>IFERROR(VLOOKUP($F365,bug_conf_sheet!$A:$H,4,FALSE),VLOOKUP("other",bug_conf_sheet!$A:$H,4,FALSE))</f>
        <v>0</v>
      </c>
      <c r="P365" s="38">
        <f>IFERROR(VLOOKUP($F365,bug_conf_sheet!$A:$H,5,FALSE),VLOOKUP("other",bug_conf_sheet!$A:$H,5,FALSE))</f>
        <v>0</v>
      </c>
      <c r="Q365" s="38">
        <f>IFERROR(VLOOKUP($F365,bug_conf_sheet!$A:$H,6,FALSE),VLOOKUP("other",bug_conf_sheet!$A:$H,6,FALSE))</f>
        <v>0</v>
      </c>
      <c r="R365" s="38">
        <f>IFERROR(VLOOKUP($F365,bug_conf_sheet!$A:$H,7,FALSE),VLOOKUP("other",bug_conf_sheet!$A:$H,7,FALSE))</f>
        <v>0</v>
      </c>
      <c r="S365" s="38">
        <f>IFERROR(VLOOKUP($F365,bug_conf_sheet!$A:$H,8,FALSE),VLOOKUP("other",bug_conf_sheet!$A:$H,8,FALSE))</f>
        <v>1</v>
      </c>
    </row>
    <row r="366" spans="1:19" ht="21" hidden="1" customHeight="1">
      <c r="A366" s="7" t="str">
        <f t="shared" si="37"/>
        <v>1883467</v>
      </c>
      <c r="B366" s="2" t="str">
        <f t="shared" si="39"/>
        <v>1883</v>
      </c>
      <c r="C366" s="8" t="str">
        <f t="shared" si="40"/>
        <v>3PremiumSS4</v>
      </c>
      <c r="D366" s="8" t="str">
        <f t="shared" si="38"/>
        <v>3PremiumSS4</v>
      </c>
      <c r="E366" s="10">
        <v>3</v>
      </c>
      <c r="F366" s="6">
        <v>467</v>
      </c>
      <c r="G366" s="8" t="str">
        <f>VLOOKUP(F366,[1]characters!$A:$C,3,FALSE)</f>
        <v>報復 モルドレッド</v>
      </c>
      <c r="H366" s="8" t="str">
        <f>VLOOKUP(F366,[1]characters!$A:$J,10,FALSE)</f>
        <v>PremiumSS</v>
      </c>
      <c r="I366" s="8">
        <f>VLOOKUP(F366,[1]characters!$A:$I,9,FALSE)</f>
        <v>4</v>
      </c>
      <c r="J366" s="8" t="str">
        <f>VLOOKUP(F366,[1]characters!$A:$H,8,FALSE)</f>
        <v>blue</v>
      </c>
      <c r="K366" s="8" t="str">
        <f>VLOOKUP(F366,[1]characters!$A:$K,11,FALSE)</f>
        <v>technical</v>
      </c>
      <c r="L366" s="8" t="str">
        <f>VLOOKUP(F366,[1]characters!$A:$M,13,FALSE)</f>
        <v>human</v>
      </c>
      <c r="M366" s="16">
        <f>VLOOKUP(D366,gacha_188_base!A:B,2,FALSE)</f>
        <v>1709</v>
      </c>
      <c r="N366" s="38">
        <f>IFERROR(VLOOKUP($F366,bug_conf_sheet!$A:$H,3,FALSE),VLOOKUP("other",bug_conf_sheet!$A:$H,3,FALSE))</f>
        <v>1</v>
      </c>
      <c r="O366" s="38">
        <f>IFERROR(VLOOKUP($F366,bug_conf_sheet!$A:$H,4,FALSE),VLOOKUP("other",bug_conf_sheet!$A:$H,4,FALSE))</f>
        <v>0</v>
      </c>
      <c r="P366" s="38">
        <f>IFERROR(VLOOKUP($F366,bug_conf_sheet!$A:$H,5,FALSE),VLOOKUP("other",bug_conf_sheet!$A:$H,5,FALSE))</f>
        <v>0</v>
      </c>
      <c r="Q366" s="38">
        <f>IFERROR(VLOOKUP($F366,bug_conf_sheet!$A:$H,6,FALSE),VLOOKUP("other",bug_conf_sheet!$A:$H,6,FALSE))</f>
        <v>0</v>
      </c>
      <c r="R366" s="38">
        <f>IFERROR(VLOOKUP($F366,bug_conf_sheet!$A:$H,7,FALSE),VLOOKUP("other",bug_conf_sheet!$A:$H,7,FALSE))</f>
        <v>0</v>
      </c>
      <c r="S366" s="38">
        <f>IFERROR(VLOOKUP($F366,bug_conf_sheet!$A:$H,8,FALSE),VLOOKUP("other",bug_conf_sheet!$A:$H,8,FALSE))</f>
        <v>1</v>
      </c>
    </row>
    <row r="367" spans="1:19" ht="21" customHeight="1">
      <c r="A367" s="7" t="str">
        <f t="shared" si="37"/>
        <v>1883468</v>
      </c>
      <c r="B367" s="2" t="str">
        <f t="shared" si="39"/>
        <v>1883</v>
      </c>
      <c r="C367" s="8" t="str">
        <f t="shared" si="40"/>
        <v>3PremiumSS5</v>
      </c>
      <c r="D367" s="8" t="str">
        <f t="shared" si="38"/>
        <v>3PremiumSS5</v>
      </c>
      <c r="E367" s="10">
        <v>3</v>
      </c>
      <c r="F367" s="6">
        <v>468</v>
      </c>
      <c r="G367" s="8" t="str">
        <f>VLOOKUP(F367,[1]characters!$A:$C,3,FALSE)</f>
        <v>憎愛の尖鋒 モルドレッド</v>
      </c>
      <c r="H367" s="8" t="str">
        <f>VLOOKUP(F367,[1]characters!$A:$J,10,FALSE)</f>
        <v>PremiumSS</v>
      </c>
      <c r="I367" s="8">
        <f>VLOOKUP(F367,[1]characters!$A:$I,9,FALSE)</f>
        <v>5</v>
      </c>
      <c r="J367" s="8" t="str">
        <f>VLOOKUP(F367,[1]characters!$A:$H,8,FALSE)</f>
        <v>blue</v>
      </c>
      <c r="K367" s="8" t="str">
        <f>VLOOKUP(F367,[1]characters!$A:$K,11,FALSE)</f>
        <v>technical</v>
      </c>
      <c r="L367" s="8" t="str">
        <f>VLOOKUP(F367,[1]characters!$A:$M,13,FALSE)</f>
        <v>human</v>
      </c>
      <c r="M367" s="16">
        <f>VLOOKUP(D367,gacha_188_base!A:B,2,FALSE)</f>
        <v>109</v>
      </c>
      <c r="N367" s="38">
        <f>IFERROR(VLOOKUP($F367,bug_conf_sheet!$A:$H,3,FALSE),VLOOKUP("other",bug_conf_sheet!$A:$H,3,FALSE))</f>
        <v>1</v>
      </c>
      <c r="O367" s="38">
        <f>IFERROR(VLOOKUP($F367,bug_conf_sheet!$A:$H,4,FALSE),VLOOKUP("other",bug_conf_sheet!$A:$H,4,FALSE))</f>
        <v>0</v>
      </c>
      <c r="P367" s="38">
        <f>IFERROR(VLOOKUP($F367,bug_conf_sheet!$A:$H,5,FALSE),VLOOKUP("other",bug_conf_sheet!$A:$H,5,FALSE))</f>
        <v>0</v>
      </c>
      <c r="Q367" s="38">
        <f>IFERROR(VLOOKUP($F367,bug_conf_sheet!$A:$H,6,FALSE),VLOOKUP("other",bug_conf_sheet!$A:$H,6,FALSE))</f>
        <v>0</v>
      </c>
      <c r="R367" s="38">
        <f>IFERROR(VLOOKUP($F367,bug_conf_sheet!$A:$H,7,FALSE),VLOOKUP("other",bug_conf_sheet!$A:$H,7,FALSE))</f>
        <v>0</v>
      </c>
      <c r="S367" s="38">
        <f>IFERROR(VLOOKUP($F367,bug_conf_sheet!$A:$H,8,FALSE),VLOOKUP("other",bug_conf_sheet!$A:$H,8,FALSE))</f>
        <v>1</v>
      </c>
    </row>
    <row r="368" spans="1:19" ht="21" hidden="1" customHeight="1">
      <c r="A368" s="7" t="str">
        <f t="shared" si="37"/>
        <v>1883470</v>
      </c>
      <c r="B368" s="2" t="str">
        <f t="shared" si="39"/>
        <v>1883</v>
      </c>
      <c r="C368" s="8" t="str">
        <f t="shared" si="40"/>
        <v>3PremiumS4</v>
      </c>
      <c r="D368" s="8" t="str">
        <f t="shared" si="38"/>
        <v>3PremiumS4</v>
      </c>
      <c r="E368" s="10">
        <v>3</v>
      </c>
      <c r="F368" s="6">
        <v>470</v>
      </c>
      <c r="G368" s="8" t="str">
        <f>VLOOKUP(F368,[1]characters!$A:$C,3,FALSE)</f>
        <v>純心 トリスタン</v>
      </c>
      <c r="H368" s="8" t="str">
        <f>VLOOKUP(F368,[1]characters!$A:$J,10,FALSE)</f>
        <v>PremiumS</v>
      </c>
      <c r="I368" s="8">
        <f>VLOOKUP(F368,[1]characters!$A:$I,9,FALSE)</f>
        <v>4</v>
      </c>
      <c r="J368" s="8" t="str">
        <f>VLOOKUP(F368,[1]characters!$A:$H,8,FALSE)</f>
        <v>yellow</v>
      </c>
      <c r="K368" s="8" t="str">
        <f>VLOOKUP(F368,[1]characters!$A:$K,11,FALSE)</f>
        <v>attack</v>
      </c>
      <c r="L368" s="8" t="str">
        <f>VLOOKUP(F368,[1]characters!$A:$M,13,FALSE)</f>
        <v>human</v>
      </c>
      <c r="M368" s="16">
        <f>VLOOKUP(D368,gacha_188_base!A:B,2,FALSE)</f>
        <v>14962</v>
      </c>
      <c r="N368" s="38">
        <f>IFERROR(VLOOKUP($F368,bug_conf_sheet!$A:$H,3,FALSE),VLOOKUP("other",bug_conf_sheet!$A:$H,3,FALSE))</f>
        <v>1</v>
      </c>
      <c r="O368" s="38">
        <f>IFERROR(VLOOKUP($F368,bug_conf_sheet!$A:$H,4,FALSE),VLOOKUP("other",bug_conf_sheet!$A:$H,4,FALSE))</f>
        <v>0</v>
      </c>
      <c r="P368" s="38">
        <f>IFERROR(VLOOKUP($F368,bug_conf_sheet!$A:$H,5,FALSE),VLOOKUP("other",bug_conf_sheet!$A:$H,5,FALSE))</f>
        <v>0</v>
      </c>
      <c r="Q368" s="38">
        <f>IFERROR(VLOOKUP($F368,bug_conf_sheet!$A:$H,6,FALSE),VLOOKUP("other",bug_conf_sheet!$A:$H,6,FALSE))</f>
        <v>0</v>
      </c>
      <c r="R368" s="38">
        <f>IFERROR(VLOOKUP($F368,bug_conf_sheet!$A:$H,7,FALSE),VLOOKUP("other",bug_conf_sheet!$A:$H,7,FALSE))</f>
        <v>0</v>
      </c>
      <c r="S368" s="38">
        <f>IFERROR(VLOOKUP($F368,bug_conf_sheet!$A:$H,8,FALSE),VLOOKUP("other",bug_conf_sheet!$A:$H,8,FALSE))</f>
        <v>1</v>
      </c>
    </row>
    <row r="369" spans="1:19" ht="21" customHeight="1">
      <c r="A369" s="7" t="str">
        <f t="shared" ref="A369:A393" si="41">B369&amp;F369</f>
        <v>1883471</v>
      </c>
      <c r="B369" s="2" t="str">
        <f t="shared" si="39"/>
        <v>1883</v>
      </c>
      <c r="C369" s="8" t="str">
        <f t="shared" si="40"/>
        <v>3PremiumS5</v>
      </c>
      <c r="D369" s="8" t="str">
        <f t="shared" ref="D369:D393" si="42">E369&amp;H369&amp;I369</f>
        <v>3PremiumS5</v>
      </c>
      <c r="E369" s="10">
        <v>3</v>
      </c>
      <c r="F369" s="6">
        <v>471</v>
      </c>
      <c r="G369" s="8" t="str">
        <f>VLOOKUP(F369,[1]characters!$A:$C,3,FALSE)</f>
        <v>不可避の爆激 トリスタン</v>
      </c>
      <c r="H369" s="8" t="str">
        <f>VLOOKUP(F369,[1]characters!$A:$J,10,FALSE)</f>
        <v>PremiumS</v>
      </c>
      <c r="I369" s="8">
        <f>VLOOKUP(F369,[1]characters!$A:$I,9,FALSE)</f>
        <v>5</v>
      </c>
      <c r="J369" s="8" t="str">
        <f>VLOOKUP(F369,[1]characters!$A:$H,8,FALSE)</f>
        <v>yellow</v>
      </c>
      <c r="K369" s="8" t="str">
        <f>VLOOKUP(F369,[1]characters!$A:$K,11,FALSE)</f>
        <v>attack</v>
      </c>
      <c r="L369" s="8" t="str">
        <f>VLOOKUP(F369,[1]characters!$A:$M,13,FALSE)</f>
        <v>human</v>
      </c>
      <c r="M369" s="16">
        <f>VLOOKUP(D369,gacha_188_base!A:B,2,FALSE)</f>
        <v>955</v>
      </c>
      <c r="N369" s="38">
        <f>IFERROR(VLOOKUP($F369,bug_conf_sheet!$A:$H,3,FALSE),VLOOKUP("other",bug_conf_sheet!$A:$H,3,FALSE))</f>
        <v>1</v>
      </c>
      <c r="O369" s="38">
        <f>IFERROR(VLOOKUP($F369,bug_conf_sheet!$A:$H,4,FALSE),VLOOKUP("other",bug_conf_sheet!$A:$H,4,FALSE))</f>
        <v>0</v>
      </c>
      <c r="P369" s="38">
        <f>IFERROR(VLOOKUP($F369,bug_conf_sheet!$A:$H,5,FALSE),VLOOKUP("other",bug_conf_sheet!$A:$H,5,FALSE))</f>
        <v>0</v>
      </c>
      <c r="Q369" s="38">
        <f>IFERROR(VLOOKUP($F369,bug_conf_sheet!$A:$H,6,FALSE),VLOOKUP("other",bug_conf_sheet!$A:$H,6,FALSE))</f>
        <v>0</v>
      </c>
      <c r="R369" s="38">
        <f>IFERROR(VLOOKUP($F369,bug_conf_sheet!$A:$H,7,FALSE),VLOOKUP("other",bug_conf_sheet!$A:$H,7,FALSE))</f>
        <v>0</v>
      </c>
      <c r="S369" s="38">
        <f>IFERROR(VLOOKUP($F369,bug_conf_sheet!$A:$H,8,FALSE),VLOOKUP("other",bug_conf_sheet!$A:$H,8,FALSE))</f>
        <v>1</v>
      </c>
    </row>
    <row r="370" spans="1:19" ht="21" hidden="1" customHeight="1">
      <c r="A370" s="7" t="str">
        <f t="shared" si="41"/>
        <v>1883474</v>
      </c>
      <c r="B370" s="2" t="str">
        <f t="shared" si="39"/>
        <v>1883</v>
      </c>
      <c r="C370" s="8" t="str">
        <f t="shared" si="40"/>
        <v>3PremiumSS4</v>
      </c>
      <c r="D370" s="8" t="str">
        <f t="shared" si="42"/>
        <v>3PremiumSS4</v>
      </c>
      <c r="E370" s="10">
        <v>3</v>
      </c>
      <c r="F370" s="6">
        <v>474</v>
      </c>
      <c r="G370" s="8" t="str">
        <f>VLOOKUP(F370,[1]characters!$A:$C,3,FALSE)</f>
        <v>キング・ドライグ</v>
      </c>
      <c r="H370" s="8" t="str">
        <f>VLOOKUP(F370,[1]characters!$A:$J,10,FALSE)</f>
        <v>PremiumSS</v>
      </c>
      <c r="I370" s="8">
        <f>VLOOKUP(F370,[1]characters!$A:$I,9,FALSE)</f>
        <v>4</v>
      </c>
      <c r="J370" s="8" t="str">
        <f>VLOOKUP(F370,[1]characters!$A:$H,8,FALSE)</f>
        <v>red</v>
      </c>
      <c r="K370" s="8" t="str">
        <f>VLOOKUP(F370,[1]characters!$A:$K,11,FALSE)</f>
        <v>attack</v>
      </c>
      <c r="L370" s="8" t="str">
        <f>VLOOKUP(F370,[1]characters!$A:$M,13,FALSE)</f>
        <v>dragon</v>
      </c>
      <c r="M370" s="16">
        <f>VLOOKUP(D370,gacha_188_base!A:B,2,FALSE)</f>
        <v>1709</v>
      </c>
      <c r="N370" s="38">
        <f>IFERROR(VLOOKUP($F370,bug_conf_sheet!$A:$H,3,FALSE),VLOOKUP("other",bug_conf_sheet!$A:$H,3,FALSE))</f>
        <v>1</v>
      </c>
      <c r="O370" s="38">
        <f>IFERROR(VLOOKUP($F370,bug_conf_sheet!$A:$H,4,FALSE),VLOOKUP("other",bug_conf_sheet!$A:$H,4,FALSE))</f>
        <v>0</v>
      </c>
      <c r="P370" s="38">
        <f>IFERROR(VLOOKUP($F370,bug_conf_sheet!$A:$H,5,FALSE),VLOOKUP("other",bug_conf_sheet!$A:$H,5,FALSE))</f>
        <v>0</v>
      </c>
      <c r="Q370" s="38">
        <f>IFERROR(VLOOKUP($F370,bug_conf_sheet!$A:$H,6,FALSE),VLOOKUP("other",bug_conf_sheet!$A:$H,6,FALSE))</f>
        <v>0</v>
      </c>
      <c r="R370" s="38">
        <f>IFERROR(VLOOKUP($F370,bug_conf_sheet!$A:$H,7,FALSE),VLOOKUP("other",bug_conf_sheet!$A:$H,7,FALSE))</f>
        <v>0</v>
      </c>
      <c r="S370" s="38">
        <f>IFERROR(VLOOKUP($F370,bug_conf_sheet!$A:$H,8,FALSE),VLOOKUP("other",bug_conf_sheet!$A:$H,8,FALSE))</f>
        <v>1</v>
      </c>
    </row>
    <row r="371" spans="1:19" ht="21" customHeight="1">
      <c r="A371" s="7" t="str">
        <f t="shared" si="41"/>
        <v>1883475</v>
      </c>
      <c r="B371" s="2" t="str">
        <f t="shared" si="39"/>
        <v>1883</v>
      </c>
      <c r="C371" s="8" t="str">
        <f t="shared" si="40"/>
        <v>3PremiumSS5</v>
      </c>
      <c r="D371" s="8" t="str">
        <f t="shared" si="42"/>
        <v>3PremiumSS5</v>
      </c>
      <c r="E371" s="10">
        <v>3</v>
      </c>
      <c r="F371" s="6">
        <v>475</v>
      </c>
      <c r="G371" s="8" t="str">
        <f>VLOOKUP(F371,[1]characters!$A:$C,3,FALSE)</f>
        <v>緋王 キング・ドライグ</v>
      </c>
      <c r="H371" s="8" t="str">
        <f>VLOOKUP(F371,[1]characters!$A:$J,10,FALSE)</f>
        <v>PremiumSS</v>
      </c>
      <c r="I371" s="8">
        <f>VLOOKUP(F371,[1]characters!$A:$I,9,FALSE)</f>
        <v>5</v>
      </c>
      <c r="J371" s="8" t="str">
        <f>VLOOKUP(F371,[1]characters!$A:$H,8,FALSE)</f>
        <v>red</v>
      </c>
      <c r="K371" s="8" t="str">
        <f>VLOOKUP(F371,[1]characters!$A:$K,11,FALSE)</f>
        <v>attack</v>
      </c>
      <c r="L371" s="8" t="str">
        <f>VLOOKUP(F371,[1]characters!$A:$M,13,FALSE)</f>
        <v>dragon</v>
      </c>
      <c r="M371" s="16">
        <f>VLOOKUP(D371,gacha_188_base!A:B,2,FALSE)</f>
        <v>109</v>
      </c>
      <c r="N371" s="38">
        <f>IFERROR(VLOOKUP($F371,bug_conf_sheet!$A:$H,3,FALSE),VLOOKUP("other",bug_conf_sheet!$A:$H,3,FALSE))</f>
        <v>1</v>
      </c>
      <c r="O371" s="38">
        <f>IFERROR(VLOOKUP($F371,bug_conf_sheet!$A:$H,4,FALSE),VLOOKUP("other",bug_conf_sheet!$A:$H,4,FALSE))</f>
        <v>0</v>
      </c>
      <c r="P371" s="38">
        <f>IFERROR(VLOOKUP($F371,bug_conf_sheet!$A:$H,5,FALSE),VLOOKUP("other",bug_conf_sheet!$A:$H,5,FALSE))</f>
        <v>0</v>
      </c>
      <c r="Q371" s="38">
        <f>IFERROR(VLOOKUP($F371,bug_conf_sheet!$A:$H,6,FALSE),VLOOKUP("other",bug_conf_sheet!$A:$H,6,FALSE))</f>
        <v>0</v>
      </c>
      <c r="R371" s="38">
        <f>IFERROR(VLOOKUP($F371,bug_conf_sheet!$A:$H,7,FALSE),VLOOKUP("other",bug_conf_sheet!$A:$H,7,FALSE))</f>
        <v>0</v>
      </c>
      <c r="S371" s="38">
        <f>IFERROR(VLOOKUP($F371,bug_conf_sheet!$A:$H,8,FALSE),VLOOKUP("other",bug_conf_sheet!$A:$H,8,FALSE))</f>
        <v>1</v>
      </c>
    </row>
    <row r="372" spans="1:19" ht="21" hidden="1" customHeight="1">
      <c r="A372" s="7" t="str">
        <f t="shared" si="41"/>
        <v>1883477</v>
      </c>
      <c r="B372" s="2" t="str">
        <f t="shared" si="39"/>
        <v>1883</v>
      </c>
      <c r="C372" s="8" t="str">
        <f t="shared" si="40"/>
        <v>3PremiumS4</v>
      </c>
      <c r="D372" s="8" t="str">
        <f t="shared" si="42"/>
        <v>3PremiumS4</v>
      </c>
      <c r="E372" s="10">
        <v>3</v>
      </c>
      <c r="F372" s="6">
        <v>477</v>
      </c>
      <c r="G372" s="8" t="str">
        <f>VLOOKUP(F372,[1]characters!$A:$C,3,FALSE)</f>
        <v>愛羽妖精 ファータ</v>
      </c>
      <c r="H372" s="8" t="str">
        <f>VLOOKUP(F372,[1]characters!$A:$J,10,FALSE)</f>
        <v>PremiumS</v>
      </c>
      <c r="I372" s="8">
        <f>VLOOKUP(F372,[1]characters!$A:$I,9,FALSE)</f>
        <v>4</v>
      </c>
      <c r="J372" s="8" t="str">
        <f>VLOOKUP(F372,[1]characters!$A:$H,8,FALSE)</f>
        <v>green</v>
      </c>
      <c r="K372" s="8" t="str">
        <f>VLOOKUP(F372,[1]characters!$A:$K,11,FALSE)</f>
        <v>heal</v>
      </c>
      <c r="L372" s="8" t="str">
        <f>VLOOKUP(F372,[1]characters!$A:$M,13,FALSE)</f>
        <v>unknown</v>
      </c>
      <c r="M372" s="16">
        <f>VLOOKUP(D372,gacha_188_base!A:B,2,FALSE)</f>
        <v>14962</v>
      </c>
      <c r="N372" s="38">
        <f>IFERROR(VLOOKUP($F372,bug_conf_sheet!$A:$H,3,FALSE),VLOOKUP("other",bug_conf_sheet!$A:$H,3,FALSE))</f>
        <v>1</v>
      </c>
      <c r="O372" s="38">
        <f>IFERROR(VLOOKUP($F372,bug_conf_sheet!$A:$H,4,FALSE),VLOOKUP("other",bug_conf_sheet!$A:$H,4,FALSE))</f>
        <v>0</v>
      </c>
      <c r="P372" s="38">
        <f>IFERROR(VLOOKUP($F372,bug_conf_sheet!$A:$H,5,FALSE),VLOOKUP("other",bug_conf_sheet!$A:$H,5,FALSE))</f>
        <v>0</v>
      </c>
      <c r="Q372" s="38">
        <f>IFERROR(VLOOKUP($F372,bug_conf_sheet!$A:$H,6,FALSE),VLOOKUP("other",bug_conf_sheet!$A:$H,6,FALSE))</f>
        <v>0</v>
      </c>
      <c r="R372" s="38">
        <f>IFERROR(VLOOKUP($F372,bug_conf_sheet!$A:$H,7,FALSE),VLOOKUP("other",bug_conf_sheet!$A:$H,7,FALSE))</f>
        <v>0</v>
      </c>
      <c r="S372" s="38">
        <f>IFERROR(VLOOKUP($F372,bug_conf_sheet!$A:$H,8,FALSE),VLOOKUP("other",bug_conf_sheet!$A:$H,8,FALSE))</f>
        <v>1</v>
      </c>
    </row>
    <row r="373" spans="1:19" ht="21" customHeight="1">
      <c r="A373" s="7" t="str">
        <f t="shared" si="41"/>
        <v>1883478</v>
      </c>
      <c r="B373" s="2" t="str">
        <f t="shared" si="39"/>
        <v>1883</v>
      </c>
      <c r="C373" s="8" t="str">
        <f t="shared" si="40"/>
        <v>3PremiumS5</v>
      </c>
      <c r="D373" s="8" t="str">
        <f t="shared" si="42"/>
        <v>3PremiumS5</v>
      </c>
      <c r="E373" s="10">
        <v>3</v>
      </c>
      <c r="F373" s="6">
        <v>478</v>
      </c>
      <c r="G373" s="8" t="str">
        <f>VLOOKUP(F373,[1]characters!$A:$C,3,FALSE)</f>
        <v>時計仕掛けの愛羽妖精 ファータ</v>
      </c>
      <c r="H373" s="8" t="str">
        <f>VLOOKUP(F373,[1]characters!$A:$J,10,FALSE)</f>
        <v>PremiumS</v>
      </c>
      <c r="I373" s="8">
        <f>VLOOKUP(F373,[1]characters!$A:$I,9,FALSE)</f>
        <v>5</v>
      </c>
      <c r="J373" s="8" t="str">
        <f>VLOOKUP(F373,[1]characters!$A:$H,8,FALSE)</f>
        <v>green</v>
      </c>
      <c r="K373" s="8" t="str">
        <f>VLOOKUP(F373,[1]characters!$A:$K,11,FALSE)</f>
        <v>heal</v>
      </c>
      <c r="L373" s="8" t="str">
        <f>VLOOKUP(F373,[1]characters!$A:$M,13,FALSE)</f>
        <v>unknown</v>
      </c>
      <c r="M373" s="16">
        <f>VLOOKUP(D373,gacha_188_base!A:B,2,FALSE)</f>
        <v>955</v>
      </c>
      <c r="N373" s="38">
        <f>IFERROR(VLOOKUP($F373,bug_conf_sheet!$A:$H,3,FALSE),VLOOKUP("other",bug_conf_sheet!$A:$H,3,FALSE))</f>
        <v>1</v>
      </c>
      <c r="O373" s="38">
        <f>IFERROR(VLOOKUP($F373,bug_conf_sheet!$A:$H,4,FALSE),VLOOKUP("other",bug_conf_sheet!$A:$H,4,FALSE))</f>
        <v>0</v>
      </c>
      <c r="P373" s="38">
        <f>IFERROR(VLOOKUP($F373,bug_conf_sheet!$A:$H,5,FALSE),VLOOKUP("other",bug_conf_sheet!$A:$H,5,FALSE))</f>
        <v>0</v>
      </c>
      <c r="Q373" s="38">
        <f>IFERROR(VLOOKUP($F373,bug_conf_sheet!$A:$H,6,FALSE),VLOOKUP("other",bug_conf_sheet!$A:$H,6,FALSE))</f>
        <v>0</v>
      </c>
      <c r="R373" s="38">
        <f>IFERROR(VLOOKUP($F373,bug_conf_sheet!$A:$H,7,FALSE),VLOOKUP("other",bug_conf_sheet!$A:$H,7,FALSE))</f>
        <v>0</v>
      </c>
      <c r="S373" s="38">
        <f>IFERROR(VLOOKUP($F373,bug_conf_sheet!$A:$H,8,FALSE),VLOOKUP("other",bug_conf_sheet!$A:$H,8,FALSE))</f>
        <v>1</v>
      </c>
    </row>
    <row r="374" spans="1:19" ht="21" hidden="1" customHeight="1">
      <c r="A374" s="7" t="str">
        <f t="shared" si="41"/>
        <v>1883479</v>
      </c>
      <c r="B374" s="2" t="str">
        <f t="shared" si="39"/>
        <v>1883</v>
      </c>
      <c r="C374" s="8" t="str">
        <f t="shared" si="40"/>
        <v>3PremiumSS4</v>
      </c>
      <c r="D374" s="8" t="str">
        <f t="shared" si="42"/>
        <v>3PremiumSS4</v>
      </c>
      <c r="E374" s="10">
        <v>3</v>
      </c>
      <c r="F374" s="6">
        <v>479</v>
      </c>
      <c r="G374" s="8" t="str">
        <f>VLOOKUP(F374,[1]characters!$A:$C,3,FALSE)</f>
        <v>フール</v>
      </c>
      <c r="H374" s="8" t="str">
        <f>VLOOKUP(F374,[1]characters!$A:$J,10,FALSE)</f>
        <v>PremiumSS</v>
      </c>
      <c r="I374" s="8">
        <f>VLOOKUP(F374,[1]characters!$A:$I,9,FALSE)</f>
        <v>4</v>
      </c>
      <c r="J374" s="8" t="str">
        <f>VLOOKUP(F374,[1]characters!$A:$H,8,FALSE)</f>
        <v>blue</v>
      </c>
      <c r="K374" s="8" t="str">
        <f>VLOOKUP(F374,[1]characters!$A:$K,11,FALSE)</f>
        <v>technical</v>
      </c>
      <c r="L374" s="8" t="str">
        <f>VLOOKUP(F374,[1]characters!$A:$M,13,FALSE)</f>
        <v>god</v>
      </c>
      <c r="M374" s="16">
        <f>VLOOKUP(D374,gacha_188_base!A:B,2,FALSE)</f>
        <v>1709</v>
      </c>
      <c r="N374" s="38">
        <f>IFERROR(VLOOKUP($F374,bug_conf_sheet!$A:$H,3,FALSE),VLOOKUP("other",bug_conf_sheet!$A:$H,3,FALSE))</f>
        <v>1</v>
      </c>
      <c r="O374" s="38">
        <f>IFERROR(VLOOKUP($F374,bug_conf_sheet!$A:$H,4,FALSE),VLOOKUP("other",bug_conf_sheet!$A:$H,4,FALSE))</f>
        <v>0</v>
      </c>
      <c r="P374" s="38">
        <f>IFERROR(VLOOKUP($F374,bug_conf_sheet!$A:$H,5,FALSE),VLOOKUP("other",bug_conf_sheet!$A:$H,5,FALSE))</f>
        <v>0</v>
      </c>
      <c r="Q374" s="38">
        <f>IFERROR(VLOOKUP($F374,bug_conf_sheet!$A:$H,6,FALSE),VLOOKUP("other",bug_conf_sheet!$A:$H,6,FALSE))</f>
        <v>0</v>
      </c>
      <c r="R374" s="38">
        <f>IFERROR(VLOOKUP($F374,bug_conf_sheet!$A:$H,7,FALSE),VLOOKUP("other",bug_conf_sheet!$A:$H,7,FALSE))</f>
        <v>0</v>
      </c>
      <c r="S374" s="38">
        <f>IFERROR(VLOOKUP($F374,bug_conf_sheet!$A:$H,8,FALSE),VLOOKUP("other",bug_conf_sheet!$A:$H,8,FALSE))</f>
        <v>1</v>
      </c>
    </row>
    <row r="375" spans="1:19" ht="21" customHeight="1">
      <c r="A375" s="7" t="str">
        <f t="shared" si="41"/>
        <v>1883480</v>
      </c>
      <c r="B375" s="2" t="str">
        <f t="shared" si="39"/>
        <v>1883</v>
      </c>
      <c r="C375" s="8" t="str">
        <f t="shared" si="40"/>
        <v>3PremiumSS5</v>
      </c>
      <c r="D375" s="8" t="str">
        <f t="shared" si="42"/>
        <v>3PremiumSS5</v>
      </c>
      <c r="E375" s="10">
        <v>3</v>
      </c>
      <c r="F375" s="6">
        <v>480</v>
      </c>
      <c r="G375" s="8" t="str">
        <f>VLOOKUP(F375,[1]characters!$A:$C,3,FALSE)</f>
        <v>夢幻の愚者フール</v>
      </c>
      <c r="H375" s="8" t="str">
        <f>VLOOKUP(F375,[1]characters!$A:$J,10,FALSE)</f>
        <v>PremiumSS</v>
      </c>
      <c r="I375" s="8">
        <f>VLOOKUP(F375,[1]characters!$A:$I,9,FALSE)</f>
        <v>5</v>
      </c>
      <c r="J375" s="8" t="str">
        <f>VLOOKUP(F375,[1]characters!$A:$H,8,FALSE)</f>
        <v>blue</v>
      </c>
      <c r="K375" s="8" t="str">
        <f>VLOOKUP(F375,[1]characters!$A:$K,11,FALSE)</f>
        <v>technical</v>
      </c>
      <c r="L375" s="8" t="str">
        <f>VLOOKUP(F375,[1]characters!$A:$M,13,FALSE)</f>
        <v>god</v>
      </c>
      <c r="M375" s="16">
        <f>VLOOKUP(D375,gacha_188_base!A:B,2,FALSE)</f>
        <v>109</v>
      </c>
      <c r="N375" s="38">
        <f>IFERROR(VLOOKUP($F375,bug_conf_sheet!$A:$H,3,FALSE),VLOOKUP("other",bug_conf_sheet!$A:$H,3,FALSE))</f>
        <v>1</v>
      </c>
      <c r="O375" s="38">
        <f>IFERROR(VLOOKUP($F375,bug_conf_sheet!$A:$H,4,FALSE),VLOOKUP("other",bug_conf_sheet!$A:$H,4,FALSE))</f>
        <v>0</v>
      </c>
      <c r="P375" s="38">
        <f>IFERROR(VLOOKUP($F375,bug_conf_sheet!$A:$H,5,FALSE),VLOOKUP("other",bug_conf_sheet!$A:$H,5,FALSE))</f>
        <v>0</v>
      </c>
      <c r="Q375" s="38">
        <f>IFERROR(VLOOKUP($F375,bug_conf_sheet!$A:$H,6,FALSE),VLOOKUP("other",bug_conf_sheet!$A:$H,6,FALSE))</f>
        <v>0</v>
      </c>
      <c r="R375" s="38">
        <f>IFERROR(VLOOKUP($F375,bug_conf_sheet!$A:$H,7,FALSE),VLOOKUP("other",bug_conf_sheet!$A:$H,7,FALSE))</f>
        <v>0</v>
      </c>
      <c r="S375" s="38">
        <f>IFERROR(VLOOKUP($F375,bug_conf_sheet!$A:$H,8,FALSE),VLOOKUP("other",bug_conf_sheet!$A:$H,8,FALSE))</f>
        <v>1</v>
      </c>
    </row>
    <row r="376" spans="1:19" ht="21" hidden="1" customHeight="1">
      <c r="A376" s="7" t="str">
        <f t="shared" si="41"/>
        <v>1883482</v>
      </c>
      <c r="B376" s="2" t="str">
        <f t="shared" si="39"/>
        <v>1883</v>
      </c>
      <c r="C376" s="8" t="str">
        <f t="shared" si="40"/>
        <v>3PremiumS4</v>
      </c>
      <c r="D376" s="8" t="str">
        <f t="shared" si="42"/>
        <v>3PremiumS4</v>
      </c>
      <c r="E376" s="10">
        <v>3</v>
      </c>
      <c r="F376" s="6">
        <v>482</v>
      </c>
      <c r="G376" s="8" t="str">
        <f>VLOOKUP(F376,[1]characters!$A:$C,3,FALSE)</f>
        <v>魁僧 沢庵宗彭</v>
      </c>
      <c r="H376" s="8" t="str">
        <f>VLOOKUP(F376,[1]characters!$A:$J,10,FALSE)</f>
        <v>PremiumS</v>
      </c>
      <c r="I376" s="8">
        <f>VLOOKUP(F376,[1]characters!$A:$I,9,FALSE)</f>
        <v>4</v>
      </c>
      <c r="J376" s="8" t="str">
        <f>VLOOKUP(F376,[1]characters!$A:$H,8,FALSE)</f>
        <v>yellow</v>
      </c>
      <c r="K376" s="8" t="str">
        <f>VLOOKUP(F376,[1]characters!$A:$K,11,FALSE)</f>
        <v>hp</v>
      </c>
      <c r="L376" s="8" t="str">
        <f>VLOOKUP(F376,[1]characters!$A:$M,13,FALSE)</f>
        <v>human</v>
      </c>
      <c r="M376" s="16">
        <f>VLOOKUP(D376,gacha_188_base!A:B,2,FALSE)</f>
        <v>14962</v>
      </c>
      <c r="N376" s="38">
        <f>IFERROR(VLOOKUP($F376,bug_conf_sheet!$A:$H,3,FALSE),VLOOKUP("other",bug_conf_sheet!$A:$H,3,FALSE))</f>
        <v>1</v>
      </c>
      <c r="O376" s="38">
        <f>IFERROR(VLOOKUP($F376,bug_conf_sheet!$A:$H,4,FALSE),VLOOKUP("other",bug_conf_sheet!$A:$H,4,FALSE))</f>
        <v>0</v>
      </c>
      <c r="P376" s="38">
        <f>IFERROR(VLOOKUP($F376,bug_conf_sheet!$A:$H,5,FALSE),VLOOKUP("other",bug_conf_sheet!$A:$H,5,FALSE))</f>
        <v>0</v>
      </c>
      <c r="Q376" s="38">
        <f>IFERROR(VLOOKUP($F376,bug_conf_sheet!$A:$H,6,FALSE),VLOOKUP("other",bug_conf_sheet!$A:$H,6,FALSE))</f>
        <v>0</v>
      </c>
      <c r="R376" s="38">
        <f>IFERROR(VLOOKUP($F376,bug_conf_sheet!$A:$H,7,FALSE),VLOOKUP("other",bug_conf_sheet!$A:$H,7,FALSE))</f>
        <v>0</v>
      </c>
      <c r="S376" s="38">
        <f>IFERROR(VLOOKUP($F376,bug_conf_sheet!$A:$H,8,FALSE),VLOOKUP("other",bug_conf_sheet!$A:$H,8,FALSE))</f>
        <v>1</v>
      </c>
    </row>
    <row r="377" spans="1:19" ht="21" customHeight="1">
      <c r="A377" s="7" t="str">
        <f t="shared" si="41"/>
        <v>1883483</v>
      </c>
      <c r="B377" s="2" t="str">
        <f t="shared" si="39"/>
        <v>1883</v>
      </c>
      <c r="C377" s="8" t="str">
        <f t="shared" si="40"/>
        <v>3PremiumS5</v>
      </c>
      <c r="D377" s="8" t="str">
        <f t="shared" si="42"/>
        <v>3PremiumS5</v>
      </c>
      <c r="E377" s="10">
        <v>3</v>
      </c>
      <c r="F377" s="6">
        <v>483</v>
      </c>
      <c r="G377" s="8" t="str">
        <f>VLOOKUP(F377,[1]characters!$A:$C,3,FALSE)</f>
        <v xml:space="preserve">命経死遂 沢庵宗彭 </v>
      </c>
      <c r="H377" s="8" t="str">
        <f>VLOOKUP(F377,[1]characters!$A:$J,10,FALSE)</f>
        <v>PremiumS</v>
      </c>
      <c r="I377" s="8">
        <f>VLOOKUP(F377,[1]characters!$A:$I,9,FALSE)</f>
        <v>5</v>
      </c>
      <c r="J377" s="8" t="str">
        <f>VLOOKUP(F377,[1]characters!$A:$H,8,FALSE)</f>
        <v>yellow</v>
      </c>
      <c r="K377" s="8" t="str">
        <f>VLOOKUP(F377,[1]characters!$A:$K,11,FALSE)</f>
        <v>hp</v>
      </c>
      <c r="L377" s="8" t="str">
        <f>VLOOKUP(F377,[1]characters!$A:$M,13,FALSE)</f>
        <v>human</v>
      </c>
      <c r="M377" s="16">
        <f>VLOOKUP(D377,gacha_188_base!A:B,2,FALSE)</f>
        <v>955</v>
      </c>
      <c r="N377" s="38">
        <f>IFERROR(VLOOKUP($F377,bug_conf_sheet!$A:$H,3,FALSE),VLOOKUP("other",bug_conf_sheet!$A:$H,3,FALSE))</f>
        <v>1</v>
      </c>
      <c r="O377" s="38">
        <f>IFERROR(VLOOKUP($F377,bug_conf_sheet!$A:$H,4,FALSE),VLOOKUP("other",bug_conf_sheet!$A:$H,4,FALSE))</f>
        <v>0</v>
      </c>
      <c r="P377" s="38">
        <f>IFERROR(VLOOKUP($F377,bug_conf_sheet!$A:$H,5,FALSE),VLOOKUP("other",bug_conf_sheet!$A:$H,5,FALSE))</f>
        <v>0</v>
      </c>
      <c r="Q377" s="38">
        <f>IFERROR(VLOOKUP($F377,bug_conf_sheet!$A:$H,6,FALSE),VLOOKUP("other",bug_conf_sheet!$A:$H,6,FALSE))</f>
        <v>0</v>
      </c>
      <c r="R377" s="38">
        <f>IFERROR(VLOOKUP($F377,bug_conf_sheet!$A:$H,7,FALSE),VLOOKUP("other",bug_conf_sheet!$A:$H,7,FALSE))</f>
        <v>0</v>
      </c>
      <c r="S377" s="38">
        <f>IFERROR(VLOOKUP($F377,bug_conf_sheet!$A:$H,8,FALSE),VLOOKUP("other",bug_conf_sheet!$A:$H,8,FALSE))</f>
        <v>1</v>
      </c>
    </row>
    <row r="378" spans="1:19" ht="21" hidden="1" customHeight="1">
      <c r="A378" s="7" t="str">
        <f t="shared" si="41"/>
        <v>1883492</v>
      </c>
      <c r="B378" s="2" t="str">
        <f t="shared" si="39"/>
        <v>1883</v>
      </c>
      <c r="C378" s="8" t="str">
        <f t="shared" si="40"/>
        <v>3PremiumSS4</v>
      </c>
      <c r="D378" s="8" t="str">
        <f t="shared" si="42"/>
        <v>3PremiumSS4</v>
      </c>
      <c r="E378" s="10">
        <v>3</v>
      </c>
      <c r="F378" s="6">
        <v>492</v>
      </c>
      <c r="G378" s="8" t="str">
        <f>VLOOKUP(F378,[1]characters!$A:$C,3,FALSE)</f>
        <v>ブートレグ・ペロー</v>
      </c>
      <c r="H378" s="8" t="str">
        <f>VLOOKUP(F378,[1]characters!$A:$J,10,FALSE)</f>
        <v>PremiumSS</v>
      </c>
      <c r="I378" s="8">
        <f>VLOOKUP(F378,[1]characters!$A:$I,9,FALSE)</f>
        <v>4</v>
      </c>
      <c r="J378" s="8" t="str">
        <f>VLOOKUP(F378,[1]characters!$A:$H,8,FALSE)</f>
        <v>red</v>
      </c>
      <c r="K378" s="8" t="str">
        <f>VLOOKUP(F378,[1]characters!$A:$K,11,FALSE)</f>
        <v>hp</v>
      </c>
      <c r="L378" s="8" t="str">
        <f>VLOOKUP(F378,[1]characters!$A:$M,13,FALSE)</f>
        <v>animal</v>
      </c>
      <c r="M378" s="16">
        <f>VLOOKUP(D378,gacha_188_base!A:B,2,FALSE)</f>
        <v>1709</v>
      </c>
      <c r="N378" s="38">
        <f>IFERROR(VLOOKUP($F378,bug_conf_sheet!$A:$H,3,FALSE),VLOOKUP("other",bug_conf_sheet!$A:$H,3,FALSE))</f>
        <v>1</v>
      </c>
      <c r="O378" s="38">
        <f>IFERROR(VLOOKUP($F378,bug_conf_sheet!$A:$H,4,FALSE),VLOOKUP("other",bug_conf_sheet!$A:$H,4,FALSE))</f>
        <v>0</v>
      </c>
      <c r="P378" s="38">
        <f>IFERROR(VLOOKUP($F378,bug_conf_sheet!$A:$H,5,FALSE),VLOOKUP("other",bug_conf_sheet!$A:$H,5,FALSE))</f>
        <v>0</v>
      </c>
      <c r="Q378" s="38">
        <f>IFERROR(VLOOKUP($F378,bug_conf_sheet!$A:$H,6,FALSE),VLOOKUP("other",bug_conf_sheet!$A:$H,6,FALSE))</f>
        <v>0</v>
      </c>
      <c r="R378" s="38">
        <f>IFERROR(VLOOKUP($F378,bug_conf_sheet!$A:$H,7,FALSE),VLOOKUP("other",bug_conf_sheet!$A:$H,7,FALSE))</f>
        <v>0</v>
      </c>
      <c r="S378" s="38">
        <f>IFERROR(VLOOKUP($F378,bug_conf_sheet!$A:$H,8,FALSE),VLOOKUP("other",bug_conf_sheet!$A:$H,8,FALSE))</f>
        <v>1</v>
      </c>
    </row>
    <row r="379" spans="1:19" ht="21" customHeight="1">
      <c r="A379" s="7" t="str">
        <f t="shared" si="41"/>
        <v>1883493</v>
      </c>
      <c r="B379" s="2" t="str">
        <f t="shared" si="39"/>
        <v>1883</v>
      </c>
      <c r="C379" s="8" t="str">
        <f t="shared" si="40"/>
        <v>3PremiumSS5</v>
      </c>
      <c r="D379" s="8" t="str">
        <f t="shared" si="42"/>
        <v>3PremiumSS5</v>
      </c>
      <c r="E379" s="10">
        <v>3</v>
      </c>
      <c r="F379" s="6">
        <v>493</v>
      </c>
      <c r="G379" s="8" t="str">
        <f>VLOOKUP(F379,[1]characters!$A:$C,3,FALSE)</f>
        <v>跋扈の機脚 ブートレグ・ペロー</v>
      </c>
      <c r="H379" s="8" t="str">
        <f>VLOOKUP(F379,[1]characters!$A:$J,10,FALSE)</f>
        <v>PremiumSS</v>
      </c>
      <c r="I379" s="8">
        <f>VLOOKUP(F379,[1]characters!$A:$I,9,FALSE)</f>
        <v>5</v>
      </c>
      <c r="J379" s="8" t="str">
        <f>VLOOKUP(F379,[1]characters!$A:$H,8,FALSE)</f>
        <v>red</v>
      </c>
      <c r="K379" s="8" t="str">
        <f>VLOOKUP(F379,[1]characters!$A:$K,11,FALSE)</f>
        <v>hp</v>
      </c>
      <c r="L379" s="8" t="str">
        <f>VLOOKUP(F379,[1]characters!$A:$M,13,FALSE)</f>
        <v>animal</v>
      </c>
      <c r="M379" s="16">
        <f>VLOOKUP(D379,gacha_188_base!A:B,2,FALSE)</f>
        <v>109</v>
      </c>
      <c r="N379" s="38">
        <f>IFERROR(VLOOKUP($F379,bug_conf_sheet!$A:$H,3,FALSE),VLOOKUP("other",bug_conf_sheet!$A:$H,3,FALSE))</f>
        <v>1</v>
      </c>
      <c r="O379" s="38">
        <f>IFERROR(VLOOKUP($F379,bug_conf_sheet!$A:$H,4,FALSE),VLOOKUP("other",bug_conf_sheet!$A:$H,4,FALSE))</f>
        <v>0</v>
      </c>
      <c r="P379" s="38">
        <f>IFERROR(VLOOKUP($F379,bug_conf_sheet!$A:$H,5,FALSE),VLOOKUP("other",bug_conf_sheet!$A:$H,5,FALSE))</f>
        <v>0</v>
      </c>
      <c r="Q379" s="38">
        <f>IFERROR(VLOOKUP($F379,bug_conf_sheet!$A:$H,6,FALSE),VLOOKUP("other",bug_conf_sheet!$A:$H,6,FALSE))</f>
        <v>0</v>
      </c>
      <c r="R379" s="38">
        <f>IFERROR(VLOOKUP($F379,bug_conf_sheet!$A:$H,7,FALSE),VLOOKUP("other",bug_conf_sheet!$A:$H,7,FALSE))</f>
        <v>0</v>
      </c>
      <c r="S379" s="38">
        <f>IFERROR(VLOOKUP($F379,bug_conf_sheet!$A:$H,8,FALSE),VLOOKUP("other",bug_conf_sheet!$A:$H,8,FALSE))</f>
        <v>1</v>
      </c>
    </row>
    <row r="380" spans="1:19" ht="21" hidden="1" customHeight="1">
      <c r="A380" s="7" t="str">
        <f t="shared" si="41"/>
        <v>1883494</v>
      </c>
      <c r="B380" s="2" t="str">
        <f t="shared" si="39"/>
        <v>1883</v>
      </c>
      <c r="C380" s="8" t="str">
        <f t="shared" si="40"/>
        <v>3PremiumSS4</v>
      </c>
      <c r="D380" s="8" t="str">
        <f t="shared" si="42"/>
        <v>3PremiumSS4</v>
      </c>
      <c r="E380" s="10">
        <v>3</v>
      </c>
      <c r="F380" s="6">
        <v>494</v>
      </c>
      <c r="G380" s="8" t="str">
        <f>VLOOKUP(F380,[1]characters!$A:$C,3,FALSE)</f>
        <v>ハーメルン</v>
      </c>
      <c r="H380" s="8" t="str">
        <f>VLOOKUP(F380,[1]characters!$A:$J,10,FALSE)</f>
        <v>PremiumSS</v>
      </c>
      <c r="I380" s="8">
        <f>VLOOKUP(F380,[1]characters!$A:$I,9,FALSE)</f>
        <v>4</v>
      </c>
      <c r="J380" s="8" t="str">
        <f>VLOOKUP(F380,[1]characters!$A:$H,8,FALSE)</f>
        <v>green</v>
      </c>
      <c r="K380" s="8" t="str">
        <f>VLOOKUP(F380,[1]characters!$A:$K,11,FALSE)</f>
        <v>technical</v>
      </c>
      <c r="L380" s="8" t="str">
        <f>VLOOKUP(F380,[1]characters!$A:$M,13,FALSE)</f>
        <v>human</v>
      </c>
      <c r="M380" s="16">
        <f>VLOOKUP(D380,gacha_188_base!A:B,2,FALSE)</f>
        <v>1709</v>
      </c>
      <c r="N380" s="38">
        <f>IFERROR(VLOOKUP($F380,bug_conf_sheet!$A:$H,3,FALSE),VLOOKUP("other",bug_conf_sheet!$A:$H,3,FALSE))</f>
        <v>1</v>
      </c>
      <c r="O380" s="38">
        <f>IFERROR(VLOOKUP($F380,bug_conf_sheet!$A:$H,4,FALSE),VLOOKUP("other",bug_conf_sheet!$A:$H,4,FALSE))</f>
        <v>0</v>
      </c>
      <c r="P380" s="38">
        <f>IFERROR(VLOOKUP($F380,bug_conf_sheet!$A:$H,5,FALSE),VLOOKUP("other",bug_conf_sheet!$A:$H,5,FALSE))</f>
        <v>0</v>
      </c>
      <c r="Q380" s="38">
        <f>IFERROR(VLOOKUP($F380,bug_conf_sheet!$A:$H,6,FALSE),VLOOKUP("other",bug_conf_sheet!$A:$H,6,FALSE))</f>
        <v>0</v>
      </c>
      <c r="R380" s="38">
        <f>IFERROR(VLOOKUP($F380,bug_conf_sheet!$A:$H,7,FALSE),VLOOKUP("other",bug_conf_sheet!$A:$H,7,FALSE))</f>
        <v>0</v>
      </c>
      <c r="S380" s="38">
        <f>IFERROR(VLOOKUP($F380,bug_conf_sheet!$A:$H,8,FALSE),VLOOKUP("other",bug_conf_sheet!$A:$H,8,FALSE))</f>
        <v>1</v>
      </c>
    </row>
    <row r="381" spans="1:19" ht="21" customHeight="1">
      <c r="A381" s="7" t="str">
        <f t="shared" si="41"/>
        <v>1883495</v>
      </c>
      <c r="B381" s="2" t="str">
        <f t="shared" si="39"/>
        <v>1883</v>
      </c>
      <c r="C381" s="8" t="str">
        <f t="shared" si="40"/>
        <v>3PremiumSS5</v>
      </c>
      <c r="D381" s="8" t="str">
        <f t="shared" si="42"/>
        <v>3PremiumSS5</v>
      </c>
      <c r="E381" s="10">
        <v>3</v>
      </c>
      <c r="F381" s="6">
        <v>495</v>
      </c>
      <c r="G381" s="8" t="str">
        <f>VLOOKUP(F381,[1]characters!$A:$C,3,FALSE)</f>
        <v>鼠災呼ぶ笛音 ハーメルン</v>
      </c>
      <c r="H381" s="8" t="str">
        <f>VLOOKUP(F381,[1]characters!$A:$J,10,FALSE)</f>
        <v>PremiumSS</v>
      </c>
      <c r="I381" s="8">
        <f>VLOOKUP(F381,[1]characters!$A:$I,9,FALSE)</f>
        <v>5</v>
      </c>
      <c r="J381" s="8" t="str">
        <f>VLOOKUP(F381,[1]characters!$A:$H,8,FALSE)</f>
        <v>green</v>
      </c>
      <c r="K381" s="8" t="str">
        <f>VLOOKUP(F381,[1]characters!$A:$K,11,FALSE)</f>
        <v>technical</v>
      </c>
      <c r="L381" s="8" t="str">
        <f>VLOOKUP(F381,[1]characters!$A:$M,13,FALSE)</f>
        <v>human</v>
      </c>
      <c r="M381" s="16">
        <f>VLOOKUP(D381,gacha_188_base!A:B,2,FALSE)</f>
        <v>109</v>
      </c>
      <c r="N381" s="38">
        <f>IFERROR(VLOOKUP($F381,bug_conf_sheet!$A:$H,3,FALSE),VLOOKUP("other",bug_conf_sheet!$A:$H,3,FALSE))</f>
        <v>1</v>
      </c>
      <c r="O381" s="38">
        <f>IFERROR(VLOOKUP($F381,bug_conf_sheet!$A:$H,4,FALSE),VLOOKUP("other",bug_conf_sheet!$A:$H,4,FALSE))</f>
        <v>0</v>
      </c>
      <c r="P381" s="38">
        <f>IFERROR(VLOOKUP($F381,bug_conf_sheet!$A:$H,5,FALSE),VLOOKUP("other",bug_conf_sheet!$A:$H,5,FALSE))</f>
        <v>0</v>
      </c>
      <c r="Q381" s="38">
        <f>IFERROR(VLOOKUP($F381,bug_conf_sheet!$A:$H,6,FALSE),VLOOKUP("other",bug_conf_sheet!$A:$H,6,FALSE))</f>
        <v>0</v>
      </c>
      <c r="R381" s="38">
        <f>IFERROR(VLOOKUP($F381,bug_conf_sheet!$A:$H,7,FALSE),VLOOKUP("other",bug_conf_sheet!$A:$H,7,FALSE))</f>
        <v>0</v>
      </c>
      <c r="S381" s="38">
        <f>IFERROR(VLOOKUP($F381,bug_conf_sheet!$A:$H,8,FALSE),VLOOKUP("other",bug_conf_sheet!$A:$H,8,FALSE))</f>
        <v>1</v>
      </c>
    </row>
    <row r="382" spans="1:19" ht="21" hidden="1" customHeight="1">
      <c r="A382" s="7" t="str">
        <f t="shared" si="41"/>
        <v>1883497</v>
      </c>
      <c r="B382" s="2" t="str">
        <f t="shared" si="39"/>
        <v>1883</v>
      </c>
      <c r="C382" s="8" t="str">
        <f t="shared" si="40"/>
        <v>3PremiumS4</v>
      </c>
      <c r="D382" s="8" t="str">
        <f t="shared" si="42"/>
        <v>3PremiumS4</v>
      </c>
      <c r="E382" s="10">
        <v>3</v>
      </c>
      <c r="F382" s="6">
        <v>497</v>
      </c>
      <c r="G382" s="8" t="str">
        <f>VLOOKUP(F382,[1]characters!$A:$C,3,FALSE)</f>
        <v>偏愛の野獣 エスタブ</v>
      </c>
      <c r="H382" s="8" t="str">
        <f>VLOOKUP(F382,[1]characters!$A:$J,10,FALSE)</f>
        <v>PremiumS</v>
      </c>
      <c r="I382" s="8">
        <f>VLOOKUP(F382,[1]characters!$A:$I,9,FALSE)</f>
        <v>4</v>
      </c>
      <c r="J382" s="8" t="str">
        <f>VLOOKUP(F382,[1]characters!$A:$H,8,FALSE)</f>
        <v>blue</v>
      </c>
      <c r="K382" s="8" t="str">
        <f>VLOOKUP(F382,[1]characters!$A:$K,11,FALSE)</f>
        <v>attack</v>
      </c>
      <c r="L382" s="8" t="str">
        <f>VLOOKUP(F382,[1]characters!$A:$M,13,FALSE)</f>
        <v>human</v>
      </c>
      <c r="M382" s="16">
        <f>VLOOKUP(D382,gacha_188_base!A:B,2,FALSE)</f>
        <v>14962</v>
      </c>
      <c r="N382" s="38">
        <f>IFERROR(VLOOKUP($F382,bug_conf_sheet!$A:$H,3,FALSE),VLOOKUP("other",bug_conf_sheet!$A:$H,3,FALSE))</f>
        <v>1</v>
      </c>
      <c r="O382" s="38">
        <f>IFERROR(VLOOKUP($F382,bug_conf_sheet!$A:$H,4,FALSE),VLOOKUP("other",bug_conf_sheet!$A:$H,4,FALSE))</f>
        <v>0</v>
      </c>
      <c r="P382" s="38">
        <f>IFERROR(VLOOKUP($F382,bug_conf_sheet!$A:$H,5,FALSE),VLOOKUP("other",bug_conf_sheet!$A:$H,5,FALSE))</f>
        <v>0</v>
      </c>
      <c r="Q382" s="38">
        <f>IFERROR(VLOOKUP($F382,bug_conf_sheet!$A:$H,6,FALSE),VLOOKUP("other",bug_conf_sheet!$A:$H,6,FALSE))</f>
        <v>0</v>
      </c>
      <c r="R382" s="38">
        <f>IFERROR(VLOOKUP($F382,bug_conf_sheet!$A:$H,7,FALSE),VLOOKUP("other",bug_conf_sheet!$A:$H,7,FALSE))</f>
        <v>0</v>
      </c>
      <c r="S382" s="38">
        <f>IFERROR(VLOOKUP($F382,bug_conf_sheet!$A:$H,8,FALSE),VLOOKUP("other",bug_conf_sheet!$A:$H,8,FALSE))</f>
        <v>1</v>
      </c>
    </row>
    <row r="383" spans="1:19" ht="21" customHeight="1">
      <c r="A383" s="7" t="str">
        <f t="shared" si="41"/>
        <v>1883498</v>
      </c>
      <c r="B383" s="2" t="str">
        <f t="shared" si="39"/>
        <v>1883</v>
      </c>
      <c r="C383" s="8" t="str">
        <f t="shared" si="40"/>
        <v>3PremiumS5</v>
      </c>
      <c r="D383" s="8" t="str">
        <f t="shared" si="42"/>
        <v>3PremiumS5</v>
      </c>
      <c r="E383" s="10">
        <v>3</v>
      </c>
      <c r="F383" s="6">
        <v>498</v>
      </c>
      <c r="G383" s="8" t="str">
        <f>VLOOKUP(F383,[1]characters!$A:$C,3,FALSE)</f>
        <v>自愛の高魔 エスタブ</v>
      </c>
      <c r="H383" s="8" t="str">
        <f>VLOOKUP(F383,[1]characters!$A:$J,10,FALSE)</f>
        <v>PremiumS</v>
      </c>
      <c r="I383" s="8">
        <f>VLOOKUP(F383,[1]characters!$A:$I,9,FALSE)</f>
        <v>5</v>
      </c>
      <c r="J383" s="8" t="str">
        <f>VLOOKUP(F383,[1]characters!$A:$H,8,FALSE)</f>
        <v>blue</v>
      </c>
      <c r="K383" s="8" t="str">
        <f>VLOOKUP(F383,[1]characters!$A:$K,11,FALSE)</f>
        <v>attack</v>
      </c>
      <c r="L383" s="8" t="str">
        <f>VLOOKUP(F383,[1]characters!$A:$M,13,FALSE)</f>
        <v>human</v>
      </c>
      <c r="M383" s="16">
        <f>VLOOKUP(D383,gacha_188_base!A:B,2,FALSE)</f>
        <v>955</v>
      </c>
      <c r="N383" s="38">
        <f>IFERROR(VLOOKUP($F383,bug_conf_sheet!$A:$H,3,FALSE),VLOOKUP("other",bug_conf_sheet!$A:$H,3,FALSE))</f>
        <v>1</v>
      </c>
      <c r="O383" s="38">
        <f>IFERROR(VLOOKUP($F383,bug_conf_sheet!$A:$H,4,FALSE),VLOOKUP("other",bug_conf_sheet!$A:$H,4,FALSE))</f>
        <v>0</v>
      </c>
      <c r="P383" s="38">
        <f>IFERROR(VLOOKUP($F383,bug_conf_sheet!$A:$H,5,FALSE),VLOOKUP("other",bug_conf_sheet!$A:$H,5,FALSE))</f>
        <v>0</v>
      </c>
      <c r="Q383" s="38">
        <f>IFERROR(VLOOKUP($F383,bug_conf_sheet!$A:$H,6,FALSE),VLOOKUP("other",bug_conf_sheet!$A:$H,6,FALSE))</f>
        <v>0</v>
      </c>
      <c r="R383" s="38">
        <f>IFERROR(VLOOKUP($F383,bug_conf_sheet!$A:$H,7,FALSE),VLOOKUP("other",bug_conf_sheet!$A:$H,7,FALSE))</f>
        <v>0</v>
      </c>
      <c r="S383" s="38">
        <f>IFERROR(VLOOKUP($F383,bug_conf_sheet!$A:$H,8,FALSE),VLOOKUP("other",bug_conf_sheet!$A:$H,8,FALSE))</f>
        <v>1</v>
      </c>
    </row>
    <row r="384" spans="1:19" ht="21" hidden="1" customHeight="1">
      <c r="A384" s="7" t="str">
        <f t="shared" si="41"/>
        <v>1883499</v>
      </c>
      <c r="B384" s="2" t="str">
        <f t="shared" si="39"/>
        <v>1883</v>
      </c>
      <c r="C384" s="8" t="str">
        <f t="shared" si="40"/>
        <v>3PremiumSS4</v>
      </c>
      <c r="D384" s="8" t="str">
        <f t="shared" si="42"/>
        <v>3PremiumSS4</v>
      </c>
      <c r="E384" s="10">
        <v>3</v>
      </c>
      <c r="F384" s="6">
        <v>499</v>
      </c>
      <c r="G384" s="8" t="str">
        <f>VLOOKUP(F384,[1]characters!$A:$C,3,FALSE)</f>
        <v>ラプンツェル</v>
      </c>
      <c r="H384" s="8" t="str">
        <f>VLOOKUP(F384,[1]characters!$A:$J,10,FALSE)</f>
        <v>PremiumSS</v>
      </c>
      <c r="I384" s="8">
        <f>VLOOKUP(F384,[1]characters!$A:$I,9,FALSE)</f>
        <v>4</v>
      </c>
      <c r="J384" s="8" t="str">
        <f>VLOOKUP(F384,[1]characters!$A:$H,8,FALSE)</f>
        <v>yellow</v>
      </c>
      <c r="K384" s="8" t="str">
        <f>VLOOKUP(F384,[1]characters!$A:$K,11,FALSE)</f>
        <v>balance</v>
      </c>
      <c r="L384" s="8" t="str">
        <f>VLOOKUP(F384,[1]characters!$A:$M,13,FALSE)</f>
        <v>human</v>
      </c>
      <c r="M384" s="16">
        <f>VLOOKUP(D384,gacha_188_base!A:B,2,FALSE)</f>
        <v>1709</v>
      </c>
      <c r="N384" s="38">
        <f>IFERROR(VLOOKUP($F384,bug_conf_sheet!$A:$H,3,FALSE),VLOOKUP("other",bug_conf_sheet!$A:$H,3,FALSE))</f>
        <v>1</v>
      </c>
      <c r="O384" s="38">
        <f>IFERROR(VLOOKUP($F384,bug_conf_sheet!$A:$H,4,FALSE),VLOOKUP("other",bug_conf_sheet!$A:$H,4,FALSE))</f>
        <v>0</v>
      </c>
      <c r="P384" s="38">
        <f>IFERROR(VLOOKUP($F384,bug_conf_sheet!$A:$H,5,FALSE),VLOOKUP("other",bug_conf_sheet!$A:$H,5,FALSE))</f>
        <v>0</v>
      </c>
      <c r="Q384" s="38">
        <f>IFERROR(VLOOKUP($F384,bug_conf_sheet!$A:$H,6,FALSE),VLOOKUP("other",bug_conf_sheet!$A:$H,6,FALSE))</f>
        <v>0</v>
      </c>
      <c r="R384" s="38">
        <f>IFERROR(VLOOKUP($F384,bug_conf_sheet!$A:$H,7,FALSE),VLOOKUP("other",bug_conf_sheet!$A:$H,7,FALSE))</f>
        <v>0</v>
      </c>
      <c r="S384" s="38">
        <f>IFERROR(VLOOKUP($F384,bug_conf_sheet!$A:$H,8,FALSE),VLOOKUP("other",bug_conf_sheet!$A:$H,8,FALSE))</f>
        <v>1</v>
      </c>
    </row>
    <row r="385" spans="1:19" ht="21" customHeight="1">
      <c r="A385" s="7" t="str">
        <f t="shared" si="41"/>
        <v>1883500</v>
      </c>
      <c r="B385" s="2" t="str">
        <f t="shared" si="39"/>
        <v>1883</v>
      </c>
      <c r="C385" s="8" t="str">
        <f t="shared" si="40"/>
        <v>3PremiumSS5</v>
      </c>
      <c r="D385" s="8" t="str">
        <f t="shared" si="42"/>
        <v>3PremiumSS5</v>
      </c>
      <c r="E385" s="10">
        <v>3</v>
      </c>
      <c r="F385" s="6">
        <v>500</v>
      </c>
      <c r="G385" s="8" t="str">
        <f>VLOOKUP(F385,[1]characters!$A:$C,3,FALSE)</f>
        <v>脈動の禁髪 ラプンツェル</v>
      </c>
      <c r="H385" s="8" t="str">
        <f>VLOOKUP(F385,[1]characters!$A:$J,10,FALSE)</f>
        <v>PremiumSS</v>
      </c>
      <c r="I385" s="8">
        <f>VLOOKUP(F385,[1]characters!$A:$I,9,FALSE)</f>
        <v>5</v>
      </c>
      <c r="J385" s="8" t="str">
        <f>VLOOKUP(F385,[1]characters!$A:$H,8,FALSE)</f>
        <v>yellow</v>
      </c>
      <c r="K385" s="8" t="str">
        <f>VLOOKUP(F385,[1]characters!$A:$K,11,FALSE)</f>
        <v>balance</v>
      </c>
      <c r="L385" s="8" t="str">
        <f>VLOOKUP(F385,[1]characters!$A:$M,13,FALSE)</f>
        <v>human</v>
      </c>
      <c r="M385" s="16">
        <f>VLOOKUP(D385,gacha_188_base!A:B,2,FALSE)</f>
        <v>109</v>
      </c>
      <c r="N385" s="38">
        <f>IFERROR(VLOOKUP($F385,bug_conf_sheet!$A:$H,3,FALSE),VLOOKUP("other",bug_conf_sheet!$A:$H,3,FALSE))</f>
        <v>1</v>
      </c>
      <c r="O385" s="38">
        <f>IFERROR(VLOOKUP($F385,bug_conf_sheet!$A:$H,4,FALSE),VLOOKUP("other",bug_conf_sheet!$A:$H,4,FALSE))</f>
        <v>0</v>
      </c>
      <c r="P385" s="38">
        <f>IFERROR(VLOOKUP($F385,bug_conf_sheet!$A:$H,5,FALSE),VLOOKUP("other",bug_conf_sheet!$A:$H,5,FALSE))</f>
        <v>0</v>
      </c>
      <c r="Q385" s="38">
        <f>IFERROR(VLOOKUP($F385,bug_conf_sheet!$A:$H,6,FALSE),VLOOKUP("other",bug_conf_sheet!$A:$H,6,FALSE))</f>
        <v>0</v>
      </c>
      <c r="R385" s="38">
        <f>IFERROR(VLOOKUP($F385,bug_conf_sheet!$A:$H,7,FALSE),VLOOKUP("other",bug_conf_sheet!$A:$H,7,FALSE))</f>
        <v>0</v>
      </c>
      <c r="S385" s="38">
        <f>IFERROR(VLOOKUP($F385,bug_conf_sheet!$A:$H,8,FALSE),VLOOKUP("other",bug_conf_sheet!$A:$H,8,FALSE))</f>
        <v>1</v>
      </c>
    </row>
    <row r="386" spans="1:19" ht="21" hidden="1" customHeight="1">
      <c r="A386" s="7" t="str">
        <f t="shared" si="41"/>
        <v>1883586</v>
      </c>
      <c r="B386" s="2" t="str">
        <f t="shared" si="39"/>
        <v>1883</v>
      </c>
      <c r="C386" s="8" t="str">
        <f t="shared" si="40"/>
        <v>3PremiumSS4</v>
      </c>
      <c r="D386" s="8" t="str">
        <f t="shared" si="42"/>
        <v>3PremiumSS4</v>
      </c>
      <c r="E386" s="10">
        <v>3</v>
      </c>
      <c r="F386" s="6">
        <v>586</v>
      </c>
      <c r="G386" s="8" t="str">
        <f>VLOOKUP(F386,[1]characters!$A:$C,3,FALSE)</f>
        <v>ユミル</v>
      </c>
      <c r="H386" s="8" t="str">
        <f>VLOOKUP(F386,[1]characters!$A:$J,10,FALSE)</f>
        <v>PremiumSS</v>
      </c>
      <c r="I386" s="8">
        <f>VLOOKUP(F386,[1]characters!$A:$I,9,FALSE)</f>
        <v>4</v>
      </c>
      <c r="J386" s="8" t="str">
        <f>VLOOKUP(F386,[1]characters!$A:$H,8,FALSE)</f>
        <v>red</v>
      </c>
      <c r="K386" s="8" t="str">
        <f>VLOOKUP(F386,[1]characters!$A:$K,11,FALSE)</f>
        <v>hp</v>
      </c>
      <c r="L386" s="8" t="str">
        <f>VLOOKUP(F386,[1]characters!$A:$M,13,FALSE)</f>
        <v>machine</v>
      </c>
      <c r="M386" s="16">
        <f>VLOOKUP(D386,gacha_188_base!A:B,2,FALSE)</f>
        <v>1709</v>
      </c>
      <c r="N386" s="38">
        <f>IFERROR(VLOOKUP($F386,bug_conf_sheet!$A:$H,3,FALSE),VLOOKUP("other",bug_conf_sheet!$A:$H,3,FALSE))</f>
        <v>1</v>
      </c>
      <c r="O386" s="38">
        <f>IFERROR(VLOOKUP($F386,bug_conf_sheet!$A:$H,4,FALSE),VLOOKUP("other",bug_conf_sheet!$A:$H,4,FALSE))</f>
        <v>0</v>
      </c>
      <c r="P386" s="38">
        <f>IFERROR(VLOOKUP($F386,bug_conf_sheet!$A:$H,5,FALSE),VLOOKUP("other",bug_conf_sheet!$A:$H,5,FALSE))</f>
        <v>0</v>
      </c>
      <c r="Q386" s="38">
        <f>IFERROR(VLOOKUP($F386,bug_conf_sheet!$A:$H,6,FALSE),VLOOKUP("other",bug_conf_sheet!$A:$H,6,FALSE))</f>
        <v>0</v>
      </c>
      <c r="R386" s="38">
        <f>IFERROR(VLOOKUP($F386,bug_conf_sheet!$A:$H,7,FALSE),VLOOKUP("other",bug_conf_sheet!$A:$H,7,FALSE))</f>
        <v>0</v>
      </c>
      <c r="S386" s="38">
        <f>IFERROR(VLOOKUP($F386,bug_conf_sheet!$A:$H,8,FALSE),VLOOKUP("other",bug_conf_sheet!$A:$H,8,FALSE))</f>
        <v>1</v>
      </c>
    </row>
    <row r="387" spans="1:19" ht="21" customHeight="1">
      <c r="A387" s="7" t="str">
        <f t="shared" si="41"/>
        <v>1883587</v>
      </c>
      <c r="B387" s="2" t="str">
        <f t="shared" ref="B387:B450" si="43">188&amp;E387</f>
        <v>1883</v>
      </c>
      <c r="C387" s="8" t="str">
        <f t="shared" si="40"/>
        <v>3PremiumSS5</v>
      </c>
      <c r="D387" s="8" t="str">
        <f t="shared" si="42"/>
        <v>3PremiumSS5</v>
      </c>
      <c r="E387" s="10">
        <v>3</v>
      </c>
      <c r="F387" s="6">
        <v>587</v>
      </c>
      <c r="G387" s="8" t="str">
        <f>VLOOKUP(F387,[1]characters!$A:$C,3,FALSE)</f>
        <v>原初の煉鋼巨刃 ユミル</v>
      </c>
      <c r="H387" s="8" t="str">
        <f>VLOOKUP(F387,[1]characters!$A:$J,10,FALSE)</f>
        <v>PremiumSS</v>
      </c>
      <c r="I387" s="8">
        <f>VLOOKUP(F387,[1]characters!$A:$I,9,FALSE)</f>
        <v>5</v>
      </c>
      <c r="J387" s="8" t="str">
        <f>VLOOKUP(F387,[1]characters!$A:$H,8,FALSE)</f>
        <v>red</v>
      </c>
      <c r="K387" s="8" t="str">
        <f>VLOOKUP(F387,[1]characters!$A:$K,11,FALSE)</f>
        <v>hp</v>
      </c>
      <c r="L387" s="8" t="str">
        <f>VLOOKUP(F387,[1]characters!$A:$M,13,FALSE)</f>
        <v>machine</v>
      </c>
      <c r="M387" s="16">
        <f>VLOOKUP(D387,gacha_188_base!A:B,2,FALSE)</f>
        <v>109</v>
      </c>
      <c r="N387" s="38">
        <f>IFERROR(VLOOKUP($F387,bug_conf_sheet!$A:$H,3,FALSE),VLOOKUP("other",bug_conf_sheet!$A:$H,3,FALSE))</f>
        <v>1</v>
      </c>
      <c r="O387" s="38">
        <f>IFERROR(VLOOKUP($F387,bug_conf_sheet!$A:$H,4,FALSE),VLOOKUP("other",bug_conf_sheet!$A:$H,4,FALSE))</f>
        <v>0</v>
      </c>
      <c r="P387" s="38">
        <f>IFERROR(VLOOKUP($F387,bug_conf_sheet!$A:$H,5,FALSE),VLOOKUP("other",bug_conf_sheet!$A:$H,5,FALSE))</f>
        <v>0</v>
      </c>
      <c r="Q387" s="38">
        <f>IFERROR(VLOOKUP($F387,bug_conf_sheet!$A:$H,6,FALSE),VLOOKUP("other",bug_conf_sheet!$A:$H,6,FALSE))</f>
        <v>0</v>
      </c>
      <c r="R387" s="38">
        <f>IFERROR(VLOOKUP($F387,bug_conf_sheet!$A:$H,7,FALSE),VLOOKUP("other",bug_conf_sheet!$A:$H,7,FALSE))</f>
        <v>0</v>
      </c>
      <c r="S387" s="38">
        <f>IFERROR(VLOOKUP($F387,bug_conf_sheet!$A:$H,8,FALSE),VLOOKUP("other",bug_conf_sheet!$A:$H,8,FALSE))</f>
        <v>1</v>
      </c>
    </row>
    <row r="388" spans="1:19" ht="21" hidden="1" customHeight="1">
      <c r="A388" s="7" t="str">
        <f t="shared" si="41"/>
        <v>1883589</v>
      </c>
      <c r="B388" s="2" t="str">
        <f t="shared" si="43"/>
        <v>1883</v>
      </c>
      <c r="C388" s="8" t="str">
        <f t="shared" si="40"/>
        <v>3PremiumS4</v>
      </c>
      <c r="D388" s="8" t="str">
        <f t="shared" si="42"/>
        <v>3PremiumS4</v>
      </c>
      <c r="E388" s="10">
        <v>3</v>
      </c>
      <c r="F388" s="6">
        <v>589</v>
      </c>
      <c r="G388" s="8" t="str">
        <f>VLOOKUP(F388,[1]characters!$A:$C,3,FALSE)</f>
        <v>不幸の円環 ニーベルゲン</v>
      </c>
      <c r="H388" s="8" t="str">
        <f>VLOOKUP(F388,[1]characters!$A:$J,10,FALSE)</f>
        <v>PremiumS</v>
      </c>
      <c r="I388" s="8">
        <f>VLOOKUP(F388,[1]characters!$A:$I,9,FALSE)</f>
        <v>4</v>
      </c>
      <c r="J388" s="8" t="str">
        <f>VLOOKUP(F388,[1]characters!$A:$H,8,FALSE)</f>
        <v>green</v>
      </c>
      <c r="K388" s="8" t="str">
        <f>VLOOKUP(F388,[1]characters!$A:$K,11,FALSE)</f>
        <v>balance</v>
      </c>
      <c r="L388" s="8" t="str">
        <f>VLOOKUP(F388,[1]characters!$A:$M,13,FALSE)</f>
        <v>unknown</v>
      </c>
      <c r="M388" s="16">
        <f>VLOOKUP(D388,gacha_188_base!A:B,2,FALSE)</f>
        <v>14962</v>
      </c>
      <c r="N388" s="38">
        <f>IFERROR(VLOOKUP($F388,bug_conf_sheet!$A:$H,3,FALSE),VLOOKUP("other",bug_conf_sheet!$A:$H,3,FALSE))</f>
        <v>1</v>
      </c>
      <c r="O388" s="38">
        <f>IFERROR(VLOOKUP($F388,bug_conf_sheet!$A:$H,4,FALSE),VLOOKUP("other",bug_conf_sheet!$A:$H,4,FALSE))</f>
        <v>0</v>
      </c>
      <c r="P388" s="38">
        <f>IFERROR(VLOOKUP($F388,bug_conf_sheet!$A:$H,5,FALSE),VLOOKUP("other",bug_conf_sheet!$A:$H,5,FALSE))</f>
        <v>0</v>
      </c>
      <c r="Q388" s="38">
        <f>IFERROR(VLOOKUP($F388,bug_conf_sheet!$A:$H,6,FALSE),VLOOKUP("other",bug_conf_sheet!$A:$H,6,FALSE))</f>
        <v>0</v>
      </c>
      <c r="R388" s="38">
        <f>IFERROR(VLOOKUP($F388,bug_conf_sheet!$A:$H,7,FALSE),VLOOKUP("other",bug_conf_sheet!$A:$H,7,FALSE))</f>
        <v>0</v>
      </c>
      <c r="S388" s="38">
        <f>IFERROR(VLOOKUP($F388,bug_conf_sheet!$A:$H,8,FALSE),VLOOKUP("other",bug_conf_sheet!$A:$H,8,FALSE))</f>
        <v>1</v>
      </c>
    </row>
    <row r="389" spans="1:19" ht="21" customHeight="1">
      <c r="A389" s="7" t="str">
        <f t="shared" si="41"/>
        <v>1883590</v>
      </c>
      <c r="B389" s="2" t="str">
        <f t="shared" si="43"/>
        <v>1883</v>
      </c>
      <c r="C389" s="8" t="str">
        <f t="shared" si="40"/>
        <v>3PremiumS5</v>
      </c>
      <c r="D389" s="8" t="str">
        <f t="shared" si="42"/>
        <v>3PremiumS5</v>
      </c>
      <c r="E389" s="10">
        <v>3</v>
      </c>
      <c r="F389" s="6">
        <v>590</v>
      </c>
      <c r="G389" s="8" t="str">
        <f>VLOOKUP(F389,[1]characters!$A:$C,3,FALSE)</f>
        <v>永遠を廻る呪い ニーベルゲン</v>
      </c>
      <c r="H389" s="8" t="str">
        <f>VLOOKUP(F389,[1]characters!$A:$J,10,FALSE)</f>
        <v>PremiumS</v>
      </c>
      <c r="I389" s="8">
        <f>VLOOKUP(F389,[1]characters!$A:$I,9,FALSE)</f>
        <v>5</v>
      </c>
      <c r="J389" s="8" t="str">
        <f>VLOOKUP(F389,[1]characters!$A:$H,8,FALSE)</f>
        <v>green</v>
      </c>
      <c r="K389" s="8" t="str">
        <f>VLOOKUP(F389,[1]characters!$A:$K,11,FALSE)</f>
        <v>balance</v>
      </c>
      <c r="L389" s="8" t="str">
        <f>VLOOKUP(F389,[1]characters!$A:$M,13,FALSE)</f>
        <v>unknown</v>
      </c>
      <c r="M389" s="16">
        <f>VLOOKUP(D389,gacha_188_base!A:B,2,FALSE)</f>
        <v>955</v>
      </c>
      <c r="N389" s="38">
        <f>IFERROR(VLOOKUP($F389,bug_conf_sheet!$A:$H,3,FALSE),VLOOKUP("other",bug_conf_sheet!$A:$H,3,FALSE))</f>
        <v>1</v>
      </c>
      <c r="O389" s="38">
        <f>IFERROR(VLOOKUP($F389,bug_conf_sheet!$A:$H,4,FALSE),VLOOKUP("other",bug_conf_sheet!$A:$H,4,FALSE))</f>
        <v>0</v>
      </c>
      <c r="P389" s="38">
        <f>IFERROR(VLOOKUP($F389,bug_conf_sheet!$A:$H,5,FALSE),VLOOKUP("other",bug_conf_sheet!$A:$H,5,FALSE))</f>
        <v>0</v>
      </c>
      <c r="Q389" s="38">
        <f>IFERROR(VLOOKUP($F389,bug_conf_sheet!$A:$H,6,FALSE),VLOOKUP("other",bug_conf_sheet!$A:$H,6,FALSE))</f>
        <v>0</v>
      </c>
      <c r="R389" s="38">
        <f>IFERROR(VLOOKUP($F389,bug_conf_sheet!$A:$H,7,FALSE),VLOOKUP("other",bug_conf_sheet!$A:$H,7,FALSE))</f>
        <v>0</v>
      </c>
      <c r="S389" s="38">
        <f>IFERROR(VLOOKUP($F389,bug_conf_sheet!$A:$H,8,FALSE),VLOOKUP("other",bug_conf_sheet!$A:$H,8,FALSE))</f>
        <v>1</v>
      </c>
    </row>
    <row r="390" spans="1:19" ht="21" hidden="1" customHeight="1">
      <c r="A390" s="7" t="str">
        <f t="shared" si="41"/>
        <v>1883592</v>
      </c>
      <c r="B390" s="2" t="str">
        <f t="shared" si="43"/>
        <v>1883</v>
      </c>
      <c r="C390" s="8" t="str">
        <f t="shared" si="40"/>
        <v>3PremiumS4</v>
      </c>
      <c r="D390" s="8" t="str">
        <f t="shared" si="42"/>
        <v>3PremiumS4</v>
      </c>
      <c r="E390" s="10">
        <v>3</v>
      </c>
      <c r="F390" s="6">
        <v>592</v>
      </c>
      <c r="G390" s="8" t="str">
        <f>VLOOKUP(F390,[1]characters!$A:$C,3,FALSE)</f>
        <v>財宝への執着 ファフニール</v>
      </c>
      <c r="H390" s="8" t="str">
        <f>VLOOKUP(F390,[1]characters!$A:$J,10,FALSE)</f>
        <v>PremiumS</v>
      </c>
      <c r="I390" s="8">
        <f>VLOOKUP(F390,[1]characters!$A:$I,9,FALSE)</f>
        <v>4</v>
      </c>
      <c r="J390" s="8" t="str">
        <f>VLOOKUP(F390,[1]characters!$A:$H,8,FALSE)</f>
        <v>blue</v>
      </c>
      <c r="K390" s="8" t="str">
        <f>VLOOKUP(F390,[1]characters!$A:$K,11,FALSE)</f>
        <v>technical</v>
      </c>
      <c r="L390" s="8" t="str">
        <f>VLOOKUP(F390,[1]characters!$A:$M,13,FALSE)</f>
        <v>dragon</v>
      </c>
      <c r="M390" s="16">
        <f>VLOOKUP(D390,gacha_188_base!A:B,2,FALSE)</f>
        <v>14962</v>
      </c>
      <c r="N390" s="38">
        <f>IFERROR(VLOOKUP($F390,bug_conf_sheet!$A:$H,3,FALSE),VLOOKUP("other",bug_conf_sheet!$A:$H,3,FALSE))</f>
        <v>1</v>
      </c>
      <c r="O390" s="38">
        <f>IFERROR(VLOOKUP($F390,bug_conf_sheet!$A:$H,4,FALSE),VLOOKUP("other",bug_conf_sheet!$A:$H,4,FALSE))</f>
        <v>0</v>
      </c>
      <c r="P390" s="38">
        <f>IFERROR(VLOOKUP($F390,bug_conf_sheet!$A:$H,5,FALSE),VLOOKUP("other",bug_conf_sheet!$A:$H,5,FALSE))</f>
        <v>0</v>
      </c>
      <c r="Q390" s="38">
        <f>IFERROR(VLOOKUP($F390,bug_conf_sheet!$A:$H,6,FALSE),VLOOKUP("other",bug_conf_sheet!$A:$H,6,FALSE))</f>
        <v>0</v>
      </c>
      <c r="R390" s="38">
        <f>IFERROR(VLOOKUP($F390,bug_conf_sheet!$A:$H,7,FALSE),VLOOKUP("other",bug_conf_sheet!$A:$H,7,FALSE))</f>
        <v>0</v>
      </c>
      <c r="S390" s="38">
        <f>IFERROR(VLOOKUP($F390,bug_conf_sheet!$A:$H,8,FALSE),VLOOKUP("other",bug_conf_sheet!$A:$H,8,FALSE))</f>
        <v>1</v>
      </c>
    </row>
    <row r="391" spans="1:19" ht="21" customHeight="1">
      <c r="A391" s="7" t="str">
        <f t="shared" si="41"/>
        <v>1883593</v>
      </c>
      <c r="B391" s="2" t="str">
        <f t="shared" si="43"/>
        <v>1883</v>
      </c>
      <c r="C391" s="8" t="str">
        <f t="shared" si="40"/>
        <v>3PremiumS5</v>
      </c>
      <c r="D391" s="8" t="str">
        <f t="shared" si="42"/>
        <v>3PremiumS5</v>
      </c>
      <c r="E391" s="10">
        <v>3</v>
      </c>
      <c r="F391" s="6">
        <v>593</v>
      </c>
      <c r="G391" s="8" t="str">
        <f>VLOOKUP(F391,[1]characters!$A:$C,3,FALSE)</f>
        <v>妄執する邪毒龍 ファフニール</v>
      </c>
      <c r="H391" s="8" t="str">
        <f>VLOOKUP(F391,[1]characters!$A:$J,10,FALSE)</f>
        <v>PremiumS</v>
      </c>
      <c r="I391" s="8">
        <f>VLOOKUP(F391,[1]characters!$A:$I,9,FALSE)</f>
        <v>5</v>
      </c>
      <c r="J391" s="8" t="str">
        <f>VLOOKUP(F391,[1]characters!$A:$H,8,FALSE)</f>
        <v>blue</v>
      </c>
      <c r="K391" s="8" t="str">
        <f>VLOOKUP(F391,[1]characters!$A:$K,11,FALSE)</f>
        <v>technical</v>
      </c>
      <c r="L391" s="8" t="str">
        <f>VLOOKUP(F391,[1]characters!$A:$M,13,FALSE)</f>
        <v>dragon</v>
      </c>
      <c r="M391" s="16">
        <f>VLOOKUP(D391,gacha_188_base!A:B,2,FALSE)</f>
        <v>955</v>
      </c>
      <c r="N391" s="38">
        <f>IFERROR(VLOOKUP($F391,bug_conf_sheet!$A:$H,3,FALSE),VLOOKUP("other",bug_conf_sheet!$A:$H,3,FALSE))</f>
        <v>1</v>
      </c>
      <c r="O391" s="38">
        <f>IFERROR(VLOOKUP($F391,bug_conf_sheet!$A:$H,4,FALSE),VLOOKUP("other",bug_conf_sheet!$A:$H,4,FALSE))</f>
        <v>0</v>
      </c>
      <c r="P391" s="38">
        <f>IFERROR(VLOOKUP($F391,bug_conf_sheet!$A:$H,5,FALSE),VLOOKUP("other",bug_conf_sheet!$A:$H,5,FALSE))</f>
        <v>0</v>
      </c>
      <c r="Q391" s="38">
        <f>IFERROR(VLOOKUP($F391,bug_conf_sheet!$A:$H,6,FALSE),VLOOKUP("other",bug_conf_sheet!$A:$H,6,FALSE))</f>
        <v>0</v>
      </c>
      <c r="R391" s="38">
        <f>IFERROR(VLOOKUP($F391,bug_conf_sheet!$A:$H,7,FALSE),VLOOKUP("other",bug_conf_sheet!$A:$H,7,FALSE))</f>
        <v>0</v>
      </c>
      <c r="S391" s="38">
        <f>IFERROR(VLOOKUP($F391,bug_conf_sheet!$A:$H,8,FALSE),VLOOKUP("other",bug_conf_sheet!$A:$H,8,FALSE))</f>
        <v>1</v>
      </c>
    </row>
    <row r="392" spans="1:19" ht="21" hidden="1" customHeight="1">
      <c r="A392" s="7" t="str">
        <f t="shared" si="41"/>
        <v>1883594</v>
      </c>
      <c r="B392" s="2" t="str">
        <f t="shared" si="43"/>
        <v>1883</v>
      </c>
      <c r="C392" s="8" t="str">
        <f t="shared" si="40"/>
        <v>3PremiumSS4</v>
      </c>
      <c r="D392" s="8" t="str">
        <f t="shared" si="42"/>
        <v>3PremiumSS4</v>
      </c>
      <c r="E392" s="10">
        <v>3</v>
      </c>
      <c r="F392" s="6">
        <v>594</v>
      </c>
      <c r="G392" s="8" t="str">
        <f>VLOOKUP(F392,[1]characters!$A:$C,3,FALSE)</f>
        <v>アルフヘイム</v>
      </c>
      <c r="H392" s="8" t="str">
        <f>VLOOKUP(F392,[1]characters!$A:$J,10,FALSE)</f>
        <v>PremiumSS</v>
      </c>
      <c r="I392" s="8">
        <f>VLOOKUP(F392,[1]characters!$A:$I,9,FALSE)</f>
        <v>4</v>
      </c>
      <c r="J392" s="8" t="str">
        <f>VLOOKUP(F392,[1]characters!$A:$H,8,FALSE)</f>
        <v>yellow</v>
      </c>
      <c r="K392" s="8" t="str">
        <f>VLOOKUP(F392,[1]characters!$A:$K,11,FALSE)</f>
        <v>attack</v>
      </c>
      <c r="L392" s="8" t="str">
        <f>VLOOKUP(F392,[1]characters!$A:$M,13,FALSE)</f>
        <v>dragon</v>
      </c>
      <c r="M392" s="16">
        <f>VLOOKUP(D392,gacha_188_base!A:B,2,FALSE)</f>
        <v>1709</v>
      </c>
      <c r="N392" s="38">
        <f>IFERROR(VLOOKUP($F392,bug_conf_sheet!$A:$H,3,FALSE),VLOOKUP("other",bug_conf_sheet!$A:$H,3,FALSE))</f>
        <v>1</v>
      </c>
      <c r="O392" s="38">
        <f>IFERROR(VLOOKUP($F392,bug_conf_sheet!$A:$H,4,FALSE),VLOOKUP("other",bug_conf_sheet!$A:$H,4,FALSE))</f>
        <v>0</v>
      </c>
      <c r="P392" s="38">
        <f>IFERROR(VLOOKUP($F392,bug_conf_sheet!$A:$H,5,FALSE),VLOOKUP("other",bug_conf_sheet!$A:$H,5,FALSE))</f>
        <v>0</v>
      </c>
      <c r="Q392" s="38">
        <f>IFERROR(VLOOKUP($F392,bug_conf_sheet!$A:$H,6,FALSE),VLOOKUP("other",bug_conf_sheet!$A:$H,6,FALSE))</f>
        <v>0</v>
      </c>
      <c r="R392" s="38">
        <f>IFERROR(VLOOKUP($F392,bug_conf_sheet!$A:$H,7,FALSE),VLOOKUP("other",bug_conf_sheet!$A:$H,7,FALSE))</f>
        <v>0</v>
      </c>
      <c r="S392" s="38">
        <f>IFERROR(VLOOKUP($F392,bug_conf_sheet!$A:$H,8,FALSE),VLOOKUP("other",bug_conf_sheet!$A:$H,8,FALSE))</f>
        <v>1</v>
      </c>
    </row>
    <row r="393" spans="1:19" ht="21" customHeight="1">
      <c r="A393" s="7" t="str">
        <f t="shared" si="41"/>
        <v>1883595</v>
      </c>
      <c r="B393" s="2" t="str">
        <f t="shared" si="43"/>
        <v>1883</v>
      </c>
      <c r="C393" s="8" t="str">
        <f t="shared" si="40"/>
        <v>3PremiumSS5</v>
      </c>
      <c r="D393" s="8" t="str">
        <f t="shared" si="42"/>
        <v>3PremiumSS5</v>
      </c>
      <c r="E393" s="10">
        <v>3</v>
      </c>
      <c r="F393" s="6">
        <v>595</v>
      </c>
      <c r="G393" s="8" t="str">
        <f>VLOOKUP(F393,[1]characters!$A:$C,3,FALSE)</f>
        <v>光華なる神域 アルフヘイム</v>
      </c>
      <c r="H393" s="8" t="str">
        <f>VLOOKUP(F393,[1]characters!$A:$J,10,FALSE)</f>
        <v>PremiumSS</v>
      </c>
      <c r="I393" s="8">
        <f>VLOOKUP(F393,[1]characters!$A:$I,9,FALSE)</f>
        <v>5</v>
      </c>
      <c r="J393" s="8" t="str">
        <f>VLOOKUP(F393,[1]characters!$A:$H,8,FALSE)</f>
        <v>yellow</v>
      </c>
      <c r="K393" s="8" t="str">
        <f>VLOOKUP(F393,[1]characters!$A:$K,11,FALSE)</f>
        <v>attack</v>
      </c>
      <c r="L393" s="8" t="str">
        <f>VLOOKUP(F393,[1]characters!$A:$M,13,FALSE)</f>
        <v>dragon</v>
      </c>
      <c r="M393" s="16">
        <f>VLOOKUP(D393,gacha_188_base!A:B,2,FALSE)</f>
        <v>109</v>
      </c>
      <c r="N393" s="38">
        <f>IFERROR(VLOOKUP($F393,bug_conf_sheet!$A:$H,3,FALSE),VLOOKUP("other",bug_conf_sheet!$A:$H,3,FALSE))</f>
        <v>1</v>
      </c>
      <c r="O393" s="38">
        <f>IFERROR(VLOOKUP($F393,bug_conf_sheet!$A:$H,4,FALSE),VLOOKUP("other",bug_conf_sheet!$A:$H,4,FALSE))</f>
        <v>0</v>
      </c>
      <c r="P393" s="38">
        <f>IFERROR(VLOOKUP($F393,bug_conf_sheet!$A:$H,5,FALSE),VLOOKUP("other",bug_conf_sheet!$A:$H,5,FALSE))</f>
        <v>0</v>
      </c>
      <c r="Q393" s="38">
        <f>IFERROR(VLOOKUP($F393,bug_conf_sheet!$A:$H,6,FALSE),VLOOKUP("other",bug_conf_sheet!$A:$H,6,FALSE))</f>
        <v>0</v>
      </c>
      <c r="R393" s="38">
        <f>IFERROR(VLOOKUP($F393,bug_conf_sheet!$A:$H,7,FALSE),VLOOKUP("other",bug_conf_sheet!$A:$H,7,FALSE))</f>
        <v>0</v>
      </c>
      <c r="S393" s="38">
        <f>IFERROR(VLOOKUP($F393,bug_conf_sheet!$A:$H,8,FALSE),VLOOKUP("other",bug_conf_sheet!$A:$H,8,FALSE))</f>
        <v>1</v>
      </c>
    </row>
    <row r="394" spans="1:19" ht="21" hidden="1" customHeight="1">
      <c r="A394" s="7" t="str">
        <f t="shared" ref="A394:A457" si="44">B394&amp;F394</f>
        <v>1883597</v>
      </c>
      <c r="B394" s="2" t="str">
        <f t="shared" si="43"/>
        <v>1883</v>
      </c>
      <c r="C394" s="8" t="str">
        <f t="shared" ref="C394:C457" si="45">E394&amp;H394&amp;I394</f>
        <v>3PremiumS4</v>
      </c>
      <c r="D394" s="8" t="str">
        <f t="shared" ref="D394:D457" si="46">E394&amp;H394&amp;I394</f>
        <v>3PremiumS4</v>
      </c>
      <c r="E394" s="10">
        <v>3</v>
      </c>
      <c r="F394" s="6">
        <v>597</v>
      </c>
      <c r="G394" s="8" t="str">
        <f>VLOOKUP(F394,[1]characters!$A:$C,3,FALSE)</f>
        <v>灼熱の魂 ムスペルヘイム</v>
      </c>
      <c r="H394" s="8" t="str">
        <f>VLOOKUP(F394,[1]characters!$A:$J,10,FALSE)</f>
        <v>PremiumS</v>
      </c>
      <c r="I394" s="8">
        <f>VLOOKUP(F394,[1]characters!$A:$I,9,FALSE)</f>
        <v>4</v>
      </c>
      <c r="J394" s="8" t="str">
        <f>VLOOKUP(F394,[1]characters!$A:$H,8,FALSE)</f>
        <v>red</v>
      </c>
      <c r="K394" s="8" t="str">
        <f>VLOOKUP(F394,[1]characters!$A:$K,11,FALSE)</f>
        <v>balance</v>
      </c>
      <c r="L394" s="8" t="str">
        <f>VLOOKUP(F394,[1]characters!$A:$M,13,FALSE)</f>
        <v>human</v>
      </c>
      <c r="M394" s="16">
        <f>VLOOKUP(D394,gacha_188_base!A:B,2,FALSE)</f>
        <v>14962</v>
      </c>
      <c r="N394" s="38">
        <f>IFERROR(VLOOKUP($F394,bug_conf_sheet!$A:$H,3,FALSE),VLOOKUP("other",bug_conf_sheet!$A:$H,3,FALSE))</f>
        <v>1</v>
      </c>
      <c r="O394" s="38">
        <f>IFERROR(VLOOKUP($F394,bug_conf_sheet!$A:$H,4,FALSE),VLOOKUP("other",bug_conf_sheet!$A:$H,4,FALSE))</f>
        <v>0</v>
      </c>
      <c r="P394" s="38">
        <f>IFERROR(VLOOKUP($F394,bug_conf_sheet!$A:$H,5,FALSE),VLOOKUP("other",bug_conf_sheet!$A:$H,5,FALSE))</f>
        <v>0</v>
      </c>
      <c r="Q394" s="38">
        <f>IFERROR(VLOOKUP($F394,bug_conf_sheet!$A:$H,6,FALSE),VLOOKUP("other",bug_conf_sheet!$A:$H,6,FALSE))</f>
        <v>0</v>
      </c>
      <c r="R394" s="38">
        <f>IFERROR(VLOOKUP($F394,bug_conf_sheet!$A:$H,7,FALSE),VLOOKUP("other",bug_conf_sheet!$A:$H,7,FALSE))</f>
        <v>0</v>
      </c>
      <c r="S394" s="38">
        <f>IFERROR(VLOOKUP($F394,bug_conf_sheet!$A:$H,8,FALSE),VLOOKUP("other",bug_conf_sheet!$A:$H,8,FALSE))</f>
        <v>1</v>
      </c>
    </row>
    <row r="395" spans="1:19" ht="21" customHeight="1">
      <c r="A395" s="7" t="str">
        <f t="shared" si="44"/>
        <v>1883598</v>
      </c>
      <c r="B395" s="2" t="str">
        <f t="shared" si="43"/>
        <v>1883</v>
      </c>
      <c r="C395" s="8" t="str">
        <f t="shared" si="45"/>
        <v>3PremiumS5</v>
      </c>
      <c r="D395" s="8" t="str">
        <f t="shared" si="46"/>
        <v>3PremiumS5</v>
      </c>
      <c r="E395" s="10">
        <v>3</v>
      </c>
      <c r="F395" s="6">
        <v>598</v>
      </c>
      <c r="G395" s="8" t="str">
        <f>VLOOKUP(F395,[1]characters!$A:$C,3,FALSE)</f>
        <v>焼燃の情熱 ムスペルヘイム</v>
      </c>
      <c r="H395" s="8" t="str">
        <f>VLOOKUP(F395,[1]characters!$A:$J,10,FALSE)</f>
        <v>PremiumS</v>
      </c>
      <c r="I395" s="8">
        <f>VLOOKUP(F395,[1]characters!$A:$I,9,FALSE)</f>
        <v>5</v>
      </c>
      <c r="J395" s="8" t="str">
        <f>VLOOKUP(F395,[1]characters!$A:$H,8,FALSE)</f>
        <v>red</v>
      </c>
      <c r="K395" s="8" t="str">
        <f>VLOOKUP(F395,[1]characters!$A:$K,11,FALSE)</f>
        <v>balance</v>
      </c>
      <c r="L395" s="8" t="str">
        <f>VLOOKUP(F395,[1]characters!$A:$M,13,FALSE)</f>
        <v>human</v>
      </c>
      <c r="M395" s="16">
        <f>VLOOKUP(D395,gacha_188_base!A:B,2,FALSE)</f>
        <v>955</v>
      </c>
      <c r="N395" s="38">
        <f>IFERROR(VLOOKUP($F395,bug_conf_sheet!$A:$H,3,FALSE),VLOOKUP("other",bug_conf_sheet!$A:$H,3,FALSE))</f>
        <v>1</v>
      </c>
      <c r="O395" s="38">
        <f>IFERROR(VLOOKUP($F395,bug_conf_sheet!$A:$H,4,FALSE),VLOOKUP("other",bug_conf_sheet!$A:$H,4,FALSE))</f>
        <v>0</v>
      </c>
      <c r="P395" s="38">
        <f>IFERROR(VLOOKUP($F395,bug_conf_sheet!$A:$H,5,FALSE),VLOOKUP("other",bug_conf_sheet!$A:$H,5,FALSE))</f>
        <v>0</v>
      </c>
      <c r="Q395" s="38">
        <f>IFERROR(VLOOKUP($F395,bug_conf_sheet!$A:$H,6,FALSE),VLOOKUP("other",bug_conf_sheet!$A:$H,6,FALSE))</f>
        <v>0</v>
      </c>
      <c r="R395" s="38">
        <f>IFERROR(VLOOKUP($F395,bug_conf_sheet!$A:$H,7,FALSE),VLOOKUP("other",bug_conf_sheet!$A:$H,7,FALSE))</f>
        <v>0</v>
      </c>
      <c r="S395" s="38">
        <f>IFERROR(VLOOKUP($F395,bug_conf_sheet!$A:$H,8,FALSE),VLOOKUP("other",bug_conf_sheet!$A:$H,8,FALSE))</f>
        <v>1</v>
      </c>
    </row>
    <row r="396" spans="1:19" ht="21" hidden="1" customHeight="1">
      <c r="A396" s="7" t="str">
        <f t="shared" si="44"/>
        <v>1883600</v>
      </c>
      <c r="B396" s="2" t="str">
        <f t="shared" si="43"/>
        <v>1883</v>
      </c>
      <c r="C396" s="8" t="str">
        <f t="shared" si="45"/>
        <v>3PremiumS4</v>
      </c>
      <c r="D396" s="8" t="str">
        <f t="shared" si="46"/>
        <v>3PremiumS4</v>
      </c>
      <c r="E396" s="10">
        <v>3</v>
      </c>
      <c r="F396" s="6">
        <v>600</v>
      </c>
      <c r="G396" s="8" t="str">
        <f>VLOOKUP(F396,[1]characters!$A:$C,3,FALSE)</f>
        <v>界下に潜む蛇 ニーズヘッグ</v>
      </c>
      <c r="H396" s="8" t="str">
        <f>VLOOKUP(F396,[1]characters!$A:$J,10,FALSE)</f>
        <v>PremiumS</v>
      </c>
      <c r="I396" s="8">
        <f>VLOOKUP(F396,[1]characters!$A:$I,9,FALSE)</f>
        <v>4</v>
      </c>
      <c r="J396" s="8" t="str">
        <f>VLOOKUP(F396,[1]characters!$A:$H,8,FALSE)</f>
        <v>green</v>
      </c>
      <c r="K396" s="8" t="str">
        <f>VLOOKUP(F396,[1]characters!$A:$K,11,FALSE)</f>
        <v>attack</v>
      </c>
      <c r="L396" s="8" t="str">
        <f>VLOOKUP(F396,[1]characters!$A:$M,13,FALSE)</f>
        <v>dragon</v>
      </c>
      <c r="M396" s="16">
        <f>VLOOKUP(D396,gacha_188_base!A:B,2,FALSE)</f>
        <v>14962</v>
      </c>
      <c r="N396" s="38">
        <f>IFERROR(VLOOKUP($F396,bug_conf_sheet!$A:$H,3,FALSE),VLOOKUP("other",bug_conf_sheet!$A:$H,3,FALSE))</f>
        <v>1</v>
      </c>
      <c r="O396" s="38">
        <f>IFERROR(VLOOKUP($F396,bug_conf_sheet!$A:$H,4,FALSE),VLOOKUP("other",bug_conf_sheet!$A:$H,4,FALSE))</f>
        <v>0</v>
      </c>
      <c r="P396" s="38">
        <f>IFERROR(VLOOKUP($F396,bug_conf_sheet!$A:$H,5,FALSE),VLOOKUP("other",bug_conf_sheet!$A:$H,5,FALSE))</f>
        <v>0</v>
      </c>
      <c r="Q396" s="38">
        <f>IFERROR(VLOOKUP($F396,bug_conf_sheet!$A:$H,6,FALSE),VLOOKUP("other",bug_conf_sheet!$A:$H,6,FALSE))</f>
        <v>0</v>
      </c>
      <c r="R396" s="38">
        <f>IFERROR(VLOOKUP($F396,bug_conf_sheet!$A:$H,7,FALSE),VLOOKUP("other",bug_conf_sheet!$A:$H,7,FALSE))</f>
        <v>0</v>
      </c>
      <c r="S396" s="38">
        <f>IFERROR(VLOOKUP($F396,bug_conf_sheet!$A:$H,8,FALSE),VLOOKUP("other",bug_conf_sheet!$A:$H,8,FALSE))</f>
        <v>1</v>
      </c>
    </row>
    <row r="397" spans="1:19" ht="21" customHeight="1">
      <c r="A397" s="7" t="str">
        <f t="shared" si="44"/>
        <v>1883601</v>
      </c>
      <c r="B397" s="2" t="str">
        <f t="shared" si="43"/>
        <v>1883</v>
      </c>
      <c r="C397" s="8" t="str">
        <f t="shared" si="45"/>
        <v>3PremiumS5</v>
      </c>
      <c r="D397" s="8" t="str">
        <f t="shared" si="46"/>
        <v>3PremiumS5</v>
      </c>
      <c r="E397" s="10">
        <v>3</v>
      </c>
      <c r="F397" s="6">
        <v>601</v>
      </c>
      <c r="G397" s="8" t="str">
        <f>VLOOKUP(F397,[1]characters!$A:$C,3,FALSE)</f>
        <v>界根蝕む悪食 ニーズヘッグ</v>
      </c>
      <c r="H397" s="8" t="str">
        <f>VLOOKUP(F397,[1]characters!$A:$J,10,FALSE)</f>
        <v>PremiumS</v>
      </c>
      <c r="I397" s="8">
        <f>VLOOKUP(F397,[1]characters!$A:$I,9,FALSE)</f>
        <v>5</v>
      </c>
      <c r="J397" s="8" t="str">
        <f>VLOOKUP(F397,[1]characters!$A:$H,8,FALSE)</f>
        <v>green</v>
      </c>
      <c r="K397" s="8" t="str">
        <f>VLOOKUP(F397,[1]characters!$A:$K,11,FALSE)</f>
        <v>attack</v>
      </c>
      <c r="L397" s="8" t="str">
        <f>VLOOKUP(F397,[1]characters!$A:$M,13,FALSE)</f>
        <v>dragon</v>
      </c>
      <c r="M397" s="16">
        <f>VLOOKUP(D397,gacha_188_base!A:B,2,FALSE)</f>
        <v>955</v>
      </c>
      <c r="N397" s="38">
        <f>IFERROR(VLOOKUP($F397,bug_conf_sheet!$A:$H,3,FALSE),VLOOKUP("other",bug_conf_sheet!$A:$H,3,FALSE))</f>
        <v>1</v>
      </c>
      <c r="O397" s="38">
        <f>IFERROR(VLOOKUP($F397,bug_conf_sheet!$A:$H,4,FALSE),VLOOKUP("other",bug_conf_sheet!$A:$H,4,FALSE))</f>
        <v>0</v>
      </c>
      <c r="P397" s="38">
        <f>IFERROR(VLOOKUP($F397,bug_conf_sheet!$A:$H,5,FALSE),VLOOKUP("other",bug_conf_sheet!$A:$H,5,FALSE))</f>
        <v>0</v>
      </c>
      <c r="Q397" s="38">
        <f>IFERROR(VLOOKUP($F397,bug_conf_sheet!$A:$H,6,FALSE),VLOOKUP("other",bug_conf_sheet!$A:$H,6,FALSE))</f>
        <v>0</v>
      </c>
      <c r="R397" s="38">
        <f>IFERROR(VLOOKUP($F397,bug_conf_sheet!$A:$H,7,FALSE),VLOOKUP("other",bug_conf_sheet!$A:$H,7,FALSE))</f>
        <v>0</v>
      </c>
      <c r="S397" s="38">
        <f>IFERROR(VLOOKUP($F397,bug_conf_sheet!$A:$H,8,FALSE),VLOOKUP("other",bug_conf_sheet!$A:$H,8,FALSE))</f>
        <v>1</v>
      </c>
    </row>
    <row r="398" spans="1:19" ht="21" hidden="1" customHeight="1">
      <c r="A398" s="7" t="str">
        <f t="shared" si="44"/>
        <v>1883602</v>
      </c>
      <c r="B398" s="2" t="str">
        <f t="shared" si="43"/>
        <v>1883</v>
      </c>
      <c r="C398" s="8" t="str">
        <f t="shared" si="45"/>
        <v>3PremiumSS4</v>
      </c>
      <c r="D398" s="8" t="str">
        <f t="shared" si="46"/>
        <v>3PremiumSS4</v>
      </c>
      <c r="E398" s="10">
        <v>3</v>
      </c>
      <c r="F398" s="6">
        <v>602</v>
      </c>
      <c r="G398" s="8" t="str">
        <f>VLOOKUP(F398,[1]characters!$A:$C,3,FALSE)</f>
        <v>フレイヤ</v>
      </c>
      <c r="H398" s="8" t="str">
        <f>VLOOKUP(F398,[1]characters!$A:$J,10,FALSE)</f>
        <v>PremiumSS</v>
      </c>
      <c r="I398" s="8">
        <f>VLOOKUP(F398,[1]characters!$A:$I,9,FALSE)</f>
        <v>4</v>
      </c>
      <c r="J398" s="8" t="str">
        <f>VLOOKUP(F398,[1]characters!$A:$H,8,FALSE)</f>
        <v>blue</v>
      </c>
      <c r="K398" s="8" t="str">
        <f>VLOOKUP(F398,[1]characters!$A:$K,11,FALSE)</f>
        <v>heal</v>
      </c>
      <c r="L398" s="8" t="str">
        <f>VLOOKUP(F398,[1]characters!$A:$M,13,FALSE)</f>
        <v>animal</v>
      </c>
      <c r="M398" s="16">
        <f>VLOOKUP(D398,gacha_188_base!A:B,2,FALSE)</f>
        <v>1709</v>
      </c>
      <c r="N398" s="38">
        <f>IFERROR(VLOOKUP($F398,bug_conf_sheet!$A:$H,3,FALSE),VLOOKUP("other",bug_conf_sheet!$A:$H,3,FALSE))</f>
        <v>1</v>
      </c>
      <c r="O398" s="38">
        <f>IFERROR(VLOOKUP($F398,bug_conf_sheet!$A:$H,4,FALSE),VLOOKUP("other",bug_conf_sheet!$A:$H,4,FALSE))</f>
        <v>0</v>
      </c>
      <c r="P398" s="38">
        <f>IFERROR(VLOOKUP($F398,bug_conf_sheet!$A:$H,5,FALSE),VLOOKUP("other",bug_conf_sheet!$A:$H,5,FALSE))</f>
        <v>0</v>
      </c>
      <c r="Q398" s="38">
        <f>IFERROR(VLOOKUP($F398,bug_conf_sheet!$A:$H,6,FALSE),VLOOKUP("other",bug_conf_sheet!$A:$H,6,FALSE))</f>
        <v>0</v>
      </c>
      <c r="R398" s="38">
        <f>IFERROR(VLOOKUP($F398,bug_conf_sheet!$A:$H,7,FALSE),VLOOKUP("other",bug_conf_sheet!$A:$H,7,FALSE))</f>
        <v>0</v>
      </c>
      <c r="S398" s="38">
        <f>IFERROR(VLOOKUP($F398,bug_conf_sheet!$A:$H,8,FALSE),VLOOKUP("other",bug_conf_sheet!$A:$H,8,FALSE))</f>
        <v>1</v>
      </c>
    </row>
    <row r="399" spans="1:19" ht="21" customHeight="1">
      <c r="A399" s="7" t="str">
        <f t="shared" si="44"/>
        <v>1883603</v>
      </c>
      <c r="B399" s="2" t="str">
        <f t="shared" si="43"/>
        <v>1883</v>
      </c>
      <c r="C399" s="8" t="str">
        <f t="shared" si="45"/>
        <v>3PremiumSS5</v>
      </c>
      <c r="D399" s="8" t="str">
        <f t="shared" si="46"/>
        <v>3PremiumSS5</v>
      </c>
      <c r="E399" s="10">
        <v>3</v>
      </c>
      <c r="F399" s="6">
        <v>603</v>
      </c>
      <c r="G399" s="8" t="str">
        <f>VLOOKUP(F399,[1]characters!$A:$C,3,FALSE)</f>
        <v>掌愛の豊穣女神 フレイヤ</v>
      </c>
      <c r="H399" s="8" t="str">
        <f>VLOOKUP(F399,[1]characters!$A:$J,10,FALSE)</f>
        <v>PremiumSS</v>
      </c>
      <c r="I399" s="8">
        <f>VLOOKUP(F399,[1]characters!$A:$I,9,FALSE)</f>
        <v>5</v>
      </c>
      <c r="J399" s="8" t="str">
        <f>VLOOKUP(F399,[1]characters!$A:$H,8,FALSE)</f>
        <v>blue</v>
      </c>
      <c r="K399" s="8" t="str">
        <f>VLOOKUP(F399,[1]characters!$A:$K,11,FALSE)</f>
        <v>heal</v>
      </c>
      <c r="L399" s="8" t="str">
        <f>VLOOKUP(F399,[1]characters!$A:$M,13,FALSE)</f>
        <v>animal</v>
      </c>
      <c r="M399" s="16">
        <f>VLOOKUP(D399,gacha_188_base!A:B,2,FALSE)</f>
        <v>109</v>
      </c>
      <c r="N399" s="38">
        <f>IFERROR(VLOOKUP($F399,bug_conf_sheet!$A:$H,3,FALSE),VLOOKUP("other",bug_conf_sheet!$A:$H,3,FALSE))</f>
        <v>1</v>
      </c>
      <c r="O399" s="38">
        <f>IFERROR(VLOOKUP($F399,bug_conf_sheet!$A:$H,4,FALSE),VLOOKUP("other",bug_conf_sheet!$A:$H,4,FALSE))</f>
        <v>0</v>
      </c>
      <c r="P399" s="38">
        <f>IFERROR(VLOOKUP($F399,bug_conf_sheet!$A:$H,5,FALSE),VLOOKUP("other",bug_conf_sheet!$A:$H,5,FALSE))</f>
        <v>0</v>
      </c>
      <c r="Q399" s="38">
        <f>IFERROR(VLOOKUP($F399,bug_conf_sheet!$A:$H,6,FALSE),VLOOKUP("other",bug_conf_sheet!$A:$H,6,FALSE))</f>
        <v>0</v>
      </c>
      <c r="R399" s="38">
        <f>IFERROR(VLOOKUP($F399,bug_conf_sheet!$A:$H,7,FALSE),VLOOKUP("other",bug_conf_sheet!$A:$H,7,FALSE))</f>
        <v>0</v>
      </c>
      <c r="S399" s="38">
        <f>IFERROR(VLOOKUP($F399,bug_conf_sheet!$A:$H,8,FALSE),VLOOKUP("other",bug_conf_sheet!$A:$H,8,FALSE))</f>
        <v>1</v>
      </c>
    </row>
    <row r="400" spans="1:19" ht="21" hidden="1" customHeight="1">
      <c r="A400" s="7" t="str">
        <f t="shared" si="44"/>
        <v>1883605</v>
      </c>
      <c r="B400" s="2" t="str">
        <f t="shared" si="43"/>
        <v>1883</v>
      </c>
      <c r="C400" s="8" t="str">
        <f t="shared" si="45"/>
        <v>3PremiumS4</v>
      </c>
      <c r="D400" s="8" t="str">
        <f t="shared" si="46"/>
        <v>3PremiumS4</v>
      </c>
      <c r="E400" s="10">
        <v>3</v>
      </c>
      <c r="F400" s="6">
        <v>605</v>
      </c>
      <c r="G400" s="8" t="str">
        <f>VLOOKUP(F400,[1]characters!$A:$C,3,FALSE)</f>
        <v>祝福される光耀 バルドル</v>
      </c>
      <c r="H400" s="8" t="str">
        <f>VLOOKUP(F400,[1]characters!$A:$J,10,FALSE)</f>
        <v>PremiumS</v>
      </c>
      <c r="I400" s="8">
        <f>VLOOKUP(F400,[1]characters!$A:$I,9,FALSE)</f>
        <v>4</v>
      </c>
      <c r="J400" s="8" t="str">
        <f>VLOOKUP(F400,[1]characters!$A:$H,8,FALSE)</f>
        <v>yellow</v>
      </c>
      <c r="K400" s="8" t="str">
        <f>VLOOKUP(F400,[1]characters!$A:$K,11,FALSE)</f>
        <v>heal</v>
      </c>
      <c r="L400" s="8" t="str">
        <f>VLOOKUP(F400,[1]characters!$A:$M,13,FALSE)</f>
        <v>god</v>
      </c>
      <c r="M400" s="16">
        <f>VLOOKUP(D400,gacha_188_base!A:B,2,FALSE)</f>
        <v>14962</v>
      </c>
      <c r="N400" s="38">
        <f>IFERROR(VLOOKUP($F400,bug_conf_sheet!$A:$H,3,FALSE),VLOOKUP("other",bug_conf_sheet!$A:$H,3,FALSE))</f>
        <v>1</v>
      </c>
      <c r="O400" s="38">
        <f>IFERROR(VLOOKUP($F400,bug_conf_sheet!$A:$H,4,FALSE),VLOOKUP("other",bug_conf_sheet!$A:$H,4,FALSE))</f>
        <v>0</v>
      </c>
      <c r="P400" s="38">
        <f>IFERROR(VLOOKUP($F400,bug_conf_sheet!$A:$H,5,FALSE),VLOOKUP("other",bug_conf_sheet!$A:$H,5,FALSE))</f>
        <v>0</v>
      </c>
      <c r="Q400" s="38">
        <f>IFERROR(VLOOKUP($F400,bug_conf_sheet!$A:$H,6,FALSE),VLOOKUP("other",bug_conf_sheet!$A:$H,6,FALSE))</f>
        <v>0</v>
      </c>
      <c r="R400" s="38">
        <f>IFERROR(VLOOKUP($F400,bug_conf_sheet!$A:$H,7,FALSE),VLOOKUP("other",bug_conf_sheet!$A:$H,7,FALSE))</f>
        <v>0</v>
      </c>
      <c r="S400" s="38">
        <f>IFERROR(VLOOKUP($F400,bug_conf_sheet!$A:$H,8,FALSE),VLOOKUP("other",bug_conf_sheet!$A:$H,8,FALSE))</f>
        <v>1</v>
      </c>
    </row>
    <row r="401" spans="1:19" ht="21" customHeight="1">
      <c r="A401" s="7" t="str">
        <f t="shared" si="44"/>
        <v>1883606</v>
      </c>
      <c r="B401" s="2" t="str">
        <f t="shared" si="43"/>
        <v>1883</v>
      </c>
      <c r="C401" s="8" t="str">
        <f t="shared" si="45"/>
        <v>3PremiumS5</v>
      </c>
      <c r="D401" s="8" t="str">
        <f t="shared" si="46"/>
        <v>3PremiumS5</v>
      </c>
      <c r="E401" s="10">
        <v>3</v>
      </c>
      <c r="F401" s="6">
        <v>606</v>
      </c>
      <c r="G401" s="8" t="str">
        <f>VLOOKUP(F401,[1]characters!$A:$C,3,FALSE)</f>
        <v>冀望の光芒 バルドル</v>
      </c>
      <c r="H401" s="8" t="str">
        <f>VLOOKUP(F401,[1]characters!$A:$J,10,FALSE)</f>
        <v>PremiumS</v>
      </c>
      <c r="I401" s="8">
        <f>VLOOKUP(F401,[1]characters!$A:$I,9,FALSE)</f>
        <v>5</v>
      </c>
      <c r="J401" s="8" t="str">
        <f>VLOOKUP(F401,[1]characters!$A:$H,8,FALSE)</f>
        <v>yellow</v>
      </c>
      <c r="K401" s="8" t="str">
        <f>VLOOKUP(F401,[1]characters!$A:$K,11,FALSE)</f>
        <v>heal</v>
      </c>
      <c r="L401" s="8" t="str">
        <f>VLOOKUP(F401,[1]characters!$A:$M,13,FALSE)</f>
        <v>god</v>
      </c>
      <c r="M401" s="16">
        <f>VLOOKUP(D401,gacha_188_base!A:B,2,FALSE)</f>
        <v>955</v>
      </c>
      <c r="N401" s="38">
        <f>IFERROR(VLOOKUP($F401,bug_conf_sheet!$A:$H,3,FALSE),VLOOKUP("other",bug_conf_sheet!$A:$H,3,FALSE))</f>
        <v>1</v>
      </c>
      <c r="O401" s="38">
        <f>IFERROR(VLOOKUP($F401,bug_conf_sheet!$A:$H,4,FALSE),VLOOKUP("other",bug_conf_sheet!$A:$H,4,FALSE))</f>
        <v>0</v>
      </c>
      <c r="P401" s="38">
        <f>IFERROR(VLOOKUP($F401,bug_conf_sheet!$A:$H,5,FALSE),VLOOKUP("other",bug_conf_sheet!$A:$H,5,FALSE))</f>
        <v>0</v>
      </c>
      <c r="Q401" s="38">
        <f>IFERROR(VLOOKUP($F401,bug_conf_sheet!$A:$H,6,FALSE),VLOOKUP("other",bug_conf_sheet!$A:$H,6,FALSE))</f>
        <v>0</v>
      </c>
      <c r="R401" s="38">
        <f>IFERROR(VLOOKUP($F401,bug_conf_sheet!$A:$H,7,FALSE),VLOOKUP("other",bug_conf_sheet!$A:$H,7,FALSE))</f>
        <v>0</v>
      </c>
      <c r="S401" s="38">
        <f>IFERROR(VLOOKUP($F401,bug_conf_sheet!$A:$H,8,FALSE),VLOOKUP("other",bug_conf_sheet!$A:$H,8,FALSE))</f>
        <v>1</v>
      </c>
    </row>
    <row r="402" spans="1:19" ht="21" hidden="1" customHeight="1">
      <c r="A402" s="7" t="str">
        <f t="shared" si="44"/>
        <v>1883619</v>
      </c>
      <c r="B402" s="2" t="str">
        <f t="shared" si="43"/>
        <v>1883</v>
      </c>
      <c r="C402" s="8" t="str">
        <f t="shared" si="45"/>
        <v>3PremiumSS4</v>
      </c>
      <c r="D402" s="8" t="str">
        <f>E402&amp;H402&amp;I402&amp;"new"</f>
        <v>3PremiumSS4new</v>
      </c>
      <c r="E402" s="10">
        <v>3</v>
      </c>
      <c r="F402" s="6">
        <v>619</v>
      </c>
      <c r="G402" s="8" t="str">
        <f>VLOOKUP(F402,[1]characters!$A:$C,3,FALSE)</f>
        <v>メビウス</v>
      </c>
      <c r="H402" s="8" t="str">
        <f>VLOOKUP(F402,[1]characters!$A:$J,10,FALSE)</f>
        <v>PremiumSS</v>
      </c>
      <c r="I402" s="8">
        <f>VLOOKUP(F402,[1]characters!$A:$I,9,FALSE)</f>
        <v>4</v>
      </c>
      <c r="J402" s="8" t="str">
        <f>VLOOKUP(F402,[1]characters!$A:$H,8,FALSE)</f>
        <v>blue</v>
      </c>
      <c r="K402" s="8" t="str">
        <f>VLOOKUP(F402,[1]characters!$A:$K,11,FALSE)</f>
        <v>balance</v>
      </c>
      <c r="L402" s="8" t="str">
        <f>VLOOKUP(F402,[1]characters!$A:$M,13,FALSE)</f>
        <v>human</v>
      </c>
      <c r="M402" s="16">
        <f>VLOOKUP(D402,gacha_188_base!A:B,2,FALSE)</f>
        <v>4700</v>
      </c>
      <c r="N402" s="38">
        <f>IFERROR(VLOOKUP($F402,bug_conf_sheet!$A:$H,3,FALSE),VLOOKUP("other",bug_conf_sheet!$A:$H,3,FALSE))</f>
        <v>1</v>
      </c>
      <c r="O402" s="38">
        <f>IFERROR(VLOOKUP($F402,bug_conf_sheet!$A:$H,4,FALSE),VLOOKUP("other",bug_conf_sheet!$A:$H,4,FALSE))</f>
        <v>0</v>
      </c>
      <c r="P402" s="38">
        <f>IFERROR(VLOOKUP($F402,bug_conf_sheet!$A:$H,5,FALSE),VLOOKUP("other",bug_conf_sheet!$A:$H,5,FALSE))</f>
        <v>0</v>
      </c>
      <c r="Q402" s="38">
        <f>IFERROR(VLOOKUP($F402,bug_conf_sheet!$A:$H,6,FALSE),VLOOKUP("other",bug_conf_sheet!$A:$H,6,FALSE))</f>
        <v>0</v>
      </c>
      <c r="R402" s="38">
        <f>IFERROR(VLOOKUP($F402,bug_conf_sheet!$A:$H,7,FALSE),VLOOKUP("other",bug_conf_sheet!$A:$H,7,FALSE))</f>
        <v>0</v>
      </c>
      <c r="S402" s="38">
        <f>IFERROR(VLOOKUP($F402,bug_conf_sheet!$A:$H,8,FALSE),VLOOKUP("other",bug_conf_sheet!$A:$H,8,FALSE))</f>
        <v>1</v>
      </c>
    </row>
    <row r="403" spans="1:19" ht="21" customHeight="1">
      <c r="A403" s="7" t="str">
        <f t="shared" si="44"/>
        <v>1883620</v>
      </c>
      <c r="B403" s="2" t="str">
        <f t="shared" si="43"/>
        <v>1883</v>
      </c>
      <c r="C403" s="8" t="str">
        <f t="shared" si="45"/>
        <v>3PremiumSS5</v>
      </c>
      <c r="D403" s="8" t="str">
        <f>E403&amp;H403&amp;I403&amp;"new"</f>
        <v>3PremiumSS5new</v>
      </c>
      <c r="E403" s="10">
        <v>3</v>
      </c>
      <c r="F403" s="6">
        <v>620</v>
      </c>
      <c r="G403" s="8" t="str">
        <f>VLOOKUP(F403,[1]characters!$A:$C,3,FALSE)</f>
        <v>奇跡の調和 メビウス</v>
      </c>
      <c r="H403" s="8" t="str">
        <f>VLOOKUP(F403,[1]characters!$A:$J,10,FALSE)</f>
        <v>PremiumSS</v>
      </c>
      <c r="I403" s="8">
        <f>VLOOKUP(F403,[1]characters!$A:$I,9,FALSE)</f>
        <v>5</v>
      </c>
      <c r="J403" s="8" t="str">
        <f>VLOOKUP(F403,[1]characters!$A:$H,8,FALSE)</f>
        <v>blue</v>
      </c>
      <c r="K403" s="8" t="str">
        <f>VLOOKUP(F403,[1]characters!$A:$K,11,FALSE)</f>
        <v>balance</v>
      </c>
      <c r="L403" s="8" t="str">
        <f>VLOOKUP(F403,[1]characters!$A:$M,13,FALSE)</f>
        <v>human</v>
      </c>
      <c r="M403" s="16">
        <f>VLOOKUP(D403,gacha_188_base!A:B,2,FALSE)</f>
        <v>300</v>
      </c>
      <c r="N403" s="38">
        <f>IFERROR(VLOOKUP($F403,bug_conf_sheet!$A:$H,3,FALSE),VLOOKUP("other",bug_conf_sheet!$A:$H,3,FALSE))</f>
        <v>1</v>
      </c>
      <c r="O403" s="38">
        <f>IFERROR(VLOOKUP($F403,bug_conf_sheet!$A:$H,4,FALSE),VLOOKUP("other",bug_conf_sheet!$A:$H,4,FALSE))</f>
        <v>0</v>
      </c>
      <c r="P403" s="38">
        <f>IFERROR(VLOOKUP($F403,bug_conf_sheet!$A:$H,5,FALSE),VLOOKUP("other",bug_conf_sheet!$A:$H,5,FALSE))</f>
        <v>0</v>
      </c>
      <c r="Q403" s="38">
        <f>IFERROR(VLOOKUP($F403,bug_conf_sheet!$A:$H,6,FALSE),VLOOKUP("other",bug_conf_sheet!$A:$H,6,FALSE))</f>
        <v>0</v>
      </c>
      <c r="R403" s="38">
        <f>IFERROR(VLOOKUP($F403,bug_conf_sheet!$A:$H,7,FALSE),VLOOKUP("other",bug_conf_sheet!$A:$H,7,FALSE))</f>
        <v>0</v>
      </c>
      <c r="S403" s="38">
        <f>IFERROR(VLOOKUP($F403,bug_conf_sheet!$A:$H,8,FALSE),VLOOKUP("other",bug_conf_sheet!$A:$H,8,FALSE))</f>
        <v>1</v>
      </c>
    </row>
    <row r="404" spans="1:19" ht="21" hidden="1" customHeight="1">
      <c r="A404" s="7" t="str">
        <f t="shared" si="44"/>
        <v>1884127</v>
      </c>
      <c r="B404" s="2" t="str">
        <f t="shared" si="43"/>
        <v>1884</v>
      </c>
      <c r="C404" s="8" t="str">
        <f t="shared" si="45"/>
        <v>4PremiumW4</v>
      </c>
      <c r="D404" s="8" t="str">
        <f t="shared" si="46"/>
        <v>4PremiumW4</v>
      </c>
      <c r="E404" s="10">
        <v>4</v>
      </c>
      <c r="F404" s="6">
        <v>127</v>
      </c>
      <c r="G404" s="8" t="str">
        <f>VLOOKUP(F404,[1]characters!$A:$C,3,FALSE)</f>
        <v>狂喜の賢者 ユノ</v>
      </c>
      <c r="H404" s="8" t="str">
        <f>VLOOKUP(F404,[1]characters!$A:$J,10,FALSE)</f>
        <v>PremiumW</v>
      </c>
      <c r="I404" s="8">
        <f>VLOOKUP(F404,[1]characters!$A:$I,9,FALSE)</f>
        <v>4</v>
      </c>
      <c r="J404" s="8" t="str">
        <f>VLOOKUP(F404,[1]characters!$A:$H,8,FALSE)</f>
        <v>red</v>
      </c>
      <c r="K404" s="8" t="str">
        <f>VLOOKUP(F404,[1]characters!$A:$K,11,FALSE)</f>
        <v>attack</v>
      </c>
      <c r="L404" s="8" t="str">
        <f>VLOOKUP(F404,[1]characters!$A:$M,13,FALSE)</f>
        <v>human</v>
      </c>
      <c r="M404" s="16">
        <f>VLOOKUP(D404,gacha_188_base!A:B,2,FALSE)</f>
        <v>7917</v>
      </c>
      <c r="N404" s="38">
        <f>IFERROR(VLOOKUP($F404,bug_conf_sheet!$A:$H,3,FALSE),VLOOKUP("other",bug_conf_sheet!$A:$H,3,FALSE))</f>
        <v>1</v>
      </c>
      <c r="O404" s="38">
        <f>IFERROR(VLOOKUP($F404,bug_conf_sheet!$A:$H,4,FALSE),VLOOKUP("other",bug_conf_sheet!$A:$H,4,FALSE))</f>
        <v>0</v>
      </c>
      <c r="P404" s="38">
        <f>IFERROR(VLOOKUP($F404,bug_conf_sheet!$A:$H,5,FALSE),VLOOKUP("other",bug_conf_sheet!$A:$H,5,FALSE))</f>
        <v>0</v>
      </c>
      <c r="Q404" s="38">
        <f>IFERROR(VLOOKUP($F404,bug_conf_sheet!$A:$H,6,FALSE),VLOOKUP("other",bug_conf_sheet!$A:$H,6,FALSE))</f>
        <v>0</v>
      </c>
      <c r="R404" s="38">
        <f>IFERROR(VLOOKUP($F404,bug_conf_sheet!$A:$H,7,FALSE),VLOOKUP("other",bug_conf_sheet!$A:$H,7,FALSE))</f>
        <v>0</v>
      </c>
      <c r="S404" s="38">
        <f>IFERROR(VLOOKUP($F404,bug_conf_sheet!$A:$H,8,FALSE),VLOOKUP("other",bug_conf_sheet!$A:$H,8,FALSE))</f>
        <v>1</v>
      </c>
    </row>
    <row r="405" spans="1:19" ht="21" hidden="1" customHeight="1">
      <c r="A405" s="7" t="str">
        <f t="shared" si="44"/>
        <v>1884129</v>
      </c>
      <c r="B405" s="2" t="str">
        <f t="shared" si="43"/>
        <v>1884</v>
      </c>
      <c r="C405" s="8" t="str">
        <f t="shared" si="45"/>
        <v>4PremiumW4</v>
      </c>
      <c r="D405" s="8" t="str">
        <f t="shared" si="46"/>
        <v>4PremiumW4</v>
      </c>
      <c r="E405" s="10">
        <v>4</v>
      </c>
      <c r="F405" s="6">
        <v>129</v>
      </c>
      <c r="G405" s="8" t="str">
        <f>VLOOKUP(F405,[1]characters!$A:$C,3,FALSE)</f>
        <v>孤高の狼憑き アマラ</v>
      </c>
      <c r="H405" s="8" t="str">
        <f>VLOOKUP(F405,[1]characters!$A:$J,10,FALSE)</f>
        <v>PremiumW</v>
      </c>
      <c r="I405" s="8">
        <f>VLOOKUP(F405,[1]characters!$A:$I,9,FALSE)</f>
        <v>4</v>
      </c>
      <c r="J405" s="8" t="str">
        <f>VLOOKUP(F405,[1]characters!$A:$H,8,FALSE)</f>
        <v>green</v>
      </c>
      <c r="K405" s="8" t="str">
        <f>VLOOKUP(F405,[1]characters!$A:$K,11,FALSE)</f>
        <v>attack</v>
      </c>
      <c r="L405" s="8" t="str">
        <f>VLOOKUP(F405,[1]characters!$A:$M,13,FALSE)</f>
        <v>human</v>
      </c>
      <c r="M405" s="16">
        <f>VLOOKUP(D405,gacha_188_base!A:B,2,FALSE)</f>
        <v>7917</v>
      </c>
      <c r="N405" s="38">
        <f>IFERROR(VLOOKUP($F405,bug_conf_sheet!$A:$H,3,FALSE),VLOOKUP("other",bug_conf_sheet!$A:$H,3,FALSE))</f>
        <v>1</v>
      </c>
      <c r="O405" s="38">
        <f>IFERROR(VLOOKUP($F405,bug_conf_sheet!$A:$H,4,FALSE),VLOOKUP("other",bug_conf_sheet!$A:$H,4,FALSE))</f>
        <v>0</v>
      </c>
      <c r="P405" s="38">
        <f>IFERROR(VLOOKUP($F405,bug_conf_sheet!$A:$H,5,FALSE),VLOOKUP("other",bug_conf_sheet!$A:$H,5,FALSE))</f>
        <v>0</v>
      </c>
      <c r="Q405" s="38">
        <f>IFERROR(VLOOKUP($F405,bug_conf_sheet!$A:$H,6,FALSE),VLOOKUP("other",bug_conf_sheet!$A:$H,6,FALSE))</f>
        <v>0</v>
      </c>
      <c r="R405" s="38">
        <f>IFERROR(VLOOKUP($F405,bug_conf_sheet!$A:$H,7,FALSE),VLOOKUP("other",bug_conf_sheet!$A:$H,7,FALSE))</f>
        <v>0</v>
      </c>
      <c r="S405" s="38">
        <f>IFERROR(VLOOKUP($F405,bug_conf_sheet!$A:$H,8,FALSE),VLOOKUP("other",bug_conf_sheet!$A:$H,8,FALSE))</f>
        <v>1</v>
      </c>
    </row>
    <row r="406" spans="1:19" ht="21" hidden="1" customHeight="1">
      <c r="A406" s="7" t="str">
        <f t="shared" si="44"/>
        <v>1884131</v>
      </c>
      <c r="B406" s="2" t="str">
        <f t="shared" si="43"/>
        <v>1884</v>
      </c>
      <c r="C406" s="8" t="str">
        <f t="shared" si="45"/>
        <v>4PremiumW4</v>
      </c>
      <c r="D406" s="8" t="str">
        <f t="shared" si="46"/>
        <v>4PremiumW4</v>
      </c>
      <c r="E406" s="10">
        <v>4</v>
      </c>
      <c r="F406" s="6">
        <v>131</v>
      </c>
      <c r="G406" s="8" t="str">
        <f>VLOOKUP(F406,[1]characters!$A:$C,3,FALSE)</f>
        <v>月下の人狼 ローレンス</v>
      </c>
      <c r="H406" s="8" t="str">
        <f>VLOOKUP(F406,[1]characters!$A:$J,10,FALSE)</f>
        <v>PremiumW</v>
      </c>
      <c r="I406" s="8">
        <f>VLOOKUP(F406,[1]characters!$A:$I,9,FALSE)</f>
        <v>4</v>
      </c>
      <c r="J406" s="8" t="str">
        <f>VLOOKUP(F406,[1]characters!$A:$H,8,FALSE)</f>
        <v>blue</v>
      </c>
      <c r="K406" s="8" t="str">
        <f>VLOOKUP(F406,[1]characters!$A:$K,11,FALSE)</f>
        <v>attack</v>
      </c>
      <c r="L406" s="8" t="str">
        <f>VLOOKUP(F406,[1]characters!$A:$M,13,FALSE)</f>
        <v>animal</v>
      </c>
      <c r="M406" s="16">
        <f>VLOOKUP(D406,gacha_188_base!A:B,2,FALSE)</f>
        <v>7917</v>
      </c>
      <c r="N406" s="38">
        <f>IFERROR(VLOOKUP($F406,bug_conf_sheet!$A:$H,3,FALSE),VLOOKUP("other",bug_conf_sheet!$A:$H,3,FALSE))</f>
        <v>1</v>
      </c>
      <c r="O406" s="38">
        <f>IFERROR(VLOOKUP($F406,bug_conf_sheet!$A:$H,4,FALSE),VLOOKUP("other",bug_conf_sheet!$A:$H,4,FALSE))</f>
        <v>0</v>
      </c>
      <c r="P406" s="38">
        <f>IFERROR(VLOOKUP($F406,bug_conf_sheet!$A:$H,5,FALSE),VLOOKUP("other",bug_conf_sheet!$A:$H,5,FALSE))</f>
        <v>0</v>
      </c>
      <c r="Q406" s="38">
        <f>IFERROR(VLOOKUP($F406,bug_conf_sheet!$A:$H,6,FALSE),VLOOKUP("other",bug_conf_sheet!$A:$H,6,FALSE))</f>
        <v>0</v>
      </c>
      <c r="R406" s="38">
        <f>IFERROR(VLOOKUP($F406,bug_conf_sheet!$A:$H,7,FALSE),VLOOKUP("other",bug_conf_sheet!$A:$H,7,FALSE))</f>
        <v>0</v>
      </c>
      <c r="S406" s="38">
        <f>IFERROR(VLOOKUP($F406,bug_conf_sheet!$A:$H,8,FALSE),VLOOKUP("other",bug_conf_sheet!$A:$H,8,FALSE))</f>
        <v>1</v>
      </c>
    </row>
    <row r="407" spans="1:19" ht="21" hidden="1" customHeight="1">
      <c r="A407" s="7" t="str">
        <f t="shared" si="44"/>
        <v>1884133</v>
      </c>
      <c r="B407" s="2" t="str">
        <f t="shared" si="43"/>
        <v>1884</v>
      </c>
      <c r="C407" s="8" t="str">
        <f t="shared" si="45"/>
        <v>4PremiumW4</v>
      </c>
      <c r="D407" s="8" t="str">
        <f t="shared" si="46"/>
        <v>4PremiumW4</v>
      </c>
      <c r="E407" s="10">
        <v>4</v>
      </c>
      <c r="F407" s="6">
        <v>133</v>
      </c>
      <c r="G407" s="8" t="str">
        <f>VLOOKUP(F407,[1]characters!$A:$C,3,FALSE)</f>
        <v>迅雷の刀剣 ハヤト</v>
      </c>
      <c r="H407" s="8" t="str">
        <f>VLOOKUP(F407,[1]characters!$A:$J,10,FALSE)</f>
        <v>PremiumW</v>
      </c>
      <c r="I407" s="8">
        <f>VLOOKUP(F407,[1]characters!$A:$I,9,FALSE)</f>
        <v>4</v>
      </c>
      <c r="J407" s="8" t="str">
        <f>VLOOKUP(F407,[1]characters!$A:$H,8,FALSE)</f>
        <v>yellow</v>
      </c>
      <c r="K407" s="8" t="str">
        <f>VLOOKUP(F407,[1]characters!$A:$K,11,FALSE)</f>
        <v>attack</v>
      </c>
      <c r="L407" s="8" t="str">
        <f>VLOOKUP(F407,[1]characters!$A:$M,13,FALSE)</f>
        <v>human</v>
      </c>
      <c r="M407" s="16">
        <f>VLOOKUP(D407,gacha_188_base!A:B,2,FALSE)</f>
        <v>7917</v>
      </c>
      <c r="N407" s="38">
        <f>IFERROR(VLOOKUP($F407,bug_conf_sheet!$A:$H,3,FALSE),VLOOKUP("other",bug_conf_sheet!$A:$H,3,FALSE))</f>
        <v>1</v>
      </c>
      <c r="O407" s="38">
        <f>IFERROR(VLOOKUP($F407,bug_conf_sheet!$A:$H,4,FALSE),VLOOKUP("other",bug_conf_sheet!$A:$H,4,FALSE))</f>
        <v>0</v>
      </c>
      <c r="P407" s="38">
        <f>IFERROR(VLOOKUP($F407,bug_conf_sheet!$A:$H,5,FALSE),VLOOKUP("other",bug_conf_sheet!$A:$H,5,FALSE))</f>
        <v>0</v>
      </c>
      <c r="Q407" s="38">
        <f>IFERROR(VLOOKUP($F407,bug_conf_sheet!$A:$H,6,FALSE),VLOOKUP("other",bug_conf_sheet!$A:$H,6,FALSE))</f>
        <v>0</v>
      </c>
      <c r="R407" s="38">
        <f>IFERROR(VLOOKUP($F407,bug_conf_sheet!$A:$H,7,FALSE),VLOOKUP("other",bug_conf_sheet!$A:$H,7,FALSE))</f>
        <v>0</v>
      </c>
      <c r="S407" s="38">
        <f>IFERROR(VLOOKUP($F407,bug_conf_sheet!$A:$H,8,FALSE),VLOOKUP("other",bug_conf_sheet!$A:$H,8,FALSE))</f>
        <v>1</v>
      </c>
    </row>
    <row r="408" spans="1:19" ht="21" hidden="1" customHeight="1">
      <c r="A408" s="7" t="str">
        <f t="shared" si="44"/>
        <v>1884135</v>
      </c>
      <c r="B408" s="2" t="str">
        <f t="shared" si="43"/>
        <v>1884</v>
      </c>
      <c r="C408" s="8" t="str">
        <f t="shared" si="45"/>
        <v>4PremiumW4</v>
      </c>
      <c r="D408" s="8" t="str">
        <f t="shared" si="46"/>
        <v>4PremiumW4</v>
      </c>
      <c r="E408" s="10">
        <v>4</v>
      </c>
      <c r="F408" s="6">
        <v>135</v>
      </c>
      <c r="G408" s="8" t="str">
        <f>VLOOKUP(F408,[1]characters!$A:$C,3,FALSE)</f>
        <v>京の炎華夕霧</v>
      </c>
      <c r="H408" s="8" t="str">
        <f>VLOOKUP(F408,[1]characters!$A:$J,10,FALSE)</f>
        <v>PremiumW</v>
      </c>
      <c r="I408" s="8">
        <f>VLOOKUP(F408,[1]characters!$A:$I,9,FALSE)</f>
        <v>4</v>
      </c>
      <c r="J408" s="8" t="str">
        <f>VLOOKUP(F408,[1]characters!$A:$H,8,FALSE)</f>
        <v>red</v>
      </c>
      <c r="K408" s="8" t="str">
        <f>VLOOKUP(F408,[1]characters!$A:$K,11,FALSE)</f>
        <v>balance</v>
      </c>
      <c r="L408" s="8" t="str">
        <f>VLOOKUP(F408,[1]characters!$A:$M,13,FALSE)</f>
        <v>human</v>
      </c>
      <c r="M408" s="16">
        <f>VLOOKUP(D408,gacha_188_base!A:B,2,FALSE)</f>
        <v>7917</v>
      </c>
      <c r="N408" s="38">
        <f>IFERROR(VLOOKUP($F408,bug_conf_sheet!$A:$H,3,FALSE),VLOOKUP("other",bug_conf_sheet!$A:$H,3,FALSE))</f>
        <v>1</v>
      </c>
      <c r="O408" s="38">
        <f>IFERROR(VLOOKUP($F408,bug_conf_sheet!$A:$H,4,FALSE),VLOOKUP("other",bug_conf_sheet!$A:$H,4,FALSE))</f>
        <v>0</v>
      </c>
      <c r="P408" s="38">
        <f>IFERROR(VLOOKUP($F408,bug_conf_sheet!$A:$H,5,FALSE),VLOOKUP("other",bug_conf_sheet!$A:$H,5,FALSE))</f>
        <v>0</v>
      </c>
      <c r="Q408" s="38">
        <f>IFERROR(VLOOKUP($F408,bug_conf_sheet!$A:$H,6,FALSE),VLOOKUP("other",bug_conf_sheet!$A:$H,6,FALSE))</f>
        <v>0</v>
      </c>
      <c r="R408" s="38">
        <f>IFERROR(VLOOKUP($F408,bug_conf_sheet!$A:$H,7,FALSE),VLOOKUP("other",bug_conf_sheet!$A:$H,7,FALSE))</f>
        <v>0</v>
      </c>
      <c r="S408" s="38">
        <f>IFERROR(VLOOKUP($F408,bug_conf_sheet!$A:$H,8,FALSE),VLOOKUP("other",bug_conf_sheet!$A:$H,8,FALSE))</f>
        <v>1</v>
      </c>
    </row>
    <row r="409" spans="1:19" ht="21" hidden="1" customHeight="1">
      <c r="A409" s="7" t="str">
        <f t="shared" si="44"/>
        <v>1884137</v>
      </c>
      <c r="B409" s="2" t="str">
        <f t="shared" si="43"/>
        <v>1884</v>
      </c>
      <c r="C409" s="8" t="str">
        <f t="shared" si="45"/>
        <v>4PremiumW4</v>
      </c>
      <c r="D409" s="8" t="str">
        <f t="shared" si="46"/>
        <v>4PremiumW4</v>
      </c>
      <c r="E409" s="10">
        <v>4</v>
      </c>
      <c r="F409" s="9">
        <v>137</v>
      </c>
      <c r="G409" s="8" t="str">
        <f>VLOOKUP(F409,[1]characters!$A:$C,3,FALSE)</f>
        <v>清福の仕立屋 チハヤ</v>
      </c>
      <c r="H409" s="8" t="str">
        <f>VLOOKUP(F409,[1]characters!$A:$J,10,FALSE)</f>
        <v>PremiumW</v>
      </c>
      <c r="I409" s="8">
        <f>VLOOKUP(F409,[1]characters!$A:$I,9,FALSE)</f>
        <v>4</v>
      </c>
      <c r="J409" s="8" t="str">
        <f>VLOOKUP(F409,[1]characters!$A:$H,8,FALSE)</f>
        <v>green</v>
      </c>
      <c r="K409" s="8" t="str">
        <f>VLOOKUP(F409,[1]characters!$A:$K,11,FALSE)</f>
        <v>balance</v>
      </c>
      <c r="L409" s="8" t="str">
        <f>VLOOKUP(F409,[1]characters!$A:$M,13,FALSE)</f>
        <v>human</v>
      </c>
      <c r="M409" s="16">
        <f>VLOOKUP(D409,gacha_188_base!A:B,2,FALSE)</f>
        <v>7917</v>
      </c>
      <c r="N409" s="38">
        <f>IFERROR(VLOOKUP($F409,bug_conf_sheet!$A:$H,3,FALSE),VLOOKUP("other",bug_conf_sheet!$A:$H,3,FALSE))</f>
        <v>1</v>
      </c>
      <c r="O409" s="38">
        <f>IFERROR(VLOOKUP($F409,bug_conf_sheet!$A:$H,4,FALSE),VLOOKUP("other",bug_conf_sheet!$A:$H,4,FALSE))</f>
        <v>0</v>
      </c>
      <c r="P409" s="38">
        <f>IFERROR(VLOOKUP($F409,bug_conf_sheet!$A:$H,5,FALSE),VLOOKUP("other",bug_conf_sheet!$A:$H,5,FALSE))</f>
        <v>0</v>
      </c>
      <c r="Q409" s="38">
        <f>IFERROR(VLOOKUP($F409,bug_conf_sheet!$A:$H,6,FALSE),VLOOKUP("other",bug_conf_sheet!$A:$H,6,FALSE))</f>
        <v>0</v>
      </c>
      <c r="R409" s="38">
        <f>IFERROR(VLOOKUP($F409,bug_conf_sheet!$A:$H,7,FALSE),VLOOKUP("other",bug_conf_sheet!$A:$H,7,FALSE))</f>
        <v>0</v>
      </c>
      <c r="S409" s="38">
        <f>IFERROR(VLOOKUP($F409,bug_conf_sheet!$A:$H,8,FALSE),VLOOKUP("other",bug_conf_sheet!$A:$H,8,FALSE))</f>
        <v>1</v>
      </c>
    </row>
    <row r="410" spans="1:19" ht="21" hidden="1" customHeight="1">
      <c r="A410" s="7" t="str">
        <f t="shared" si="44"/>
        <v>1884139</v>
      </c>
      <c r="B410" s="2" t="str">
        <f t="shared" si="43"/>
        <v>1884</v>
      </c>
      <c r="C410" s="8" t="str">
        <f t="shared" si="45"/>
        <v>4PremiumW4</v>
      </c>
      <c r="D410" s="8" t="str">
        <f t="shared" si="46"/>
        <v>4PremiumW4</v>
      </c>
      <c r="E410" s="10">
        <v>4</v>
      </c>
      <c r="F410" s="6">
        <v>139</v>
      </c>
      <c r="G410" s="8" t="str">
        <f>VLOOKUP(F410,[1]characters!$A:$C,3,FALSE)</f>
        <v>蒼昇刃姫 トモエ</v>
      </c>
      <c r="H410" s="8" t="str">
        <f>VLOOKUP(F410,[1]characters!$A:$J,10,FALSE)</f>
        <v>PremiumW</v>
      </c>
      <c r="I410" s="8">
        <f>VLOOKUP(F410,[1]characters!$A:$I,9,FALSE)</f>
        <v>4</v>
      </c>
      <c r="J410" s="8" t="str">
        <f>VLOOKUP(F410,[1]characters!$A:$H,8,FALSE)</f>
        <v>blue</v>
      </c>
      <c r="K410" s="8" t="str">
        <f>VLOOKUP(F410,[1]characters!$A:$K,11,FALSE)</f>
        <v>balance</v>
      </c>
      <c r="L410" s="8" t="str">
        <f>VLOOKUP(F410,[1]characters!$A:$M,13,FALSE)</f>
        <v>human</v>
      </c>
      <c r="M410" s="16">
        <f>VLOOKUP(D410,gacha_188_base!A:B,2,FALSE)</f>
        <v>7917</v>
      </c>
      <c r="N410" s="38">
        <f>IFERROR(VLOOKUP($F410,bug_conf_sheet!$A:$H,3,FALSE),VLOOKUP("other",bug_conf_sheet!$A:$H,3,FALSE))</f>
        <v>1</v>
      </c>
      <c r="O410" s="38">
        <f>IFERROR(VLOOKUP($F410,bug_conf_sheet!$A:$H,4,FALSE),VLOOKUP("other",bug_conf_sheet!$A:$H,4,FALSE))</f>
        <v>0</v>
      </c>
      <c r="P410" s="38">
        <f>IFERROR(VLOOKUP($F410,bug_conf_sheet!$A:$H,5,FALSE),VLOOKUP("other",bug_conf_sheet!$A:$H,5,FALSE))</f>
        <v>0</v>
      </c>
      <c r="Q410" s="38">
        <f>IFERROR(VLOOKUP($F410,bug_conf_sheet!$A:$H,6,FALSE),VLOOKUP("other",bug_conf_sheet!$A:$H,6,FALSE))</f>
        <v>0</v>
      </c>
      <c r="R410" s="38">
        <f>IFERROR(VLOOKUP($F410,bug_conf_sheet!$A:$H,7,FALSE),VLOOKUP("other",bug_conf_sheet!$A:$H,7,FALSE))</f>
        <v>0</v>
      </c>
      <c r="S410" s="38">
        <f>IFERROR(VLOOKUP($F410,bug_conf_sheet!$A:$H,8,FALSE),VLOOKUP("other",bug_conf_sheet!$A:$H,8,FALSE))</f>
        <v>1</v>
      </c>
    </row>
    <row r="411" spans="1:19" ht="21" hidden="1" customHeight="1">
      <c r="A411" s="7" t="str">
        <f t="shared" si="44"/>
        <v>1884141</v>
      </c>
      <c r="B411" s="2" t="str">
        <f t="shared" si="43"/>
        <v>1884</v>
      </c>
      <c r="C411" s="8" t="str">
        <f t="shared" si="45"/>
        <v>4PremiumW4</v>
      </c>
      <c r="D411" s="8" t="str">
        <f t="shared" si="46"/>
        <v>4PremiumW4</v>
      </c>
      <c r="E411" s="10">
        <v>4</v>
      </c>
      <c r="F411" s="13">
        <v>141</v>
      </c>
      <c r="G411" s="8" t="str">
        <f>VLOOKUP(F411,[1]characters!$A:$C,3,FALSE)</f>
        <v>妖狐演舞 タマモ</v>
      </c>
      <c r="H411" s="8" t="str">
        <f>VLOOKUP(F411,[1]characters!$A:$J,10,FALSE)</f>
        <v>PremiumW</v>
      </c>
      <c r="I411" s="8">
        <f>VLOOKUP(F411,[1]characters!$A:$I,9,FALSE)</f>
        <v>4</v>
      </c>
      <c r="J411" s="8" t="str">
        <f>VLOOKUP(F411,[1]characters!$A:$H,8,FALSE)</f>
        <v>yellow</v>
      </c>
      <c r="K411" s="8" t="str">
        <f>VLOOKUP(F411,[1]characters!$A:$K,11,FALSE)</f>
        <v>balance</v>
      </c>
      <c r="L411" s="8" t="str">
        <f>VLOOKUP(F411,[1]characters!$A:$M,13,FALSE)</f>
        <v>animal</v>
      </c>
      <c r="M411" s="16">
        <f>VLOOKUP(D411,gacha_188_base!A:B,2,FALSE)</f>
        <v>7917</v>
      </c>
      <c r="N411" s="38">
        <f>IFERROR(VLOOKUP($F411,bug_conf_sheet!$A:$H,3,FALSE),VLOOKUP("other",bug_conf_sheet!$A:$H,3,FALSE))</f>
        <v>1</v>
      </c>
      <c r="O411" s="38">
        <f>IFERROR(VLOOKUP($F411,bug_conf_sheet!$A:$H,4,FALSE),VLOOKUP("other",bug_conf_sheet!$A:$H,4,FALSE))</f>
        <v>0</v>
      </c>
      <c r="P411" s="38">
        <f>IFERROR(VLOOKUP($F411,bug_conf_sheet!$A:$H,5,FALSE),VLOOKUP("other",bug_conf_sheet!$A:$H,5,FALSE))</f>
        <v>0</v>
      </c>
      <c r="Q411" s="38">
        <f>IFERROR(VLOOKUP($F411,bug_conf_sheet!$A:$H,6,FALSE),VLOOKUP("other",bug_conf_sheet!$A:$H,6,FALSE))</f>
        <v>0</v>
      </c>
      <c r="R411" s="38">
        <f>IFERROR(VLOOKUP($F411,bug_conf_sheet!$A:$H,7,FALSE),VLOOKUP("other",bug_conf_sheet!$A:$H,7,FALSE))</f>
        <v>0</v>
      </c>
      <c r="S411" s="38">
        <f>IFERROR(VLOOKUP($F411,bug_conf_sheet!$A:$H,8,FALSE),VLOOKUP("other",bug_conf_sheet!$A:$H,8,FALSE))</f>
        <v>1</v>
      </c>
    </row>
    <row r="412" spans="1:19" s="14" customFormat="1" ht="21" hidden="1" customHeight="1" thickBot="1">
      <c r="A412" s="7" t="str">
        <f t="shared" si="44"/>
        <v>1884143</v>
      </c>
      <c r="B412" s="2" t="str">
        <f t="shared" si="43"/>
        <v>1884</v>
      </c>
      <c r="C412" s="8" t="str">
        <f t="shared" si="45"/>
        <v>4PremiumW4</v>
      </c>
      <c r="D412" s="8" t="str">
        <f t="shared" si="46"/>
        <v>4PremiumW4</v>
      </c>
      <c r="E412" s="10">
        <v>4</v>
      </c>
      <c r="F412" s="6">
        <v>143</v>
      </c>
      <c r="G412" s="8" t="str">
        <f>VLOOKUP(F412,[1]characters!$A:$C,3,FALSE)</f>
        <v>深紅の死神 赤ずきん</v>
      </c>
      <c r="H412" s="8" t="str">
        <f>VLOOKUP(F412,[1]characters!$A:$J,10,FALSE)</f>
        <v>PremiumW</v>
      </c>
      <c r="I412" s="8">
        <f>VLOOKUP(F412,[1]characters!$A:$I,9,FALSE)</f>
        <v>4</v>
      </c>
      <c r="J412" s="8" t="str">
        <f>VLOOKUP(F412,[1]characters!$A:$H,8,FALSE)</f>
        <v>red</v>
      </c>
      <c r="K412" s="8" t="str">
        <f>VLOOKUP(F412,[1]characters!$A:$K,11,FALSE)</f>
        <v>balance</v>
      </c>
      <c r="L412" s="8" t="str">
        <f>VLOOKUP(F412,[1]characters!$A:$M,13,FALSE)</f>
        <v>human</v>
      </c>
      <c r="M412" s="16">
        <f>VLOOKUP(D412,gacha_188_base!A:B,2,FALSE)</f>
        <v>7917</v>
      </c>
      <c r="N412" s="38">
        <f>IFERROR(VLOOKUP($F412,bug_conf_sheet!$A:$H,3,FALSE),VLOOKUP("other",bug_conf_sheet!$A:$H,3,FALSE))</f>
        <v>1</v>
      </c>
      <c r="O412" s="38">
        <f>IFERROR(VLOOKUP($F412,bug_conf_sheet!$A:$H,4,FALSE),VLOOKUP("other",bug_conf_sheet!$A:$H,4,FALSE))</f>
        <v>0</v>
      </c>
      <c r="P412" s="38">
        <f>IFERROR(VLOOKUP($F412,bug_conf_sheet!$A:$H,5,FALSE),VLOOKUP("other",bug_conf_sheet!$A:$H,5,FALSE))</f>
        <v>0</v>
      </c>
      <c r="Q412" s="38">
        <f>IFERROR(VLOOKUP($F412,bug_conf_sheet!$A:$H,6,FALSE),VLOOKUP("other",bug_conf_sheet!$A:$H,6,FALSE))</f>
        <v>0</v>
      </c>
      <c r="R412" s="38">
        <f>IFERROR(VLOOKUP($F412,bug_conf_sheet!$A:$H,7,FALSE),VLOOKUP("other",bug_conf_sheet!$A:$H,7,FALSE))</f>
        <v>0</v>
      </c>
      <c r="S412" s="38">
        <f>IFERROR(VLOOKUP($F412,bug_conf_sheet!$A:$H,8,FALSE),VLOOKUP("other",bug_conf_sheet!$A:$H,8,FALSE))</f>
        <v>1</v>
      </c>
    </row>
    <row r="413" spans="1:19" ht="21" hidden="1" customHeight="1">
      <c r="A413" s="7" t="str">
        <f t="shared" si="44"/>
        <v>1884145</v>
      </c>
      <c r="B413" s="2" t="str">
        <f t="shared" si="43"/>
        <v>1884</v>
      </c>
      <c r="C413" s="8" t="str">
        <f t="shared" si="45"/>
        <v>4PremiumW4</v>
      </c>
      <c r="D413" s="8" t="str">
        <f t="shared" si="46"/>
        <v>4PremiumW4</v>
      </c>
      <c r="E413" s="10">
        <v>4</v>
      </c>
      <c r="F413" s="6">
        <v>145</v>
      </c>
      <c r="G413" s="8" t="str">
        <f>VLOOKUP(F413,[1]characters!$A:$C,3,FALSE)</f>
        <v>魔性妖艶 かぐや</v>
      </c>
      <c r="H413" s="8" t="str">
        <f>VLOOKUP(F413,[1]characters!$A:$J,10,FALSE)</f>
        <v>PremiumW</v>
      </c>
      <c r="I413" s="8">
        <f>VLOOKUP(F413,[1]characters!$A:$I,9,FALSE)</f>
        <v>4</v>
      </c>
      <c r="J413" s="8" t="str">
        <f>VLOOKUP(F413,[1]characters!$A:$H,8,FALSE)</f>
        <v>green</v>
      </c>
      <c r="K413" s="8" t="str">
        <f>VLOOKUP(F413,[1]characters!$A:$K,11,FALSE)</f>
        <v>hp</v>
      </c>
      <c r="L413" s="8" t="str">
        <f>VLOOKUP(F413,[1]characters!$A:$M,13,FALSE)</f>
        <v>human</v>
      </c>
      <c r="M413" s="16">
        <f>VLOOKUP(D413,gacha_188_base!A:B,2,FALSE)</f>
        <v>7917</v>
      </c>
      <c r="N413" s="38">
        <f>IFERROR(VLOOKUP($F413,bug_conf_sheet!$A:$H,3,FALSE),VLOOKUP("other",bug_conf_sheet!$A:$H,3,FALSE))</f>
        <v>1</v>
      </c>
      <c r="O413" s="38">
        <f>IFERROR(VLOOKUP($F413,bug_conf_sheet!$A:$H,4,FALSE),VLOOKUP("other",bug_conf_sheet!$A:$H,4,FALSE))</f>
        <v>0</v>
      </c>
      <c r="P413" s="38">
        <f>IFERROR(VLOOKUP($F413,bug_conf_sheet!$A:$H,5,FALSE),VLOOKUP("other",bug_conf_sheet!$A:$H,5,FALSE))</f>
        <v>0</v>
      </c>
      <c r="Q413" s="38">
        <f>IFERROR(VLOOKUP($F413,bug_conf_sheet!$A:$H,6,FALSE),VLOOKUP("other",bug_conf_sheet!$A:$H,6,FALSE))</f>
        <v>0</v>
      </c>
      <c r="R413" s="38">
        <f>IFERROR(VLOOKUP($F413,bug_conf_sheet!$A:$H,7,FALSE),VLOOKUP("other",bug_conf_sheet!$A:$H,7,FALSE))</f>
        <v>0</v>
      </c>
      <c r="S413" s="38">
        <f>IFERROR(VLOOKUP($F413,bug_conf_sheet!$A:$H,8,FALSE),VLOOKUP("other",bug_conf_sheet!$A:$H,8,FALSE))</f>
        <v>1</v>
      </c>
    </row>
    <row r="414" spans="1:19" ht="21" hidden="1" customHeight="1">
      <c r="A414" s="7" t="str">
        <f t="shared" si="44"/>
        <v>1884147</v>
      </c>
      <c r="B414" s="2" t="str">
        <f t="shared" si="43"/>
        <v>1884</v>
      </c>
      <c r="C414" s="8" t="str">
        <f t="shared" si="45"/>
        <v>4PremiumW4</v>
      </c>
      <c r="D414" s="8" t="str">
        <f t="shared" si="46"/>
        <v>4PremiumW4</v>
      </c>
      <c r="E414" s="10">
        <v>4</v>
      </c>
      <c r="F414" s="6">
        <v>147</v>
      </c>
      <c r="G414" s="8" t="str">
        <f>VLOOKUP(F414,[1]characters!$A:$C,3,FALSE)</f>
        <v>蒼き閃光 元マーメイド</v>
      </c>
      <c r="H414" s="8" t="str">
        <f>VLOOKUP(F414,[1]characters!$A:$J,10,FALSE)</f>
        <v>PremiumW</v>
      </c>
      <c r="I414" s="8">
        <f>VLOOKUP(F414,[1]characters!$A:$I,9,FALSE)</f>
        <v>4</v>
      </c>
      <c r="J414" s="8" t="str">
        <f>VLOOKUP(F414,[1]characters!$A:$H,8,FALSE)</f>
        <v>blue</v>
      </c>
      <c r="K414" s="8" t="str">
        <f>VLOOKUP(F414,[1]characters!$A:$K,11,FALSE)</f>
        <v>hp</v>
      </c>
      <c r="L414" s="8" t="str">
        <f>VLOOKUP(F414,[1]characters!$A:$M,13,FALSE)</f>
        <v>human</v>
      </c>
      <c r="M414" s="16">
        <f>VLOOKUP(D414,gacha_188_base!A:B,2,FALSE)</f>
        <v>7917</v>
      </c>
      <c r="N414" s="38">
        <f>IFERROR(VLOOKUP($F414,bug_conf_sheet!$A:$H,3,FALSE),VLOOKUP("other",bug_conf_sheet!$A:$H,3,FALSE))</f>
        <v>1</v>
      </c>
      <c r="O414" s="38">
        <f>IFERROR(VLOOKUP($F414,bug_conf_sheet!$A:$H,4,FALSE),VLOOKUP("other",bug_conf_sheet!$A:$H,4,FALSE))</f>
        <v>0</v>
      </c>
      <c r="P414" s="38">
        <f>IFERROR(VLOOKUP($F414,bug_conf_sheet!$A:$H,5,FALSE),VLOOKUP("other",bug_conf_sheet!$A:$H,5,FALSE))</f>
        <v>0</v>
      </c>
      <c r="Q414" s="38">
        <f>IFERROR(VLOOKUP($F414,bug_conf_sheet!$A:$H,6,FALSE),VLOOKUP("other",bug_conf_sheet!$A:$H,6,FALSE))</f>
        <v>0</v>
      </c>
      <c r="R414" s="38">
        <f>IFERROR(VLOOKUP($F414,bug_conf_sheet!$A:$H,7,FALSE),VLOOKUP("other",bug_conf_sheet!$A:$H,7,FALSE))</f>
        <v>0</v>
      </c>
      <c r="S414" s="38">
        <f>IFERROR(VLOOKUP($F414,bug_conf_sheet!$A:$H,8,FALSE),VLOOKUP("other",bug_conf_sheet!$A:$H,8,FALSE))</f>
        <v>1</v>
      </c>
    </row>
    <row r="415" spans="1:19" ht="21" hidden="1" customHeight="1">
      <c r="A415" s="7" t="str">
        <f t="shared" si="44"/>
        <v>1884149</v>
      </c>
      <c r="B415" s="2" t="str">
        <f t="shared" si="43"/>
        <v>1884</v>
      </c>
      <c r="C415" s="8" t="str">
        <f t="shared" si="45"/>
        <v>4PremiumW4</v>
      </c>
      <c r="D415" s="8" t="str">
        <f t="shared" si="46"/>
        <v>4PremiumW4</v>
      </c>
      <c r="E415" s="10">
        <v>4</v>
      </c>
      <c r="F415" s="6">
        <v>149</v>
      </c>
      <c r="G415" s="8" t="str">
        <f>VLOOKUP(F415,[1]characters!$A:$C,3,FALSE)</f>
        <v>雷撃蹴技を極めし者 シンデレラ</v>
      </c>
      <c r="H415" s="8" t="str">
        <f>VLOOKUP(F415,[1]characters!$A:$J,10,FALSE)</f>
        <v>PremiumW</v>
      </c>
      <c r="I415" s="8">
        <f>VLOOKUP(F415,[1]characters!$A:$I,9,FALSE)</f>
        <v>4</v>
      </c>
      <c r="J415" s="8" t="str">
        <f>VLOOKUP(F415,[1]characters!$A:$H,8,FALSE)</f>
        <v>yellow</v>
      </c>
      <c r="K415" s="8" t="str">
        <f>VLOOKUP(F415,[1]characters!$A:$K,11,FALSE)</f>
        <v>balance</v>
      </c>
      <c r="L415" s="8" t="str">
        <f>VLOOKUP(F415,[1]characters!$A:$M,13,FALSE)</f>
        <v>human</v>
      </c>
      <c r="M415" s="16">
        <f>VLOOKUP(D415,gacha_188_base!A:B,2,FALSE)</f>
        <v>7917</v>
      </c>
      <c r="N415" s="38">
        <f>IFERROR(VLOOKUP($F415,bug_conf_sheet!$A:$H,3,FALSE),VLOOKUP("other",bug_conf_sheet!$A:$H,3,FALSE))</f>
        <v>1</v>
      </c>
      <c r="O415" s="38">
        <f>IFERROR(VLOOKUP($F415,bug_conf_sheet!$A:$H,4,FALSE),VLOOKUP("other",bug_conf_sheet!$A:$H,4,FALSE))</f>
        <v>0</v>
      </c>
      <c r="P415" s="38">
        <f>IFERROR(VLOOKUP($F415,bug_conf_sheet!$A:$H,5,FALSE),VLOOKUP("other",bug_conf_sheet!$A:$H,5,FALSE))</f>
        <v>0</v>
      </c>
      <c r="Q415" s="38">
        <f>IFERROR(VLOOKUP($F415,bug_conf_sheet!$A:$H,6,FALSE),VLOOKUP("other",bug_conf_sheet!$A:$H,6,FALSE))</f>
        <v>0</v>
      </c>
      <c r="R415" s="38">
        <f>IFERROR(VLOOKUP($F415,bug_conf_sheet!$A:$H,7,FALSE),VLOOKUP("other",bug_conf_sheet!$A:$H,7,FALSE))</f>
        <v>0</v>
      </c>
      <c r="S415" s="38">
        <f>IFERROR(VLOOKUP($F415,bug_conf_sheet!$A:$H,8,FALSE),VLOOKUP("other",bug_conf_sheet!$A:$H,8,FALSE))</f>
        <v>1</v>
      </c>
    </row>
    <row r="416" spans="1:19" ht="21" hidden="1" customHeight="1">
      <c r="A416" s="7" t="str">
        <f t="shared" si="44"/>
        <v>1884151</v>
      </c>
      <c r="B416" s="2" t="str">
        <f t="shared" si="43"/>
        <v>1884</v>
      </c>
      <c r="C416" s="8" t="str">
        <f t="shared" si="45"/>
        <v>4PremiumW4</v>
      </c>
      <c r="D416" s="8" t="str">
        <f t="shared" si="46"/>
        <v>4PremiumW4</v>
      </c>
      <c r="E416" s="10">
        <v>4</v>
      </c>
      <c r="F416" s="6">
        <v>151</v>
      </c>
      <c r="G416" s="8" t="str">
        <f>VLOOKUP(F416,[1]characters!$A:$C,3,FALSE)</f>
        <v>毒煙の処刑人サキ</v>
      </c>
      <c r="H416" s="8" t="str">
        <f>VLOOKUP(F416,[1]characters!$A:$J,10,FALSE)</f>
        <v>PremiumW</v>
      </c>
      <c r="I416" s="8">
        <f>VLOOKUP(F416,[1]characters!$A:$I,9,FALSE)</f>
        <v>4</v>
      </c>
      <c r="J416" s="8" t="str">
        <f>VLOOKUP(F416,[1]characters!$A:$H,8,FALSE)</f>
        <v>red</v>
      </c>
      <c r="K416" s="8" t="str">
        <f>VLOOKUP(F416,[1]characters!$A:$K,11,FALSE)</f>
        <v>technical</v>
      </c>
      <c r="L416" s="8" t="str">
        <f>VLOOKUP(F416,[1]characters!$A:$M,13,FALSE)</f>
        <v>human</v>
      </c>
      <c r="M416" s="16">
        <f>VLOOKUP(D416,gacha_188_base!A:B,2,FALSE)</f>
        <v>7917</v>
      </c>
      <c r="N416" s="38">
        <f>IFERROR(VLOOKUP($F416,bug_conf_sheet!$A:$H,3,FALSE),VLOOKUP("other",bug_conf_sheet!$A:$H,3,FALSE))</f>
        <v>1</v>
      </c>
      <c r="O416" s="38">
        <f>IFERROR(VLOOKUP($F416,bug_conf_sheet!$A:$H,4,FALSE),VLOOKUP("other",bug_conf_sheet!$A:$H,4,FALSE))</f>
        <v>0</v>
      </c>
      <c r="P416" s="38">
        <f>IFERROR(VLOOKUP($F416,bug_conf_sheet!$A:$H,5,FALSE),VLOOKUP("other",bug_conf_sheet!$A:$H,5,FALSE))</f>
        <v>0</v>
      </c>
      <c r="Q416" s="38">
        <f>IFERROR(VLOOKUP($F416,bug_conf_sheet!$A:$H,6,FALSE),VLOOKUP("other",bug_conf_sheet!$A:$H,6,FALSE))</f>
        <v>0</v>
      </c>
      <c r="R416" s="38">
        <f>IFERROR(VLOOKUP($F416,bug_conf_sheet!$A:$H,7,FALSE),VLOOKUP("other",bug_conf_sheet!$A:$H,7,FALSE))</f>
        <v>0</v>
      </c>
      <c r="S416" s="38">
        <f>IFERROR(VLOOKUP($F416,bug_conf_sheet!$A:$H,8,FALSE),VLOOKUP("other",bug_conf_sheet!$A:$H,8,FALSE))</f>
        <v>1</v>
      </c>
    </row>
    <row r="417" spans="1:19" ht="21" hidden="1" customHeight="1">
      <c r="A417" s="7" t="str">
        <f t="shared" si="44"/>
        <v>1884153</v>
      </c>
      <c r="B417" s="2" t="str">
        <f t="shared" si="43"/>
        <v>1884</v>
      </c>
      <c r="C417" s="8" t="str">
        <f t="shared" si="45"/>
        <v>4PremiumW4</v>
      </c>
      <c r="D417" s="8" t="str">
        <f t="shared" si="46"/>
        <v>4PremiumW4</v>
      </c>
      <c r="E417" s="10">
        <v>4</v>
      </c>
      <c r="F417" s="6">
        <v>153</v>
      </c>
      <c r="G417" s="8" t="str">
        <f>VLOOKUP(F417,[1]characters!$A:$C,3,FALSE)</f>
        <v>拳聖ランラン</v>
      </c>
      <c r="H417" s="8" t="str">
        <f>VLOOKUP(F417,[1]characters!$A:$J,10,FALSE)</f>
        <v>PremiumW</v>
      </c>
      <c r="I417" s="8">
        <f>VLOOKUP(F417,[1]characters!$A:$I,9,FALSE)</f>
        <v>4</v>
      </c>
      <c r="J417" s="8" t="str">
        <f>VLOOKUP(F417,[1]characters!$A:$H,8,FALSE)</f>
        <v>green</v>
      </c>
      <c r="K417" s="8" t="str">
        <f>VLOOKUP(F417,[1]characters!$A:$K,11,FALSE)</f>
        <v>heal</v>
      </c>
      <c r="L417" s="8" t="str">
        <f>VLOOKUP(F417,[1]characters!$A:$M,13,FALSE)</f>
        <v>human</v>
      </c>
      <c r="M417" s="16">
        <f>VLOOKUP(D417,gacha_188_base!A:B,2,FALSE)</f>
        <v>7917</v>
      </c>
      <c r="N417" s="38">
        <f>IFERROR(VLOOKUP($F417,bug_conf_sheet!$A:$H,3,FALSE),VLOOKUP("other",bug_conf_sheet!$A:$H,3,FALSE))</f>
        <v>1</v>
      </c>
      <c r="O417" s="38">
        <f>IFERROR(VLOOKUP($F417,bug_conf_sheet!$A:$H,4,FALSE),VLOOKUP("other",bug_conf_sheet!$A:$H,4,FALSE))</f>
        <v>0</v>
      </c>
      <c r="P417" s="38">
        <f>IFERROR(VLOOKUP($F417,bug_conf_sheet!$A:$H,5,FALSE),VLOOKUP("other",bug_conf_sheet!$A:$H,5,FALSE))</f>
        <v>0</v>
      </c>
      <c r="Q417" s="38">
        <f>IFERROR(VLOOKUP($F417,bug_conf_sheet!$A:$H,6,FALSE),VLOOKUP("other",bug_conf_sheet!$A:$H,6,FALSE))</f>
        <v>0</v>
      </c>
      <c r="R417" s="38">
        <f>IFERROR(VLOOKUP($F417,bug_conf_sheet!$A:$H,7,FALSE),VLOOKUP("other",bug_conf_sheet!$A:$H,7,FALSE))</f>
        <v>0</v>
      </c>
      <c r="S417" s="38">
        <f>IFERROR(VLOOKUP($F417,bug_conf_sheet!$A:$H,8,FALSE),VLOOKUP("other",bug_conf_sheet!$A:$H,8,FALSE))</f>
        <v>1</v>
      </c>
    </row>
    <row r="418" spans="1:19" ht="21" hidden="1" customHeight="1">
      <c r="A418" s="7" t="str">
        <f t="shared" si="44"/>
        <v>1884155</v>
      </c>
      <c r="B418" s="2" t="str">
        <f t="shared" si="43"/>
        <v>1884</v>
      </c>
      <c r="C418" s="8" t="str">
        <f t="shared" si="45"/>
        <v>4PremiumW4</v>
      </c>
      <c r="D418" s="8" t="str">
        <f t="shared" si="46"/>
        <v>4PremiumW4</v>
      </c>
      <c r="E418" s="10">
        <v>4</v>
      </c>
      <c r="F418" s="6">
        <v>155</v>
      </c>
      <c r="G418" s="8" t="str">
        <f>VLOOKUP(F418,[1]characters!$A:$C,3,FALSE)</f>
        <v>隻眼の掃除屋 ハンナ</v>
      </c>
      <c r="H418" s="8" t="str">
        <f>VLOOKUP(F418,[1]characters!$A:$J,10,FALSE)</f>
        <v>PremiumW</v>
      </c>
      <c r="I418" s="8">
        <f>VLOOKUP(F418,[1]characters!$A:$I,9,FALSE)</f>
        <v>4</v>
      </c>
      <c r="J418" s="8" t="str">
        <f>VLOOKUP(F418,[1]characters!$A:$H,8,FALSE)</f>
        <v>blue</v>
      </c>
      <c r="K418" s="8" t="str">
        <f>VLOOKUP(F418,[1]characters!$A:$K,11,FALSE)</f>
        <v>heal</v>
      </c>
      <c r="L418" s="8" t="str">
        <f>VLOOKUP(F418,[1]characters!$A:$M,13,FALSE)</f>
        <v>human</v>
      </c>
      <c r="M418" s="16">
        <f>VLOOKUP(D418,gacha_188_base!A:B,2,FALSE)</f>
        <v>7917</v>
      </c>
      <c r="N418" s="38">
        <f>IFERROR(VLOOKUP($F418,bug_conf_sheet!$A:$H,3,FALSE),VLOOKUP("other",bug_conf_sheet!$A:$H,3,FALSE))</f>
        <v>1</v>
      </c>
      <c r="O418" s="38">
        <f>IFERROR(VLOOKUP($F418,bug_conf_sheet!$A:$H,4,FALSE),VLOOKUP("other",bug_conf_sheet!$A:$H,4,FALSE))</f>
        <v>0</v>
      </c>
      <c r="P418" s="38">
        <f>IFERROR(VLOOKUP($F418,bug_conf_sheet!$A:$H,5,FALSE),VLOOKUP("other",bug_conf_sheet!$A:$H,5,FALSE))</f>
        <v>0</v>
      </c>
      <c r="Q418" s="38">
        <f>IFERROR(VLOOKUP($F418,bug_conf_sheet!$A:$H,6,FALSE),VLOOKUP("other",bug_conf_sheet!$A:$H,6,FALSE))</f>
        <v>0</v>
      </c>
      <c r="R418" s="38">
        <f>IFERROR(VLOOKUP($F418,bug_conf_sheet!$A:$H,7,FALSE),VLOOKUP("other",bug_conf_sheet!$A:$H,7,FALSE))</f>
        <v>0</v>
      </c>
      <c r="S418" s="38">
        <f>IFERROR(VLOOKUP($F418,bug_conf_sheet!$A:$H,8,FALSE),VLOOKUP("other",bug_conf_sheet!$A:$H,8,FALSE))</f>
        <v>1</v>
      </c>
    </row>
    <row r="419" spans="1:19" ht="21" hidden="1" customHeight="1">
      <c r="A419" s="7" t="str">
        <f t="shared" si="44"/>
        <v>1884157</v>
      </c>
      <c r="B419" s="2" t="str">
        <f t="shared" si="43"/>
        <v>1884</v>
      </c>
      <c r="C419" s="8" t="str">
        <f t="shared" si="45"/>
        <v>4PremiumW4</v>
      </c>
      <c r="D419" s="8" t="str">
        <f t="shared" si="46"/>
        <v>4PremiumW4</v>
      </c>
      <c r="E419" s="10">
        <v>4</v>
      </c>
      <c r="F419" s="6">
        <v>157</v>
      </c>
      <c r="G419" s="8" t="str">
        <f>VLOOKUP(F419,[1]characters!$A:$C,3,FALSE)</f>
        <v>雷光舞姫 エレナ</v>
      </c>
      <c r="H419" s="8" t="str">
        <f>VLOOKUP(F419,[1]characters!$A:$J,10,FALSE)</f>
        <v>PremiumW</v>
      </c>
      <c r="I419" s="8">
        <f>VLOOKUP(F419,[1]characters!$A:$I,9,FALSE)</f>
        <v>4</v>
      </c>
      <c r="J419" s="8" t="str">
        <f>VLOOKUP(F419,[1]characters!$A:$H,8,FALSE)</f>
        <v>yellow</v>
      </c>
      <c r="K419" s="8" t="str">
        <f>VLOOKUP(F419,[1]characters!$A:$K,11,FALSE)</f>
        <v>heal</v>
      </c>
      <c r="L419" s="8" t="str">
        <f>VLOOKUP(F419,[1]characters!$A:$M,13,FALSE)</f>
        <v>human</v>
      </c>
      <c r="M419" s="16">
        <f>VLOOKUP(D419,gacha_188_base!A:B,2,FALSE)</f>
        <v>7917</v>
      </c>
      <c r="N419" s="38">
        <f>IFERROR(VLOOKUP($F419,bug_conf_sheet!$A:$H,3,FALSE),VLOOKUP("other",bug_conf_sheet!$A:$H,3,FALSE))</f>
        <v>1</v>
      </c>
      <c r="O419" s="38">
        <f>IFERROR(VLOOKUP($F419,bug_conf_sheet!$A:$H,4,FALSE),VLOOKUP("other",bug_conf_sheet!$A:$H,4,FALSE))</f>
        <v>0</v>
      </c>
      <c r="P419" s="38">
        <f>IFERROR(VLOOKUP($F419,bug_conf_sheet!$A:$H,5,FALSE),VLOOKUP("other",bug_conf_sheet!$A:$H,5,FALSE))</f>
        <v>0</v>
      </c>
      <c r="Q419" s="38">
        <f>IFERROR(VLOOKUP($F419,bug_conf_sheet!$A:$H,6,FALSE),VLOOKUP("other",bug_conf_sheet!$A:$H,6,FALSE))</f>
        <v>0</v>
      </c>
      <c r="R419" s="38">
        <f>IFERROR(VLOOKUP($F419,bug_conf_sheet!$A:$H,7,FALSE),VLOOKUP("other",bug_conf_sheet!$A:$H,7,FALSE))</f>
        <v>0</v>
      </c>
      <c r="S419" s="38">
        <f>IFERROR(VLOOKUP($F419,bug_conf_sheet!$A:$H,8,FALSE),VLOOKUP("other",bug_conf_sheet!$A:$H,8,FALSE))</f>
        <v>1</v>
      </c>
    </row>
    <row r="420" spans="1:19" ht="21" hidden="1" customHeight="1">
      <c r="A420" s="7" t="str">
        <f t="shared" si="44"/>
        <v>1884159</v>
      </c>
      <c r="B420" s="2" t="str">
        <f t="shared" si="43"/>
        <v>1884</v>
      </c>
      <c r="C420" s="8" t="str">
        <f t="shared" si="45"/>
        <v>4PremiumW4</v>
      </c>
      <c r="D420" s="8" t="str">
        <f t="shared" si="46"/>
        <v>4PremiumW4</v>
      </c>
      <c r="E420" s="10">
        <v>4</v>
      </c>
      <c r="F420" s="6">
        <v>159</v>
      </c>
      <c r="G420" s="8" t="str">
        <f>VLOOKUP(F420,[1]characters!$A:$C,3,FALSE)</f>
        <v>邪を狩りし者 シャルロッテ</v>
      </c>
      <c r="H420" s="8" t="str">
        <f>VLOOKUP(F420,[1]characters!$A:$J,10,FALSE)</f>
        <v>PremiumW</v>
      </c>
      <c r="I420" s="8">
        <f>VLOOKUP(F420,[1]characters!$A:$I,9,FALSE)</f>
        <v>4</v>
      </c>
      <c r="J420" s="8" t="str">
        <f>VLOOKUP(F420,[1]characters!$A:$H,8,FALSE)</f>
        <v>red</v>
      </c>
      <c r="K420" s="8" t="str">
        <f>VLOOKUP(F420,[1]characters!$A:$K,11,FALSE)</f>
        <v>heal</v>
      </c>
      <c r="L420" s="8" t="str">
        <f>VLOOKUP(F420,[1]characters!$A:$M,13,FALSE)</f>
        <v>human</v>
      </c>
      <c r="M420" s="16">
        <f>VLOOKUP(D420,gacha_188_base!A:B,2,FALSE)</f>
        <v>7917</v>
      </c>
      <c r="N420" s="38">
        <f>IFERROR(VLOOKUP($F420,bug_conf_sheet!$A:$H,3,FALSE),VLOOKUP("other",bug_conf_sheet!$A:$H,3,FALSE))</f>
        <v>1</v>
      </c>
      <c r="O420" s="38">
        <f>IFERROR(VLOOKUP($F420,bug_conf_sheet!$A:$H,4,FALSE),VLOOKUP("other",bug_conf_sheet!$A:$H,4,FALSE))</f>
        <v>0</v>
      </c>
      <c r="P420" s="38">
        <f>IFERROR(VLOOKUP($F420,bug_conf_sheet!$A:$H,5,FALSE),VLOOKUP("other",bug_conf_sheet!$A:$H,5,FALSE))</f>
        <v>0</v>
      </c>
      <c r="Q420" s="38">
        <f>IFERROR(VLOOKUP($F420,bug_conf_sheet!$A:$H,6,FALSE),VLOOKUP("other",bug_conf_sheet!$A:$H,6,FALSE))</f>
        <v>0</v>
      </c>
      <c r="R420" s="38">
        <f>IFERROR(VLOOKUP($F420,bug_conf_sheet!$A:$H,7,FALSE),VLOOKUP("other",bug_conf_sheet!$A:$H,7,FALSE))</f>
        <v>0</v>
      </c>
      <c r="S420" s="38">
        <f>IFERROR(VLOOKUP($F420,bug_conf_sheet!$A:$H,8,FALSE),VLOOKUP("other",bug_conf_sheet!$A:$H,8,FALSE))</f>
        <v>1</v>
      </c>
    </row>
    <row r="421" spans="1:19" ht="21" hidden="1" customHeight="1">
      <c r="A421" s="7" t="str">
        <f t="shared" si="44"/>
        <v>1884161</v>
      </c>
      <c r="B421" s="2" t="str">
        <f t="shared" si="43"/>
        <v>1884</v>
      </c>
      <c r="C421" s="8" t="str">
        <f t="shared" si="45"/>
        <v>4PremiumW4</v>
      </c>
      <c r="D421" s="8" t="str">
        <f t="shared" si="46"/>
        <v>4PremiumW4</v>
      </c>
      <c r="E421" s="10">
        <v>4</v>
      </c>
      <c r="F421" s="6">
        <v>161</v>
      </c>
      <c r="G421" s="8" t="str">
        <f>VLOOKUP(F421,[1]characters!$A:$C,3,FALSE)</f>
        <v>咆哮の先導者 クリエ</v>
      </c>
      <c r="H421" s="8" t="str">
        <f>VLOOKUP(F421,[1]characters!$A:$J,10,FALSE)</f>
        <v>PremiumW</v>
      </c>
      <c r="I421" s="8">
        <f>VLOOKUP(F421,[1]characters!$A:$I,9,FALSE)</f>
        <v>4</v>
      </c>
      <c r="J421" s="8" t="str">
        <f>VLOOKUP(F421,[1]characters!$A:$H,8,FALSE)</f>
        <v>green</v>
      </c>
      <c r="K421" s="8" t="str">
        <f>VLOOKUP(F421,[1]characters!$A:$K,11,FALSE)</f>
        <v>balance</v>
      </c>
      <c r="L421" s="8" t="str">
        <f>VLOOKUP(F421,[1]characters!$A:$M,13,FALSE)</f>
        <v>human</v>
      </c>
      <c r="M421" s="16">
        <f>VLOOKUP(D421,gacha_188_base!A:B,2,FALSE)</f>
        <v>7917</v>
      </c>
      <c r="N421" s="38">
        <f>IFERROR(VLOOKUP($F421,bug_conf_sheet!$A:$H,3,FALSE),VLOOKUP("other",bug_conf_sheet!$A:$H,3,FALSE))</f>
        <v>1</v>
      </c>
      <c r="O421" s="38">
        <f>IFERROR(VLOOKUP($F421,bug_conf_sheet!$A:$H,4,FALSE),VLOOKUP("other",bug_conf_sheet!$A:$H,4,FALSE))</f>
        <v>0</v>
      </c>
      <c r="P421" s="38">
        <f>IFERROR(VLOOKUP($F421,bug_conf_sheet!$A:$H,5,FALSE),VLOOKUP("other",bug_conf_sheet!$A:$H,5,FALSE))</f>
        <v>0</v>
      </c>
      <c r="Q421" s="38">
        <f>IFERROR(VLOOKUP($F421,bug_conf_sheet!$A:$H,6,FALSE),VLOOKUP("other",bug_conf_sheet!$A:$H,6,FALSE))</f>
        <v>0</v>
      </c>
      <c r="R421" s="38">
        <f>IFERROR(VLOOKUP($F421,bug_conf_sheet!$A:$H,7,FALSE),VLOOKUP("other",bug_conf_sheet!$A:$H,7,FALSE))</f>
        <v>0</v>
      </c>
      <c r="S421" s="38">
        <f>IFERROR(VLOOKUP($F421,bug_conf_sheet!$A:$H,8,FALSE),VLOOKUP("other",bug_conf_sheet!$A:$H,8,FALSE))</f>
        <v>1</v>
      </c>
    </row>
    <row r="422" spans="1:19" ht="21" hidden="1" customHeight="1">
      <c r="A422" s="7" t="str">
        <f t="shared" si="44"/>
        <v>1884163</v>
      </c>
      <c r="B422" s="2" t="str">
        <f t="shared" si="43"/>
        <v>1884</v>
      </c>
      <c r="C422" s="8" t="str">
        <f t="shared" si="45"/>
        <v>4PremiumW4</v>
      </c>
      <c r="D422" s="8" t="str">
        <f t="shared" si="46"/>
        <v>4PremiumW4</v>
      </c>
      <c r="E422" s="10">
        <v>4</v>
      </c>
      <c r="F422" s="6">
        <v>163</v>
      </c>
      <c r="G422" s="8" t="str">
        <f>VLOOKUP(F422,[1]characters!$A:$C,3,FALSE)</f>
        <v>冷酷な狂嬢 クララ</v>
      </c>
      <c r="H422" s="8" t="str">
        <f>VLOOKUP(F422,[1]characters!$A:$J,10,FALSE)</f>
        <v>PremiumW</v>
      </c>
      <c r="I422" s="8">
        <f>VLOOKUP(F422,[1]characters!$A:$I,9,FALSE)</f>
        <v>4</v>
      </c>
      <c r="J422" s="8" t="str">
        <f>VLOOKUP(F422,[1]characters!$A:$H,8,FALSE)</f>
        <v>blue</v>
      </c>
      <c r="K422" s="8" t="str">
        <f>VLOOKUP(F422,[1]characters!$A:$K,11,FALSE)</f>
        <v>attack</v>
      </c>
      <c r="L422" s="8" t="str">
        <f>VLOOKUP(F422,[1]characters!$A:$M,13,FALSE)</f>
        <v>human</v>
      </c>
      <c r="M422" s="16">
        <f>VLOOKUP(D422,gacha_188_base!A:B,2,FALSE)</f>
        <v>7917</v>
      </c>
      <c r="N422" s="38">
        <f>IFERROR(VLOOKUP($F422,bug_conf_sheet!$A:$H,3,FALSE),VLOOKUP("other",bug_conf_sheet!$A:$H,3,FALSE))</f>
        <v>1</v>
      </c>
      <c r="O422" s="38">
        <f>IFERROR(VLOOKUP($F422,bug_conf_sheet!$A:$H,4,FALSE),VLOOKUP("other",bug_conf_sheet!$A:$H,4,FALSE))</f>
        <v>0</v>
      </c>
      <c r="P422" s="38">
        <f>IFERROR(VLOOKUP($F422,bug_conf_sheet!$A:$H,5,FALSE),VLOOKUP("other",bug_conf_sheet!$A:$H,5,FALSE))</f>
        <v>0</v>
      </c>
      <c r="Q422" s="38">
        <f>IFERROR(VLOOKUP($F422,bug_conf_sheet!$A:$H,6,FALSE),VLOOKUP("other",bug_conf_sheet!$A:$H,6,FALSE))</f>
        <v>0</v>
      </c>
      <c r="R422" s="38">
        <f>IFERROR(VLOOKUP($F422,bug_conf_sheet!$A:$H,7,FALSE),VLOOKUP("other",bug_conf_sheet!$A:$H,7,FALSE))</f>
        <v>0</v>
      </c>
      <c r="S422" s="38">
        <f>IFERROR(VLOOKUP($F422,bug_conf_sheet!$A:$H,8,FALSE),VLOOKUP("other",bug_conf_sheet!$A:$H,8,FALSE))</f>
        <v>1</v>
      </c>
    </row>
    <row r="423" spans="1:19" ht="21" hidden="1" customHeight="1">
      <c r="A423" s="7" t="str">
        <f t="shared" si="44"/>
        <v>1884165</v>
      </c>
      <c r="B423" s="2" t="str">
        <f t="shared" si="43"/>
        <v>1884</v>
      </c>
      <c r="C423" s="8" t="str">
        <f t="shared" si="45"/>
        <v>4PremiumW4</v>
      </c>
      <c r="D423" s="8" t="str">
        <f t="shared" si="46"/>
        <v>4PremiumW4</v>
      </c>
      <c r="E423" s="10">
        <v>4</v>
      </c>
      <c r="F423" s="6">
        <v>165</v>
      </c>
      <c r="G423" s="8" t="str">
        <f>VLOOKUP(F423,[1]characters!$A:$C,3,FALSE)</f>
        <v>イブとたったひとりのトモダチ</v>
      </c>
      <c r="H423" s="8" t="str">
        <f>VLOOKUP(F423,[1]characters!$A:$J,10,FALSE)</f>
        <v>PremiumW</v>
      </c>
      <c r="I423" s="8">
        <f>VLOOKUP(F423,[1]characters!$A:$I,9,FALSE)</f>
        <v>4</v>
      </c>
      <c r="J423" s="8" t="str">
        <f>VLOOKUP(F423,[1]characters!$A:$H,8,FALSE)</f>
        <v>yellow</v>
      </c>
      <c r="K423" s="8" t="str">
        <f>VLOOKUP(F423,[1]characters!$A:$K,11,FALSE)</f>
        <v>technical</v>
      </c>
      <c r="L423" s="8" t="str">
        <f>VLOOKUP(F423,[1]characters!$A:$M,13,FALSE)</f>
        <v>human</v>
      </c>
      <c r="M423" s="16">
        <f>VLOOKUP(D423,gacha_188_base!A:B,2,FALSE)</f>
        <v>7917</v>
      </c>
      <c r="N423" s="38">
        <f>IFERROR(VLOOKUP($F423,bug_conf_sheet!$A:$H,3,FALSE),VLOOKUP("other",bug_conf_sheet!$A:$H,3,FALSE))</f>
        <v>1</v>
      </c>
      <c r="O423" s="38">
        <f>IFERROR(VLOOKUP($F423,bug_conf_sheet!$A:$H,4,FALSE),VLOOKUP("other",bug_conf_sheet!$A:$H,4,FALSE))</f>
        <v>0</v>
      </c>
      <c r="P423" s="38">
        <f>IFERROR(VLOOKUP($F423,bug_conf_sheet!$A:$H,5,FALSE),VLOOKUP("other",bug_conf_sheet!$A:$H,5,FALSE))</f>
        <v>0</v>
      </c>
      <c r="Q423" s="38">
        <f>IFERROR(VLOOKUP($F423,bug_conf_sheet!$A:$H,6,FALSE),VLOOKUP("other",bug_conf_sheet!$A:$H,6,FALSE))</f>
        <v>0</v>
      </c>
      <c r="R423" s="38">
        <f>IFERROR(VLOOKUP($F423,bug_conf_sheet!$A:$H,7,FALSE),VLOOKUP("other",bug_conf_sheet!$A:$H,7,FALSE))</f>
        <v>0</v>
      </c>
      <c r="S423" s="38">
        <f>IFERROR(VLOOKUP($F423,bug_conf_sheet!$A:$H,8,FALSE),VLOOKUP("other",bug_conf_sheet!$A:$H,8,FALSE))</f>
        <v>1</v>
      </c>
    </row>
    <row r="424" spans="1:19" ht="21" hidden="1" customHeight="1">
      <c r="A424" s="7" t="str">
        <f t="shared" si="44"/>
        <v>1884167</v>
      </c>
      <c r="B424" s="2" t="str">
        <f t="shared" si="43"/>
        <v>1884</v>
      </c>
      <c r="C424" s="8" t="str">
        <f t="shared" si="45"/>
        <v>4PremiumN4</v>
      </c>
      <c r="D424" s="8" t="str">
        <f t="shared" si="46"/>
        <v>4PremiumN4</v>
      </c>
      <c r="E424" s="10">
        <v>4</v>
      </c>
      <c r="F424" s="6">
        <v>167</v>
      </c>
      <c r="G424" s="8" t="str">
        <f>VLOOKUP(F424,[1]characters!$A:$C,3,FALSE)</f>
        <v>逆徒 ベリアル</v>
      </c>
      <c r="H424" s="8" t="str">
        <f>VLOOKUP(F424,[1]characters!$A:$J,10,FALSE)</f>
        <v>PremiumN</v>
      </c>
      <c r="I424" s="8">
        <f>VLOOKUP(F424,[1]characters!$A:$I,9,FALSE)</f>
        <v>4</v>
      </c>
      <c r="J424" s="8" t="str">
        <f>VLOOKUP(F424,[1]characters!$A:$H,8,FALSE)</f>
        <v>red</v>
      </c>
      <c r="K424" s="8" t="str">
        <f>VLOOKUP(F424,[1]characters!$A:$K,11,FALSE)</f>
        <v>attack</v>
      </c>
      <c r="L424" s="8" t="str">
        <f>VLOOKUP(F424,[1]characters!$A:$M,13,FALSE)</f>
        <v>god</v>
      </c>
      <c r="M424" s="16">
        <f>VLOOKUP(D424,gacha_188_base!A:B,2,FALSE)</f>
        <v>14883</v>
      </c>
      <c r="N424" s="38">
        <f>IFERROR(VLOOKUP($F424,bug_conf_sheet!$A:$H,3,FALSE),VLOOKUP("other",bug_conf_sheet!$A:$H,3,FALSE))</f>
        <v>1</v>
      </c>
      <c r="O424" s="38">
        <f>IFERROR(VLOOKUP($F424,bug_conf_sheet!$A:$H,4,FALSE),VLOOKUP("other",bug_conf_sheet!$A:$H,4,FALSE))</f>
        <v>0</v>
      </c>
      <c r="P424" s="38">
        <f>IFERROR(VLOOKUP($F424,bug_conf_sheet!$A:$H,5,FALSE),VLOOKUP("other",bug_conf_sheet!$A:$H,5,FALSE))</f>
        <v>0</v>
      </c>
      <c r="Q424" s="38">
        <f>IFERROR(VLOOKUP($F424,bug_conf_sheet!$A:$H,6,FALSE),VLOOKUP("other",bug_conf_sheet!$A:$H,6,FALSE))</f>
        <v>0</v>
      </c>
      <c r="R424" s="38">
        <f>IFERROR(VLOOKUP($F424,bug_conf_sheet!$A:$H,7,FALSE),VLOOKUP("other",bug_conf_sheet!$A:$H,7,FALSE))</f>
        <v>0</v>
      </c>
      <c r="S424" s="38">
        <f>IFERROR(VLOOKUP($F424,bug_conf_sheet!$A:$H,8,FALSE),VLOOKUP("other",bug_conf_sheet!$A:$H,8,FALSE))</f>
        <v>1</v>
      </c>
    </row>
    <row r="425" spans="1:19" ht="21" customHeight="1">
      <c r="A425" s="7" t="str">
        <f t="shared" si="44"/>
        <v>1884168</v>
      </c>
      <c r="B425" s="2" t="str">
        <f t="shared" si="43"/>
        <v>1884</v>
      </c>
      <c r="C425" s="8" t="str">
        <f t="shared" si="45"/>
        <v>4PremiumN5</v>
      </c>
      <c r="D425" s="8" t="str">
        <f t="shared" si="46"/>
        <v>4PremiumN5</v>
      </c>
      <c r="E425" s="10">
        <v>4</v>
      </c>
      <c r="F425" s="6">
        <v>168</v>
      </c>
      <c r="G425" s="8" t="str">
        <f>VLOOKUP(F425,[1]characters!$A:$C,3,FALSE)</f>
        <v>猛進の大逆者 ベリアル</v>
      </c>
      <c r="H425" s="8" t="str">
        <f>VLOOKUP(F425,[1]characters!$A:$J,10,FALSE)</f>
        <v>PremiumN</v>
      </c>
      <c r="I425" s="8">
        <f>VLOOKUP(F425,[1]characters!$A:$I,9,FALSE)</f>
        <v>5</v>
      </c>
      <c r="J425" s="8" t="str">
        <f>VLOOKUP(F425,[1]characters!$A:$H,8,FALSE)</f>
        <v>red</v>
      </c>
      <c r="K425" s="8" t="str">
        <f>VLOOKUP(F425,[1]characters!$A:$K,11,FALSE)</f>
        <v>attack</v>
      </c>
      <c r="L425" s="8" t="str">
        <f>VLOOKUP(F425,[1]characters!$A:$M,13,FALSE)</f>
        <v>god</v>
      </c>
      <c r="M425" s="16">
        <f>VLOOKUP(D425,gacha_188_base!A:B,2,FALSE)</f>
        <v>950</v>
      </c>
      <c r="N425" s="38">
        <f>IFERROR(VLOOKUP($F425,bug_conf_sheet!$A:$H,3,FALSE),VLOOKUP("other",bug_conf_sheet!$A:$H,3,FALSE))</f>
        <v>1</v>
      </c>
      <c r="O425" s="38">
        <f>IFERROR(VLOOKUP($F425,bug_conf_sheet!$A:$H,4,FALSE),VLOOKUP("other",bug_conf_sheet!$A:$H,4,FALSE))</f>
        <v>0</v>
      </c>
      <c r="P425" s="38">
        <f>IFERROR(VLOOKUP($F425,bug_conf_sheet!$A:$H,5,FALSE),VLOOKUP("other",bug_conf_sheet!$A:$H,5,FALSE))</f>
        <v>0</v>
      </c>
      <c r="Q425" s="38">
        <f>IFERROR(VLOOKUP($F425,bug_conf_sheet!$A:$H,6,FALSE),VLOOKUP("other",bug_conf_sheet!$A:$H,6,FALSE))</f>
        <v>0</v>
      </c>
      <c r="R425" s="38">
        <f>IFERROR(VLOOKUP($F425,bug_conf_sheet!$A:$H,7,FALSE),VLOOKUP("other",bug_conf_sheet!$A:$H,7,FALSE))</f>
        <v>0</v>
      </c>
      <c r="S425" s="38">
        <f>IFERROR(VLOOKUP($F425,bug_conf_sheet!$A:$H,8,FALSE),VLOOKUP("other",bug_conf_sheet!$A:$H,8,FALSE))</f>
        <v>1</v>
      </c>
    </row>
    <row r="426" spans="1:19" ht="21" hidden="1" customHeight="1">
      <c r="A426" s="7" t="str">
        <f t="shared" si="44"/>
        <v>1884170</v>
      </c>
      <c r="B426" s="2" t="str">
        <f t="shared" si="43"/>
        <v>1884</v>
      </c>
      <c r="C426" s="8" t="str">
        <f t="shared" si="45"/>
        <v>4PremiumN4</v>
      </c>
      <c r="D426" s="8" t="str">
        <f t="shared" si="46"/>
        <v>4PremiumN4</v>
      </c>
      <c r="E426" s="10">
        <v>4</v>
      </c>
      <c r="F426" s="6">
        <v>170</v>
      </c>
      <c r="G426" s="8" t="str">
        <f>VLOOKUP(F426,[1]characters!$A:$C,3,FALSE)</f>
        <v>識徒 オセ</v>
      </c>
      <c r="H426" s="8" t="str">
        <f>VLOOKUP(F426,[1]characters!$A:$J,10,FALSE)</f>
        <v>PremiumN</v>
      </c>
      <c r="I426" s="8">
        <f>VLOOKUP(F426,[1]characters!$A:$I,9,FALSE)</f>
        <v>4</v>
      </c>
      <c r="J426" s="8" t="str">
        <f>VLOOKUP(F426,[1]characters!$A:$H,8,FALSE)</f>
        <v>green</v>
      </c>
      <c r="K426" s="8" t="str">
        <f>VLOOKUP(F426,[1]characters!$A:$K,11,FALSE)</f>
        <v>attack</v>
      </c>
      <c r="L426" s="8" t="str">
        <f>VLOOKUP(F426,[1]characters!$A:$M,13,FALSE)</f>
        <v>god</v>
      </c>
      <c r="M426" s="16">
        <f>VLOOKUP(D426,gacha_188_base!A:B,2,FALSE)</f>
        <v>14883</v>
      </c>
      <c r="N426" s="38">
        <f>IFERROR(VLOOKUP($F426,bug_conf_sheet!$A:$H,3,FALSE),VLOOKUP("other",bug_conf_sheet!$A:$H,3,FALSE))</f>
        <v>1</v>
      </c>
      <c r="O426" s="38">
        <f>IFERROR(VLOOKUP($F426,bug_conf_sheet!$A:$H,4,FALSE),VLOOKUP("other",bug_conf_sheet!$A:$H,4,FALSE))</f>
        <v>0</v>
      </c>
      <c r="P426" s="38">
        <f>IFERROR(VLOOKUP($F426,bug_conf_sheet!$A:$H,5,FALSE),VLOOKUP("other",bug_conf_sheet!$A:$H,5,FALSE))</f>
        <v>0</v>
      </c>
      <c r="Q426" s="38">
        <f>IFERROR(VLOOKUP($F426,bug_conf_sheet!$A:$H,6,FALSE),VLOOKUP("other",bug_conf_sheet!$A:$H,6,FALSE))</f>
        <v>0</v>
      </c>
      <c r="R426" s="38">
        <f>IFERROR(VLOOKUP($F426,bug_conf_sheet!$A:$H,7,FALSE),VLOOKUP("other",bug_conf_sheet!$A:$H,7,FALSE))</f>
        <v>0</v>
      </c>
      <c r="S426" s="38">
        <f>IFERROR(VLOOKUP($F426,bug_conf_sheet!$A:$H,8,FALSE),VLOOKUP("other",bug_conf_sheet!$A:$H,8,FALSE))</f>
        <v>1</v>
      </c>
    </row>
    <row r="427" spans="1:19" ht="21" customHeight="1">
      <c r="A427" s="7" t="str">
        <f t="shared" si="44"/>
        <v>1884171</v>
      </c>
      <c r="B427" s="2" t="str">
        <f t="shared" si="43"/>
        <v>1884</v>
      </c>
      <c r="C427" s="8" t="str">
        <f t="shared" si="45"/>
        <v>4PremiumN5</v>
      </c>
      <c r="D427" s="8" t="str">
        <f t="shared" si="46"/>
        <v>4PremiumN5</v>
      </c>
      <c r="E427" s="10">
        <v>4</v>
      </c>
      <c r="F427" s="6">
        <v>171</v>
      </c>
      <c r="G427" s="8" t="str">
        <f>VLOOKUP(F427,[1]characters!$A:$C,3,FALSE)</f>
        <v>精解の預知者 オセ</v>
      </c>
      <c r="H427" s="8" t="str">
        <f>VLOOKUP(F427,[1]characters!$A:$J,10,FALSE)</f>
        <v>PremiumN</v>
      </c>
      <c r="I427" s="8">
        <f>VLOOKUP(F427,[1]characters!$A:$I,9,FALSE)</f>
        <v>5</v>
      </c>
      <c r="J427" s="8" t="str">
        <f>VLOOKUP(F427,[1]characters!$A:$H,8,FALSE)</f>
        <v>green</v>
      </c>
      <c r="K427" s="8" t="str">
        <f>VLOOKUP(F427,[1]characters!$A:$K,11,FALSE)</f>
        <v>attack</v>
      </c>
      <c r="L427" s="8" t="str">
        <f>VLOOKUP(F427,[1]characters!$A:$M,13,FALSE)</f>
        <v>god</v>
      </c>
      <c r="M427" s="16">
        <f>VLOOKUP(D427,gacha_188_base!A:B,2,FALSE)</f>
        <v>950</v>
      </c>
      <c r="N427" s="38">
        <f>IFERROR(VLOOKUP($F427,bug_conf_sheet!$A:$H,3,FALSE),VLOOKUP("other",bug_conf_sheet!$A:$H,3,FALSE))</f>
        <v>1</v>
      </c>
      <c r="O427" s="38">
        <f>IFERROR(VLOOKUP($F427,bug_conf_sheet!$A:$H,4,FALSE),VLOOKUP("other",bug_conf_sheet!$A:$H,4,FALSE))</f>
        <v>0</v>
      </c>
      <c r="P427" s="38">
        <f>IFERROR(VLOOKUP($F427,bug_conf_sheet!$A:$H,5,FALSE),VLOOKUP("other",bug_conf_sheet!$A:$H,5,FALSE))</f>
        <v>0</v>
      </c>
      <c r="Q427" s="38">
        <f>IFERROR(VLOOKUP($F427,bug_conf_sheet!$A:$H,6,FALSE),VLOOKUP("other",bug_conf_sheet!$A:$H,6,FALSE))</f>
        <v>0</v>
      </c>
      <c r="R427" s="38">
        <f>IFERROR(VLOOKUP($F427,bug_conf_sheet!$A:$H,7,FALSE),VLOOKUP("other",bug_conf_sheet!$A:$H,7,FALSE))</f>
        <v>0</v>
      </c>
      <c r="S427" s="38">
        <f>IFERROR(VLOOKUP($F427,bug_conf_sheet!$A:$H,8,FALSE),VLOOKUP("other",bug_conf_sheet!$A:$H,8,FALSE))</f>
        <v>1</v>
      </c>
    </row>
    <row r="428" spans="1:19" ht="21" hidden="1" customHeight="1">
      <c r="A428" s="7" t="str">
        <f t="shared" si="44"/>
        <v>1884173</v>
      </c>
      <c r="B428" s="2" t="str">
        <f t="shared" si="43"/>
        <v>1884</v>
      </c>
      <c r="C428" s="8" t="str">
        <f t="shared" si="45"/>
        <v>4PremiumN4</v>
      </c>
      <c r="D428" s="8" t="str">
        <f t="shared" si="46"/>
        <v>4PremiumN4</v>
      </c>
      <c r="E428" s="10">
        <v>4</v>
      </c>
      <c r="F428" s="6">
        <v>173</v>
      </c>
      <c r="G428" s="8" t="str">
        <f>VLOOKUP(F428,[1]characters!$A:$C,3,FALSE)</f>
        <v>公爵 フォルネウス</v>
      </c>
      <c r="H428" s="8" t="str">
        <f>VLOOKUP(F428,[1]characters!$A:$J,10,FALSE)</f>
        <v>PremiumN</v>
      </c>
      <c r="I428" s="8">
        <f>VLOOKUP(F428,[1]characters!$A:$I,9,FALSE)</f>
        <v>4</v>
      </c>
      <c r="J428" s="8" t="str">
        <f>VLOOKUP(F428,[1]characters!$A:$H,8,FALSE)</f>
        <v>blue</v>
      </c>
      <c r="K428" s="8" t="str">
        <f>VLOOKUP(F428,[1]characters!$A:$K,11,FALSE)</f>
        <v>attack</v>
      </c>
      <c r="L428" s="8" t="str">
        <f>VLOOKUP(F428,[1]characters!$A:$M,13,FALSE)</f>
        <v>god</v>
      </c>
      <c r="M428" s="16">
        <f>VLOOKUP(D428,gacha_188_base!A:B,2,FALSE)</f>
        <v>14883</v>
      </c>
      <c r="N428" s="38">
        <f>IFERROR(VLOOKUP($F428,bug_conf_sheet!$A:$H,3,FALSE),VLOOKUP("other",bug_conf_sheet!$A:$H,3,FALSE))</f>
        <v>1</v>
      </c>
      <c r="O428" s="38">
        <f>IFERROR(VLOOKUP($F428,bug_conf_sheet!$A:$H,4,FALSE),VLOOKUP("other",bug_conf_sheet!$A:$H,4,FALSE))</f>
        <v>0</v>
      </c>
      <c r="P428" s="38">
        <f>IFERROR(VLOOKUP($F428,bug_conf_sheet!$A:$H,5,FALSE),VLOOKUP("other",bug_conf_sheet!$A:$H,5,FALSE))</f>
        <v>0</v>
      </c>
      <c r="Q428" s="38">
        <f>IFERROR(VLOOKUP($F428,bug_conf_sheet!$A:$H,6,FALSE),VLOOKUP("other",bug_conf_sheet!$A:$H,6,FALSE))</f>
        <v>0</v>
      </c>
      <c r="R428" s="38">
        <f>IFERROR(VLOOKUP($F428,bug_conf_sheet!$A:$H,7,FALSE),VLOOKUP("other",bug_conf_sheet!$A:$H,7,FALSE))</f>
        <v>0</v>
      </c>
      <c r="S428" s="38">
        <f>IFERROR(VLOOKUP($F428,bug_conf_sheet!$A:$H,8,FALSE),VLOOKUP("other",bug_conf_sheet!$A:$H,8,FALSE))</f>
        <v>1</v>
      </c>
    </row>
    <row r="429" spans="1:19" ht="21" customHeight="1">
      <c r="A429" s="7" t="str">
        <f t="shared" si="44"/>
        <v>1884174</v>
      </c>
      <c r="B429" s="2" t="str">
        <f t="shared" si="43"/>
        <v>1884</v>
      </c>
      <c r="C429" s="8" t="str">
        <f t="shared" si="45"/>
        <v>4PremiumN5</v>
      </c>
      <c r="D429" s="8" t="str">
        <f t="shared" si="46"/>
        <v>4PremiumN5</v>
      </c>
      <c r="E429" s="10">
        <v>4</v>
      </c>
      <c r="F429" s="6">
        <v>174</v>
      </c>
      <c r="G429" s="8" t="str">
        <f>VLOOKUP(F429,[1]characters!$A:$C,3,FALSE)</f>
        <v>偽愛の大公爵 フォルネウス</v>
      </c>
      <c r="H429" s="8" t="str">
        <f>VLOOKUP(F429,[1]characters!$A:$J,10,FALSE)</f>
        <v>PremiumN</v>
      </c>
      <c r="I429" s="8">
        <f>VLOOKUP(F429,[1]characters!$A:$I,9,FALSE)</f>
        <v>5</v>
      </c>
      <c r="J429" s="8" t="str">
        <f>VLOOKUP(F429,[1]characters!$A:$H,8,FALSE)</f>
        <v>blue</v>
      </c>
      <c r="K429" s="8" t="str">
        <f>VLOOKUP(F429,[1]characters!$A:$K,11,FALSE)</f>
        <v>attack</v>
      </c>
      <c r="L429" s="8" t="str">
        <f>VLOOKUP(F429,[1]characters!$A:$M,13,FALSE)</f>
        <v>god</v>
      </c>
      <c r="M429" s="16">
        <f>VLOOKUP(D429,gacha_188_base!A:B,2,FALSE)</f>
        <v>950</v>
      </c>
      <c r="N429" s="38">
        <f>IFERROR(VLOOKUP($F429,bug_conf_sheet!$A:$H,3,FALSE),VLOOKUP("other",bug_conf_sheet!$A:$H,3,FALSE))</f>
        <v>1</v>
      </c>
      <c r="O429" s="38">
        <f>IFERROR(VLOOKUP($F429,bug_conf_sheet!$A:$H,4,FALSE),VLOOKUP("other",bug_conf_sheet!$A:$H,4,FALSE))</f>
        <v>0</v>
      </c>
      <c r="P429" s="38">
        <f>IFERROR(VLOOKUP($F429,bug_conf_sheet!$A:$H,5,FALSE),VLOOKUP("other",bug_conf_sheet!$A:$H,5,FALSE))</f>
        <v>0</v>
      </c>
      <c r="Q429" s="38">
        <f>IFERROR(VLOOKUP($F429,bug_conf_sheet!$A:$H,6,FALSE),VLOOKUP("other",bug_conf_sheet!$A:$H,6,FALSE))</f>
        <v>0</v>
      </c>
      <c r="R429" s="38">
        <f>IFERROR(VLOOKUP($F429,bug_conf_sheet!$A:$H,7,FALSE),VLOOKUP("other",bug_conf_sheet!$A:$H,7,FALSE))</f>
        <v>0</v>
      </c>
      <c r="S429" s="38">
        <f>IFERROR(VLOOKUP($F429,bug_conf_sheet!$A:$H,8,FALSE),VLOOKUP("other",bug_conf_sheet!$A:$H,8,FALSE))</f>
        <v>1</v>
      </c>
    </row>
    <row r="430" spans="1:19" ht="21" hidden="1" customHeight="1">
      <c r="A430" s="7" t="str">
        <f t="shared" si="44"/>
        <v>1884176</v>
      </c>
      <c r="B430" s="2" t="str">
        <f t="shared" si="43"/>
        <v>1884</v>
      </c>
      <c r="C430" s="8" t="str">
        <f t="shared" si="45"/>
        <v>4PremiumN4</v>
      </c>
      <c r="D430" s="8" t="str">
        <f t="shared" si="46"/>
        <v>4PremiumN4</v>
      </c>
      <c r="E430" s="10">
        <v>4</v>
      </c>
      <c r="F430" s="6">
        <v>176</v>
      </c>
      <c r="G430" s="8" t="str">
        <f>VLOOKUP(F430,[1]characters!$A:$C,3,FALSE)</f>
        <v>異教徒 バフォメット</v>
      </c>
      <c r="H430" s="8" t="str">
        <f>VLOOKUP(F430,[1]characters!$A:$J,10,FALSE)</f>
        <v>PremiumN</v>
      </c>
      <c r="I430" s="8">
        <f>VLOOKUP(F430,[1]characters!$A:$I,9,FALSE)</f>
        <v>4</v>
      </c>
      <c r="J430" s="8" t="str">
        <f>VLOOKUP(F430,[1]characters!$A:$H,8,FALSE)</f>
        <v>yellow</v>
      </c>
      <c r="K430" s="8" t="str">
        <f>VLOOKUP(F430,[1]characters!$A:$K,11,FALSE)</f>
        <v>attack</v>
      </c>
      <c r="L430" s="8" t="str">
        <f>VLOOKUP(F430,[1]characters!$A:$M,13,FALSE)</f>
        <v>god</v>
      </c>
      <c r="M430" s="16">
        <f>VLOOKUP(D430,gacha_188_base!A:B,2,FALSE)</f>
        <v>14883</v>
      </c>
      <c r="N430" s="38">
        <f>IFERROR(VLOOKUP($F430,bug_conf_sheet!$A:$H,3,FALSE),VLOOKUP("other",bug_conf_sheet!$A:$H,3,FALSE))</f>
        <v>1</v>
      </c>
      <c r="O430" s="38">
        <f>IFERROR(VLOOKUP($F430,bug_conf_sheet!$A:$H,4,FALSE),VLOOKUP("other",bug_conf_sheet!$A:$H,4,FALSE))</f>
        <v>0</v>
      </c>
      <c r="P430" s="38">
        <f>IFERROR(VLOOKUP($F430,bug_conf_sheet!$A:$H,5,FALSE),VLOOKUP("other",bug_conf_sheet!$A:$H,5,FALSE))</f>
        <v>0</v>
      </c>
      <c r="Q430" s="38">
        <f>IFERROR(VLOOKUP($F430,bug_conf_sheet!$A:$H,6,FALSE),VLOOKUP("other",bug_conf_sheet!$A:$H,6,FALSE))</f>
        <v>0</v>
      </c>
      <c r="R430" s="38">
        <f>IFERROR(VLOOKUP($F430,bug_conf_sheet!$A:$H,7,FALSE),VLOOKUP("other",bug_conf_sheet!$A:$H,7,FALSE))</f>
        <v>0</v>
      </c>
      <c r="S430" s="38">
        <f>IFERROR(VLOOKUP($F430,bug_conf_sheet!$A:$H,8,FALSE),VLOOKUP("other",bug_conf_sheet!$A:$H,8,FALSE))</f>
        <v>1</v>
      </c>
    </row>
    <row r="431" spans="1:19" ht="21" customHeight="1">
      <c r="A431" s="7" t="str">
        <f t="shared" si="44"/>
        <v>1884177</v>
      </c>
      <c r="B431" s="2" t="str">
        <f t="shared" si="43"/>
        <v>1884</v>
      </c>
      <c r="C431" s="8" t="str">
        <f t="shared" si="45"/>
        <v>4PremiumN5</v>
      </c>
      <c r="D431" s="8" t="str">
        <f t="shared" si="46"/>
        <v>4PremiumN5</v>
      </c>
      <c r="E431" s="10">
        <v>4</v>
      </c>
      <c r="F431" s="6">
        <v>177</v>
      </c>
      <c r="G431" s="8" t="str">
        <f>VLOOKUP(F431,[1]characters!$A:$C,3,FALSE)</f>
        <v>黒魔の異端師 バフォメット</v>
      </c>
      <c r="H431" s="8" t="str">
        <f>VLOOKUP(F431,[1]characters!$A:$J,10,FALSE)</f>
        <v>PremiumN</v>
      </c>
      <c r="I431" s="8">
        <f>VLOOKUP(F431,[1]characters!$A:$I,9,FALSE)</f>
        <v>5</v>
      </c>
      <c r="J431" s="8" t="str">
        <f>VLOOKUP(F431,[1]characters!$A:$H,8,FALSE)</f>
        <v>yellow</v>
      </c>
      <c r="K431" s="8" t="str">
        <f>VLOOKUP(F431,[1]characters!$A:$K,11,FALSE)</f>
        <v>attack</v>
      </c>
      <c r="L431" s="8" t="str">
        <f>VLOOKUP(F431,[1]characters!$A:$M,13,FALSE)</f>
        <v>god</v>
      </c>
      <c r="M431" s="16">
        <f>VLOOKUP(D431,gacha_188_base!A:B,2,FALSE)</f>
        <v>950</v>
      </c>
      <c r="N431" s="38">
        <f>IFERROR(VLOOKUP($F431,bug_conf_sheet!$A:$H,3,FALSE),VLOOKUP("other",bug_conf_sheet!$A:$H,3,FALSE))</f>
        <v>1</v>
      </c>
      <c r="O431" s="38">
        <f>IFERROR(VLOOKUP($F431,bug_conf_sheet!$A:$H,4,FALSE),VLOOKUP("other",bug_conf_sheet!$A:$H,4,FALSE))</f>
        <v>0</v>
      </c>
      <c r="P431" s="38">
        <f>IFERROR(VLOOKUP($F431,bug_conf_sheet!$A:$H,5,FALSE),VLOOKUP("other",bug_conf_sheet!$A:$H,5,FALSE))</f>
        <v>0</v>
      </c>
      <c r="Q431" s="38">
        <f>IFERROR(VLOOKUP($F431,bug_conf_sheet!$A:$H,6,FALSE),VLOOKUP("other",bug_conf_sheet!$A:$H,6,FALSE))</f>
        <v>0</v>
      </c>
      <c r="R431" s="38">
        <f>IFERROR(VLOOKUP($F431,bug_conf_sheet!$A:$H,7,FALSE),VLOOKUP("other",bug_conf_sheet!$A:$H,7,FALSE))</f>
        <v>0</v>
      </c>
      <c r="S431" s="38">
        <f>IFERROR(VLOOKUP($F431,bug_conf_sheet!$A:$H,8,FALSE),VLOOKUP("other",bug_conf_sheet!$A:$H,8,FALSE))</f>
        <v>1</v>
      </c>
    </row>
    <row r="432" spans="1:19" ht="21" hidden="1" customHeight="1">
      <c r="A432" s="7" t="str">
        <f t="shared" si="44"/>
        <v>1884179</v>
      </c>
      <c r="B432" s="2" t="str">
        <f t="shared" si="43"/>
        <v>1884</v>
      </c>
      <c r="C432" s="8" t="str">
        <f t="shared" si="45"/>
        <v>4PremiumN4</v>
      </c>
      <c r="D432" s="8" t="str">
        <f t="shared" si="46"/>
        <v>4PremiumN4</v>
      </c>
      <c r="E432" s="10">
        <v>4</v>
      </c>
      <c r="F432" s="6">
        <v>179</v>
      </c>
      <c r="G432" s="8" t="str">
        <f>VLOOKUP(F432,[1]characters!$A:$C,3,FALSE)</f>
        <v>番犬 ケルベロス</v>
      </c>
      <c r="H432" s="8" t="str">
        <f>VLOOKUP(F432,[1]characters!$A:$J,10,FALSE)</f>
        <v>PremiumN</v>
      </c>
      <c r="I432" s="8">
        <f>VLOOKUP(F432,[1]characters!$A:$I,9,FALSE)</f>
        <v>4</v>
      </c>
      <c r="J432" s="8" t="str">
        <f>VLOOKUP(F432,[1]characters!$A:$H,8,FALSE)</f>
        <v>red</v>
      </c>
      <c r="K432" s="8" t="str">
        <f>VLOOKUP(F432,[1]characters!$A:$K,11,FALSE)</f>
        <v>balance</v>
      </c>
      <c r="L432" s="8" t="str">
        <f>VLOOKUP(F432,[1]characters!$A:$M,13,FALSE)</f>
        <v>animal</v>
      </c>
      <c r="M432" s="16">
        <f>VLOOKUP(D432,gacha_188_base!A:B,2,FALSE)</f>
        <v>14883</v>
      </c>
      <c r="N432" s="38">
        <f>IFERROR(VLOOKUP($F432,bug_conf_sheet!$A:$H,3,FALSE),VLOOKUP("other",bug_conf_sheet!$A:$H,3,FALSE))</f>
        <v>1</v>
      </c>
      <c r="O432" s="38">
        <f>IFERROR(VLOOKUP($F432,bug_conf_sheet!$A:$H,4,FALSE),VLOOKUP("other",bug_conf_sheet!$A:$H,4,FALSE))</f>
        <v>0</v>
      </c>
      <c r="P432" s="38">
        <f>IFERROR(VLOOKUP($F432,bug_conf_sheet!$A:$H,5,FALSE),VLOOKUP("other",bug_conf_sheet!$A:$H,5,FALSE))</f>
        <v>0</v>
      </c>
      <c r="Q432" s="38">
        <f>IFERROR(VLOOKUP($F432,bug_conf_sheet!$A:$H,6,FALSE),VLOOKUP("other",bug_conf_sheet!$A:$H,6,FALSE))</f>
        <v>0</v>
      </c>
      <c r="R432" s="38">
        <f>IFERROR(VLOOKUP($F432,bug_conf_sheet!$A:$H,7,FALSE),VLOOKUP("other",bug_conf_sheet!$A:$H,7,FALSE))</f>
        <v>0</v>
      </c>
      <c r="S432" s="38">
        <f>IFERROR(VLOOKUP($F432,bug_conf_sheet!$A:$H,8,FALSE),VLOOKUP("other",bug_conf_sheet!$A:$H,8,FALSE))</f>
        <v>1</v>
      </c>
    </row>
    <row r="433" spans="1:19" ht="21" customHeight="1">
      <c r="A433" s="7" t="str">
        <f t="shared" si="44"/>
        <v>1884180</v>
      </c>
      <c r="B433" s="2" t="str">
        <f t="shared" si="43"/>
        <v>1884</v>
      </c>
      <c r="C433" s="8" t="str">
        <f t="shared" si="45"/>
        <v>4PremiumN5</v>
      </c>
      <c r="D433" s="8" t="str">
        <f t="shared" si="46"/>
        <v>4PremiumN5</v>
      </c>
      <c r="E433" s="10">
        <v>4</v>
      </c>
      <c r="F433" s="6">
        <v>180</v>
      </c>
      <c r="G433" s="8" t="str">
        <f>VLOOKUP(F433,[1]characters!$A:$C,3,FALSE)</f>
        <v>地獄の大門番 ケルベロス</v>
      </c>
      <c r="H433" s="8" t="str">
        <f>VLOOKUP(F433,[1]characters!$A:$J,10,FALSE)</f>
        <v>PremiumN</v>
      </c>
      <c r="I433" s="8">
        <f>VLOOKUP(F433,[1]characters!$A:$I,9,FALSE)</f>
        <v>5</v>
      </c>
      <c r="J433" s="8" t="str">
        <f>VLOOKUP(F433,[1]characters!$A:$H,8,FALSE)</f>
        <v>red</v>
      </c>
      <c r="K433" s="8" t="str">
        <f>VLOOKUP(F433,[1]characters!$A:$K,11,FALSE)</f>
        <v>balance</v>
      </c>
      <c r="L433" s="8" t="str">
        <f>VLOOKUP(F433,[1]characters!$A:$M,13,FALSE)</f>
        <v>animal</v>
      </c>
      <c r="M433" s="16">
        <f>VLOOKUP(D433,gacha_188_base!A:B,2,FALSE)</f>
        <v>950</v>
      </c>
      <c r="N433" s="38">
        <f>IFERROR(VLOOKUP($F433,bug_conf_sheet!$A:$H,3,FALSE),VLOOKUP("other",bug_conf_sheet!$A:$H,3,FALSE))</f>
        <v>1</v>
      </c>
      <c r="O433" s="38">
        <f>IFERROR(VLOOKUP($F433,bug_conf_sheet!$A:$H,4,FALSE),VLOOKUP("other",bug_conf_sheet!$A:$H,4,FALSE))</f>
        <v>0</v>
      </c>
      <c r="P433" s="38">
        <f>IFERROR(VLOOKUP($F433,bug_conf_sheet!$A:$H,5,FALSE),VLOOKUP("other",bug_conf_sheet!$A:$H,5,FALSE))</f>
        <v>0</v>
      </c>
      <c r="Q433" s="38">
        <f>IFERROR(VLOOKUP($F433,bug_conf_sheet!$A:$H,6,FALSE),VLOOKUP("other",bug_conf_sheet!$A:$H,6,FALSE))</f>
        <v>0</v>
      </c>
      <c r="R433" s="38">
        <f>IFERROR(VLOOKUP($F433,bug_conf_sheet!$A:$H,7,FALSE),VLOOKUP("other",bug_conf_sheet!$A:$H,7,FALSE))</f>
        <v>0</v>
      </c>
      <c r="S433" s="38">
        <f>IFERROR(VLOOKUP($F433,bug_conf_sheet!$A:$H,8,FALSE),VLOOKUP("other",bug_conf_sheet!$A:$H,8,FALSE))</f>
        <v>1</v>
      </c>
    </row>
    <row r="434" spans="1:19" ht="21" hidden="1" customHeight="1">
      <c r="A434" s="7" t="str">
        <f t="shared" si="44"/>
        <v>1884182</v>
      </c>
      <c r="B434" s="2" t="str">
        <f t="shared" si="43"/>
        <v>1884</v>
      </c>
      <c r="C434" s="8" t="str">
        <f t="shared" si="45"/>
        <v>4PremiumN4</v>
      </c>
      <c r="D434" s="8" t="str">
        <f t="shared" si="46"/>
        <v>4PremiumN4</v>
      </c>
      <c r="E434" s="10">
        <v>4</v>
      </c>
      <c r="F434" s="6">
        <v>182</v>
      </c>
      <c r="G434" s="8" t="str">
        <f>VLOOKUP(F434,[1]characters!$A:$C,3,FALSE)</f>
        <v>放蕩者 ベヒモス</v>
      </c>
      <c r="H434" s="8" t="str">
        <f>VLOOKUP(F434,[1]characters!$A:$J,10,FALSE)</f>
        <v>PremiumN</v>
      </c>
      <c r="I434" s="8">
        <f>VLOOKUP(F434,[1]characters!$A:$I,9,FALSE)</f>
        <v>4</v>
      </c>
      <c r="J434" s="8" t="str">
        <f>VLOOKUP(F434,[1]characters!$A:$H,8,FALSE)</f>
        <v>green</v>
      </c>
      <c r="K434" s="8" t="str">
        <f>VLOOKUP(F434,[1]characters!$A:$K,11,FALSE)</f>
        <v>hp</v>
      </c>
      <c r="L434" s="8" t="str">
        <f>VLOOKUP(F434,[1]characters!$A:$M,13,FALSE)</f>
        <v>animal</v>
      </c>
      <c r="M434" s="16">
        <f>VLOOKUP(D434,gacha_188_base!A:B,2,FALSE)</f>
        <v>14883</v>
      </c>
      <c r="N434" s="38">
        <f>IFERROR(VLOOKUP($F434,bug_conf_sheet!$A:$H,3,FALSE),VLOOKUP("other",bug_conf_sheet!$A:$H,3,FALSE))</f>
        <v>1</v>
      </c>
      <c r="O434" s="38">
        <f>IFERROR(VLOOKUP($F434,bug_conf_sheet!$A:$H,4,FALSE),VLOOKUP("other",bug_conf_sheet!$A:$H,4,FALSE))</f>
        <v>0</v>
      </c>
      <c r="P434" s="38">
        <f>IFERROR(VLOOKUP($F434,bug_conf_sheet!$A:$H,5,FALSE),VLOOKUP("other",bug_conf_sheet!$A:$H,5,FALSE))</f>
        <v>0</v>
      </c>
      <c r="Q434" s="38">
        <f>IFERROR(VLOOKUP($F434,bug_conf_sheet!$A:$H,6,FALSE),VLOOKUP("other",bug_conf_sheet!$A:$H,6,FALSE))</f>
        <v>0</v>
      </c>
      <c r="R434" s="38">
        <f>IFERROR(VLOOKUP($F434,bug_conf_sheet!$A:$H,7,FALSE),VLOOKUP("other",bug_conf_sheet!$A:$H,7,FALSE))</f>
        <v>0</v>
      </c>
      <c r="S434" s="38">
        <f>IFERROR(VLOOKUP($F434,bug_conf_sheet!$A:$H,8,FALSE),VLOOKUP("other",bug_conf_sheet!$A:$H,8,FALSE))</f>
        <v>1</v>
      </c>
    </row>
    <row r="435" spans="1:19" ht="21" customHeight="1">
      <c r="A435" s="7" t="str">
        <f t="shared" si="44"/>
        <v>1884183</v>
      </c>
      <c r="B435" s="2" t="str">
        <f t="shared" si="43"/>
        <v>1884</v>
      </c>
      <c r="C435" s="8" t="str">
        <f t="shared" si="45"/>
        <v>4PremiumN5</v>
      </c>
      <c r="D435" s="8" t="str">
        <f t="shared" si="46"/>
        <v>4PremiumN5</v>
      </c>
      <c r="E435" s="10">
        <v>4</v>
      </c>
      <c r="F435" s="6">
        <v>183</v>
      </c>
      <c r="G435" s="8" t="str">
        <f>VLOOKUP(F435,[1]characters!$A:$C,3,FALSE)</f>
        <v>鈍重な彷徨者 ベヒモス</v>
      </c>
      <c r="H435" s="8" t="str">
        <f>VLOOKUP(F435,[1]characters!$A:$J,10,FALSE)</f>
        <v>PremiumN</v>
      </c>
      <c r="I435" s="8">
        <f>VLOOKUP(F435,[1]characters!$A:$I,9,FALSE)</f>
        <v>5</v>
      </c>
      <c r="J435" s="8" t="str">
        <f>VLOOKUP(F435,[1]characters!$A:$H,8,FALSE)</f>
        <v>green</v>
      </c>
      <c r="K435" s="8" t="str">
        <f>VLOOKUP(F435,[1]characters!$A:$K,11,FALSE)</f>
        <v>hp</v>
      </c>
      <c r="L435" s="8" t="str">
        <f>VLOOKUP(F435,[1]characters!$A:$M,13,FALSE)</f>
        <v>animal</v>
      </c>
      <c r="M435" s="16">
        <f>VLOOKUP(D435,gacha_188_base!A:B,2,FALSE)</f>
        <v>950</v>
      </c>
      <c r="N435" s="38">
        <f>IFERROR(VLOOKUP($F435,bug_conf_sheet!$A:$H,3,FALSE),VLOOKUP("other",bug_conf_sheet!$A:$H,3,FALSE))</f>
        <v>1</v>
      </c>
      <c r="O435" s="38">
        <f>IFERROR(VLOOKUP($F435,bug_conf_sheet!$A:$H,4,FALSE),VLOOKUP("other",bug_conf_sheet!$A:$H,4,FALSE))</f>
        <v>0</v>
      </c>
      <c r="P435" s="38">
        <f>IFERROR(VLOOKUP($F435,bug_conf_sheet!$A:$H,5,FALSE),VLOOKUP("other",bug_conf_sheet!$A:$H,5,FALSE))</f>
        <v>0</v>
      </c>
      <c r="Q435" s="38">
        <f>IFERROR(VLOOKUP($F435,bug_conf_sheet!$A:$H,6,FALSE),VLOOKUP("other",bug_conf_sheet!$A:$H,6,FALSE))</f>
        <v>0</v>
      </c>
      <c r="R435" s="38">
        <f>IFERROR(VLOOKUP($F435,bug_conf_sheet!$A:$H,7,FALSE),VLOOKUP("other",bug_conf_sheet!$A:$H,7,FALSE))</f>
        <v>0</v>
      </c>
      <c r="S435" s="38">
        <f>IFERROR(VLOOKUP($F435,bug_conf_sheet!$A:$H,8,FALSE),VLOOKUP("other",bug_conf_sheet!$A:$H,8,FALSE))</f>
        <v>1</v>
      </c>
    </row>
    <row r="436" spans="1:19" ht="21" hidden="1" customHeight="1">
      <c r="A436" s="7" t="str">
        <f t="shared" si="44"/>
        <v>1884185</v>
      </c>
      <c r="B436" s="2" t="str">
        <f t="shared" si="43"/>
        <v>1884</v>
      </c>
      <c r="C436" s="8" t="str">
        <f t="shared" si="45"/>
        <v>4PremiumN4</v>
      </c>
      <c r="D436" s="8" t="str">
        <f t="shared" si="46"/>
        <v>4PremiumN4</v>
      </c>
      <c r="E436" s="10">
        <v>4</v>
      </c>
      <c r="F436" s="6">
        <v>185</v>
      </c>
      <c r="G436" s="8" t="str">
        <f>VLOOKUP(F436,[1]characters!$A:$C,3,FALSE)</f>
        <v>海姫 クラーケン</v>
      </c>
      <c r="H436" s="8" t="str">
        <f>VLOOKUP(F436,[1]characters!$A:$J,10,FALSE)</f>
        <v>PremiumN</v>
      </c>
      <c r="I436" s="8">
        <f>VLOOKUP(F436,[1]characters!$A:$I,9,FALSE)</f>
        <v>4</v>
      </c>
      <c r="J436" s="8" t="str">
        <f>VLOOKUP(F436,[1]characters!$A:$H,8,FALSE)</f>
        <v>blue</v>
      </c>
      <c r="K436" s="8" t="str">
        <f>VLOOKUP(F436,[1]characters!$A:$K,11,FALSE)</f>
        <v>heal</v>
      </c>
      <c r="L436" s="8" t="str">
        <f>VLOOKUP(F436,[1]characters!$A:$M,13,FALSE)</f>
        <v>animal</v>
      </c>
      <c r="M436" s="16">
        <f>VLOOKUP(D436,gacha_188_base!A:B,2,FALSE)</f>
        <v>14883</v>
      </c>
      <c r="N436" s="38">
        <f>IFERROR(VLOOKUP($F436,bug_conf_sheet!$A:$H,3,FALSE),VLOOKUP("other",bug_conf_sheet!$A:$H,3,FALSE))</f>
        <v>1</v>
      </c>
      <c r="O436" s="38">
        <f>IFERROR(VLOOKUP($F436,bug_conf_sheet!$A:$H,4,FALSE),VLOOKUP("other",bug_conf_sheet!$A:$H,4,FALSE))</f>
        <v>0</v>
      </c>
      <c r="P436" s="38">
        <f>IFERROR(VLOOKUP($F436,bug_conf_sheet!$A:$H,5,FALSE),VLOOKUP("other",bug_conf_sheet!$A:$H,5,FALSE))</f>
        <v>0</v>
      </c>
      <c r="Q436" s="38">
        <f>IFERROR(VLOOKUP($F436,bug_conf_sheet!$A:$H,6,FALSE),VLOOKUP("other",bug_conf_sheet!$A:$H,6,FALSE))</f>
        <v>0</v>
      </c>
      <c r="R436" s="38">
        <f>IFERROR(VLOOKUP($F436,bug_conf_sheet!$A:$H,7,FALSE),VLOOKUP("other",bug_conf_sheet!$A:$H,7,FALSE))</f>
        <v>0</v>
      </c>
      <c r="S436" s="38">
        <f>IFERROR(VLOOKUP($F436,bug_conf_sheet!$A:$H,8,FALSE),VLOOKUP("other",bug_conf_sheet!$A:$H,8,FALSE))</f>
        <v>1</v>
      </c>
    </row>
    <row r="437" spans="1:19" ht="21" customHeight="1">
      <c r="A437" s="7" t="str">
        <f t="shared" si="44"/>
        <v>1884186</v>
      </c>
      <c r="B437" s="2" t="str">
        <f t="shared" si="43"/>
        <v>1884</v>
      </c>
      <c r="C437" s="8" t="str">
        <f t="shared" si="45"/>
        <v>4PremiumN5</v>
      </c>
      <c r="D437" s="8" t="str">
        <f t="shared" si="46"/>
        <v>4PremiumN5</v>
      </c>
      <c r="E437" s="10">
        <v>4</v>
      </c>
      <c r="F437" s="9">
        <v>186</v>
      </c>
      <c r="G437" s="8" t="str">
        <f>VLOOKUP(F437,[1]characters!$A:$C,3,FALSE)</f>
        <v>誇り高き多触姫・クラーケン</v>
      </c>
      <c r="H437" s="8" t="str">
        <f>VLOOKUP(F437,[1]characters!$A:$J,10,FALSE)</f>
        <v>PremiumN</v>
      </c>
      <c r="I437" s="8">
        <f>VLOOKUP(F437,[1]characters!$A:$I,9,FALSE)</f>
        <v>5</v>
      </c>
      <c r="J437" s="8" t="str">
        <f>VLOOKUP(F437,[1]characters!$A:$H,8,FALSE)</f>
        <v>blue</v>
      </c>
      <c r="K437" s="8" t="str">
        <f>VLOOKUP(F437,[1]characters!$A:$K,11,FALSE)</f>
        <v>heal</v>
      </c>
      <c r="L437" s="8" t="str">
        <f>VLOOKUP(F437,[1]characters!$A:$M,13,FALSE)</f>
        <v>animal</v>
      </c>
      <c r="M437" s="16">
        <f>VLOOKUP(D437,gacha_188_base!A:B,2,FALSE)</f>
        <v>950</v>
      </c>
      <c r="N437" s="38">
        <f>IFERROR(VLOOKUP($F437,bug_conf_sheet!$A:$H,3,FALSE),VLOOKUP("other",bug_conf_sheet!$A:$H,3,FALSE))</f>
        <v>1</v>
      </c>
      <c r="O437" s="38">
        <f>IFERROR(VLOOKUP($F437,bug_conf_sheet!$A:$H,4,FALSE),VLOOKUP("other",bug_conf_sheet!$A:$H,4,FALSE))</f>
        <v>0</v>
      </c>
      <c r="P437" s="38">
        <f>IFERROR(VLOOKUP($F437,bug_conf_sheet!$A:$H,5,FALSE),VLOOKUP("other",bug_conf_sheet!$A:$H,5,FALSE))</f>
        <v>0</v>
      </c>
      <c r="Q437" s="38">
        <f>IFERROR(VLOOKUP($F437,bug_conf_sheet!$A:$H,6,FALSE),VLOOKUP("other",bug_conf_sheet!$A:$H,6,FALSE))</f>
        <v>0</v>
      </c>
      <c r="R437" s="38">
        <f>IFERROR(VLOOKUP($F437,bug_conf_sheet!$A:$H,7,FALSE),VLOOKUP("other",bug_conf_sheet!$A:$H,7,FALSE))</f>
        <v>0</v>
      </c>
      <c r="S437" s="38">
        <f>IFERROR(VLOOKUP($F437,bug_conf_sheet!$A:$H,8,FALSE),VLOOKUP("other",bug_conf_sheet!$A:$H,8,FALSE))</f>
        <v>1</v>
      </c>
    </row>
    <row r="438" spans="1:19" ht="21" hidden="1" customHeight="1">
      <c r="A438" s="7" t="str">
        <f t="shared" si="44"/>
        <v>1884188</v>
      </c>
      <c r="B438" s="2" t="str">
        <f t="shared" si="43"/>
        <v>1884</v>
      </c>
      <c r="C438" s="8" t="str">
        <f t="shared" si="45"/>
        <v>4PremiumN4</v>
      </c>
      <c r="D438" s="8" t="str">
        <f t="shared" si="46"/>
        <v>4PremiumN4</v>
      </c>
      <c r="E438" s="10">
        <v>4</v>
      </c>
      <c r="F438" s="9">
        <v>188</v>
      </c>
      <c r="G438" s="8" t="str">
        <f>VLOOKUP(F438,[1]characters!$A:$C,3,FALSE)</f>
        <v>猛禽 ホルス</v>
      </c>
      <c r="H438" s="8" t="str">
        <f>VLOOKUP(F438,[1]characters!$A:$J,10,FALSE)</f>
        <v>PremiumN</v>
      </c>
      <c r="I438" s="8">
        <f>VLOOKUP(F438,[1]characters!$A:$I,9,FALSE)</f>
        <v>4</v>
      </c>
      <c r="J438" s="8" t="str">
        <f>VLOOKUP(F438,[1]characters!$A:$H,8,FALSE)</f>
        <v>yellow</v>
      </c>
      <c r="K438" s="8" t="str">
        <f>VLOOKUP(F438,[1]characters!$A:$K,11,FALSE)</f>
        <v>attack</v>
      </c>
      <c r="L438" s="8" t="str">
        <f>VLOOKUP(F438,[1]characters!$A:$M,13,FALSE)</f>
        <v>animal</v>
      </c>
      <c r="M438" s="16">
        <f>VLOOKUP(D438,gacha_188_base!A:B,2,FALSE)</f>
        <v>14883</v>
      </c>
      <c r="N438" s="38">
        <f>IFERROR(VLOOKUP($F438,bug_conf_sheet!$A:$H,3,FALSE),VLOOKUP("other",bug_conf_sheet!$A:$H,3,FALSE))</f>
        <v>1</v>
      </c>
      <c r="O438" s="38">
        <f>IFERROR(VLOOKUP($F438,bug_conf_sheet!$A:$H,4,FALSE),VLOOKUP("other",bug_conf_sheet!$A:$H,4,FALSE))</f>
        <v>0</v>
      </c>
      <c r="P438" s="38">
        <f>IFERROR(VLOOKUP($F438,bug_conf_sheet!$A:$H,5,FALSE),VLOOKUP("other",bug_conf_sheet!$A:$H,5,FALSE))</f>
        <v>0</v>
      </c>
      <c r="Q438" s="38">
        <f>IFERROR(VLOOKUP($F438,bug_conf_sheet!$A:$H,6,FALSE),VLOOKUP("other",bug_conf_sheet!$A:$H,6,FALSE))</f>
        <v>0</v>
      </c>
      <c r="R438" s="38">
        <f>IFERROR(VLOOKUP($F438,bug_conf_sheet!$A:$H,7,FALSE),VLOOKUP("other",bug_conf_sheet!$A:$H,7,FALSE))</f>
        <v>0</v>
      </c>
      <c r="S438" s="38">
        <f>IFERROR(VLOOKUP($F438,bug_conf_sheet!$A:$H,8,FALSE),VLOOKUP("other",bug_conf_sheet!$A:$H,8,FALSE))</f>
        <v>1</v>
      </c>
    </row>
    <row r="439" spans="1:19" ht="21" customHeight="1">
      <c r="A439" s="7" t="str">
        <f t="shared" si="44"/>
        <v>1884189</v>
      </c>
      <c r="B439" s="2" t="str">
        <f t="shared" si="43"/>
        <v>1884</v>
      </c>
      <c r="C439" s="8" t="str">
        <f t="shared" si="45"/>
        <v>4PremiumN5</v>
      </c>
      <c r="D439" s="8" t="str">
        <f t="shared" si="46"/>
        <v>4PremiumN5</v>
      </c>
      <c r="E439" s="10">
        <v>4</v>
      </c>
      <c r="F439" s="9">
        <v>189</v>
      </c>
      <c r="G439" s="8" t="str">
        <f>VLOOKUP(F439,[1]characters!$A:$C,3,FALSE)</f>
        <v>迅雷の王禽 ホルス</v>
      </c>
      <c r="H439" s="8" t="str">
        <f>VLOOKUP(F439,[1]characters!$A:$J,10,FALSE)</f>
        <v>PremiumN</v>
      </c>
      <c r="I439" s="8">
        <f>VLOOKUP(F439,[1]characters!$A:$I,9,FALSE)</f>
        <v>5</v>
      </c>
      <c r="J439" s="8" t="str">
        <f>VLOOKUP(F439,[1]characters!$A:$H,8,FALSE)</f>
        <v>yellow</v>
      </c>
      <c r="K439" s="8" t="str">
        <f>VLOOKUP(F439,[1]characters!$A:$K,11,FALSE)</f>
        <v>attack</v>
      </c>
      <c r="L439" s="8" t="str">
        <f>VLOOKUP(F439,[1]characters!$A:$M,13,FALSE)</f>
        <v>animal</v>
      </c>
      <c r="M439" s="16">
        <f>VLOOKUP(D439,gacha_188_base!A:B,2,FALSE)</f>
        <v>950</v>
      </c>
      <c r="N439" s="38">
        <f>IFERROR(VLOOKUP($F439,bug_conf_sheet!$A:$H,3,FALSE),VLOOKUP("other",bug_conf_sheet!$A:$H,3,FALSE))</f>
        <v>1</v>
      </c>
      <c r="O439" s="38">
        <f>IFERROR(VLOOKUP($F439,bug_conf_sheet!$A:$H,4,FALSE),VLOOKUP("other",bug_conf_sheet!$A:$H,4,FALSE))</f>
        <v>0</v>
      </c>
      <c r="P439" s="38">
        <f>IFERROR(VLOOKUP($F439,bug_conf_sheet!$A:$H,5,FALSE),VLOOKUP("other",bug_conf_sheet!$A:$H,5,FALSE))</f>
        <v>0</v>
      </c>
      <c r="Q439" s="38">
        <f>IFERROR(VLOOKUP($F439,bug_conf_sheet!$A:$H,6,FALSE),VLOOKUP("other",bug_conf_sheet!$A:$H,6,FALSE))</f>
        <v>0</v>
      </c>
      <c r="R439" s="38">
        <f>IFERROR(VLOOKUP($F439,bug_conf_sheet!$A:$H,7,FALSE),VLOOKUP("other",bug_conf_sheet!$A:$H,7,FALSE))</f>
        <v>0</v>
      </c>
      <c r="S439" s="38">
        <f>IFERROR(VLOOKUP($F439,bug_conf_sheet!$A:$H,8,FALSE),VLOOKUP("other",bug_conf_sheet!$A:$H,8,FALSE))</f>
        <v>1</v>
      </c>
    </row>
    <row r="440" spans="1:19" ht="21" hidden="1" customHeight="1">
      <c r="A440" s="7" t="str">
        <f t="shared" si="44"/>
        <v>1884191</v>
      </c>
      <c r="B440" s="2" t="str">
        <f t="shared" si="43"/>
        <v>1884</v>
      </c>
      <c r="C440" s="8" t="str">
        <f t="shared" si="45"/>
        <v>4PremiumN4</v>
      </c>
      <c r="D440" s="8" t="str">
        <f t="shared" si="46"/>
        <v>4PremiumN4</v>
      </c>
      <c r="E440" s="10">
        <v>4</v>
      </c>
      <c r="F440" s="6">
        <v>191</v>
      </c>
      <c r="G440" s="8" t="str">
        <f>VLOOKUP(F440,[1]characters!$A:$C,3,FALSE)</f>
        <v>始祖 卑弥呼</v>
      </c>
      <c r="H440" s="8" t="str">
        <f>VLOOKUP(F440,[1]characters!$A:$J,10,FALSE)</f>
        <v>PremiumN</v>
      </c>
      <c r="I440" s="8">
        <f>VLOOKUP(F440,[1]characters!$A:$I,9,FALSE)</f>
        <v>4</v>
      </c>
      <c r="J440" s="8" t="str">
        <f>VLOOKUP(F440,[1]characters!$A:$H,8,FALSE)</f>
        <v>red</v>
      </c>
      <c r="K440" s="8" t="str">
        <f>VLOOKUP(F440,[1]characters!$A:$K,11,FALSE)</f>
        <v>balance</v>
      </c>
      <c r="L440" s="8" t="str">
        <f>VLOOKUP(F440,[1]characters!$A:$M,13,FALSE)</f>
        <v>human</v>
      </c>
      <c r="M440" s="16">
        <f>VLOOKUP(D440,gacha_188_base!A:B,2,FALSE)</f>
        <v>14883</v>
      </c>
      <c r="N440" s="38">
        <f>IFERROR(VLOOKUP($F440,bug_conf_sheet!$A:$H,3,FALSE),VLOOKUP("other",bug_conf_sheet!$A:$H,3,FALSE))</f>
        <v>1</v>
      </c>
      <c r="O440" s="38">
        <f>IFERROR(VLOOKUP($F440,bug_conf_sheet!$A:$H,4,FALSE),VLOOKUP("other",bug_conf_sheet!$A:$H,4,FALSE))</f>
        <v>0</v>
      </c>
      <c r="P440" s="38">
        <f>IFERROR(VLOOKUP($F440,bug_conf_sheet!$A:$H,5,FALSE),VLOOKUP("other",bug_conf_sheet!$A:$H,5,FALSE))</f>
        <v>0</v>
      </c>
      <c r="Q440" s="38">
        <f>IFERROR(VLOOKUP($F440,bug_conf_sheet!$A:$H,6,FALSE),VLOOKUP("other",bug_conf_sheet!$A:$H,6,FALSE))</f>
        <v>0</v>
      </c>
      <c r="R440" s="38">
        <f>IFERROR(VLOOKUP($F440,bug_conf_sheet!$A:$H,7,FALSE),VLOOKUP("other",bug_conf_sheet!$A:$H,7,FALSE))</f>
        <v>0</v>
      </c>
      <c r="S440" s="38">
        <f>IFERROR(VLOOKUP($F440,bug_conf_sheet!$A:$H,8,FALSE),VLOOKUP("other",bug_conf_sheet!$A:$H,8,FALSE))</f>
        <v>1</v>
      </c>
    </row>
    <row r="441" spans="1:19" ht="21" customHeight="1">
      <c r="A441" s="7" t="str">
        <f t="shared" si="44"/>
        <v>1884192</v>
      </c>
      <c r="B441" s="2" t="str">
        <f t="shared" si="43"/>
        <v>1884</v>
      </c>
      <c r="C441" s="8" t="str">
        <f t="shared" si="45"/>
        <v>4PremiumN5</v>
      </c>
      <c r="D441" s="8" t="str">
        <f t="shared" si="46"/>
        <v>4PremiumN5</v>
      </c>
      <c r="E441" s="10">
        <v>4</v>
      </c>
      <c r="F441" s="6">
        <v>192</v>
      </c>
      <c r="G441" s="8" t="str">
        <f>VLOOKUP(F441,[1]characters!$A:$C,3,FALSE)</f>
        <v>荘厳なる始祖帝 卑弥呼</v>
      </c>
      <c r="H441" s="8" t="str">
        <f>VLOOKUP(F441,[1]characters!$A:$J,10,FALSE)</f>
        <v>PremiumN</v>
      </c>
      <c r="I441" s="8">
        <f>VLOOKUP(F441,[1]characters!$A:$I,9,FALSE)</f>
        <v>5</v>
      </c>
      <c r="J441" s="8" t="str">
        <f>VLOOKUP(F441,[1]characters!$A:$H,8,FALSE)</f>
        <v>red</v>
      </c>
      <c r="K441" s="8" t="str">
        <f>VLOOKUP(F441,[1]characters!$A:$K,11,FALSE)</f>
        <v>balance</v>
      </c>
      <c r="L441" s="8" t="str">
        <f>VLOOKUP(F441,[1]characters!$A:$M,13,FALSE)</f>
        <v>human</v>
      </c>
      <c r="M441" s="16">
        <f>VLOOKUP(D441,gacha_188_base!A:B,2,FALSE)</f>
        <v>950</v>
      </c>
      <c r="N441" s="38">
        <f>IFERROR(VLOOKUP($F441,bug_conf_sheet!$A:$H,3,FALSE),VLOOKUP("other",bug_conf_sheet!$A:$H,3,FALSE))</f>
        <v>1</v>
      </c>
      <c r="O441" s="38">
        <f>IFERROR(VLOOKUP($F441,bug_conf_sheet!$A:$H,4,FALSE),VLOOKUP("other",bug_conf_sheet!$A:$H,4,FALSE))</f>
        <v>0</v>
      </c>
      <c r="P441" s="38">
        <f>IFERROR(VLOOKUP($F441,bug_conf_sheet!$A:$H,5,FALSE),VLOOKUP("other",bug_conf_sheet!$A:$H,5,FALSE))</f>
        <v>0</v>
      </c>
      <c r="Q441" s="38">
        <f>IFERROR(VLOOKUP($F441,bug_conf_sheet!$A:$H,6,FALSE),VLOOKUP("other",bug_conf_sheet!$A:$H,6,FALSE))</f>
        <v>0</v>
      </c>
      <c r="R441" s="38">
        <f>IFERROR(VLOOKUP($F441,bug_conf_sheet!$A:$H,7,FALSE),VLOOKUP("other",bug_conf_sheet!$A:$H,7,FALSE))</f>
        <v>0</v>
      </c>
      <c r="S441" s="38">
        <f>IFERROR(VLOOKUP($F441,bug_conf_sheet!$A:$H,8,FALSE),VLOOKUP("other",bug_conf_sheet!$A:$H,8,FALSE))</f>
        <v>1</v>
      </c>
    </row>
    <row r="442" spans="1:19" ht="21" hidden="1" customHeight="1">
      <c r="A442" s="7" t="str">
        <f t="shared" si="44"/>
        <v>1884194</v>
      </c>
      <c r="B442" s="2" t="str">
        <f t="shared" si="43"/>
        <v>1884</v>
      </c>
      <c r="C442" s="8" t="str">
        <f t="shared" si="45"/>
        <v>4PremiumN4</v>
      </c>
      <c r="D442" s="8" t="str">
        <f t="shared" si="46"/>
        <v>4PremiumN4</v>
      </c>
      <c r="E442" s="10">
        <v>4</v>
      </c>
      <c r="F442" s="12">
        <v>194</v>
      </c>
      <c r="G442" s="8" t="str">
        <f>VLOOKUP(F442,[1]characters!$A:$C,3,FALSE)</f>
        <v>スナイパー ロビンフッド</v>
      </c>
      <c r="H442" s="8" t="str">
        <f>VLOOKUP(F442,[1]characters!$A:$J,10,FALSE)</f>
        <v>PremiumN</v>
      </c>
      <c r="I442" s="8">
        <f>VLOOKUP(F442,[1]characters!$A:$I,9,FALSE)</f>
        <v>4</v>
      </c>
      <c r="J442" s="8" t="str">
        <f>VLOOKUP(F442,[1]characters!$A:$H,8,FALSE)</f>
        <v>green</v>
      </c>
      <c r="K442" s="8" t="str">
        <f>VLOOKUP(F442,[1]characters!$A:$K,11,FALSE)</f>
        <v>balance</v>
      </c>
      <c r="L442" s="8" t="str">
        <f>VLOOKUP(F442,[1]characters!$A:$M,13,FALSE)</f>
        <v>human</v>
      </c>
      <c r="M442" s="16">
        <f>VLOOKUP(D442,gacha_188_base!A:B,2,FALSE)</f>
        <v>14883</v>
      </c>
      <c r="N442" s="38">
        <f>IFERROR(VLOOKUP($F442,bug_conf_sheet!$A:$H,3,FALSE),VLOOKUP("other",bug_conf_sheet!$A:$H,3,FALSE))</f>
        <v>1</v>
      </c>
      <c r="O442" s="38">
        <f>IFERROR(VLOOKUP($F442,bug_conf_sheet!$A:$H,4,FALSE),VLOOKUP("other",bug_conf_sheet!$A:$H,4,FALSE))</f>
        <v>0</v>
      </c>
      <c r="P442" s="38">
        <f>IFERROR(VLOOKUP($F442,bug_conf_sheet!$A:$H,5,FALSE),VLOOKUP("other",bug_conf_sheet!$A:$H,5,FALSE))</f>
        <v>0</v>
      </c>
      <c r="Q442" s="38">
        <f>IFERROR(VLOOKUP($F442,bug_conf_sheet!$A:$H,6,FALSE),VLOOKUP("other",bug_conf_sheet!$A:$H,6,FALSE))</f>
        <v>0</v>
      </c>
      <c r="R442" s="38">
        <f>IFERROR(VLOOKUP($F442,bug_conf_sheet!$A:$H,7,FALSE),VLOOKUP("other",bug_conf_sheet!$A:$H,7,FALSE))</f>
        <v>0</v>
      </c>
      <c r="S442" s="38">
        <f>IFERROR(VLOOKUP($F442,bug_conf_sheet!$A:$H,8,FALSE),VLOOKUP("other",bug_conf_sheet!$A:$H,8,FALSE))</f>
        <v>1</v>
      </c>
    </row>
    <row r="443" spans="1:19" ht="21" customHeight="1">
      <c r="A443" s="7" t="str">
        <f t="shared" si="44"/>
        <v>1884195</v>
      </c>
      <c r="B443" s="2" t="str">
        <f t="shared" si="43"/>
        <v>1884</v>
      </c>
      <c r="C443" s="8" t="str">
        <f t="shared" si="45"/>
        <v>4PremiumN5</v>
      </c>
      <c r="D443" s="8" t="str">
        <f t="shared" si="46"/>
        <v>4PremiumN5</v>
      </c>
      <c r="E443" s="10">
        <v>4</v>
      </c>
      <c r="F443" s="6">
        <v>195</v>
      </c>
      <c r="G443" s="8" t="str">
        <f>VLOOKUP(F443,[1]characters!$A:$C,3,FALSE)</f>
        <v>グランドハンター ロビンフッド</v>
      </c>
      <c r="H443" s="8" t="str">
        <f>VLOOKUP(F443,[1]characters!$A:$J,10,FALSE)</f>
        <v>PremiumN</v>
      </c>
      <c r="I443" s="8">
        <f>VLOOKUP(F443,[1]characters!$A:$I,9,FALSE)</f>
        <v>5</v>
      </c>
      <c r="J443" s="8" t="str">
        <f>VLOOKUP(F443,[1]characters!$A:$H,8,FALSE)</f>
        <v>green</v>
      </c>
      <c r="K443" s="8" t="str">
        <f>VLOOKUP(F443,[1]characters!$A:$K,11,FALSE)</f>
        <v>balance</v>
      </c>
      <c r="L443" s="8" t="str">
        <f>VLOOKUP(F443,[1]characters!$A:$M,13,FALSE)</f>
        <v>human</v>
      </c>
      <c r="M443" s="16">
        <f>VLOOKUP(D443,gacha_188_base!A:B,2,FALSE)</f>
        <v>950</v>
      </c>
      <c r="N443" s="38">
        <f>IFERROR(VLOOKUP($F443,bug_conf_sheet!$A:$H,3,FALSE),VLOOKUP("other",bug_conf_sheet!$A:$H,3,FALSE))</f>
        <v>1</v>
      </c>
      <c r="O443" s="38">
        <f>IFERROR(VLOOKUP($F443,bug_conf_sheet!$A:$H,4,FALSE),VLOOKUP("other",bug_conf_sheet!$A:$H,4,FALSE))</f>
        <v>0</v>
      </c>
      <c r="P443" s="38">
        <f>IFERROR(VLOOKUP($F443,bug_conf_sheet!$A:$H,5,FALSE),VLOOKUP("other",bug_conf_sheet!$A:$H,5,FALSE))</f>
        <v>0</v>
      </c>
      <c r="Q443" s="38">
        <f>IFERROR(VLOOKUP($F443,bug_conf_sheet!$A:$H,6,FALSE),VLOOKUP("other",bug_conf_sheet!$A:$H,6,FALSE))</f>
        <v>0</v>
      </c>
      <c r="R443" s="38">
        <f>IFERROR(VLOOKUP($F443,bug_conf_sheet!$A:$H,7,FALSE),VLOOKUP("other",bug_conf_sheet!$A:$H,7,FALSE))</f>
        <v>0</v>
      </c>
      <c r="S443" s="38">
        <f>IFERROR(VLOOKUP($F443,bug_conf_sheet!$A:$H,8,FALSE),VLOOKUP("other",bug_conf_sheet!$A:$H,8,FALSE))</f>
        <v>1</v>
      </c>
    </row>
    <row r="444" spans="1:19" ht="21" hidden="1" customHeight="1">
      <c r="A444" s="7" t="str">
        <f t="shared" si="44"/>
        <v>1884197</v>
      </c>
      <c r="B444" s="2" t="str">
        <f t="shared" si="43"/>
        <v>1884</v>
      </c>
      <c r="C444" s="8" t="str">
        <f t="shared" si="45"/>
        <v>4PremiumN4</v>
      </c>
      <c r="D444" s="8" t="str">
        <f t="shared" si="46"/>
        <v>4PremiumN4</v>
      </c>
      <c r="E444" s="10">
        <v>4</v>
      </c>
      <c r="F444" s="13">
        <v>197</v>
      </c>
      <c r="G444" s="8" t="str">
        <f>VLOOKUP(F444,[1]characters!$A:$C,3,FALSE)</f>
        <v>鉄腕 アキレス</v>
      </c>
      <c r="H444" s="8" t="str">
        <f>VLOOKUP(F444,[1]characters!$A:$J,10,FALSE)</f>
        <v>PremiumN</v>
      </c>
      <c r="I444" s="8">
        <f>VLOOKUP(F444,[1]characters!$A:$I,9,FALSE)</f>
        <v>4</v>
      </c>
      <c r="J444" s="8" t="str">
        <f>VLOOKUP(F444,[1]characters!$A:$H,8,FALSE)</f>
        <v>yellow</v>
      </c>
      <c r="K444" s="8" t="str">
        <f>VLOOKUP(F444,[1]characters!$A:$K,11,FALSE)</f>
        <v>balance</v>
      </c>
      <c r="L444" s="8" t="str">
        <f>VLOOKUP(F444,[1]characters!$A:$M,13,FALSE)</f>
        <v>human</v>
      </c>
      <c r="M444" s="16">
        <f>VLOOKUP(D444,gacha_188_base!A:B,2,FALSE)</f>
        <v>14883</v>
      </c>
      <c r="N444" s="38">
        <f>IFERROR(VLOOKUP($F444,bug_conf_sheet!$A:$H,3,FALSE),VLOOKUP("other",bug_conf_sheet!$A:$H,3,FALSE))</f>
        <v>1</v>
      </c>
      <c r="O444" s="38">
        <f>IFERROR(VLOOKUP($F444,bug_conf_sheet!$A:$H,4,FALSE),VLOOKUP("other",bug_conf_sheet!$A:$H,4,FALSE))</f>
        <v>0</v>
      </c>
      <c r="P444" s="38">
        <f>IFERROR(VLOOKUP($F444,bug_conf_sheet!$A:$H,5,FALSE),VLOOKUP("other",bug_conf_sheet!$A:$H,5,FALSE))</f>
        <v>0</v>
      </c>
      <c r="Q444" s="38">
        <f>IFERROR(VLOOKUP($F444,bug_conf_sheet!$A:$H,6,FALSE),VLOOKUP("other",bug_conf_sheet!$A:$H,6,FALSE))</f>
        <v>0</v>
      </c>
      <c r="R444" s="38">
        <f>IFERROR(VLOOKUP($F444,bug_conf_sheet!$A:$H,7,FALSE),VLOOKUP("other",bug_conf_sheet!$A:$H,7,FALSE))</f>
        <v>0</v>
      </c>
      <c r="S444" s="38">
        <f>IFERROR(VLOOKUP($F444,bug_conf_sheet!$A:$H,8,FALSE),VLOOKUP("other",bug_conf_sheet!$A:$H,8,FALSE))</f>
        <v>1</v>
      </c>
    </row>
    <row r="445" spans="1:19" ht="21" customHeight="1">
      <c r="A445" s="7" t="str">
        <f t="shared" si="44"/>
        <v>1884198</v>
      </c>
      <c r="B445" s="2" t="str">
        <f t="shared" si="43"/>
        <v>1884</v>
      </c>
      <c r="C445" s="8" t="str">
        <f t="shared" si="45"/>
        <v>4PremiumN5</v>
      </c>
      <c r="D445" s="8" t="str">
        <f t="shared" si="46"/>
        <v>4PremiumN5</v>
      </c>
      <c r="E445" s="10">
        <v>4</v>
      </c>
      <c r="F445" s="6">
        <v>198</v>
      </c>
      <c r="G445" s="8" t="str">
        <f>VLOOKUP(F445,[1]characters!$A:$C,3,FALSE)</f>
        <v>砕骨の剛腕 アキレス</v>
      </c>
      <c r="H445" s="8" t="str">
        <f>VLOOKUP(F445,[1]characters!$A:$J,10,FALSE)</f>
        <v>PremiumN</v>
      </c>
      <c r="I445" s="8">
        <f>VLOOKUP(F445,[1]characters!$A:$I,9,FALSE)</f>
        <v>5</v>
      </c>
      <c r="J445" s="8" t="str">
        <f>VLOOKUP(F445,[1]characters!$A:$H,8,FALSE)</f>
        <v>yellow</v>
      </c>
      <c r="K445" s="8" t="str">
        <f>VLOOKUP(F445,[1]characters!$A:$K,11,FALSE)</f>
        <v>balance</v>
      </c>
      <c r="L445" s="8" t="str">
        <f>VLOOKUP(F445,[1]characters!$A:$M,13,FALSE)</f>
        <v>human</v>
      </c>
      <c r="M445" s="16">
        <f>VLOOKUP(D445,gacha_188_base!A:B,2,FALSE)</f>
        <v>950</v>
      </c>
      <c r="N445" s="38">
        <f>IFERROR(VLOOKUP($F445,bug_conf_sheet!$A:$H,3,FALSE),VLOOKUP("other",bug_conf_sheet!$A:$H,3,FALSE))</f>
        <v>1</v>
      </c>
      <c r="O445" s="38">
        <f>IFERROR(VLOOKUP($F445,bug_conf_sheet!$A:$H,4,FALSE),VLOOKUP("other",bug_conf_sheet!$A:$H,4,FALSE))</f>
        <v>0</v>
      </c>
      <c r="P445" s="38">
        <f>IFERROR(VLOOKUP($F445,bug_conf_sheet!$A:$H,5,FALSE),VLOOKUP("other",bug_conf_sheet!$A:$H,5,FALSE))</f>
        <v>0</v>
      </c>
      <c r="Q445" s="38">
        <f>IFERROR(VLOOKUP($F445,bug_conf_sheet!$A:$H,6,FALSE),VLOOKUP("other",bug_conf_sheet!$A:$H,6,FALSE))</f>
        <v>0</v>
      </c>
      <c r="R445" s="38">
        <f>IFERROR(VLOOKUP($F445,bug_conf_sheet!$A:$H,7,FALSE),VLOOKUP("other",bug_conf_sheet!$A:$H,7,FALSE))</f>
        <v>0</v>
      </c>
      <c r="S445" s="38">
        <f>IFERROR(VLOOKUP($F445,bug_conf_sheet!$A:$H,8,FALSE),VLOOKUP("other",bug_conf_sheet!$A:$H,8,FALSE))</f>
        <v>1</v>
      </c>
    </row>
    <row r="446" spans="1:19" ht="21" hidden="1" customHeight="1">
      <c r="A446" s="7" t="str">
        <f t="shared" si="44"/>
        <v>1884200</v>
      </c>
      <c r="B446" s="2" t="str">
        <f t="shared" si="43"/>
        <v>1884</v>
      </c>
      <c r="C446" s="8" t="str">
        <f t="shared" si="45"/>
        <v>4PremiumN4</v>
      </c>
      <c r="D446" s="8" t="str">
        <f t="shared" si="46"/>
        <v>4PremiumN4</v>
      </c>
      <c r="E446" s="10">
        <v>4</v>
      </c>
      <c r="F446" s="6">
        <v>200</v>
      </c>
      <c r="G446" s="8" t="str">
        <f>VLOOKUP(F446,[1]characters!$A:$C,3,FALSE)</f>
        <v>大剣士 ジークフリート</v>
      </c>
      <c r="H446" s="8" t="str">
        <f>VLOOKUP(F446,[1]characters!$A:$J,10,FALSE)</f>
        <v>PremiumN</v>
      </c>
      <c r="I446" s="8">
        <f>VLOOKUP(F446,[1]characters!$A:$I,9,FALSE)</f>
        <v>4</v>
      </c>
      <c r="J446" s="8" t="str">
        <f>VLOOKUP(F446,[1]characters!$A:$H,8,FALSE)</f>
        <v>blue</v>
      </c>
      <c r="K446" s="8" t="str">
        <f>VLOOKUP(F446,[1]characters!$A:$K,11,FALSE)</f>
        <v>balance</v>
      </c>
      <c r="L446" s="8" t="str">
        <f>VLOOKUP(F446,[1]characters!$A:$M,13,FALSE)</f>
        <v>human</v>
      </c>
      <c r="M446" s="16">
        <f>VLOOKUP(D446,gacha_188_base!A:B,2,FALSE)</f>
        <v>14883</v>
      </c>
      <c r="N446" s="38">
        <f>IFERROR(VLOOKUP($F446,bug_conf_sheet!$A:$H,3,FALSE),VLOOKUP("other",bug_conf_sheet!$A:$H,3,FALSE))</f>
        <v>1</v>
      </c>
      <c r="O446" s="38">
        <f>IFERROR(VLOOKUP($F446,bug_conf_sheet!$A:$H,4,FALSE),VLOOKUP("other",bug_conf_sheet!$A:$H,4,FALSE))</f>
        <v>0</v>
      </c>
      <c r="P446" s="38">
        <f>IFERROR(VLOOKUP($F446,bug_conf_sheet!$A:$H,5,FALSE),VLOOKUP("other",bug_conf_sheet!$A:$H,5,FALSE))</f>
        <v>0</v>
      </c>
      <c r="Q446" s="38">
        <f>IFERROR(VLOOKUP($F446,bug_conf_sheet!$A:$H,6,FALSE),VLOOKUP("other",bug_conf_sheet!$A:$H,6,FALSE))</f>
        <v>0</v>
      </c>
      <c r="R446" s="38">
        <f>IFERROR(VLOOKUP($F446,bug_conf_sheet!$A:$H,7,FALSE),VLOOKUP("other",bug_conf_sheet!$A:$H,7,FALSE))</f>
        <v>0</v>
      </c>
      <c r="S446" s="38">
        <f>IFERROR(VLOOKUP($F446,bug_conf_sheet!$A:$H,8,FALSE),VLOOKUP("other",bug_conf_sheet!$A:$H,8,FALSE))</f>
        <v>1</v>
      </c>
    </row>
    <row r="447" spans="1:19" ht="21" customHeight="1">
      <c r="A447" s="7" t="str">
        <f t="shared" si="44"/>
        <v>1884201</v>
      </c>
      <c r="B447" s="2" t="str">
        <f t="shared" si="43"/>
        <v>1884</v>
      </c>
      <c r="C447" s="8" t="str">
        <f t="shared" si="45"/>
        <v>4PremiumN5</v>
      </c>
      <c r="D447" s="8" t="str">
        <f t="shared" si="46"/>
        <v>4PremiumN5</v>
      </c>
      <c r="E447" s="10">
        <v>4</v>
      </c>
      <c r="F447" s="5">
        <v>201</v>
      </c>
      <c r="G447" s="8" t="str">
        <f>VLOOKUP(F447,[1]characters!$A:$C,3,FALSE)</f>
        <v>斬空の大破剣 ジークフリート</v>
      </c>
      <c r="H447" s="8" t="str">
        <f>VLOOKUP(F447,[1]characters!$A:$J,10,FALSE)</f>
        <v>PremiumN</v>
      </c>
      <c r="I447" s="8">
        <f>VLOOKUP(F447,[1]characters!$A:$I,9,FALSE)</f>
        <v>5</v>
      </c>
      <c r="J447" s="8" t="str">
        <f>VLOOKUP(F447,[1]characters!$A:$H,8,FALSE)</f>
        <v>blue</v>
      </c>
      <c r="K447" s="8" t="str">
        <f>VLOOKUP(F447,[1]characters!$A:$K,11,FALSE)</f>
        <v>balance</v>
      </c>
      <c r="L447" s="8" t="str">
        <f>VLOOKUP(F447,[1]characters!$A:$M,13,FALSE)</f>
        <v>human</v>
      </c>
      <c r="M447" s="16">
        <f>VLOOKUP(D447,gacha_188_base!A:B,2,FALSE)</f>
        <v>950</v>
      </c>
      <c r="N447" s="38">
        <f>IFERROR(VLOOKUP($F447,bug_conf_sheet!$A:$H,3,FALSE),VLOOKUP("other",bug_conf_sheet!$A:$H,3,FALSE))</f>
        <v>1</v>
      </c>
      <c r="O447" s="38">
        <f>IFERROR(VLOOKUP($F447,bug_conf_sheet!$A:$H,4,FALSE),VLOOKUP("other",bug_conf_sheet!$A:$H,4,FALSE))</f>
        <v>0</v>
      </c>
      <c r="P447" s="38">
        <f>IFERROR(VLOOKUP($F447,bug_conf_sheet!$A:$H,5,FALSE),VLOOKUP("other",bug_conf_sheet!$A:$H,5,FALSE))</f>
        <v>0</v>
      </c>
      <c r="Q447" s="38">
        <f>IFERROR(VLOOKUP($F447,bug_conf_sheet!$A:$H,6,FALSE),VLOOKUP("other",bug_conf_sheet!$A:$H,6,FALSE))</f>
        <v>0</v>
      </c>
      <c r="R447" s="38">
        <f>IFERROR(VLOOKUP($F447,bug_conf_sheet!$A:$H,7,FALSE),VLOOKUP("other",bug_conf_sheet!$A:$H,7,FALSE))</f>
        <v>0</v>
      </c>
      <c r="S447" s="38">
        <f>IFERROR(VLOOKUP($F447,bug_conf_sheet!$A:$H,8,FALSE),VLOOKUP("other",bug_conf_sheet!$A:$H,8,FALSE))</f>
        <v>1</v>
      </c>
    </row>
    <row r="448" spans="1:19" ht="21" hidden="1" customHeight="1">
      <c r="A448" s="7" t="str">
        <f t="shared" si="44"/>
        <v>1884203</v>
      </c>
      <c r="B448" s="2" t="str">
        <f t="shared" si="43"/>
        <v>1884</v>
      </c>
      <c r="C448" s="8" t="str">
        <f t="shared" si="45"/>
        <v>4PremiumN4</v>
      </c>
      <c r="D448" s="8" t="str">
        <f t="shared" si="46"/>
        <v>4PremiumN4</v>
      </c>
      <c r="E448" s="10">
        <v>4</v>
      </c>
      <c r="F448" s="5">
        <v>203</v>
      </c>
      <c r="G448" s="8" t="str">
        <f>VLOOKUP(F448,[1]characters!$A:$C,3,FALSE)</f>
        <v>焔神 プロメテウス</v>
      </c>
      <c r="H448" s="8" t="str">
        <f>VLOOKUP(F448,[1]characters!$A:$J,10,FALSE)</f>
        <v>PremiumN</v>
      </c>
      <c r="I448" s="8">
        <f>VLOOKUP(F448,[1]characters!$A:$I,9,FALSE)</f>
        <v>4</v>
      </c>
      <c r="J448" s="8" t="str">
        <f>VLOOKUP(F448,[1]characters!$A:$H,8,FALSE)</f>
        <v>red</v>
      </c>
      <c r="K448" s="8" t="str">
        <f>VLOOKUP(F448,[1]characters!$A:$K,11,FALSE)</f>
        <v>hp</v>
      </c>
      <c r="L448" s="8" t="str">
        <f>VLOOKUP(F448,[1]characters!$A:$M,13,FALSE)</f>
        <v>god</v>
      </c>
      <c r="M448" s="16">
        <f>VLOOKUP(D448,gacha_188_base!A:B,2,FALSE)</f>
        <v>14883</v>
      </c>
      <c r="N448" s="38">
        <f>IFERROR(VLOOKUP($F448,bug_conf_sheet!$A:$H,3,FALSE),VLOOKUP("other",bug_conf_sheet!$A:$H,3,FALSE))</f>
        <v>1</v>
      </c>
      <c r="O448" s="38">
        <f>IFERROR(VLOOKUP($F448,bug_conf_sheet!$A:$H,4,FALSE),VLOOKUP("other",bug_conf_sheet!$A:$H,4,FALSE))</f>
        <v>0</v>
      </c>
      <c r="P448" s="38">
        <f>IFERROR(VLOOKUP($F448,bug_conf_sheet!$A:$H,5,FALSE),VLOOKUP("other",bug_conf_sheet!$A:$H,5,FALSE))</f>
        <v>0</v>
      </c>
      <c r="Q448" s="38">
        <f>IFERROR(VLOOKUP($F448,bug_conf_sheet!$A:$H,6,FALSE),VLOOKUP("other",bug_conf_sheet!$A:$H,6,FALSE))</f>
        <v>0</v>
      </c>
      <c r="R448" s="38">
        <f>IFERROR(VLOOKUP($F448,bug_conf_sheet!$A:$H,7,FALSE),VLOOKUP("other",bug_conf_sheet!$A:$H,7,FALSE))</f>
        <v>0</v>
      </c>
      <c r="S448" s="38">
        <f>IFERROR(VLOOKUP($F448,bug_conf_sheet!$A:$H,8,FALSE),VLOOKUP("other",bug_conf_sheet!$A:$H,8,FALSE))</f>
        <v>1</v>
      </c>
    </row>
    <row r="449" spans="1:19" ht="21" customHeight="1">
      <c r="A449" s="7" t="str">
        <f t="shared" si="44"/>
        <v>1884204</v>
      </c>
      <c r="B449" s="2" t="str">
        <f t="shared" si="43"/>
        <v>1884</v>
      </c>
      <c r="C449" s="8" t="str">
        <f t="shared" si="45"/>
        <v>4PremiumN5</v>
      </c>
      <c r="D449" s="8" t="str">
        <f t="shared" si="46"/>
        <v>4PremiumN5</v>
      </c>
      <c r="E449" s="10">
        <v>4</v>
      </c>
      <c r="F449" s="5">
        <v>204</v>
      </c>
      <c r="G449" s="8" t="str">
        <f>VLOOKUP(F449,[1]characters!$A:$C,3,FALSE)</f>
        <v>慟哭の巨焔 プロメテウス</v>
      </c>
      <c r="H449" s="8" t="str">
        <f>VLOOKUP(F449,[1]characters!$A:$J,10,FALSE)</f>
        <v>PremiumN</v>
      </c>
      <c r="I449" s="8">
        <f>VLOOKUP(F449,[1]characters!$A:$I,9,FALSE)</f>
        <v>5</v>
      </c>
      <c r="J449" s="8" t="str">
        <f>VLOOKUP(F449,[1]characters!$A:$H,8,FALSE)</f>
        <v>red</v>
      </c>
      <c r="K449" s="8" t="str">
        <f>VLOOKUP(F449,[1]characters!$A:$K,11,FALSE)</f>
        <v>hp</v>
      </c>
      <c r="L449" s="8" t="str">
        <f>VLOOKUP(F449,[1]characters!$A:$M,13,FALSE)</f>
        <v>god</v>
      </c>
      <c r="M449" s="16">
        <f>VLOOKUP(D449,gacha_188_base!A:B,2,FALSE)</f>
        <v>950</v>
      </c>
      <c r="N449" s="38">
        <f>IFERROR(VLOOKUP($F449,bug_conf_sheet!$A:$H,3,FALSE),VLOOKUP("other",bug_conf_sheet!$A:$H,3,FALSE))</f>
        <v>1</v>
      </c>
      <c r="O449" s="38">
        <f>IFERROR(VLOOKUP($F449,bug_conf_sheet!$A:$H,4,FALSE),VLOOKUP("other",bug_conf_sheet!$A:$H,4,FALSE))</f>
        <v>0</v>
      </c>
      <c r="P449" s="38">
        <f>IFERROR(VLOOKUP($F449,bug_conf_sheet!$A:$H,5,FALSE),VLOOKUP("other",bug_conf_sheet!$A:$H,5,FALSE))</f>
        <v>0</v>
      </c>
      <c r="Q449" s="38">
        <f>IFERROR(VLOOKUP($F449,bug_conf_sheet!$A:$H,6,FALSE),VLOOKUP("other",bug_conf_sheet!$A:$H,6,FALSE))</f>
        <v>0</v>
      </c>
      <c r="R449" s="38">
        <f>IFERROR(VLOOKUP($F449,bug_conf_sheet!$A:$H,7,FALSE),VLOOKUP("other",bug_conf_sheet!$A:$H,7,FALSE))</f>
        <v>0</v>
      </c>
      <c r="S449" s="38">
        <f>IFERROR(VLOOKUP($F449,bug_conf_sheet!$A:$H,8,FALSE),VLOOKUP("other",bug_conf_sheet!$A:$H,8,FALSE))</f>
        <v>1</v>
      </c>
    </row>
    <row r="450" spans="1:19" ht="21" hidden="1" customHeight="1">
      <c r="A450" s="7" t="str">
        <f t="shared" si="44"/>
        <v>1884206</v>
      </c>
      <c r="B450" s="2" t="str">
        <f t="shared" si="43"/>
        <v>1884</v>
      </c>
      <c r="C450" s="8" t="str">
        <f t="shared" si="45"/>
        <v>4PremiumN4</v>
      </c>
      <c r="D450" s="8" t="str">
        <f t="shared" si="46"/>
        <v>4PremiumN4</v>
      </c>
      <c r="E450" s="10">
        <v>4</v>
      </c>
      <c r="F450" s="5">
        <v>206</v>
      </c>
      <c r="G450" s="8" t="str">
        <f>VLOOKUP(F450,[1]characters!$A:$C,3,FALSE)</f>
        <v>美神 アフロディーテ</v>
      </c>
      <c r="H450" s="8" t="str">
        <f>VLOOKUP(F450,[1]characters!$A:$J,10,FALSE)</f>
        <v>PremiumN</v>
      </c>
      <c r="I450" s="8">
        <f>VLOOKUP(F450,[1]characters!$A:$I,9,FALSE)</f>
        <v>4</v>
      </c>
      <c r="J450" s="8" t="str">
        <f>VLOOKUP(F450,[1]characters!$A:$H,8,FALSE)</f>
        <v>green</v>
      </c>
      <c r="K450" s="8" t="str">
        <f>VLOOKUP(F450,[1]characters!$A:$K,11,FALSE)</f>
        <v>hp</v>
      </c>
      <c r="L450" s="8" t="str">
        <f>VLOOKUP(F450,[1]characters!$A:$M,13,FALSE)</f>
        <v>god</v>
      </c>
      <c r="M450" s="16">
        <f>VLOOKUP(D450,gacha_188_base!A:B,2,FALSE)</f>
        <v>14883</v>
      </c>
      <c r="N450" s="38">
        <f>IFERROR(VLOOKUP($F450,bug_conf_sheet!$A:$H,3,FALSE),VLOOKUP("other",bug_conf_sheet!$A:$H,3,FALSE))</f>
        <v>1</v>
      </c>
      <c r="O450" s="38">
        <f>IFERROR(VLOOKUP($F450,bug_conf_sheet!$A:$H,4,FALSE),VLOOKUP("other",bug_conf_sheet!$A:$H,4,FALSE))</f>
        <v>0</v>
      </c>
      <c r="P450" s="38">
        <f>IFERROR(VLOOKUP($F450,bug_conf_sheet!$A:$H,5,FALSE),VLOOKUP("other",bug_conf_sheet!$A:$H,5,FALSE))</f>
        <v>0</v>
      </c>
      <c r="Q450" s="38">
        <f>IFERROR(VLOOKUP($F450,bug_conf_sheet!$A:$H,6,FALSE),VLOOKUP("other",bug_conf_sheet!$A:$H,6,FALSE))</f>
        <v>0</v>
      </c>
      <c r="R450" s="38">
        <f>IFERROR(VLOOKUP($F450,bug_conf_sheet!$A:$H,7,FALSE),VLOOKUP("other",bug_conf_sheet!$A:$H,7,FALSE))</f>
        <v>0</v>
      </c>
      <c r="S450" s="38">
        <f>IFERROR(VLOOKUP($F450,bug_conf_sheet!$A:$H,8,FALSE),VLOOKUP("other",bug_conf_sheet!$A:$H,8,FALSE))</f>
        <v>1</v>
      </c>
    </row>
    <row r="451" spans="1:19" ht="21" customHeight="1">
      <c r="A451" s="7" t="str">
        <f t="shared" si="44"/>
        <v>1884207</v>
      </c>
      <c r="B451" s="2" t="str">
        <f t="shared" ref="B451:B514" si="47">188&amp;E451</f>
        <v>1884</v>
      </c>
      <c r="C451" s="8" t="str">
        <f t="shared" si="45"/>
        <v>4PremiumN5</v>
      </c>
      <c r="D451" s="8" t="str">
        <f t="shared" si="46"/>
        <v>4PremiumN5</v>
      </c>
      <c r="E451" s="10">
        <v>4</v>
      </c>
      <c r="F451" s="5">
        <v>207</v>
      </c>
      <c r="G451" s="8" t="str">
        <f>VLOOKUP(F451,[1]characters!$A:$C,3,FALSE)</f>
        <v>豊穣の麗神・アフロディーテ</v>
      </c>
      <c r="H451" s="8" t="str">
        <f>VLOOKUP(F451,[1]characters!$A:$J,10,FALSE)</f>
        <v>PremiumN</v>
      </c>
      <c r="I451" s="8">
        <f>VLOOKUP(F451,[1]characters!$A:$I,9,FALSE)</f>
        <v>5</v>
      </c>
      <c r="J451" s="8" t="str">
        <f>VLOOKUP(F451,[1]characters!$A:$H,8,FALSE)</f>
        <v>green</v>
      </c>
      <c r="K451" s="8" t="str">
        <f>VLOOKUP(F451,[1]characters!$A:$K,11,FALSE)</f>
        <v>hp</v>
      </c>
      <c r="L451" s="8" t="str">
        <f>VLOOKUP(F451,[1]characters!$A:$M,13,FALSE)</f>
        <v>god</v>
      </c>
      <c r="M451" s="16">
        <f>VLOOKUP(D451,gacha_188_base!A:B,2,FALSE)</f>
        <v>950</v>
      </c>
      <c r="N451" s="38">
        <f>IFERROR(VLOOKUP($F451,bug_conf_sheet!$A:$H,3,FALSE),VLOOKUP("other",bug_conf_sheet!$A:$H,3,FALSE))</f>
        <v>1</v>
      </c>
      <c r="O451" s="38">
        <f>IFERROR(VLOOKUP($F451,bug_conf_sheet!$A:$H,4,FALSE),VLOOKUP("other",bug_conf_sheet!$A:$H,4,FALSE))</f>
        <v>0</v>
      </c>
      <c r="P451" s="38">
        <f>IFERROR(VLOOKUP($F451,bug_conf_sheet!$A:$H,5,FALSE),VLOOKUP("other",bug_conf_sheet!$A:$H,5,FALSE))</f>
        <v>0</v>
      </c>
      <c r="Q451" s="38">
        <f>IFERROR(VLOOKUP($F451,bug_conf_sheet!$A:$H,6,FALSE),VLOOKUP("other",bug_conf_sheet!$A:$H,6,FALSE))</f>
        <v>0</v>
      </c>
      <c r="R451" s="38">
        <f>IFERROR(VLOOKUP($F451,bug_conf_sheet!$A:$H,7,FALSE),VLOOKUP("other",bug_conf_sheet!$A:$H,7,FALSE))</f>
        <v>0</v>
      </c>
      <c r="S451" s="38">
        <f>IFERROR(VLOOKUP($F451,bug_conf_sheet!$A:$H,8,FALSE),VLOOKUP("other",bug_conf_sheet!$A:$H,8,FALSE))</f>
        <v>1</v>
      </c>
    </row>
    <row r="452" spans="1:19" ht="21" hidden="1" customHeight="1">
      <c r="A452" s="7" t="str">
        <f t="shared" si="44"/>
        <v>1884209</v>
      </c>
      <c r="B452" s="2" t="str">
        <f t="shared" si="47"/>
        <v>1884</v>
      </c>
      <c r="C452" s="8" t="str">
        <f t="shared" si="45"/>
        <v>4PremiumN4</v>
      </c>
      <c r="D452" s="8" t="str">
        <f t="shared" si="46"/>
        <v>4PremiumN4</v>
      </c>
      <c r="E452" s="10">
        <v>4</v>
      </c>
      <c r="F452" s="5">
        <v>209</v>
      </c>
      <c r="G452" s="8" t="str">
        <f>VLOOKUP(F452,[1]characters!$A:$C,3,FALSE)</f>
        <v>孤神 テティス</v>
      </c>
      <c r="H452" s="8" t="str">
        <f>VLOOKUP(F452,[1]characters!$A:$J,10,FALSE)</f>
        <v>PremiumN</v>
      </c>
      <c r="I452" s="8">
        <f>VLOOKUP(F452,[1]characters!$A:$I,9,FALSE)</f>
        <v>4</v>
      </c>
      <c r="J452" s="8" t="str">
        <f>VLOOKUP(F452,[1]characters!$A:$H,8,FALSE)</f>
        <v>blue</v>
      </c>
      <c r="K452" s="8" t="str">
        <f>VLOOKUP(F452,[1]characters!$A:$K,11,FALSE)</f>
        <v>hp</v>
      </c>
      <c r="L452" s="8" t="str">
        <f>VLOOKUP(F452,[1]characters!$A:$M,13,FALSE)</f>
        <v>god</v>
      </c>
      <c r="M452" s="16">
        <f>VLOOKUP(D452,gacha_188_base!A:B,2,FALSE)</f>
        <v>14883</v>
      </c>
      <c r="N452" s="38">
        <f>IFERROR(VLOOKUP($F452,bug_conf_sheet!$A:$H,3,FALSE),VLOOKUP("other",bug_conf_sheet!$A:$H,3,FALSE))</f>
        <v>1</v>
      </c>
      <c r="O452" s="38">
        <f>IFERROR(VLOOKUP($F452,bug_conf_sheet!$A:$H,4,FALSE),VLOOKUP("other",bug_conf_sheet!$A:$H,4,FALSE))</f>
        <v>0</v>
      </c>
      <c r="P452" s="38">
        <f>IFERROR(VLOOKUP($F452,bug_conf_sheet!$A:$H,5,FALSE),VLOOKUP("other",bug_conf_sheet!$A:$H,5,FALSE))</f>
        <v>0</v>
      </c>
      <c r="Q452" s="38">
        <f>IFERROR(VLOOKUP($F452,bug_conf_sheet!$A:$H,6,FALSE),VLOOKUP("other",bug_conf_sheet!$A:$H,6,FALSE))</f>
        <v>0</v>
      </c>
      <c r="R452" s="38">
        <f>IFERROR(VLOOKUP($F452,bug_conf_sheet!$A:$H,7,FALSE),VLOOKUP("other",bug_conf_sheet!$A:$H,7,FALSE))</f>
        <v>0</v>
      </c>
      <c r="S452" s="38">
        <f>IFERROR(VLOOKUP($F452,bug_conf_sheet!$A:$H,8,FALSE),VLOOKUP("other",bug_conf_sheet!$A:$H,8,FALSE))</f>
        <v>1</v>
      </c>
    </row>
    <row r="453" spans="1:19" ht="21" customHeight="1">
      <c r="A453" s="7" t="str">
        <f t="shared" si="44"/>
        <v>1884210</v>
      </c>
      <c r="B453" s="2" t="str">
        <f t="shared" si="47"/>
        <v>1884</v>
      </c>
      <c r="C453" s="8" t="str">
        <f t="shared" si="45"/>
        <v>4PremiumN5</v>
      </c>
      <c r="D453" s="8" t="str">
        <f t="shared" si="46"/>
        <v>4PremiumN5</v>
      </c>
      <c r="E453" s="10">
        <v>4</v>
      </c>
      <c r="F453" s="5">
        <v>210</v>
      </c>
      <c r="G453" s="8" t="str">
        <f>VLOOKUP(F453,[1]characters!$A:$C,3,FALSE)</f>
        <v>海底の孤高神 テティス</v>
      </c>
      <c r="H453" s="8" t="str">
        <f>VLOOKUP(F453,[1]characters!$A:$J,10,FALSE)</f>
        <v>PremiumN</v>
      </c>
      <c r="I453" s="8">
        <f>VLOOKUP(F453,[1]characters!$A:$I,9,FALSE)</f>
        <v>5</v>
      </c>
      <c r="J453" s="8" t="str">
        <f>VLOOKUP(F453,[1]characters!$A:$H,8,FALSE)</f>
        <v>blue</v>
      </c>
      <c r="K453" s="8" t="str">
        <f>VLOOKUP(F453,[1]characters!$A:$K,11,FALSE)</f>
        <v>hp</v>
      </c>
      <c r="L453" s="8" t="str">
        <f>VLOOKUP(F453,[1]characters!$A:$M,13,FALSE)</f>
        <v>god</v>
      </c>
      <c r="M453" s="16">
        <f>VLOOKUP(D453,gacha_188_base!A:B,2,FALSE)</f>
        <v>950</v>
      </c>
      <c r="N453" s="38">
        <f>IFERROR(VLOOKUP($F453,bug_conf_sheet!$A:$H,3,FALSE),VLOOKUP("other",bug_conf_sheet!$A:$H,3,FALSE))</f>
        <v>1</v>
      </c>
      <c r="O453" s="38">
        <f>IFERROR(VLOOKUP($F453,bug_conf_sheet!$A:$H,4,FALSE),VLOOKUP("other",bug_conf_sheet!$A:$H,4,FALSE))</f>
        <v>0</v>
      </c>
      <c r="P453" s="38">
        <f>IFERROR(VLOOKUP($F453,bug_conf_sheet!$A:$H,5,FALSE),VLOOKUP("other",bug_conf_sheet!$A:$H,5,FALSE))</f>
        <v>0</v>
      </c>
      <c r="Q453" s="38">
        <f>IFERROR(VLOOKUP($F453,bug_conf_sheet!$A:$H,6,FALSE),VLOOKUP("other",bug_conf_sheet!$A:$H,6,FALSE))</f>
        <v>0</v>
      </c>
      <c r="R453" s="38">
        <f>IFERROR(VLOOKUP($F453,bug_conf_sheet!$A:$H,7,FALSE),VLOOKUP("other",bug_conf_sheet!$A:$H,7,FALSE))</f>
        <v>0</v>
      </c>
      <c r="S453" s="38">
        <f>IFERROR(VLOOKUP($F453,bug_conf_sheet!$A:$H,8,FALSE),VLOOKUP("other",bug_conf_sheet!$A:$H,8,FALSE))</f>
        <v>1</v>
      </c>
    </row>
    <row r="454" spans="1:19" ht="21" hidden="1" customHeight="1">
      <c r="A454" s="7" t="str">
        <f t="shared" si="44"/>
        <v>1884212</v>
      </c>
      <c r="B454" s="2" t="str">
        <f t="shared" si="47"/>
        <v>1884</v>
      </c>
      <c r="C454" s="8" t="str">
        <f t="shared" si="45"/>
        <v>4PremiumN4</v>
      </c>
      <c r="D454" s="8" t="str">
        <f t="shared" si="46"/>
        <v>4PremiumN4</v>
      </c>
      <c r="E454" s="10">
        <v>4</v>
      </c>
      <c r="F454" s="5">
        <v>212</v>
      </c>
      <c r="G454" s="8" t="str">
        <f>VLOOKUP(F454,[1]characters!$A:$C,3,FALSE)</f>
        <v>星神 アストライアー</v>
      </c>
      <c r="H454" s="8" t="str">
        <f>VLOOKUP(F454,[1]characters!$A:$J,10,FALSE)</f>
        <v>PremiumN</v>
      </c>
      <c r="I454" s="8">
        <f>VLOOKUP(F454,[1]characters!$A:$I,9,FALSE)</f>
        <v>4</v>
      </c>
      <c r="J454" s="8" t="str">
        <f>VLOOKUP(F454,[1]characters!$A:$H,8,FALSE)</f>
        <v>yellow</v>
      </c>
      <c r="K454" s="8" t="str">
        <f>VLOOKUP(F454,[1]characters!$A:$K,11,FALSE)</f>
        <v>balance</v>
      </c>
      <c r="L454" s="8" t="str">
        <f>VLOOKUP(F454,[1]characters!$A:$M,13,FALSE)</f>
        <v>god</v>
      </c>
      <c r="M454" s="16">
        <f>VLOOKUP(D454,gacha_188_base!A:B,2,FALSE)</f>
        <v>14883</v>
      </c>
      <c r="N454" s="38">
        <f>IFERROR(VLOOKUP($F454,bug_conf_sheet!$A:$H,3,FALSE),VLOOKUP("other",bug_conf_sheet!$A:$H,3,FALSE))</f>
        <v>1</v>
      </c>
      <c r="O454" s="38">
        <f>IFERROR(VLOOKUP($F454,bug_conf_sheet!$A:$H,4,FALSE),VLOOKUP("other",bug_conf_sheet!$A:$H,4,FALSE))</f>
        <v>0</v>
      </c>
      <c r="P454" s="38">
        <f>IFERROR(VLOOKUP($F454,bug_conf_sheet!$A:$H,5,FALSE),VLOOKUP("other",bug_conf_sheet!$A:$H,5,FALSE))</f>
        <v>0</v>
      </c>
      <c r="Q454" s="38">
        <f>IFERROR(VLOOKUP($F454,bug_conf_sheet!$A:$H,6,FALSE),VLOOKUP("other",bug_conf_sheet!$A:$H,6,FALSE))</f>
        <v>0</v>
      </c>
      <c r="R454" s="38">
        <f>IFERROR(VLOOKUP($F454,bug_conf_sheet!$A:$H,7,FALSE),VLOOKUP("other",bug_conf_sheet!$A:$H,7,FALSE))</f>
        <v>0</v>
      </c>
      <c r="S454" s="38">
        <f>IFERROR(VLOOKUP($F454,bug_conf_sheet!$A:$H,8,FALSE),VLOOKUP("other",bug_conf_sheet!$A:$H,8,FALSE))</f>
        <v>1</v>
      </c>
    </row>
    <row r="455" spans="1:19" ht="21" customHeight="1">
      <c r="A455" s="7" t="str">
        <f t="shared" si="44"/>
        <v>1884213</v>
      </c>
      <c r="B455" s="2" t="str">
        <f t="shared" si="47"/>
        <v>1884</v>
      </c>
      <c r="C455" s="8" t="str">
        <f t="shared" si="45"/>
        <v>4PremiumN5</v>
      </c>
      <c r="D455" s="8" t="str">
        <f t="shared" si="46"/>
        <v>4PremiumN5</v>
      </c>
      <c r="E455" s="10">
        <v>4</v>
      </c>
      <c r="F455" s="5">
        <v>213</v>
      </c>
      <c r="G455" s="8" t="str">
        <f>VLOOKUP(F455,[1]characters!$A:$C,3,FALSE)</f>
        <v>満天の星降神 アストライアー</v>
      </c>
      <c r="H455" s="8" t="str">
        <f>VLOOKUP(F455,[1]characters!$A:$J,10,FALSE)</f>
        <v>PremiumN</v>
      </c>
      <c r="I455" s="8">
        <f>VLOOKUP(F455,[1]characters!$A:$I,9,FALSE)</f>
        <v>5</v>
      </c>
      <c r="J455" s="8" t="str">
        <f>VLOOKUP(F455,[1]characters!$A:$H,8,FALSE)</f>
        <v>yellow</v>
      </c>
      <c r="K455" s="8" t="str">
        <f>VLOOKUP(F455,[1]characters!$A:$K,11,FALSE)</f>
        <v>balance</v>
      </c>
      <c r="L455" s="8" t="str">
        <f>VLOOKUP(F455,[1]characters!$A:$M,13,FALSE)</f>
        <v>god</v>
      </c>
      <c r="M455" s="16">
        <f>VLOOKUP(D455,gacha_188_base!A:B,2,FALSE)</f>
        <v>950</v>
      </c>
      <c r="N455" s="38">
        <f>IFERROR(VLOOKUP($F455,bug_conf_sheet!$A:$H,3,FALSE),VLOOKUP("other",bug_conf_sheet!$A:$H,3,FALSE))</f>
        <v>1</v>
      </c>
      <c r="O455" s="38">
        <f>IFERROR(VLOOKUP($F455,bug_conf_sheet!$A:$H,4,FALSE),VLOOKUP("other",bug_conf_sheet!$A:$H,4,FALSE))</f>
        <v>0</v>
      </c>
      <c r="P455" s="38">
        <f>IFERROR(VLOOKUP($F455,bug_conf_sheet!$A:$H,5,FALSE),VLOOKUP("other",bug_conf_sheet!$A:$H,5,FALSE))</f>
        <v>0</v>
      </c>
      <c r="Q455" s="38">
        <f>IFERROR(VLOOKUP($F455,bug_conf_sheet!$A:$H,6,FALSE),VLOOKUP("other",bug_conf_sheet!$A:$H,6,FALSE))</f>
        <v>0</v>
      </c>
      <c r="R455" s="38">
        <f>IFERROR(VLOOKUP($F455,bug_conf_sheet!$A:$H,7,FALSE),VLOOKUP("other",bug_conf_sheet!$A:$H,7,FALSE))</f>
        <v>0</v>
      </c>
      <c r="S455" s="38">
        <f>IFERROR(VLOOKUP($F455,bug_conf_sheet!$A:$H,8,FALSE),VLOOKUP("other",bug_conf_sheet!$A:$H,8,FALSE))</f>
        <v>1</v>
      </c>
    </row>
    <row r="456" spans="1:19" ht="21" hidden="1" customHeight="1">
      <c r="A456" s="7" t="str">
        <f t="shared" si="44"/>
        <v>1884215</v>
      </c>
      <c r="B456" s="2" t="str">
        <f t="shared" si="47"/>
        <v>1884</v>
      </c>
      <c r="C456" s="8" t="str">
        <f t="shared" si="45"/>
        <v>4PremiumN4</v>
      </c>
      <c r="D456" s="8" t="str">
        <f t="shared" si="46"/>
        <v>4PremiumN4</v>
      </c>
      <c r="E456" s="10">
        <v>4</v>
      </c>
      <c r="F456" s="5">
        <v>215</v>
      </c>
      <c r="G456" s="8" t="str">
        <f>VLOOKUP(F456,[1]characters!$A:$C,3,FALSE)</f>
        <v>死導者 アズラエル</v>
      </c>
      <c r="H456" s="8" t="str">
        <f>VLOOKUP(F456,[1]characters!$A:$J,10,FALSE)</f>
        <v>PremiumN</v>
      </c>
      <c r="I456" s="8">
        <f>VLOOKUP(F456,[1]characters!$A:$I,9,FALSE)</f>
        <v>4</v>
      </c>
      <c r="J456" s="8" t="str">
        <f>VLOOKUP(F456,[1]characters!$A:$H,8,FALSE)</f>
        <v>red</v>
      </c>
      <c r="K456" s="8" t="str">
        <f>VLOOKUP(F456,[1]characters!$A:$K,11,FALSE)</f>
        <v>balance</v>
      </c>
      <c r="L456" s="8" t="str">
        <f>VLOOKUP(F456,[1]characters!$A:$M,13,FALSE)</f>
        <v>god</v>
      </c>
      <c r="M456" s="16">
        <f>VLOOKUP(D456,gacha_188_base!A:B,2,FALSE)</f>
        <v>14883</v>
      </c>
      <c r="N456" s="38">
        <f>IFERROR(VLOOKUP($F456,bug_conf_sheet!$A:$H,3,FALSE),VLOOKUP("other",bug_conf_sheet!$A:$H,3,FALSE))</f>
        <v>1</v>
      </c>
      <c r="O456" s="38">
        <f>IFERROR(VLOOKUP($F456,bug_conf_sheet!$A:$H,4,FALSE),VLOOKUP("other",bug_conf_sheet!$A:$H,4,FALSE))</f>
        <v>0</v>
      </c>
      <c r="P456" s="38">
        <f>IFERROR(VLOOKUP($F456,bug_conf_sheet!$A:$H,5,FALSE),VLOOKUP("other",bug_conf_sheet!$A:$H,5,FALSE))</f>
        <v>0</v>
      </c>
      <c r="Q456" s="38">
        <f>IFERROR(VLOOKUP($F456,bug_conf_sheet!$A:$H,6,FALSE),VLOOKUP("other",bug_conf_sheet!$A:$H,6,FALSE))</f>
        <v>0</v>
      </c>
      <c r="R456" s="38">
        <f>IFERROR(VLOOKUP($F456,bug_conf_sheet!$A:$H,7,FALSE),VLOOKUP("other",bug_conf_sheet!$A:$H,7,FALSE))</f>
        <v>0</v>
      </c>
      <c r="S456" s="38">
        <f>IFERROR(VLOOKUP($F456,bug_conf_sheet!$A:$H,8,FALSE),VLOOKUP("other",bug_conf_sheet!$A:$H,8,FALSE))</f>
        <v>1</v>
      </c>
    </row>
    <row r="457" spans="1:19" ht="21" customHeight="1">
      <c r="A457" s="7" t="str">
        <f t="shared" si="44"/>
        <v>1884216</v>
      </c>
      <c r="B457" s="2" t="str">
        <f t="shared" si="47"/>
        <v>1884</v>
      </c>
      <c r="C457" s="8" t="str">
        <f t="shared" si="45"/>
        <v>4PremiumN5</v>
      </c>
      <c r="D457" s="8" t="str">
        <f t="shared" si="46"/>
        <v>4PremiumN5</v>
      </c>
      <c r="E457" s="10">
        <v>4</v>
      </c>
      <c r="F457" s="5">
        <v>216</v>
      </c>
      <c r="G457" s="8" t="str">
        <f>VLOOKUP(F457,[1]characters!$A:$C,3,FALSE)</f>
        <v>百読の死導司書 アズラエル</v>
      </c>
      <c r="H457" s="8" t="str">
        <f>VLOOKUP(F457,[1]characters!$A:$J,10,FALSE)</f>
        <v>PremiumN</v>
      </c>
      <c r="I457" s="8">
        <f>VLOOKUP(F457,[1]characters!$A:$I,9,FALSE)</f>
        <v>5</v>
      </c>
      <c r="J457" s="8" t="str">
        <f>VLOOKUP(F457,[1]characters!$A:$H,8,FALSE)</f>
        <v>red</v>
      </c>
      <c r="K457" s="8" t="str">
        <f>VLOOKUP(F457,[1]characters!$A:$K,11,FALSE)</f>
        <v>balance</v>
      </c>
      <c r="L457" s="8" t="str">
        <f>VLOOKUP(F457,[1]characters!$A:$M,13,FALSE)</f>
        <v>god</v>
      </c>
      <c r="M457" s="16">
        <f>VLOOKUP(D457,gacha_188_base!A:B,2,FALSE)</f>
        <v>950</v>
      </c>
      <c r="N457" s="38">
        <f>IFERROR(VLOOKUP($F457,bug_conf_sheet!$A:$H,3,FALSE),VLOOKUP("other",bug_conf_sheet!$A:$H,3,FALSE))</f>
        <v>1</v>
      </c>
      <c r="O457" s="38">
        <f>IFERROR(VLOOKUP($F457,bug_conf_sheet!$A:$H,4,FALSE),VLOOKUP("other",bug_conf_sheet!$A:$H,4,FALSE))</f>
        <v>0</v>
      </c>
      <c r="P457" s="38">
        <f>IFERROR(VLOOKUP($F457,bug_conf_sheet!$A:$H,5,FALSE),VLOOKUP("other",bug_conf_sheet!$A:$H,5,FALSE))</f>
        <v>0</v>
      </c>
      <c r="Q457" s="38">
        <f>IFERROR(VLOOKUP($F457,bug_conf_sheet!$A:$H,6,FALSE),VLOOKUP("other",bug_conf_sheet!$A:$H,6,FALSE))</f>
        <v>0</v>
      </c>
      <c r="R457" s="38">
        <f>IFERROR(VLOOKUP($F457,bug_conf_sheet!$A:$H,7,FALSE),VLOOKUP("other",bug_conf_sheet!$A:$H,7,FALSE))</f>
        <v>0</v>
      </c>
      <c r="S457" s="38">
        <f>IFERROR(VLOOKUP($F457,bug_conf_sheet!$A:$H,8,FALSE),VLOOKUP("other",bug_conf_sheet!$A:$H,8,FALSE))</f>
        <v>1</v>
      </c>
    </row>
    <row r="458" spans="1:19" ht="21" hidden="1" customHeight="1">
      <c r="A458" s="7" t="str">
        <f t="shared" ref="A458:A521" si="48">B458&amp;F458</f>
        <v>1884218</v>
      </c>
      <c r="B458" s="2" t="str">
        <f t="shared" si="47"/>
        <v>1884</v>
      </c>
      <c r="C458" s="8" t="str">
        <f t="shared" ref="C458:C521" si="49">E458&amp;H458&amp;I458</f>
        <v>4PremiumN4</v>
      </c>
      <c r="D458" s="8" t="str">
        <f t="shared" ref="D458:D521" si="50">E458&amp;H458&amp;I458</f>
        <v>4PremiumN4</v>
      </c>
      <c r="E458" s="10">
        <v>4</v>
      </c>
      <c r="F458" s="5">
        <v>218</v>
      </c>
      <c r="G458" s="8" t="str">
        <f>VLOOKUP(F458,[1]characters!$A:$C,3,FALSE)</f>
        <v>聖蛇 ケツァクアトル</v>
      </c>
      <c r="H458" s="8" t="str">
        <f>VLOOKUP(F458,[1]characters!$A:$J,10,FALSE)</f>
        <v>PremiumN</v>
      </c>
      <c r="I458" s="8">
        <f>VLOOKUP(F458,[1]characters!$A:$I,9,FALSE)</f>
        <v>4</v>
      </c>
      <c r="J458" s="8" t="str">
        <f>VLOOKUP(F458,[1]characters!$A:$H,8,FALSE)</f>
        <v>green</v>
      </c>
      <c r="K458" s="8" t="str">
        <f>VLOOKUP(F458,[1]characters!$A:$K,11,FALSE)</f>
        <v>hp</v>
      </c>
      <c r="L458" s="8" t="str">
        <f>VLOOKUP(F458,[1]characters!$A:$M,13,FALSE)</f>
        <v>dragon</v>
      </c>
      <c r="M458" s="16">
        <f>VLOOKUP(D458,gacha_188_base!A:B,2,FALSE)</f>
        <v>14883</v>
      </c>
      <c r="N458" s="38">
        <f>IFERROR(VLOOKUP($F458,bug_conf_sheet!$A:$H,3,FALSE),VLOOKUP("other",bug_conf_sheet!$A:$H,3,FALSE))</f>
        <v>1</v>
      </c>
      <c r="O458" s="38">
        <f>IFERROR(VLOOKUP($F458,bug_conf_sheet!$A:$H,4,FALSE),VLOOKUP("other",bug_conf_sheet!$A:$H,4,FALSE))</f>
        <v>0</v>
      </c>
      <c r="P458" s="38">
        <f>IFERROR(VLOOKUP($F458,bug_conf_sheet!$A:$H,5,FALSE),VLOOKUP("other",bug_conf_sheet!$A:$H,5,FALSE))</f>
        <v>0</v>
      </c>
      <c r="Q458" s="38">
        <f>IFERROR(VLOOKUP($F458,bug_conf_sheet!$A:$H,6,FALSE),VLOOKUP("other",bug_conf_sheet!$A:$H,6,FALSE))</f>
        <v>0</v>
      </c>
      <c r="R458" s="38">
        <f>IFERROR(VLOOKUP($F458,bug_conf_sheet!$A:$H,7,FALSE),VLOOKUP("other",bug_conf_sheet!$A:$H,7,FALSE))</f>
        <v>0</v>
      </c>
      <c r="S458" s="38">
        <f>IFERROR(VLOOKUP($F458,bug_conf_sheet!$A:$H,8,FALSE),VLOOKUP("other",bug_conf_sheet!$A:$H,8,FALSE))</f>
        <v>1</v>
      </c>
    </row>
    <row r="459" spans="1:19" ht="21" customHeight="1">
      <c r="A459" s="7" t="str">
        <f t="shared" si="48"/>
        <v>1884219</v>
      </c>
      <c r="B459" s="2" t="str">
        <f t="shared" si="47"/>
        <v>1884</v>
      </c>
      <c r="C459" s="8" t="str">
        <f t="shared" si="49"/>
        <v>4PremiumN5</v>
      </c>
      <c r="D459" s="8" t="str">
        <f t="shared" si="50"/>
        <v>4PremiumN5</v>
      </c>
      <c r="E459" s="10">
        <v>4</v>
      </c>
      <c r="F459" s="5">
        <v>219</v>
      </c>
      <c r="G459" s="8" t="str">
        <f>VLOOKUP(F459,[1]characters!$A:$C,3,FALSE)</f>
        <v>覇翼の聖蛇竜 ケツァクアトル</v>
      </c>
      <c r="H459" s="8" t="str">
        <f>VLOOKUP(F459,[1]characters!$A:$J,10,FALSE)</f>
        <v>PremiumN</v>
      </c>
      <c r="I459" s="8">
        <f>VLOOKUP(F459,[1]characters!$A:$I,9,FALSE)</f>
        <v>5</v>
      </c>
      <c r="J459" s="8" t="str">
        <f>VLOOKUP(F459,[1]characters!$A:$H,8,FALSE)</f>
        <v>green</v>
      </c>
      <c r="K459" s="8" t="str">
        <f>VLOOKUP(F459,[1]characters!$A:$K,11,FALSE)</f>
        <v>hp</v>
      </c>
      <c r="L459" s="8" t="str">
        <f>VLOOKUP(F459,[1]characters!$A:$M,13,FALSE)</f>
        <v>dragon</v>
      </c>
      <c r="M459" s="16">
        <f>VLOOKUP(D459,gacha_188_base!A:B,2,FALSE)</f>
        <v>950</v>
      </c>
      <c r="N459" s="38">
        <f>IFERROR(VLOOKUP($F459,bug_conf_sheet!$A:$H,3,FALSE),VLOOKUP("other",bug_conf_sheet!$A:$H,3,FALSE))</f>
        <v>1</v>
      </c>
      <c r="O459" s="38">
        <f>IFERROR(VLOOKUP($F459,bug_conf_sheet!$A:$H,4,FALSE),VLOOKUP("other",bug_conf_sheet!$A:$H,4,FALSE))</f>
        <v>0</v>
      </c>
      <c r="P459" s="38">
        <f>IFERROR(VLOOKUP($F459,bug_conf_sheet!$A:$H,5,FALSE),VLOOKUP("other",bug_conf_sheet!$A:$H,5,FALSE))</f>
        <v>0</v>
      </c>
      <c r="Q459" s="38">
        <f>IFERROR(VLOOKUP($F459,bug_conf_sheet!$A:$H,6,FALSE),VLOOKUP("other",bug_conf_sheet!$A:$H,6,FALSE))</f>
        <v>0</v>
      </c>
      <c r="R459" s="38">
        <f>IFERROR(VLOOKUP($F459,bug_conf_sheet!$A:$H,7,FALSE),VLOOKUP("other",bug_conf_sheet!$A:$H,7,FALSE))</f>
        <v>0</v>
      </c>
      <c r="S459" s="38">
        <f>IFERROR(VLOOKUP($F459,bug_conf_sheet!$A:$H,8,FALSE),VLOOKUP("other",bug_conf_sheet!$A:$H,8,FALSE))</f>
        <v>1</v>
      </c>
    </row>
    <row r="460" spans="1:19" ht="21" hidden="1" customHeight="1">
      <c r="A460" s="7" t="str">
        <f t="shared" si="48"/>
        <v>1884221</v>
      </c>
      <c r="B460" s="2" t="str">
        <f t="shared" si="47"/>
        <v>1884</v>
      </c>
      <c r="C460" s="8" t="str">
        <f t="shared" si="49"/>
        <v>4PremiumN4</v>
      </c>
      <c r="D460" s="8" t="str">
        <f t="shared" si="50"/>
        <v>4PremiumN4</v>
      </c>
      <c r="E460" s="10">
        <v>4</v>
      </c>
      <c r="F460" s="5">
        <v>221</v>
      </c>
      <c r="G460" s="8" t="str">
        <f>VLOOKUP(F460,[1]characters!$A:$C,3,FALSE)</f>
        <v>宰相 ルキフグス</v>
      </c>
      <c r="H460" s="8" t="str">
        <f>VLOOKUP(F460,[1]characters!$A:$J,10,FALSE)</f>
        <v>PremiumN</v>
      </c>
      <c r="I460" s="8">
        <f>VLOOKUP(F460,[1]characters!$A:$I,9,FALSE)</f>
        <v>4</v>
      </c>
      <c r="J460" s="8" t="str">
        <f>VLOOKUP(F460,[1]characters!$A:$H,8,FALSE)</f>
        <v>blue</v>
      </c>
      <c r="K460" s="8" t="str">
        <f>VLOOKUP(F460,[1]characters!$A:$K,11,FALSE)</f>
        <v>balance</v>
      </c>
      <c r="L460" s="8" t="str">
        <f>VLOOKUP(F460,[1]characters!$A:$M,13,FALSE)</f>
        <v>god</v>
      </c>
      <c r="M460" s="16">
        <f>VLOOKUP(D460,gacha_188_base!A:B,2,FALSE)</f>
        <v>14883</v>
      </c>
      <c r="N460" s="38">
        <f>IFERROR(VLOOKUP($F460,bug_conf_sheet!$A:$H,3,FALSE),VLOOKUP("other",bug_conf_sheet!$A:$H,3,FALSE))</f>
        <v>1</v>
      </c>
      <c r="O460" s="38">
        <f>IFERROR(VLOOKUP($F460,bug_conf_sheet!$A:$H,4,FALSE),VLOOKUP("other",bug_conf_sheet!$A:$H,4,FALSE))</f>
        <v>0</v>
      </c>
      <c r="P460" s="38">
        <f>IFERROR(VLOOKUP($F460,bug_conf_sheet!$A:$H,5,FALSE),VLOOKUP("other",bug_conf_sheet!$A:$H,5,FALSE))</f>
        <v>0</v>
      </c>
      <c r="Q460" s="38">
        <f>IFERROR(VLOOKUP($F460,bug_conf_sheet!$A:$H,6,FALSE),VLOOKUP("other",bug_conf_sheet!$A:$H,6,FALSE))</f>
        <v>0</v>
      </c>
      <c r="R460" s="38">
        <f>IFERROR(VLOOKUP($F460,bug_conf_sheet!$A:$H,7,FALSE),VLOOKUP("other",bug_conf_sheet!$A:$H,7,FALSE))</f>
        <v>0</v>
      </c>
      <c r="S460" s="38">
        <f>IFERROR(VLOOKUP($F460,bug_conf_sheet!$A:$H,8,FALSE),VLOOKUP("other",bug_conf_sheet!$A:$H,8,FALSE))</f>
        <v>1</v>
      </c>
    </row>
    <row r="461" spans="1:19" ht="21" customHeight="1">
      <c r="A461" s="7" t="str">
        <f t="shared" si="48"/>
        <v>1884222</v>
      </c>
      <c r="B461" s="2" t="str">
        <f t="shared" si="47"/>
        <v>1884</v>
      </c>
      <c r="C461" s="8" t="str">
        <f t="shared" si="49"/>
        <v>4PremiumN5</v>
      </c>
      <c r="D461" s="8" t="str">
        <f t="shared" si="50"/>
        <v>4PremiumN5</v>
      </c>
      <c r="E461" s="10">
        <v>4</v>
      </c>
      <c r="F461" s="5">
        <v>222</v>
      </c>
      <c r="G461" s="8" t="str">
        <f>VLOOKUP(F461,[1]characters!$A:$C,3,FALSE)</f>
        <v>避光の鉄鎖宰相 ルキフグス</v>
      </c>
      <c r="H461" s="8" t="str">
        <f>VLOOKUP(F461,[1]characters!$A:$J,10,FALSE)</f>
        <v>PremiumN</v>
      </c>
      <c r="I461" s="8">
        <f>VLOOKUP(F461,[1]characters!$A:$I,9,FALSE)</f>
        <v>5</v>
      </c>
      <c r="J461" s="8" t="str">
        <f>VLOOKUP(F461,[1]characters!$A:$H,8,FALSE)</f>
        <v>blue</v>
      </c>
      <c r="K461" s="8" t="str">
        <f>VLOOKUP(F461,[1]characters!$A:$K,11,FALSE)</f>
        <v>balance</v>
      </c>
      <c r="L461" s="8" t="str">
        <f>VLOOKUP(F461,[1]characters!$A:$M,13,FALSE)</f>
        <v>god</v>
      </c>
      <c r="M461" s="16">
        <f>VLOOKUP(D461,gacha_188_base!A:B,2,FALSE)</f>
        <v>950</v>
      </c>
      <c r="N461" s="38">
        <f>IFERROR(VLOOKUP($F461,bug_conf_sheet!$A:$H,3,FALSE),VLOOKUP("other",bug_conf_sheet!$A:$H,3,FALSE))</f>
        <v>1</v>
      </c>
      <c r="O461" s="38">
        <f>IFERROR(VLOOKUP($F461,bug_conf_sheet!$A:$H,4,FALSE),VLOOKUP("other",bug_conf_sheet!$A:$H,4,FALSE))</f>
        <v>0</v>
      </c>
      <c r="P461" s="38">
        <f>IFERROR(VLOOKUP($F461,bug_conf_sheet!$A:$H,5,FALSE),VLOOKUP("other",bug_conf_sheet!$A:$H,5,FALSE))</f>
        <v>0</v>
      </c>
      <c r="Q461" s="38">
        <f>IFERROR(VLOOKUP($F461,bug_conf_sheet!$A:$H,6,FALSE),VLOOKUP("other",bug_conf_sheet!$A:$H,6,FALSE))</f>
        <v>0</v>
      </c>
      <c r="R461" s="38">
        <f>IFERROR(VLOOKUP($F461,bug_conf_sheet!$A:$H,7,FALSE),VLOOKUP("other",bug_conf_sheet!$A:$H,7,FALSE))</f>
        <v>0</v>
      </c>
      <c r="S461" s="38">
        <f>IFERROR(VLOOKUP($F461,bug_conf_sheet!$A:$H,8,FALSE),VLOOKUP("other",bug_conf_sheet!$A:$H,8,FALSE))</f>
        <v>1</v>
      </c>
    </row>
    <row r="462" spans="1:19" ht="21" hidden="1" customHeight="1">
      <c r="A462" s="7" t="str">
        <f t="shared" si="48"/>
        <v>1884224</v>
      </c>
      <c r="B462" s="2" t="str">
        <f t="shared" si="47"/>
        <v>1884</v>
      </c>
      <c r="C462" s="8" t="str">
        <f t="shared" si="49"/>
        <v>4PremiumN4</v>
      </c>
      <c r="D462" s="8" t="str">
        <f t="shared" si="50"/>
        <v>4PremiumN4</v>
      </c>
      <c r="E462" s="10">
        <v>4</v>
      </c>
      <c r="F462" s="5">
        <v>224</v>
      </c>
      <c r="G462" s="8" t="str">
        <f>VLOOKUP(F462,[1]characters!$A:$C,3,FALSE)</f>
        <v>巨腕 ヘラクレス</v>
      </c>
      <c r="H462" s="8" t="str">
        <f>VLOOKUP(F462,[1]characters!$A:$J,10,FALSE)</f>
        <v>PremiumN</v>
      </c>
      <c r="I462" s="8">
        <f>VLOOKUP(F462,[1]characters!$A:$I,9,FALSE)</f>
        <v>4</v>
      </c>
      <c r="J462" s="8" t="str">
        <f>VLOOKUP(F462,[1]characters!$A:$H,8,FALSE)</f>
        <v>yellow</v>
      </c>
      <c r="K462" s="8" t="str">
        <f>VLOOKUP(F462,[1]characters!$A:$K,11,FALSE)</f>
        <v>balance</v>
      </c>
      <c r="L462" s="8" t="str">
        <f>VLOOKUP(F462,[1]characters!$A:$M,13,FALSE)</f>
        <v>human</v>
      </c>
      <c r="M462" s="16">
        <f>VLOOKUP(D462,gacha_188_base!A:B,2,FALSE)</f>
        <v>14883</v>
      </c>
      <c r="N462" s="38">
        <f>IFERROR(VLOOKUP($F462,bug_conf_sheet!$A:$H,3,FALSE),VLOOKUP("other",bug_conf_sheet!$A:$H,3,FALSE))</f>
        <v>1</v>
      </c>
      <c r="O462" s="38">
        <f>IFERROR(VLOOKUP($F462,bug_conf_sheet!$A:$H,4,FALSE),VLOOKUP("other",bug_conf_sheet!$A:$H,4,FALSE))</f>
        <v>0</v>
      </c>
      <c r="P462" s="38">
        <f>IFERROR(VLOOKUP($F462,bug_conf_sheet!$A:$H,5,FALSE),VLOOKUP("other",bug_conf_sheet!$A:$H,5,FALSE))</f>
        <v>0</v>
      </c>
      <c r="Q462" s="38">
        <f>IFERROR(VLOOKUP($F462,bug_conf_sheet!$A:$H,6,FALSE),VLOOKUP("other",bug_conf_sheet!$A:$H,6,FALSE))</f>
        <v>0</v>
      </c>
      <c r="R462" s="38">
        <f>IFERROR(VLOOKUP($F462,bug_conf_sheet!$A:$H,7,FALSE),VLOOKUP("other",bug_conf_sheet!$A:$H,7,FALSE))</f>
        <v>0</v>
      </c>
      <c r="S462" s="38">
        <f>IFERROR(VLOOKUP($F462,bug_conf_sheet!$A:$H,8,FALSE),VLOOKUP("other",bug_conf_sheet!$A:$H,8,FALSE))</f>
        <v>1</v>
      </c>
    </row>
    <row r="463" spans="1:19" ht="21" customHeight="1">
      <c r="A463" s="7" t="str">
        <f t="shared" si="48"/>
        <v>1884225</v>
      </c>
      <c r="B463" s="2" t="str">
        <f t="shared" si="47"/>
        <v>1884</v>
      </c>
      <c r="C463" s="8" t="str">
        <f t="shared" si="49"/>
        <v>4PremiumN5</v>
      </c>
      <c r="D463" s="8" t="str">
        <f t="shared" si="50"/>
        <v>4PremiumN5</v>
      </c>
      <c r="E463" s="10">
        <v>4</v>
      </c>
      <c r="F463" s="5">
        <v>225</v>
      </c>
      <c r="G463" s="8" t="str">
        <f>VLOOKUP(F463,[1]characters!$A:$C,3,FALSE)</f>
        <v>咆哮の巨獅腕 ヘラクレス</v>
      </c>
      <c r="H463" s="8" t="str">
        <f>VLOOKUP(F463,[1]characters!$A:$J,10,FALSE)</f>
        <v>PremiumN</v>
      </c>
      <c r="I463" s="8">
        <f>VLOOKUP(F463,[1]characters!$A:$I,9,FALSE)</f>
        <v>5</v>
      </c>
      <c r="J463" s="8" t="str">
        <f>VLOOKUP(F463,[1]characters!$A:$H,8,FALSE)</f>
        <v>yellow</v>
      </c>
      <c r="K463" s="8" t="str">
        <f>VLOOKUP(F463,[1]characters!$A:$K,11,FALSE)</f>
        <v>balance</v>
      </c>
      <c r="L463" s="8" t="str">
        <f>VLOOKUP(F463,[1]characters!$A:$M,13,FALSE)</f>
        <v>human</v>
      </c>
      <c r="M463" s="16">
        <f>VLOOKUP(D463,gacha_188_base!A:B,2,FALSE)</f>
        <v>950</v>
      </c>
      <c r="N463" s="38">
        <f>IFERROR(VLOOKUP($F463,bug_conf_sheet!$A:$H,3,FALSE),VLOOKUP("other",bug_conf_sheet!$A:$H,3,FALSE))</f>
        <v>1</v>
      </c>
      <c r="O463" s="38">
        <f>IFERROR(VLOOKUP($F463,bug_conf_sheet!$A:$H,4,FALSE),VLOOKUP("other",bug_conf_sheet!$A:$H,4,FALSE))</f>
        <v>0</v>
      </c>
      <c r="P463" s="38">
        <f>IFERROR(VLOOKUP($F463,bug_conf_sheet!$A:$H,5,FALSE),VLOOKUP("other",bug_conf_sheet!$A:$H,5,FALSE))</f>
        <v>0</v>
      </c>
      <c r="Q463" s="38">
        <f>IFERROR(VLOOKUP($F463,bug_conf_sheet!$A:$H,6,FALSE),VLOOKUP("other",bug_conf_sheet!$A:$H,6,FALSE))</f>
        <v>0</v>
      </c>
      <c r="R463" s="38">
        <f>IFERROR(VLOOKUP($F463,bug_conf_sheet!$A:$H,7,FALSE),VLOOKUP("other",bug_conf_sheet!$A:$H,7,FALSE))</f>
        <v>0</v>
      </c>
      <c r="S463" s="38">
        <f>IFERROR(VLOOKUP($F463,bug_conf_sheet!$A:$H,8,FALSE),VLOOKUP("other",bug_conf_sheet!$A:$H,8,FALSE))</f>
        <v>1</v>
      </c>
    </row>
    <row r="464" spans="1:19" ht="21" hidden="1" customHeight="1">
      <c r="A464" s="7" t="str">
        <f t="shared" si="48"/>
        <v>1884227</v>
      </c>
      <c r="B464" s="2" t="str">
        <f t="shared" si="47"/>
        <v>1884</v>
      </c>
      <c r="C464" s="8" t="str">
        <f t="shared" si="49"/>
        <v>4PremiumS4</v>
      </c>
      <c r="D464" s="8" t="str">
        <f t="shared" si="50"/>
        <v>4PremiumS4</v>
      </c>
      <c r="E464" s="10">
        <v>4</v>
      </c>
      <c r="F464" s="5">
        <v>227</v>
      </c>
      <c r="G464" s="8" t="str">
        <f>VLOOKUP(F464,[1]characters!$A:$C,3,FALSE)</f>
        <v>滅弾 アレス</v>
      </c>
      <c r="H464" s="8" t="str">
        <f>VLOOKUP(F464,[1]characters!$A:$J,10,FALSE)</f>
        <v>PremiumS</v>
      </c>
      <c r="I464" s="8">
        <f>VLOOKUP(F464,[1]characters!$A:$I,9,FALSE)</f>
        <v>4</v>
      </c>
      <c r="J464" s="8" t="str">
        <f>VLOOKUP(F464,[1]characters!$A:$H,8,FALSE)</f>
        <v>red</v>
      </c>
      <c r="K464" s="8" t="str">
        <f>VLOOKUP(F464,[1]characters!$A:$K,11,FALSE)</f>
        <v>attack</v>
      </c>
      <c r="L464" s="8" t="str">
        <f>VLOOKUP(F464,[1]characters!$A:$M,13,FALSE)</f>
        <v>god</v>
      </c>
      <c r="M464" s="16">
        <f>VLOOKUP(D464,gacha_188_base!A:B,2,FALSE)</f>
        <v>14883</v>
      </c>
      <c r="N464" s="38">
        <f>IFERROR(VLOOKUP($F464,bug_conf_sheet!$A:$H,3,FALSE),VLOOKUP("other",bug_conf_sheet!$A:$H,3,FALSE))</f>
        <v>1</v>
      </c>
      <c r="O464" s="38">
        <f>IFERROR(VLOOKUP($F464,bug_conf_sheet!$A:$H,4,FALSE),VLOOKUP("other",bug_conf_sheet!$A:$H,4,FALSE))</f>
        <v>0</v>
      </c>
      <c r="P464" s="38">
        <f>IFERROR(VLOOKUP($F464,bug_conf_sheet!$A:$H,5,FALSE),VLOOKUP("other",bug_conf_sheet!$A:$H,5,FALSE))</f>
        <v>0</v>
      </c>
      <c r="Q464" s="38">
        <f>IFERROR(VLOOKUP($F464,bug_conf_sheet!$A:$H,6,FALSE),VLOOKUP("other",bug_conf_sheet!$A:$H,6,FALSE))</f>
        <v>0</v>
      </c>
      <c r="R464" s="38">
        <f>IFERROR(VLOOKUP($F464,bug_conf_sheet!$A:$H,7,FALSE),VLOOKUP("other",bug_conf_sheet!$A:$H,7,FALSE))</f>
        <v>0</v>
      </c>
      <c r="S464" s="38">
        <f>IFERROR(VLOOKUP($F464,bug_conf_sheet!$A:$H,8,FALSE),VLOOKUP("other",bug_conf_sheet!$A:$H,8,FALSE))</f>
        <v>1</v>
      </c>
    </row>
    <row r="465" spans="1:19" ht="21" customHeight="1">
      <c r="A465" s="7" t="str">
        <f t="shared" si="48"/>
        <v>1884228</v>
      </c>
      <c r="B465" s="2" t="str">
        <f t="shared" si="47"/>
        <v>1884</v>
      </c>
      <c r="C465" s="8" t="str">
        <f t="shared" si="49"/>
        <v>4PremiumS5</v>
      </c>
      <c r="D465" s="8" t="str">
        <f t="shared" si="50"/>
        <v>4PremiumS5</v>
      </c>
      <c r="E465" s="10">
        <v>4</v>
      </c>
      <c r="F465" s="5">
        <v>228</v>
      </c>
      <c r="G465" s="8" t="str">
        <f>VLOOKUP(F465,[1]characters!$A:$C,3,FALSE)</f>
        <v>殲滅の掃射砲 アレス</v>
      </c>
      <c r="H465" s="8" t="str">
        <f>VLOOKUP(F465,[1]characters!$A:$J,10,FALSE)</f>
        <v>PremiumS</v>
      </c>
      <c r="I465" s="8">
        <f>VLOOKUP(F465,[1]characters!$A:$I,9,FALSE)</f>
        <v>5</v>
      </c>
      <c r="J465" s="8" t="str">
        <f>VLOOKUP(F465,[1]characters!$A:$H,8,FALSE)</f>
        <v>red</v>
      </c>
      <c r="K465" s="8" t="str">
        <f>VLOOKUP(F465,[1]characters!$A:$K,11,FALSE)</f>
        <v>attack</v>
      </c>
      <c r="L465" s="8" t="str">
        <f>VLOOKUP(F465,[1]characters!$A:$M,13,FALSE)</f>
        <v>god</v>
      </c>
      <c r="M465" s="16">
        <f>VLOOKUP(D465,gacha_188_base!A:B,2,FALSE)</f>
        <v>950</v>
      </c>
      <c r="N465" s="38">
        <f>IFERROR(VLOOKUP($F465,bug_conf_sheet!$A:$H,3,FALSE),VLOOKUP("other",bug_conf_sheet!$A:$H,3,FALSE))</f>
        <v>1</v>
      </c>
      <c r="O465" s="38">
        <f>IFERROR(VLOOKUP($F465,bug_conf_sheet!$A:$H,4,FALSE),VLOOKUP("other",bug_conf_sheet!$A:$H,4,FALSE))</f>
        <v>0</v>
      </c>
      <c r="P465" s="38">
        <f>IFERROR(VLOOKUP($F465,bug_conf_sheet!$A:$H,5,FALSE),VLOOKUP("other",bug_conf_sheet!$A:$H,5,FALSE))</f>
        <v>0</v>
      </c>
      <c r="Q465" s="38">
        <f>IFERROR(VLOOKUP($F465,bug_conf_sheet!$A:$H,6,FALSE),VLOOKUP("other",bug_conf_sheet!$A:$H,6,FALSE))</f>
        <v>0</v>
      </c>
      <c r="R465" s="38">
        <f>IFERROR(VLOOKUP($F465,bug_conf_sheet!$A:$H,7,FALSE),VLOOKUP("other",bug_conf_sheet!$A:$H,7,FALSE))</f>
        <v>0</v>
      </c>
      <c r="S465" s="38">
        <f>IFERROR(VLOOKUP($F465,bug_conf_sheet!$A:$H,8,FALSE),VLOOKUP("other",bug_conf_sheet!$A:$H,8,FALSE))</f>
        <v>1</v>
      </c>
    </row>
    <row r="466" spans="1:19" ht="21" hidden="1" customHeight="1">
      <c r="A466" s="7" t="str">
        <f t="shared" si="48"/>
        <v>1884230</v>
      </c>
      <c r="B466" s="2" t="str">
        <f t="shared" si="47"/>
        <v>1884</v>
      </c>
      <c r="C466" s="8" t="str">
        <f t="shared" si="49"/>
        <v>4PremiumS4</v>
      </c>
      <c r="D466" s="8" t="str">
        <f t="shared" si="50"/>
        <v>4PremiumS4</v>
      </c>
      <c r="E466" s="10">
        <v>4</v>
      </c>
      <c r="F466" s="5">
        <v>230</v>
      </c>
      <c r="G466" s="8" t="str">
        <f>VLOOKUP(F466,[1]characters!$A:$C,3,FALSE)</f>
        <v>毒銃 ヨルムンガンド</v>
      </c>
      <c r="H466" s="8" t="str">
        <f>VLOOKUP(F466,[1]characters!$A:$J,10,FALSE)</f>
        <v>PremiumS</v>
      </c>
      <c r="I466" s="8">
        <f>VLOOKUP(F466,[1]characters!$A:$I,9,FALSE)</f>
        <v>4</v>
      </c>
      <c r="J466" s="8" t="str">
        <f>VLOOKUP(F466,[1]characters!$A:$H,8,FALSE)</f>
        <v>green</v>
      </c>
      <c r="K466" s="8" t="str">
        <f>VLOOKUP(F466,[1]characters!$A:$K,11,FALSE)</f>
        <v>technical</v>
      </c>
      <c r="L466" s="8" t="str">
        <f>VLOOKUP(F466,[1]characters!$A:$M,13,FALSE)</f>
        <v>dragon</v>
      </c>
      <c r="M466" s="16">
        <f>VLOOKUP(D466,gacha_188_base!A:B,2,FALSE)</f>
        <v>14883</v>
      </c>
      <c r="N466" s="38">
        <f>IFERROR(VLOOKUP($F466,bug_conf_sheet!$A:$H,3,FALSE),VLOOKUP("other",bug_conf_sheet!$A:$H,3,FALSE))</f>
        <v>1</v>
      </c>
      <c r="O466" s="38">
        <f>IFERROR(VLOOKUP($F466,bug_conf_sheet!$A:$H,4,FALSE),VLOOKUP("other",bug_conf_sheet!$A:$H,4,FALSE))</f>
        <v>0</v>
      </c>
      <c r="P466" s="38">
        <f>IFERROR(VLOOKUP($F466,bug_conf_sheet!$A:$H,5,FALSE),VLOOKUP("other",bug_conf_sheet!$A:$H,5,FALSE))</f>
        <v>0</v>
      </c>
      <c r="Q466" s="38">
        <f>IFERROR(VLOOKUP($F466,bug_conf_sheet!$A:$H,6,FALSE),VLOOKUP("other",bug_conf_sheet!$A:$H,6,FALSE))</f>
        <v>0</v>
      </c>
      <c r="R466" s="38">
        <f>IFERROR(VLOOKUP($F466,bug_conf_sheet!$A:$H,7,FALSE),VLOOKUP("other",bug_conf_sheet!$A:$H,7,FALSE))</f>
        <v>0</v>
      </c>
      <c r="S466" s="38">
        <f>IFERROR(VLOOKUP($F466,bug_conf_sheet!$A:$H,8,FALSE),VLOOKUP("other",bug_conf_sheet!$A:$H,8,FALSE))</f>
        <v>1</v>
      </c>
    </row>
    <row r="467" spans="1:19" ht="21" customHeight="1">
      <c r="A467" s="7" t="str">
        <f t="shared" si="48"/>
        <v>1884231</v>
      </c>
      <c r="B467" s="2" t="str">
        <f t="shared" si="47"/>
        <v>1884</v>
      </c>
      <c r="C467" s="8" t="str">
        <f t="shared" si="49"/>
        <v>4PremiumS5</v>
      </c>
      <c r="D467" s="8" t="str">
        <f t="shared" si="50"/>
        <v>4PremiumS5</v>
      </c>
      <c r="E467" s="10">
        <v>4</v>
      </c>
      <c r="F467" s="5">
        <v>231</v>
      </c>
      <c r="G467" s="8" t="str">
        <f>VLOOKUP(F467,[1]characters!$A:$C,3,FALSE)</f>
        <v>必中の咬銃 ヨルムンガンド</v>
      </c>
      <c r="H467" s="8" t="str">
        <f>VLOOKUP(F467,[1]characters!$A:$J,10,FALSE)</f>
        <v>PremiumS</v>
      </c>
      <c r="I467" s="8">
        <f>VLOOKUP(F467,[1]characters!$A:$I,9,FALSE)</f>
        <v>5</v>
      </c>
      <c r="J467" s="8" t="str">
        <f>VLOOKUP(F467,[1]characters!$A:$H,8,FALSE)</f>
        <v>green</v>
      </c>
      <c r="K467" s="8" t="str">
        <f>VLOOKUP(F467,[1]characters!$A:$K,11,FALSE)</f>
        <v>technical</v>
      </c>
      <c r="L467" s="8" t="str">
        <f>VLOOKUP(F467,[1]characters!$A:$M,13,FALSE)</f>
        <v>dragon</v>
      </c>
      <c r="M467" s="16">
        <f>VLOOKUP(D467,gacha_188_base!A:B,2,FALSE)</f>
        <v>950</v>
      </c>
      <c r="N467" s="38">
        <f>IFERROR(VLOOKUP($F467,bug_conf_sheet!$A:$H,3,FALSE),VLOOKUP("other",bug_conf_sheet!$A:$H,3,FALSE))</f>
        <v>1</v>
      </c>
      <c r="O467" s="38">
        <f>IFERROR(VLOOKUP($F467,bug_conf_sheet!$A:$H,4,FALSE),VLOOKUP("other",bug_conf_sheet!$A:$H,4,FALSE))</f>
        <v>0</v>
      </c>
      <c r="P467" s="38">
        <f>IFERROR(VLOOKUP($F467,bug_conf_sheet!$A:$H,5,FALSE),VLOOKUP("other",bug_conf_sheet!$A:$H,5,FALSE))</f>
        <v>0</v>
      </c>
      <c r="Q467" s="38">
        <f>IFERROR(VLOOKUP($F467,bug_conf_sheet!$A:$H,6,FALSE),VLOOKUP("other",bug_conf_sheet!$A:$H,6,FALSE))</f>
        <v>0</v>
      </c>
      <c r="R467" s="38">
        <f>IFERROR(VLOOKUP($F467,bug_conf_sheet!$A:$H,7,FALSE),VLOOKUP("other",bug_conf_sheet!$A:$H,7,FALSE))</f>
        <v>0</v>
      </c>
      <c r="S467" s="38">
        <f>IFERROR(VLOOKUP($F467,bug_conf_sheet!$A:$H,8,FALSE),VLOOKUP("other",bug_conf_sheet!$A:$H,8,FALSE))</f>
        <v>1</v>
      </c>
    </row>
    <row r="468" spans="1:19" ht="21" hidden="1" customHeight="1">
      <c r="A468" s="7" t="str">
        <f t="shared" si="48"/>
        <v>1884233</v>
      </c>
      <c r="B468" s="2" t="str">
        <f t="shared" si="47"/>
        <v>1884</v>
      </c>
      <c r="C468" s="8" t="str">
        <f t="shared" si="49"/>
        <v>4PremiumS4</v>
      </c>
      <c r="D468" s="8" t="str">
        <f t="shared" si="50"/>
        <v>4PremiumS4</v>
      </c>
      <c r="E468" s="10">
        <v>4</v>
      </c>
      <c r="F468" s="5">
        <v>233</v>
      </c>
      <c r="G468" s="8" t="str">
        <f>VLOOKUP(F468,[1]characters!$A:$C,3,FALSE)</f>
        <v>遂行 パーシヴァル</v>
      </c>
      <c r="H468" s="8" t="str">
        <f>VLOOKUP(F468,[1]characters!$A:$J,10,FALSE)</f>
        <v>PremiumS</v>
      </c>
      <c r="I468" s="8">
        <f>VLOOKUP(F468,[1]characters!$A:$I,9,FALSE)</f>
        <v>4</v>
      </c>
      <c r="J468" s="8" t="str">
        <f>VLOOKUP(F468,[1]characters!$A:$H,8,FALSE)</f>
        <v>blue</v>
      </c>
      <c r="K468" s="8" t="str">
        <f>VLOOKUP(F468,[1]characters!$A:$K,11,FALSE)</f>
        <v>technical</v>
      </c>
      <c r="L468" s="8" t="str">
        <f>VLOOKUP(F468,[1]characters!$A:$M,13,FALSE)</f>
        <v>human</v>
      </c>
      <c r="M468" s="16">
        <f>VLOOKUP(D468,gacha_188_base!A:B,2,FALSE)</f>
        <v>14883</v>
      </c>
      <c r="N468" s="38">
        <f>IFERROR(VLOOKUP($F468,bug_conf_sheet!$A:$H,3,FALSE),VLOOKUP("other",bug_conf_sheet!$A:$H,3,FALSE))</f>
        <v>1</v>
      </c>
      <c r="O468" s="38">
        <f>IFERROR(VLOOKUP($F468,bug_conf_sheet!$A:$H,4,FALSE),VLOOKUP("other",bug_conf_sheet!$A:$H,4,FALSE))</f>
        <v>0</v>
      </c>
      <c r="P468" s="38">
        <f>IFERROR(VLOOKUP($F468,bug_conf_sheet!$A:$H,5,FALSE),VLOOKUP("other",bug_conf_sheet!$A:$H,5,FALSE))</f>
        <v>0</v>
      </c>
      <c r="Q468" s="38">
        <f>IFERROR(VLOOKUP($F468,bug_conf_sheet!$A:$H,6,FALSE),VLOOKUP("other",bug_conf_sheet!$A:$H,6,FALSE))</f>
        <v>0</v>
      </c>
      <c r="R468" s="38">
        <f>IFERROR(VLOOKUP($F468,bug_conf_sheet!$A:$H,7,FALSE),VLOOKUP("other",bug_conf_sheet!$A:$H,7,FALSE))</f>
        <v>0</v>
      </c>
      <c r="S468" s="38">
        <f>IFERROR(VLOOKUP($F468,bug_conf_sheet!$A:$H,8,FALSE),VLOOKUP("other",bug_conf_sheet!$A:$H,8,FALSE))</f>
        <v>1</v>
      </c>
    </row>
    <row r="469" spans="1:19" ht="21" customHeight="1">
      <c r="A469" s="7" t="str">
        <f t="shared" si="48"/>
        <v>1884234</v>
      </c>
      <c r="B469" s="2" t="str">
        <f t="shared" si="47"/>
        <v>1884</v>
      </c>
      <c r="C469" s="8" t="str">
        <f t="shared" si="49"/>
        <v>4PremiumS5</v>
      </c>
      <c r="D469" s="8" t="str">
        <f t="shared" si="50"/>
        <v>4PremiumS5</v>
      </c>
      <c r="E469" s="10">
        <v>4</v>
      </c>
      <c r="F469" s="5">
        <v>234</v>
      </c>
      <c r="G469" s="8" t="str">
        <f>VLOOKUP(F469,[1]characters!$A:$C,3,FALSE)</f>
        <v>精密なる照準 パーシヴァル</v>
      </c>
      <c r="H469" s="8" t="str">
        <f>VLOOKUP(F469,[1]characters!$A:$J,10,FALSE)</f>
        <v>PremiumS</v>
      </c>
      <c r="I469" s="8">
        <f>VLOOKUP(F469,[1]characters!$A:$I,9,FALSE)</f>
        <v>5</v>
      </c>
      <c r="J469" s="8" t="str">
        <f>VLOOKUP(F469,[1]characters!$A:$H,8,FALSE)</f>
        <v>blue</v>
      </c>
      <c r="K469" s="8" t="str">
        <f>VLOOKUP(F469,[1]characters!$A:$K,11,FALSE)</f>
        <v>technical</v>
      </c>
      <c r="L469" s="8" t="str">
        <f>VLOOKUP(F469,[1]characters!$A:$M,13,FALSE)</f>
        <v>human</v>
      </c>
      <c r="M469" s="16">
        <f>VLOOKUP(D469,gacha_188_base!A:B,2,FALSE)</f>
        <v>950</v>
      </c>
      <c r="N469" s="38">
        <f>IFERROR(VLOOKUP($F469,bug_conf_sheet!$A:$H,3,FALSE),VLOOKUP("other",bug_conf_sheet!$A:$H,3,FALSE))</f>
        <v>1</v>
      </c>
      <c r="O469" s="38">
        <f>IFERROR(VLOOKUP($F469,bug_conf_sheet!$A:$H,4,FALSE),VLOOKUP("other",bug_conf_sheet!$A:$H,4,FALSE))</f>
        <v>0</v>
      </c>
      <c r="P469" s="38">
        <f>IFERROR(VLOOKUP($F469,bug_conf_sheet!$A:$H,5,FALSE),VLOOKUP("other",bug_conf_sheet!$A:$H,5,FALSE))</f>
        <v>0</v>
      </c>
      <c r="Q469" s="38">
        <f>IFERROR(VLOOKUP($F469,bug_conf_sheet!$A:$H,6,FALSE),VLOOKUP("other",bug_conf_sheet!$A:$H,6,FALSE))</f>
        <v>0</v>
      </c>
      <c r="R469" s="38">
        <f>IFERROR(VLOOKUP($F469,bug_conf_sheet!$A:$H,7,FALSE),VLOOKUP("other",bug_conf_sheet!$A:$H,7,FALSE))</f>
        <v>0</v>
      </c>
      <c r="S469" s="38">
        <f>IFERROR(VLOOKUP($F469,bug_conf_sheet!$A:$H,8,FALSE),VLOOKUP("other",bug_conf_sheet!$A:$H,8,FALSE))</f>
        <v>1</v>
      </c>
    </row>
    <row r="470" spans="1:19" ht="21" hidden="1" customHeight="1">
      <c r="A470" s="7" t="str">
        <f t="shared" si="48"/>
        <v>1884236</v>
      </c>
      <c r="B470" s="2" t="str">
        <f t="shared" si="47"/>
        <v>1884</v>
      </c>
      <c r="C470" s="8" t="str">
        <f t="shared" si="49"/>
        <v>4PremiumS4</v>
      </c>
      <c r="D470" s="8" t="str">
        <f t="shared" si="50"/>
        <v>4PremiumS4</v>
      </c>
      <c r="E470" s="10">
        <v>4</v>
      </c>
      <c r="F470" s="5">
        <v>236</v>
      </c>
      <c r="G470" s="8" t="str">
        <f>VLOOKUP(F470,[1]characters!$A:$C,3,FALSE)</f>
        <v>神産 イザナミ</v>
      </c>
      <c r="H470" s="8" t="str">
        <f>VLOOKUP(F470,[1]characters!$A:$J,10,FALSE)</f>
        <v>PremiumS</v>
      </c>
      <c r="I470" s="8">
        <f>VLOOKUP(F470,[1]characters!$A:$I,9,FALSE)</f>
        <v>4</v>
      </c>
      <c r="J470" s="8" t="str">
        <f>VLOOKUP(F470,[1]characters!$A:$H,8,FALSE)</f>
        <v>yellow</v>
      </c>
      <c r="K470" s="8" t="str">
        <f>VLOOKUP(F470,[1]characters!$A:$K,11,FALSE)</f>
        <v>attack</v>
      </c>
      <c r="L470" s="8" t="str">
        <f>VLOOKUP(F470,[1]characters!$A:$M,13,FALSE)</f>
        <v>god</v>
      </c>
      <c r="M470" s="16">
        <f>VLOOKUP(D470,gacha_188_base!A:B,2,FALSE)</f>
        <v>14883</v>
      </c>
      <c r="N470" s="38">
        <f>IFERROR(VLOOKUP($F470,bug_conf_sheet!$A:$H,3,FALSE),VLOOKUP("other",bug_conf_sheet!$A:$H,3,FALSE))</f>
        <v>1</v>
      </c>
      <c r="O470" s="38">
        <f>IFERROR(VLOOKUP($F470,bug_conf_sheet!$A:$H,4,FALSE),VLOOKUP("other",bug_conf_sheet!$A:$H,4,FALSE))</f>
        <v>0</v>
      </c>
      <c r="P470" s="38">
        <f>IFERROR(VLOOKUP($F470,bug_conf_sheet!$A:$H,5,FALSE),VLOOKUP("other",bug_conf_sheet!$A:$H,5,FALSE))</f>
        <v>0</v>
      </c>
      <c r="Q470" s="38">
        <f>IFERROR(VLOOKUP($F470,bug_conf_sheet!$A:$H,6,FALSE),VLOOKUP("other",bug_conf_sheet!$A:$H,6,FALSE))</f>
        <v>0</v>
      </c>
      <c r="R470" s="38">
        <f>IFERROR(VLOOKUP($F470,bug_conf_sheet!$A:$H,7,FALSE),VLOOKUP("other",bug_conf_sheet!$A:$H,7,FALSE))</f>
        <v>0</v>
      </c>
      <c r="S470" s="38">
        <f>IFERROR(VLOOKUP($F470,bug_conf_sheet!$A:$H,8,FALSE),VLOOKUP("other",bug_conf_sheet!$A:$H,8,FALSE))</f>
        <v>1</v>
      </c>
    </row>
    <row r="471" spans="1:19" ht="21" customHeight="1">
      <c r="A471" s="7" t="str">
        <f t="shared" si="48"/>
        <v>1884237</v>
      </c>
      <c r="B471" s="2" t="str">
        <f t="shared" si="47"/>
        <v>1884</v>
      </c>
      <c r="C471" s="8" t="str">
        <f t="shared" si="49"/>
        <v>4PremiumS5</v>
      </c>
      <c r="D471" s="8" t="str">
        <f t="shared" si="50"/>
        <v>4PremiumS5</v>
      </c>
      <c r="E471" s="10">
        <v>4</v>
      </c>
      <c r="F471" s="5">
        <v>237</v>
      </c>
      <c r="G471" s="8" t="str">
        <f>VLOOKUP(F471,[1]characters!$A:$C,3,FALSE)</f>
        <v>森羅万象の神母 イザナミ</v>
      </c>
      <c r="H471" s="8" t="str">
        <f>VLOOKUP(F471,[1]characters!$A:$J,10,FALSE)</f>
        <v>PremiumS</v>
      </c>
      <c r="I471" s="8">
        <f>VLOOKUP(F471,[1]characters!$A:$I,9,FALSE)</f>
        <v>5</v>
      </c>
      <c r="J471" s="8" t="str">
        <f>VLOOKUP(F471,[1]characters!$A:$H,8,FALSE)</f>
        <v>yellow</v>
      </c>
      <c r="K471" s="8" t="str">
        <f>VLOOKUP(F471,[1]characters!$A:$K,11,FALSE)</f>
        <v>attack</v>
      </c>
      <c r="L471" s="8" t="str">
        <f>VLOOKUP(F471,[1]characters!$A:$M,13,FALSE)</f>
        <v>god</v>
      </c>
      <c r="M471" s="16">
        <f>VLOOKUP(D471,gacha_188_base!A:B,2,FALSE)</f>
        <v>950</v>
      </c>
      <c r="N471" s="38">
        <f>IFERROR(VLOOKUP($F471,bug_conf_sheet!$A:$H,3,FALSE),VLOOKUP("other",bug_conf_sheet!$A:$H,3,FALSE))</f>
        <v>1</v>
      </c>
      <c r="O471" s="38">
        <f>IFERROR(VLOOKUP($F471,bug_conf_sheet!$A:$H,4,FALSE),VLOOKUP("other",bug_conf_sheet!$A:$H,4,FALSE))</f>
        <v>0</v>
      </c>
      <c r="P471" s="38">
        <f>IFERROR(VLOOKUP($F471,bug_conf_sheet!$A:$H,5,FALSE),VLOOKUP("other",bug_conf_sheet!$A:$H,5,FALSE))</f>
        <v>0</v>
      </c>
      <c r="Q471" s="38">
        <f>IFERROR(VLOOKUP($F471,bug_conf_sheet!$A:$H,6,FALSE),VLOOKUP("other",bug_conf_sheet!$A:$H,6,FALSE))</f>
        <v>0</v>
      </c>
      <c r="R471" s="38">
        <f>IFERROR(VLOOKUP($F471,bug_conf_sheet!$A:$H,7,FALSE),VLOOKUP("other",bug_conf_sheet!$A:$H,7,FALSE))</f>
        <v>0</v>
      </c>
      <c r="S471" s="38">
        <f>IFERROR(VLOOKUP($F471,bug_conf_sheet!$A:$H,8,FALSE),VLOOKUP("other",bug_conf_sheet!$A:$H,8,FALSE))</f>
        <v>1</v>
      </c>
    </row>
    <row r="472" spans="1:19" ht="21" hidden="1" customHeight="1">
      <c r="A472" s="7" t="str">
        <f t="shared" si="48"/>
        <v>1884239</v>
      </c>
      <c r="B472" s="2" t="str">
        <f t="shared" si="47"/>
        <v>1884</v>
      </c>
      <c r="C472" s="8" t="str">
        <f t="shared" si="49"/>
        <v>4PremiumS4</v>
      </c>
      <c r="D472" s="8" t="str">
        <f t="shared" si="50"/>
        <v>4PremiumS4</v>
      </c>
      <c r="E472" s="10">
        <v>4</v>
      </c>
      <c r="F472" s="5">
        <v>239</v>
      </c>
      <c r="G472" s="8" t="str">
        <f>VLOOKUP(F472,[1]characters!$A:$C,3,FALSE)</f>
        <v>豪炎の天使 ウリエル</v>
      </c>
      <c r="H472" s="8" t="str">
        <f>VLOOKUP(F472,[1]characters!$A:$J,10,FALSE)</f>
        <v>PremiumS</v>
      </c>
      <c r="I472" s="8">
        <f>VLOOKUP(F472,[1]characters!$A:$I,9,FALSE)</f>
        <v>4</v>
      </c>
      <c r="J472" s="8" t="str">
        <f>VLOOKUP(F472,[1]characters!$A:$H,8,FALSE)</f>
        <v>red</v>
      </c>
      <c r="K472" s="8" t="str">
        <f>VLOOKUP(F472,[1]characters!$A:$K,11,FALSE)</f>
        <v>hp</v>
      </c>
      <c r="L472" s="8" t="str">
        <f>VLOOKUP(F472,[1]characters!$A:$M,13,FALSE)</f>
        <v>machine</v>
      </c>
      <c r="M472" s="16">
        <f>VLOOKUP(D472,gacha_188_base!A:B,2,FALSE)</f>
        <v>14883</v>
      </c>
      <c r="N472" s="38">
        <f>IFERROR(VLOOKUP($F472,bug_conf_sheet!$A:$H,3,FALSE),VLOOKUP("other",bug_conf_sheet!$A:$H,3,FALSE))</f>
        <v>1</v>
      </c>
      <c r="O472" s="38">
        <f>IFERROR(VLOOKUP($F472,bug_conf_sheet!$A:$H,4,FALSE),VLOOKUP("other",bug_conf_sheet!$A:$H,4,FALSE))</f>
        <v>0</v>
      </c>
      <c r="P472" s="38">
        <f>IFERROR(VLOOKUP($F472,bug_conf_sheet!$A:$H,5,FALSE),VLOOKUP("other",bug_conf_sheet!$A:$H,5,FALSE))</f>
        <v>0</v>
      </c>
      <c r="Q472" s="38">
        <f>IFERROR(VLOOKUP($F472,bug_conf_sheet!$A:$H,6,FALSE),VLOOKUP("other",bug_conf_sheet!$A:$H,6,FALSE))</f>
        <v>0</v>
      </c>
      <c r="R472" s="38">
        <f>IFERROR(VLOOKUP($F472,bug_conf_sheet!$A:$H,7,FALSE),VLOOKUP("other",bug_conf_sheet!$A:$H,7,FALSE))</f>
        <v>0</v>
      </c>
      <c r="S472" s="38">
        <f>IFERROR(VLOOKUP($F472,bug_conf_sheet!$A:$H,8,FALSE),VLOOKUP("other",bug_conf_sheet!$A:$H,8,FALSE))</f>
        <v>1</v>
      </c>
    </row>
    <row r="473" spans="1:19" ht="21" customHeight="1">
      <c r="A473" s="7" t="str">
        <f t="shared" si="48"/>
        <v>1884240</v>
      </c>
      <c r="B473" s="2" t="str">
        <f t="shared" si="47"/>
        <v>1884</v>
      </c>
      <c r="C473" s="8" t="str">
        <f t="shared" si="49"/>
        <v>4PremiumS5</v>
      </c>
      <c r="D473" s="8" t="str">
        <f t="shared" si="50"/>
        <v>4PremiumS5</v>
      </c>
      <c r="E473" s="10">
        <v>4</v>
      </c>
      <c r="F473" s="5">
        <v>240</v>
      </c>
      <c r="G473" s="8" t="str">
        <f>VLOOKUP(F473,[1]characters!$A:$C,3,FALSE)</f>
        <v>轟炎の天使 ウリエル・スレイヤー</v>
      </c>
      <c r="H473" s="8" t="str">
        <f>VLOOKUP(F473,[1]characters!$A:$J,10,FALSE)</f>
        <v>PremiumS</v>
      </c>
      <c r="I473" s="8">
        <f>VLOOKUP(F473,[1]characters!$A:$I,9,FALSE)</f>
        <v>5</v>
      </c>
      <c r="J473" s="8" t="str">
        <f>VLOOKUP(F473,[1]characters!$A:$H,8,FALSE)</f>
        <v>red</v>
      </c>
      <c r="K473" s="8" t="str">
        <f>VLOOKUP(F473,[1]characters!$A:$K,11,FALSE)</f>
        <v>hp</v>
      </c>
      <c r="L473" s="8" t="str">
        <f>VLOOKUP(F473,[1]characters!$A:$M,13,FALSE)</f>
        <v>machine</v>
      </c>
      <c r="M473" s="16">
        <f>VLOOKUP(D473,gacha_188_base!A:B,2,FALSE)</f>
        <v>950</v>
      </c>
      <c r="N473" s="38">
        <f>IFERROR(VLOOKUP($F473,bug_conf_sheet!$A:$H,3,FALSE),VLOOKUP("other",bug_conf_sheet!$A:$H,3,FALSE))</f>
        <v>1</v>
      </c>
      <c r="O473" s="38">
        <f>IFERROR(VLOOKUP($F473,bug_conf_sheet!$A:$H,4,FALSE),VLOOKUP("other",bug_conf_sheet!$A:$H,4,FALSE))</f>
        <v>0</v>
      </c>
      <c r="P473" s="38">
        <f>IFERROR(VLOOKUP($F473,bug_conf_sheet!$A:$H,5,FALSE),VLOOKUP("other",bug_conf_sheet!$A:$H,5,FALSE))</f>
        <v>0</v>
      </c>
      <c r="Q473" s="38">
        <f>IFERROR(VLOOKUP($F473,bug_conf_sheet!$A:$H,6,FALSE),VLOOKUP("other",bug_conf_sheet!$A:$H,6,FALSE))</f>
        <v>0</v>
      </c>
      <c r="R473" s="38">
        <f>IFERROR(VLOOKUP($F473,bug_conf_sheet!$A:$H,7,FALSE),VLOOKUP("other",bug_conf_sheet!$A:$H,7,FALSE))</f>
        <v>0</v>
      </c>
      <c r="S473" s="38">
        <f>IFERROR(VLOOKUP($F473,bug_conf_sheet!$A:$H,8,FALSE),VLOOKUP("other",bug_conf_sheet!$A:$H,8,FALSE))</f>
        <v>1</v>
      </c>
    </row>
    <row r="474" spans="1:19" ht="21" hidden="1" customHeight="1">
      <c r="A474" s="7" t="str">
        <f t="shared" si="48"/>
        <v>1884242</v>
      </c>
      <c r="B474" s="2" t="str">
        <f t="shared" si="47"/>
        <v>1884</v>
      </c>
      <c r="C474" s="8" t="str">
        <f t="shared" si="49"/>
        <v>4PremiumS4</v>
      </c>
      <c r="D474" s="8" t="str">
        <f t="shared" si="50"/>
        <v>4PremiumS4</v>
      </c>
      <c r="E474" s="10">
        <v>4</v>
      </c>
      <c r="F474" s="5">
        <v>242</v>
      </c>
      <c r="G474" s="8" t="str">
        <f>VLOOKUP(F474,[1]characters!$A:$C,3,FALSE)</f>
        <v>百花の天使 ガブリエル</v>
      </c>
      <c r="H474" s="8" t="str">
        <f>VLOOKUP(F474,[1]characters!$A:$J,10,FALSE)</f>
        <v>PremiumS</v>
      </c>
      <c r="I474" s="8">
        <f>VLOOKUP(F474,[1]characters!$A:$I,9,FALSE)</f>
        <v>4</v>
      </c>
      <c r="J474" s="8" t="str">
        <f>VLOOKUP(F474,[1]characters!$A:$H,8,FALSE)</f>
        <v>green</v>
      </c>
      <c r="K474" s="8" t="str">
        <f>VLOOKUP(F474,[1]characters!$A:$K,11,FALSE)</f>
        <v>balance</v>
      </c>
      <c r="L474" s="8" t="str">
        <f>VLOOKUP(F474,[1]characters!$A:$M,13,FALSE)</f>
        <v>machine</v>
      </c>
      <c r="M474" s="16">
        <f>VLOOKUP(D474,gacha_188_base!A:B,2,FALSE)</f>
        <v>14883</v>
      </c>
      <c r="N474" s="38">
        <f>IFERROR(VLOOKUP($F474,bug_conf_sheet!$A:$H,3,FALSE),VLOOKUP("other",bug_conf_sheet!$A:$H,3,FALSE))</f>
        <v>1</v>
      </c>
      <c r="O474" s="38">
        <f>IFERROR(VLOOKUP($F474,bug_conf_sheet!$A:$H,4,FALSE),VLOOKUP("other",bug_conf_sheet!$A:$H,4,FALSE))</f>
        <v>0</v>
      </c>
      <c r="P474" s="38">
        <f>IFERROR(VLOOKUP($F474,bug_conf_sheet!$A:$H,5,FALSE),VLOOKUP("other",bug_conf_sheet!$A:$H,5,FALSE))</f>
        <v>0</v>
      </c>
      <c r="Q474" s="38">
        <f>IFERROR(VLOOKUP($F474,bug_conf_sheet!$A:$H,6,FALSE),VLOOKUP("other",bug_conf_sheet!$A:$H,6,FALSE))</f>
        <v>0</v>
      </c>
      <c r="R474" s="38">
        <f>IFERROR(VLOOKUP($F474,bug_conf_sheet!$A:$H,7,FALSE),VLOOKUP("other",bug_conf_sheet!$A:$H,7,FALSE))</f>
        <v>0</v>
      </c>
      <c r="S474" s="38">
        <f>IFERROR(VLOOKUP($F474,bug_conf_sheet!$A:$H,8,FALSE),VLOOKUP("other",bug_conf_sheet!$A:$H,8,FALSE))</f>
        <v>1</v>
      </c>
    </row>
    <row r="475" spans="1:19" ht="21" customHeight="1">
      <c r="A475" s="7" t="str">
        <f t="shared" si="48"/>
        <v>1884243</v>
      </c>
      <c r="B475" s="2" t="str">
        <f t="shared" si="47"/>
        <v>1884</v>
      </c>
      <c r="C475" s="8" t="str">
        <f t="shared" si="49"/>
        <v>4PremiumS5</v>
      </c>
      <c r="D475" s="8" t="str">
        <f t="shared" si="50"/>
        <v>4PremiumS5</v>
      </c>
      <c r="E475" s="10">
        <v>4</v>
      </c>
      <c r="F475" s="5">
        <v>243</v>
      </c>
      <c r="G475" s="8" t="str">
        <f>VLOOKUP(F475,[1]characters!$A:$C,3,FALSE)</f>
        <v>万花の天使 ガブリエル・ブルーム</v>
      </c>
      <c r="H475" s="8" t="str">
        <f>VLOOKUP(F475,[1]characters!$A:$J,10,FALSE)</f>
        <v>PremiumS</v>
      </c>
      <c r="I475" s="8">
        <f>VLOOKUP(F475,[1]characters!$A:$I,9,FALSE)</f>
        <v>5</v>
      </c>
      <c r="J475" s="8" t="str">
        <f>VLOOKUP(F475,[1]characters!$A:$H,8,FALSE)</f>
        <v>green</v>
      </c>
      <c r="K475" s="8" t="str">
        <f>VLOOKUP(F475,[1]characters!$A:$K,11,FALSE)</f>
        <v>balance</v>
      </c>
      <c r="L475" s="8" t="str">
        <f>VLOOKUP(F475,[1]characters!$A:$M,13,FALSE)</f>
        <v>machine</v>
      </c>
      <c r="M475" s="16">
        <f>VLOOKUP(D475,gacha_188_base!A:B,2,FALSE)</f>
        <v>950</v>
      </c>
      <c r="N475" s="38">
        <f>IFERROR(VLOOKUP($F475,bug_conf_sheet!$A:$H,3,FALSE),VLOOKUP("other",bug_conf_sheet!$A:$H,3,FALSE))</f>
        <v>1</v>
      </c>
      <c r="O475" s="38">
        <f>IFERROR(VLOOKUP($F475,bug_conf_sheet!$A:$H,4,FALSE),VLOOKUP("other",bug_conf_sheet!$A:$H,4,FALSE))</f>
        <v>0</v>
      </c>
      <c r="P475" s="38">
        <f>IFERROR(VLOOKUP($F475,bug_conf_sheet!$A:$H,5,FALSE),VLOOKUP("other",bug_conf_sheet!$A:$H,5,FALSE))</f>
        <v>0</v>
      </c>
      <c r="Q475" s="38">
        <f>IFERROR(VLOOKUP($F475,bug_conf_sheet!$A:$H,6,FALSE),VLOOKUP("other",bug_conf_sheet!$A:$H,6,FALSE))</f>
        <v>0</v>
      </c>
      <c r="R475" s="38">
        <f>IFERROR(VLOOKUP($F475,bug_conf_sheet!$A:$H,7,FALSE),VLOOKUP("other",bug_conf_sheet!$A:$H,7,FALSE))</f>
        <v>0</v>
      </c>
      <c r="S475" s="38">
        <f>IFERROR(VLOOKUP($F475,bug_conf_sheet!$A:$H,8,FALSE),VLOOKUP("other",bug_conf_sheet!$A:$H,8,FALSE))</f>
        <v>1</v>
      </c>
    </row>
    <row r="476" spans="1:19" ht="21" hidden="1" customHeight="1">
      <c r="A476" s="7" t="str">
        <f t="shared" si="48"/>
        <v>1884245</v>
      </c>
      <c r="B476" s="2" t="str">
        <f t="shared" si="47"/>
        <v>1884</v>
      </c>
      <c r="C476" s="8" t="str">
        <f t="shared" si="49"/>
        <v>4PremiumS4</v>
      </c>
      <c r="D476" s="8" t="str">
        <f t="shared" si="50"/>
        <v>4PremiumS4</v>
      </c>
      <c r="E476" s="10">
        <v>4</v>
      </c>
      <c r="F476" s="5">
        <v>245</v>
      </c>
      <c r="G476" s="8" t="str">
        <f>VLOOKUP(F476,[1]characters!$A:$C,3,FALSE)</f>
        <v>鎮癒の天使 ラファエル</v>
      </c>
      <c r="H476" s="8" t="str">
        <f>VLOOKUP(F476,[1]characters!$A:$J,10,FALSE)</f>
        <v>PremiumS</v>
      </c>
      <c r="I476" s="8">
        <f>VLOOKUP(F476,[1]characters!$A:$I,9,FALSE)</f>
        <v>4</v>
      </c>
      <c r="J476" s="8" t="str">
        <f>VLOOKUP(F476,[1]characters!$A:$H,8,FALSE)</f>
        <v>blue</v>
      </c>
      <c r="K476" s="8" t="str">
        <f>VLOOKUP(F476,[1]characters!$A:$K,11,FALSE)</f>
        <v>balance</v>
      </c>
      <c r="L476" s="8" t="str">
        <f>VLOOKUP(F476,[1]characters!$A:$M,13,FALSE)</f>
        <v>machine</v>
      </c>
      <c r="M476" s="16">
        <f>VLOOKUP(D476,gacha_188_base!A:B,2,FALSE)</f>
        <v>14883</v>
      </c>
      <c r="N476" s="38">
        <f>IFERROR(VLOOKUP($F476,bug_conf_sheet!$A:$H,3,FALSE),VLOOKUP("other",bug_conf_sheet!$A:$H,3,FALSE))</f>
        <v>1</v>
      </c>
      <c r="O476" s="38">
        <f>IFERROR(VLOOKUP($F476,bug_conf_sheet!$A:$H,4,FALSE),VLOOKUP("other",bug_conf_sheet!$A:$H,4,FALSE))</f>
        <v>0</v>
      </c>
      <c r="P476" s="38">
        <f>IFERROR(VLOOKUP($F476,bug_conf_sheet!$A:$H,5,FALSE),VLOOKUP("other",bug_conf_sheet!$A:$H,5,FALSE))</f>
        <v>0</v>
      </c>
      <c r="Q476" s="38">
        <f>IFERROR(VLOOKUP($F476,bug_conf_sheet!$A:$H,6,FALSE),VLOOKUP("other",bug_conf_sheet!$A:$H,6,FALSE))</f>
        <v>0</v>
      </c>
      <c r="R476" s="38">
        <f>IFERROR(VLOOKUP($F476,bug_conf_sheet!$A:$H,7,FALSE),VLOOKUP("other",bug_conf_sheet!$A:$H,7,FALSE))</f>
        <v>0</v>
      </c>
      <c r="S476" s="38">
        <f>IFERROR(VLOOKUP($F476,bug_conf_sheet!$A:$H,8,FALSE),VLOOKUP("other",bug_conf_sheet!$A:$H,8,FALSE))</f>
        <v>1</v>
      </c>
    </row>
    <row r="477" spans="1:19" ht="21" customHeight="1">
      <c r="A477" s="7" t="str">
        <f t="shared" si="48"/>
        <v>1884246</v>
      </c>
      <c r="B477" s="2" t="str">
        <f t="shared" si="47"/>
        <v>1884</v>
      </c>
      <c r="C477" s="8" t="str">
        <f t="shared" si="49"/>
        <v>4PremiumS5</v>
      </c>
      <c r="D477" s="8" t="str">
        <f t="shared" si="50"/>
        <v>4PremiumS5</v>
      </c>
      <c r="E477" s="10">
        <v>4</v>
      </c>
      <c r="F477" s="5">
        <v>246</v>
      </c>
      <c r="G477" s="8" t="str">
        <f>VLOOKUP(F477,[1]characters!$A:$C,3,FALSE)</f>
        <v>真癒の天使 ラファエル・メディカ</v>
      </c>
      <c r="H477" s="8" t="str">
        <f>VLOOKUP(F477,[1]characters!$A:$J,10,FALSE)</f>
        <v>PremiumS</v>
      </c>
      <c r="I477" s="8">
        <f>VLOOKUP(F477,[1]characters!$A:$I,9,FALSE)</f>
        <v>5</v>
      </c>
      <c r="J477" s="8" t="str">
        <f>VLOOKUP(F477,[1]characters!$A:$H,8,FALSE)</f>
        <v>blue</v>
      </c>
      <c r="K477" s="8" t="str">
        <f>VLOOKUP(F477,[1]characters!$A:$K,11,FALSE)</f>
        <v>balance</v>
      </c>
      <c r="L477" s="8" t="str">
        <f>VLOOKUP(F477,[1]characters!$A:$M,13,FALSE)</f>
        <v>machine</v>
      </c>
      <c r="M477" s="16">
        <f>VLOOKUP(D477,gacha_188_base!A:B,2,FALSE)</f>
        <v>950</v>
      </c>
      <c r="N477" s="38">
        <f>IFERROR(VLOOKUP($F477,bug_conf_sheet!$A:$H,3,FALSE),VLOOKUP("other",bug_conf_sheet!$A:$H,3,FALSE))</f>
        <v>1</v>
      </c>
      <c r="O477" s="38">
        <f>IFERROR(VLOOKUP($F477,bug_conf_sheet!$A:$H,4,FALSE),VLOOKUP("other",bug_conf_sheet!$A:$H,4,FALSE))</f>
        <v>0</v>
      </c>
      <c r="P477" s="38">
        <f>IFERROR(VLOOKUP($F477,bug_conf_sheet!$A:$H,5,FALSE),VLOOKUP("other",bug_conf_sheet!$A:$H,5,FALSE))</f>
        <v>0</v>
      </c>
      <c r="Q477" s="38">
        <f>IFERROR(VLOOKUP($F477,bug_conf_sheet!$A:$H,6,FALSE),VLOOKUP("other",bug_conf_sheet!$A:$H,6,FALSE))</f>
        <v>0</v>
      </c>
      <c r="R477" s="38">
        <f>IFERROR(VLOOKUP($F477,bug_conf_sheet!$A:$H,7,FALSE),VLOOKUP("other",bug_conf_sheet!$A:$H,7,FALSE))</f>
        <v>0</v>
      </c>
      <c r="S477" s="38">
        <f>IFERROR(VLOOKUP($F477,bug_conf_sheet!$A:$H,8,FALSE),VLOOKUP("other",bug_conf_sheet!$A:$H,8,FALSE))</f>
        <v>1</v>
      </c>
    </row>
    <row r="478" spans="1:19" ht="21" hidden="1" customHeight="1">
      <c r="A478" s="7" t="str">
        <f t="shared" si="48"/>
        <v>1884248</v>
      </c>
      <c r="B478" s="2" t="str">
        <f t="shared" si="47"/>
        <v>1884</v>
      </c>
      <c r="C478" s="8" t="str">
        <f t="shared" si="49"/>
        <v>4PremiumS4</v>
      </c>
      <c r="D478" s="8" t="str">
        <f t="shared" si="50"/>
        <v>4PremiumS4</v>
      </c>
      <c r="E478" s="10">
        <v>4</v>
      </c>
      <c r="F478" s="5">
        <v>248</v>
      </c>
      <c r="G478" s="8" t="str">
        <f>VLOOKUP(F478,[1]characters!$A:$C,3,FALSE)</f>
        <v>彩電の天使 ミカエル</v>
      </c>
      <c r="H478" s="8" t="str">
        <f>VLOOKUP(F478,[1]characters!$A:$J,10,FALSE)</f>
        <v>PremiumS</v>
      </c>
      <c r="I478" s="8">
        <f>VLOOKUP(F478,[1]characters!$A:$I,9,FALSE)</f>
        <v>4</v>
      </c>
      <c r="J478" s="8" t="str">
        <f>VLOOKUP(F478,[1]characters!$A:$H,8,FALSE)</f>
        <v>yellow</v>
      </c>
      <c r="K478" s="8" t="str">
        <f>VLOOKUP(F478,[1]characters!$A:$K,11,FALSE)</f>
        <v>attack</v>
      </c>
      <c r="L478" s="8" t="str">
        <f>VLOOKUP(F478,[1]characters!$A:$M,13,FALSE)</f>
        <v>machine</v>
      </c>
      <c r="M478" s="16">
        <f>VLOOKUP(D478,gacha_188_base!A:B,2,FALSE)</f>
        <v>14883</v>
      </c>
      <c r="N478" s="38">
        <f>IFERROR(VLOOKUP($F478,bug_conf_sheet!$A:$H,3,FALSE),VLOOKUP("other",bug_conf_sheet!$A:$H,3,FALSE))</f>
        <v>1</v>
      </c>
      <c r="O478" s="38">
        <f>IFERROR(VLOOKUP($F478,bug_conf_sheet!$A:$H,4,FALSE),VLOOKUP("other",bug_conf_sheet!$A:$H,4,FALSE))</f>
        <v>0</v>
      </c>
      <c r="P478" s="38">
        <f>IFERROR(VLOOKUP($F478,bug_conf_sheet!$A:$H,5,FALSE),VLOOKUP("other",bug_conf_sheet!$A:$H,5,FALSE))</f>
        <v>0</v>
      </c>
      <c r="Q478" s="38">
        <f>IFERROR(VLOOKUP($F478,bug_conf_sheet!$A:$H,6,FALSE),VLOOKUP("other",bug_conf_sheet!$A:$H,6,FALSE))</f>
        <v>0</v>
      </c>
      <c r="R478" s="38">
        <f>IFERROR(VLOOKUP($F478,bug_conf_sheet!$A:$H,7,FALSE),VLOOKUP("other",bug_conf_sheet!$A:$H,7,FALSE))</f>
        <v>0</v>
      </c>
      <c r="S478" s="38">
        <f>IFERROR(VLOOKUP($F478,bug_conf_sheet!$A:$H,8,FALSE),VLOOKUP("other",bug_conf_sheet!$A:$H,8,FALSE))</f>
        <v>1</v>
      </c>
    </row>
    <row r="479" spans="1:19" ht="21" customHeight="1">
      <c r="A479" s="7" t="str">
        <f t="shared" si="48"/>
        <v>1884249</v>
      </c>
      <c r="B479" s="2" t="str">
        <f t="shared" si="47"/>
        <v>1884</v>
      </c>
      <c r="C479" s="8" t="str">
        <f t="shared" si="49"/>
        <v>4PremiumS5</v>
      </c>
      <c r="D479" s="8" t="str">
        <f t="shared" si="50"/>
        <v>4PremiumS5</v>
      </c>
      <c r="E479" s="10">
        <v>4</v>
      </c>
      <c r="F479" s="6">
        <v>249</v>
      </c>
      <c r="G479" s="8" t="str">
        <f>VLOOKUP(F479,[1]characters!$A:$C,3,FALSE)</f>
        <v>雷電の天使 ミカエル・ゲイナー</v>
      </c>
      <c r="H479" s="8" t="str">
        <f>VLOOKUP(F479,[1]characters!$A:$J,10,FALSE)</f>
        <v>PremiumS</v>
      </c>
      <c r="I479" s="8">
        <f>VLOOKUP(F479,[1]characters!$A:$I,9,FALSE)</f>
        <v>5</v>
      </c>
      <c r="J479" s="8" t="str">
        <f>VLOOKUP(F479,[1]characters!$A:$H,8,FALSE)</f>
        <v>yellow</v>
      </c>
      <c r="K479" s="8" t="str">
        <f>VLOOKUP(F479,[1]characters!$A:$K,11,FALSE)</f>
        <v>attack</v>
      </c>
      <c r="L479" s="8" t="str">
        <f>VLOOKUP(F479,[1]characters!$A:$M,13,FALSE)</f>
        <v>machine</v>
      </c>
      <c r="M479" s="16">
        <f>VLOOKUP(D479,gacha_188_base!A:B,2,FALSE)</f>
        <v>950</v>
      </c>
      <c r="N479" s="38">
        <f>IFERROR(VLOOKUP($F479,bug_conf_sheet!$A:$H,3,FALSE),VLOOKUP("other",bug_conf_sheet!$A:$H,3,FALSE))</f>
        <v>1</v>
      </c>
      <c r="O479" s="38">
        <f>IFERROR(VLOOKUP($F479,bug_conf_sheet!$A:$H,4,FALSE),VLOOKUP("other",bug_conf_sheet!$A:$H,4,FALSE))</f>
        <v>0</v>
      </c>
      <c r="P479" s="38">
        <f>IFERROR(VLOOKUP($F479,bug_conf_sheet!$A:$H,5,FALSE),VLOOKUP("other",bug_conf_sheet!$A:$H,5,FALSE))</f>
        <v>0</v>
      </c>
      <c r="Q479" s="38">
        <f>IFERROR(VLOOKUP($F479,bug_conf_sheet!$A:$H,6,FALSE),VLOOKUP("other",bug_conf_sheet!$A:$H,6,FALSE))</f>
        <v>0</v>
      </c>
      <c r="R479" s="38">
        <f>IFERROR(VLOOKUP($F479,bug_conf_sheet!$A:$H,7,FALSE),VLOOKUP("other",bug_conf_sheet!$A:$H,7,FALSE))</f>
        <v>0</v>
      </c>
      <c r="S479" s="38">
        <f>IFERROR(VLOOKUP($F479,bug_conf_sheet!$A:$H,8,FALSE),VLOOKUP("other",bug_conf_sheet!$A:$H,8,FALSE))</f>
        <v>1</v>
      </c>
    </row>
    <row r="480" spans="1:19" ht="21" hidden="1" customHeight="1">
      <c r="A480" s="7" t="str">
        <f t="shared" si="48"/>
        <v>1884251</v>
      </c>
      <c r="B480" s="2" t="str">
        <f t="shared" si="47"/>
        <v>1884</v>
      </c>
      <c r="C480" s="8" t="str">
        <f t="shared" si="49"/>
        <v>4PremiumS4</v>
      </c>
      <c r="D480" s="8" t="str">
        <f t="shared" si="50"/>
        <v>4PremiumS4</v>
      </c>
      <c r="E480" s="10">
        <v>4</v>
      </c>
      <c r="F480" s="6">
        <v>251</v>
      </c>
      <c r="G480" s="8" t="str">
        <f>VLOOKUP(F480,[1]characters!$A:$C,3,FALSE)</f>
        <v>強欲 マンモン</v>
      </c>
      <c r="H480" s="8" t="str">
        <f>VLOOKUP(F480,[1]characters!$A:$J,10,FALSE)</f>
        <v>PremiumS</v>
      </c>
      <c r="I480" s="8">
        <f>VLOOKUP(F480,[1]characters!$A:$I,9,FALSE)</f>
        <v>4</v>
      </c>
      <c r="J480" s="8" t="str">
        <f>VLOOKUP(F480,[1]characters!$A:$H,8,FALSE)</f>
        <v>red</v>
      </c>
      <c r="K480" s="8" t="str">
        <f>VLOOKUP(F480,[1]characters!$A:$K,11,FALSE)</f>
        <v>balance</v>
      </c>
      <c r="L480" s="8" t="str">
        <f>VLOOKUP(F480,[1]characters!$A:$M,13,FALSE)</f>
        <v>god</v>
      </c>
      <c r="M480" s="16">
        <f>VLOOKUP(D480,gacha_188_base!A:B,2,FALSE)</f>
        <v>14883</v>
      </c>
      <c r="N480" s="38">
        <f>IFERROR(VLOOKUP($F480,bug_conf_sheet!$A:$H,3,FALSE),VLOOKUP("other",bug_conf_sheet!$A:$H,3,FALSE))</f>
        <v>1</v>
      </c>
      <c r="O480" s="38">
        <f>IFERROR(VLOOKUP($F480,bug_conf_sheet!$A:$H,4,FALSE),VLOOKUP("other",bug_conf_sheet!$A:$H,4,FALSE))</f>
        <v>0</v>
      </c>
      <c r="P480" s="38">
        <f>IFERROR(VLOOKUP($F480,bug_conf_sheet!$A:$H,5,FALSE),VLOOKUP("other",bug_conf_sheet!$A:$H,5,FALSE))</f>
        <v>0</v>
      </c>
      <c r="Q480" s="38">
        <f>IFERROR(VLOOKUP($F480,bug_conf_sheet!$A:$H,6,FALSE),VLOOKUP("other",bug_conf_sheet!$A:$H,6,FALSE))</f>
        <v>0</v>
      </c>
      <c r="R480" s="38">
        <f>IFERROR(VLOOKUP($F480,bug_conf_sheet!$A:$H,7,FALSE),VLOOKUP("other",bug_conf_sheet!$A:$H,7,FALSE))</f>
        <v>0</v>
      </c>
      <c r="S480" s="38">
        <f>IFERROR(VLOOKUP($F480,bug_conf_sheet!$A:$H,8,FALSE),VLOOKUP("other",bug_conf_sheet!$A:$H,8,FALSE))</f>
        <v>1</v>
      </c>
    </row>
    <row r="481" spans="1:19" ht="21" customHeight="1">
      <c r="A481" s="7" t="str">
        <f t="shared" si="48"/>
        <v>1884252</v>
      </c>
      <c r="B481" s="2" t="str">
        <f t="shared" si="47"/>
        <v>1884</v>
      </c>
      <c r="C481" s="8" t="str">
        <f t="shared" si="49"/>
        <v>4PremiumS5</v>
      </c>
      <c r="D481" s="8" t="str">
        <f t="shared" si="50"/>
        <v>4PremiumS5</v>
      </c>
      <c r="E481" s="10">
        <v>4</v>
      </c>
      <c r="F481" s="6">
        <v>252</v>
      </c>
      <c r="G481" s="8" t="str">
        <f>VLOOKUP(F481,[1]characters!$A:$C,3,FALSE)</f>
        <v>強欲の沸騰 マンモン</v>
      </c>
      <c r="H481" s="8" t="str">
        <f>VLOOKUP(F481,[1]characters!$A:$J,10,FALSE)</f>
        <v>PremiumS</v>
      </c>
      <c r="I481" s="8">
        <f>VLOOKUP(F481,[1]characters!$A:$I,9,FALSE)</f>
        <v>5</v>
      </c>
      <c r="J481" s="8" t="str">
        <f>VLOOKUP(F481,[1]characters!$A:$H,8,FALSE)</f>
        <v>red</v>
      </c>
      <c r="K481" s="8" t="str">
        <f>VLOOKUP(F481,[1]characters!$A:$K,11,FALSE)</f>
        <v>balance</v>
      </c>
      <c r="L481" s="8" t="str">
        <f>VLOOKUP(F481,[1]characters!$A:$M,13,FALSE)</f>
        <v>god</v>
      </c>
      <c r="M481" s="16">
        <f>VLOOKUP(D481,gacha_188_base!A:B,2,FALSE)</f>
        <v>950</v>
      </c>
      <c r="N481" s="38">
        <f>IFERROR(VLOOKUP($F481,bug_conf_sheet!$A:$H,3,FALSE),VLOOKUP("other",bug_conf_sheet!$A:$H,3,FALSE))</f>
        <v>1</v>
      </c>
      <c r="O481" s="38">
        <f>IFERROR(VLOOKUP($F481,bug_conf_sheet!$A:$H,4,FALSE),VLOOKUP("other",bug_conf_sheet!$A:$H,4,FALSE))</f>
        <v>0</v>
      </c>
      <c r="P481" s="38">
        <f>IFERROR(VLOOKUP($F481,bug_conf_sheet!$A:$H,5,FALSE),VLOOKUP("other",bug_conf_sheet!$A:$H,5,FALSE))</f>
        <v>0</v>
      </c>
      <c r="Q481" s="38">
        <f>IFERROR(VLOOKUP($F481,bug_conf_sheet!$A:$H,6,FALSE),VLOOKUP("other",bug_conf_sheet!$A:$H,6,FALSE))</f>
        <v>0</v>
      </c>
      <c r="R481" s="38">
        <f>IFERROR(VLOOKUP($F481,bug_conf_sheet!$A:$H,7,FALSE),VLOOKUP("other",bug_conf_sheet!$A:$H,7,FALSE))</f>
        <v>0</v>
      </c>
      <c r="S481" s="38">
        <f>IFERROR(VLOOKUP($F481,bug_conf_sheet!$A:$H,8,FALSE),VLOOKUP("other",bug_conf_sheet!$A:$H,8,FALSE))</f>
        <v>1</v>
      </c>
    </row>
    <row r="482" spans="1:19" ht="21" hidden="1" customHeight="1">
      <c r="A482" s="7" t="str">
        <f t="shared" si="48"/>
        <v>1884254</v>
      </c>
      <c r="B482" s="2" t="str">
        <f t="shared" si="47"/>
        <v>1884</v>
      </c>
      <c r="C482" s="8" t="str">
        <f t="shared" si="49"/>
        <v>4PremiumS4</v>
      </c>
      <c r="D482" s="8" t="str">
        <f t="shared" si="50"/>
        <v>4PremiumS4</v>
      </c>
      <c r="E482" s="10">
        <v>4</v>
      </c>
      <c r="F482" s="6">
        <v>254</v>
      </c>
      <c r="G482" s="8" t="str">
        <f>VLOOKUP(F482,[1]characters!$A:$C,3,FALSE)</f>
        <v>怠惰 ベルフェゴール</v>
      </c>
      <c r="H482" s="8" t="str">
        <f>VLOOKUP(F482,[1]characters!$A:$J,10,FALSE)</f>
        <v>PremiumS</v>
      </c>
      <c r="I482" s="8">
        <f>VLOOKUP(F482,[1]characters!$A:$I,9,FALSE)</f>
        <v>4</v>
      </c>
      <c r="J482" s="8" t="str">
        <f>VLOOKUP(F482,[1]characters!$A:$H,8,FALSE)</f>
        <v>green</v>
      </c>
      <c r="K482" s="8" t="str">
        <f>VLOOKUP(F482,[1]characters!$A:$K,11,FALSE)</f>
        <v>technical</v>
      </c>
      <c r="L482" s="8" t="str">
        <f>VLOOKUP(F482,[1]characters!$A:$M,13,FALSE)</f>
        <v>god</v>
      </c>
      <c r="M482" s="16">
        <f>VLOOKUP(D482,gacha_188_base!A:B,2,FALSE)</f>
        <v>14883</v>
      </c>
      <c r="N482" s="38">
        <f>IFERROR(VLOOKUP($F482,bug_conf_sheet!$A:$H,3,FALSE),VLOOKUP("other",bug_conf_sheet!$A:$H,3,FALSE))</f>
        <v>1</v>
      </c>
      <c r="O482" s="38">
        <f>IFERROR(VLOOKUP($F482,bug_conf_sheet!$A:$H,4,FALSE),VLOOKUP("other",bug_conf_sheet!$A:$H,4,FALSE))</f>
        <v>0</v>
      </c>
      <c r="P482" s="38">
        <f>IFERROR(VLOOKUP($F482,bug_conf_sheet!$A:$H,5,FALSE),VLOOKUP("other",bug_conf_sheet!$A:$H,5,FALSE))</f>
        <v>0</v>
      </c>
      <c r="Q482" s="38">
        <f>IFERROR(VLOOKUP($F482,bug_conf_sheet!$A:$H,6,FALSE),VLOOKUP("other",bug_conf_sheet!$A:$H,6,FALSE))</f>
        <v>0</v>
      </c>
      <c r="R482" s="38">
        <f>IFERROR(VLOOKUP($F482,bug_conf_sheet!$A:$H,7,FALSE),VLOOKUP("other",bug_conf_sheet!$A:$H,7,FALSE))</f>
        <v>0</v>
      </c>
      <c r="S482" s="38">
        <f>IFERROR(VLOOKUP($F482,bug_conf_sheet!$A:$H,8,FALSE),VLOOKUP("other",bug_conf_sheet!$A:$H,8,FALSE))</f>
        <v>1</v>
      </c>
    </row>
    <row r="483" spans="1:19" ht="21" customHeight="1">
      <c r="A483" s="7" t="str">
        <f t="shared" si="48"/>
        <v>1884255</v>
      </c>
      <c r="B483" s="2" t="str">
        <f t="shared" si="47"/>
        <v>1884</v>
      </c>
      <c r="C483" s="8" t="str">
        <f t="shared" si="49"/>
        <v>4PremiumS5</v>
      </c>
      <c r="D483" s="8" t="str">
        <f t="shared" si="50"/>
        <v>4PremiumS5</v>
      </c>
      <c r="E483" s="10">
        <v>4</v>
      </c>
      <c r="F483" s="6">
        <v>255</v>
      </c>
      <c r="G483" s="8" t="str">
        <f>VLOOKUP(F483,[1]characters!$A:$C,3,FALSE)</f>
        <v>怠惰の頂点 ベルフェゴール</v>
      </c>
      <c r="H483" s="8" t="str">
        <f>VLOOKUP(F483,[1]characters!$A:$J,10,FALSE)</f>
        <v>PremiumS</v>
      </c>
      <c r="I483" s="8">
        <f>VLOOKUP(F483,[1]characters!$A:$I,9,FALSE)</f>
        <v>5</v>
      </c>
      <c r="J483" s="8" t="str">
        <f>VLOOKUP(F483,[1]characters!$A:$H,8,FALSE)</f>
        <v>green</v>
      </c>
      <c r="K483" s="8" t="str">
        <f>VLOOKUP(F483,[1]characters!$A:$K,11,FALSE)</f>
        <v>technical</v>
      </c>
      <c r="L483" s="8" t="str">
        <f>VLOOKUP(F483,[1]characters!$A:$M,13,FALSE)</f>
        <v>god</v>
      </c>
      <c r="M483" s="16">
        <f>VLOOKUP(D483,gacha_188_base!A:B,2,FALSE)</f>
        <v>950</v>
      </c>
      <c r="N483" s="38">
        <f>IFERROR(VLOOKUP($F483,bug_conf_sheet!$A:$H,3,FALSE),VLOOKUP("other",bug_conf_sheet!$A:$H,3,FALSE))</f>
        <v>1</v>
      </c>
      <c r="O483" s="38">
        <f>IFERROR(VLOOKUP($F483,bug_conf_sheet!$A:$H,4,FALSE),VLOOKUP("other",bug_conf_sheet!$A:$H,4,FALSE))</f>
        <v>0</v>
      </c>
      <c r="P483" s="38">
        <f>IFERROR(VLOOKUP($F483,bug_conf_sheet!$A:$H,5,FALSE),VLOOKUP("other",bug_conf_sheet!$A:$H,5,FALSE))</f>
        <v>0</v>
      </c>
      <c r="Q483" s="38">
        <f>IFERROR(VLOOKUP($F483,bug_conf_sheet!$A:$H,6,FALSE),VLOOKUP("other",bug_conf_sheet!$A:$H,6,FALSE))</f>
        <v>0</v>
      </c>
      <c r="R483" s="38">
        <f>IFERROR(VLOOKUP($F483,bug_conf_sheet!$A:$H,7,FALSE),VLOOKUP("other",bug_conf_sheet!$A:$H,7,FALSE))</f>
        <v>0</v>
      </c>
      <c r="S483" s="38">
        <f>IFERROR(VLOOKUP($F483,bug_conf_sheet!$A:$H,8,FALSE),VLOOKUP("other",bug_conf_sheet!$A:$H,8,FALSE))</f>
        <v>1</v>
      </c>
    </row>
    <row r="484" spans="1:19" ht="21" hidden="1" customHeight="1">
      <c r="A484" s="7" t="str">
        <f t="shared" si="48"/>
        <v>1884257</v>
      </c>
      <c r="B484" s="2" t="str">
        <f t="shared" si="47"/>
        <v>1884</v>
      </c>
      <c r="C484" s="8" t="str">
        <f t="shared" si="49"/>
        <v>4PremiumS4</v>
      </c>
      <c r="D484" s="8" t="str">
        <f t="shared" si="50"/>
        <v>4PremiumS4</v>
      </c>
      <c r="E484" s="10">
        <v>4</v>
      </c>
      <c r="F484" s="6">
        <v>257</v>
      </c>
      <c r="G484" s="8" t="str">
        <f>VLOOKUP(F484,[1]characters!$A:$C,3,FALSE)</f>
        <v>色欲 アスモデウス</v>
      </c>
      <c r="H484" s="8" t="str">
        <f>VLOOKUP(F484,[1]characters!$A:$J,10,FALSE)</f>
        <v>PremiumS</v>
      </c>
      <c r="I484" s="8">
        <f>VLOOKUP(F484,[1]characters!$A:$I,9,FALSE)</f>
        <v>4</v>
      </c>
      <c r="J484" s="8" t="str">
        <f>VLOOKUP(F484,[1]characters!$A:$H,8,FALSE)</f>
        <v>blue</v>
      </c>
      <c r="K484" s="8" t="str">
        <f>VLOOKUP(F484,[1]characters!$A:$K,11,FALSE)</f>
        <v>attack</v>
      </c>
      <c r="L484" s="8" t="str">
        <f>VLOOKUP(F484,[1]characters!$A:$M,13,FALSE)</f>
        <v>god</v>
      </c>
      <c r="M484" s="16">
        <f>VLOOKUP(D484,gacha_188_base!A:B,2,FALSE)</f>
        <v>14883</v>
      </c>
      <c r="N484" s="38">
        <f>IFERROR(VLOOKUP($F484,bug_conf_sheet!$A:$H,3,FALSE),VLOOKUP("other",bug_conf_sheet!$A:$H,3,FALSE))</f>
        <v>1</v>
      </c>
      <c r="O484" s="38">
        <f>IFERROR(VLOOKUP($F484,bug_conf_sheet!$A:$H,4,FALSE),VLOOKUP("other",bug_conf_sheet!$A:$H,4,FALSE))</f>
        <v>0</v>
      </c>
      <c r="P484" s="38">
        <f>IFERROR(VLOOKUP($F484,bug_conf_sheet!$A:$H,5,FALSE),VLOOKUP("other",bug_conf_sheet!$A:$H,5,FALSE))</f>
        <v>0</v>
      </c>
      <c r="Q484" s="38">
        <f>IFERROR(VLOOKUP($F484,bug_conf_sheet!$A:$H,6,FALSE),VLOOKUP("other",bug_conf_sheet!$A:$H,6,FALSE))</f>
        <v>0</v>
      </c>
      <c r="R484" s="38">
        <f>IFERROR(VLOOKUP($F484,bug_conf_sheet!$A:$H,7,FALSE),VLOOKUP("other",bug_conf_sheet!$A:$H,7,FALSE))</f>
        <v>0</v>
      </c>
      <c r="S484" s="38">
        <f>IFERROR(VLOOKUP($F484,bug_conf_sheet!$A:$H,8,FALSE),VLOOKUP("other",bug_conf_sheet!$A:$H,8,FALSE))</f>
        <v>1</v>
      </c>
    </row>
    <row r="485" spans="1:19" ht="21" customHeight="1">
      <c r="A485" s="7" t="str">
        <f t="shared" si="48"/>
        <v>1884258</v>
      </c>
      <c r="B485" s="2" t="str">
        <f t="shared" si="47"/>
        <v>1884</v>
      </c>
      <c r="C485" s="8" t="str">
        <f t="shared" si="49"/>
        <v>4PremiumS5</v>
      </c>
      <c r="D485" s="8" t="str">
        <f t="shared" si="50"/>
        <v>4PremiumS5</v>
      </c>
      <c r="E485" s="10">
        <v>4</v>
      </c>
      <c r="F485" s="6">
        <v>258</v>
      </c>
      <c r="G485" s="8" t="str">
        <f>VLOOKUP(F485,[1]characters!$A:$C,3,FALSE)</f>
        <v>色欲の源流 アスモデウス</v>
      </c>
      <c r="H485" s="8" t="str">
        <f>VLOOKUP(F485,[1]characters!$A:$J,10,FALSE)</f>
        <v>PremiumS</v>
      </c>
      <c r="I485" s="8">
        <f>VLOOKUP(F485,[1]characters!$A:$I,9,FALSE)</f>
        <v>5</v>
      </c>
      <c r="J485" s="8" t="str">
        <f>VLOOKUP(F485,[1]characters!$A:$H,8,FALSE)</f>
        <v>blue</v>
      </c>
      <c r="K485" s="8" t="str">
        <f>VLOOKUP(F485,[1]characters!$A:$K,11,FALSE)</f>
        <v>attack</v>
      </c>
      <c r="L485" s="8" t="str">
        <f>VLOOKUP(F485,[1]characters!$A:$M,13,FALSE)</f>
        <v>god</v>
      </c>
      <c r="M485" s="16">
        <f>VLOOKUP(D485,gacha_188_base!A:B,2,FALSE)</f>
        <v>950</v>
      </c>
      <c r="N485" s="38">
        <f>IFERROR(VLOOKUP($F485,bug_conf_sheet!$A:$H,3,FALSE),VLOOKUP("other",bug_conf_sheet!$A:$H,3,FALSE))</f>
        <v>1</v>
      </c>
      <c r="O485" s="38">
        <f>IFERROR(VLOOKUP($F485,bug_conf_sheet!$A:$H,4,FALSE),VLOOKUP("other",bug_conf_sheet!$A:$H,4,FALSE))</f>
        <v>0</v>
      </c>
      <c r="P485" s="38">
        <f>IFERROR(VLOOKUP($F485,bug_conf_sheet!$A:$H,5,FALSE),VLOOKUP("other",bug_conf_sheet!$A:$H,5,FALSE))</f>
        <v>0</v>
      </c>
      <c r="Q485" s="38">
        <f>IFERROR(VLOOKUP($F485,bug_conf_sheet!$A:$H,6,FALSE),VLOOKUP("other",bug_conf_sheet!$A:$H,6,FALSE))</f>
        <v>0</v>
      </c>
      <c r="R485" s="38">
        <f>IFERROR(VLOOKUP($F485,bug_conf_sheet!$A:$H,7,FALSE),VLOOKUP("other",bug_conf_sheet!$A:$H,7,FALSE))</f>
        <v>0</v>
      </c>
      <c r="S485" s="38">
        <f>IFERROR(VLOOKUP($F485,bug_conf_sheet!$A:$H,8,FALSE),VLOOKUP("other",bug_conf_sheet!$A:$H,8,FALSE))</f>
        <v>1</v>
      </c>
    </row>
    <row r="486" spans="1:19" ht="21" hidden="1" customHeight="1">
      <c r="A486" s="7" t="str">
        <f t="shared" si="48"/>
        <v>1884260</v>
      </c>
      <c r="B486" s="2" t="str">
        <f t="shared" si="47"/>
        <v>1884</v>
      </c>
      <c r="C486" s="8" t="str">
        <f t="shared" si="49"/>
        <v>4PremiumS4</v>
      </c>
      <c r="D486" s="8" t="str">
        <f t="shared" si="50"/>
        <v>4PremiumS4</v>
      </c>
      <c r="E486" s="10">
        <v>4</v>
      </c>
      <c r="F486" s="9">
        <v>260</v>
      </c>
      <c r="G486" s="8" t="str">
        <f>VLOOKUP(F486,[1]characters!$A:$C,3,FALSE)</f>
        <v>輪廻 ウロボロス</v>
      </c>
      <c r="H486" s="8" t="str">
        <f>VLOOKUP(F486,[1]characters!$A:$J,10,FALSE)</f>
        <v>PremiumS</v>
      </c>
      <c r="I486" s="8">
        <f>VLOOKUP(F486,[1]characters!$A:$I,9,FALSE)</f>
        <v>4</v>
      </c>
      <c r="J486" s="8" t="str">
        <f>VLOOKUP(F486,[1]characters!$A:$H,8,FALSE)</f>
        <v>yellow</v>
      </c>
      <c r="K486" s="8" t="str">
        <f>VLOOKUP(F486,[1]characters!$A:$K,11,FALSE)</f>
        <v>balance</v>
      </c>
      <c r="L486" s="8" t="str">
        <f>VLOOKUP(F486,[1]characters!$A:$M,13,FALSE)</f>
        <v>dragon</v>
      </c>
      <c r="M486" s="16">
        <f>VLOOKUP(D486,gacha_188_base!A:B,2,FALSE)</f>
        <v>14883</v>
      </c>
      <c r="N486" s="38">
        <f>IFERROR(VLOOKUP($F486,bug_conf_sheet!$A:$H,3,FALSE),VLOOKUP("other",bug_conf_sheet!$A:$H,3,FALSE))</f>
        <v>1</v>
      </c>
      <c r="O486" s="38">
        <f>IFERROR(VLOOKUP($F486,bug_conf_sheet!$A:$H,4,FALSE),VLOOKUP("other",bug_conf_sheet!$A:$H,4,FALSE))</f>
        <v>0</v>
      </c>
      <c r="P486" s="38">
        <f>IFERROR(VLOOKUP($F486,bug_conf_sheet!$A:$H,5,FALSE),VLOOKUP("other",bug_conf_sheet!$A:$H,5,FALSE))</f>
        <v>0</v>
      </c>
      <c r="Q486" s="38">
        <f>IFERROR(VLOOKUP($F486,bug_conf_sheet!$A:$H,6,FALSE),VLOOKUP("other",bug_conf_sheet!$A:$H,6,FALSE))</f>
        <v>0</v>
      </c>
      <c r="R486" s="38">
        <f>IFERROR(VLOOKUP($F486,bug_conf_sheet!$A:$H,7,FALSE),VLOOKUP("other",bug_conf_sheet!$A:$H,7,FALSE))</f>
        <v>0</v>
      </c>
      <c r="S486" s="38">
        <f>IFERROR(VLOOKUP($F486,bug_conf_sheet!$A:$H,8,FALSE),VLOOKUP("other",bug_conf_sheet!$A:$H,8,FALSE))</f>
        <v>1</v>
      </c>
    </row>
    <row r="487" spans="1:19" ht="21" customHeight="1">
      <c r="A487" s="7" t="str">
        <f t="shared" si="48"/>
        <v>1884261</v>
      </c>
      <c r="B487" s="2" t="str">
        <f t="shared" si="47"/>
        <v>1884</v>
      </c>
      <c r="C487" s="8" t="str">
        <f t="shared" si="49"/>
        <v>4PremiumS5</v>
      </c>
      <c r="D487" s="8" t="str">
        <f t="shared" si="50"/>
        <v>4PremiumS5</v>
      </c>
      <c r="E487" s="10">
        <v>4</v>
      </c>
      <c r="F487" s="9">
        <v>261</v>
      </c>
      <c r="G487" s="8" t="str">
        <f>VLOOKUP(F487,[1]characters!$A:$C,3,FALSE)</f>
        <v>輪廻の蛇龍 ウロボロス</v>
      </c>
      <c r="H487" s="8" t="str">
        <f>VLOOKUP(F487,[1]characters!$A:$J,10,FALSE)</f>
        <v>PremiumS</v>
      </c>
      <c r="I487" s="8">
        <f>VLOOKUP(F487,[1]characters!$A:$I,9,FALSE)</f>
        <v>5</v>
      </c>
      <c r="J487" s="8" t="str">
        <f>VLOOKUP(F487,[1]characters!$A:$H,8,FALSE)</f>
        <v>yellow</v>
      </c>
      <c r="K487" s="8" t="str">
        <f>VLOOKUP(F487,[1]characters!$A:$K,11,FALSE)</f>
        <v>balance</v>
      </c>
      <c r="L487" s="8" t="str">
        <f>VLOOKUP(F487,[1]characters!$A:$M,13,FALSE)</f>
        <v>dragon</v>
      </c>
      <c r="M487" s="16">
        <f>VLOOKUP(D487,gacha_188_base!A:B,2,FALSE)</f>
        <v>950</v>
      </c>
      <c r="N487" s="38">
        <f>IFERROR(VLOOKUP($F487,bug_conf_sheet!$A:$H,3,FALSE),VLOOKUP("other",bug_conf_sheet!$A:$H,3,FALSE))</f>
        <v>1</v>
      </c>
      <c r="O487" s="38">
        <f>IFERROR(VLOOKUP($F487,bug_conf_sheet!$A:$H,4,FALSE),VLOOKUP("other",bug_conf_sheet!$A:$H,4,FALSE))</f>
        <v>0</v>
      </c>
      <c r="P487" s="38">
        <f>IFERROR(VLOOKUP($F487,bug_conf_sheet!$A:$H,5,FALSE),VLOOKUP("other",bug_conf_sheet!$A:$H,5,FALSE))</f>
        <v>0</v>
      </c>
      <c r="Q487" s="38">
        <f>IFERROR(VLOOKUP($F487,bug_conf_sheet!$A:$H,6,FALSE),VLOOKUP("other",bug_conf_sheet!$A:$H,6,FALSE))</f>
        <v>0</v>
      </c>
      <c r="R487" s="38">
        <f>IFERROR(VLOOKUP($F487,bug_conf_sheet!$A:$H,7,FALSE),VLOOKUP("other",bug_conf_sheet!$A:$H,7,FALSE))</f>
        <v>0</v>
      </c>
      <c r="S487" s="38">
        <f>IFERROR(VLOOKUP($F487,bug_conf_sheet!$A:$H,8,FALSE),VLOOKUP("other",bug_conf_sheet!$A:$H,8,FALSE))</f>
        <v>1</v>
      </c>
    </row>
    <row r="488" spans="1:19" ht="21" hidden="1" customHeight="1">
      <c r="A488" s="7" t="str">
        <f t="shared" si="48"/>
        <v>1884320</v>
      </c>
      <c r="B488" s="2" t="str">
        <f t="shared" si="47"/>
        <v>1884</v>
      </c>
      <c r="C488" s="8" t="str">
        <f t="shared" si="49"/>
        <v>4PremiumSS4</v>
      </c>
      <c r="D488" s="8" t="str">
        <f t="shared" si="50"/>
        <v>4PremiumSS4</v>
      </c>
      <c r="E488" s="10">
        <v>4</v>
      </c>
      <c r="F488" s="6">
        <v>320</v>
      </c>
      <c r="G488" s="8" t="str">
        <f>VLOOKUP(F488,[1]characters!$A:$C,3,FALSE)</f>
        <v>烈志士 近藤勇</v>
      </c>
      <c r="H488" s="8" t="str">
        <f>VLOOKUP(F488,[1]characters!$A:$J,10,FALSE)</f>
        <v>PremiumSS</v>
      </c>
      <c r="I488" s="8">
        <f>VLOOKUP(F488,[1]characters!$A:$I,9,FALSE)</f>
        <v>4</v>
      </c>
      <c r="J488" s="8" t="str">
        <f>VLOOKUP(F488,[1]characters!$A:$H,8,FALSE)</f>
        <v>red</v>
      </c>
      <c r="K488" s="8" t="str">
        <f>VLOOKUP(F488,[1]characters!$A:$K,11,FALSE)</f>
        <v>hp</v>
      </c>
      <c r="L488" s="8" t="str">
        <f>VLOOKUP(F488,[1]characters!$A:$M,13,FALSE)</f>
        <v>human</v>
      </c>
      <c r="M488" s="16">
        <f>VLOOKUP(D488,gacha_188_base!A:B,2,FALSE)</f>
        <v>1709</v>
      </c>
      <c r="N488" s="38">
        <f>IFERROR(VLOOKUP($F488,bug_conf_sheet!$A:$H,3,FALSE),VLOOKUP("other",bug_conf_sheet!$A:$H,3,FALSE))</f>
        <v>1</v>
      </c>
      <c r="O488" s="38">
        <f>IFERROR(VLOOKUP($F488,bug_conf_sheet!$A:$H,4,FALSE),VLOOKUP("other",bug_conf_sheet!$A:$H,4,FALSE))</f>
        <v>0</v>
      </c>
      <c r="P488" s="38">
        <f>IFERROR(VLOOKUP($F488,bug_conf_sheet!$A:$H,5,FALSE),VLOOKUP("other",bug_conf_sheet!$A:$H,5,FALSE))</f>
        <v>0</v>
      </c>
      <c r="Q488" s="38">
        <f>IFERROR(VLOOKUP($F488,bug_conf_sheet!$A:$H,6,FALSE),VLOOKUP("other",bug_conf_sheet!$A:$H,6,FALSE))</f>
        <v>0</v>
      </c>
      <c r="R488" s="38">
        <f>IFERROR(VLOOKUP($F488,bug_conf_sheet!$A:$H,7,FALSE),VLOOKUP("other",bug_conf_sheet!$A:$H,7,FALSE))</f>
        <v>0</v>
      </c>
      <c r="S488" s="38">
        <f>IFERROR(VLOOKUP($F488,bug_conf_sheet!$A:$H,8,FALSE),VLOOKUP("other",bug_conf_sheet!$A:$H,8,FALSE))</f>
        <v>1</v>
      </c>
    </row>
    <row r="489" spans="1:19" ht="21" customHeight="1">
      <c r="A489" s="7" t="str">
        <f t="shared" si="48"/>
        <v>1884321</v>
      </c>
      <c r="B489" s="2" t="str">
        <f t="shared" si="47"/>
        <v>1884</v>
      </c>
      <c r="C489" s="8" t="str">
        <f t="shared" si="49"/>
        <v>4PremiumSS5</v>
      </c>
      <c r="D489" s="8" t="str">
        <f t="shared" si="50"/>
        <v>4PremiumSS5</v>
      </c>
      <c r="E489" s="10">
        <v>4</v>
      </c>
      <c r="F489" s="6">
        <v>321</v>
      </c>
      <c r="G489" s="8" t="str">
        <f>VLOOKUP(F489,[1]characters!$A:$C,3,FALSE)</f>
        <v>巌鉄の烈志士 近藤勇</v>
      </c>
      <c r="H489" s="8" t="str">
        <f>VLOOKUP(F489,[1]characters!$A:$J,10,FALSE)</f>
        <v>PremiumSS</v>
      </c>
      <c r="I489" s="8">
        <f>VLOOKUP(F489,[1]characters!$A:$I,9,FALSE)</f>
        <v>5</v>
      </c>
      <c r="J489" s="8" t="str">
        <f>VLOOKUP(F489,[1]characters!$A:$H,8,FALSE)</f>
        <v>red</v>
      </c>
      <c r="K489" s="8" t="str">
        <f>VLOOKUP(F489,[1]characters!$A:$K,11,FALSE)</f>
        <v>hp</v>
      </c>
      <c r="L489" s="8" t="str">
        <f>VLOOKUP(F489,[1]characters!$A:$M,13,FALSE)</f>
        <v>human</v>
      </c>
      <c r="M489" s="16">
        <f>VLOOKUP(D489,gacha_188_base!A:B,2,FALSE)</f>
        <v>109</v>
      </c>
      <c r="N489" s="38">
        <f>IFERROR(VLOOKUP($F489,bug_conf_sheet!$A:$H,3,FALSE),VLOOKUP("other",bug_conf_sheet!$A:$H,3,FALSE))</f>
        <v>1</v>
      </c>
      <c r="O489" s="38">
        <f>IFERROR(VLOOKUP($F489,bug_conf_sheet!$A:$H,4,FALSE),VLOOKUP("other",bug_conf_sheet!$A:$H,4,FALSE))</f>
        <v>0</v>
      </c>
      <c r="P489" s="38">
        <f>IFERROR(VLOOKUP($F489,bug_conf_sheet!$A:$H,5,FALSE),VLOOKUP("other",bug_conf_sheet!$A:$H,5,FALSE))</f>
        <v>0</v>
      </c>
      <c r="Q489" s="38">
        <f>IFERROR(VLOOKUP($F489,bug_conf_sheet!$A:$H,6,FALSE),VLOOKUP("other",bug_conf_sheet!$A:$H,6,FALSE))</f>
        <v>0</v>
      </c>
      <c r="R489" s="38">
        <f>IFERROR(VLOOKUP($F489,bug_conf_sheet!$A:$H,7,FALSE),VLOOKUP("other",bug_conf_sheet!$A:$H,7,FALSE))</f>
        <v>0</v>
      </c>
      <c r="S489" s="38">
        <f>IFERROR(VLOOKUP($F489,bug_conf_sheet!$A:$H,8,FALSE),VLOOKUP("other",bug_conf_sheet!$A:$H,8,FALSE))</f>
        <v>1</v>
      </c>
    </row>
    <row r="490" spans="1:19" ht="21" hidden="1" customHeight="1">
      <c r="A490" s="7" t="str">
        <f t="shared" si="48"/>
        <v>1884322</v>
      </c>
      <c r="B490" s="2" t="str">
        <f t="shared" si="47"/>
        <v>1884</v>
      </c>
      <c r="C490" s="8" t="str">
        <f t="shared" si="49"/>
        <v>4PremiumSS4</v>
      </c>
      <c r="D490" s="8" t="str">
        <f t="shared" si="50"/>
        <v>4PremiumSS4</v>
      </c>
      <c r="E490" s="10">
        <v>4</v>
      </c>
      <c r="F490" s="6">
        <v>322</v>
      </c>
      <c r="G490" s="8" t="str">
        <f>VLOOKUP(F490,[1]characters!$A:$C,3,FALSE)</f>
        <v>愛志士 土方歳三</v>
      </c>
      <c r="H490" s="8" t="str">
        <f>VLOOKUP(F490,[1]characters!$A:$J,10,FALSE)</f>
        <v>PremiumSS</v>
      </c>
      <c r="I490" s="8">
        <f>VLOOKUP(F490,[1]characters!$A:$I,9,FALSE)</f>
        <v>4</v>
      </c>
      <c r="J490" s="8" t="str">
        <f>VLOOKUP(F490,[1]characters!$A:$H,8,FALSE)</f>
        <v>green</v>
      </c>
      <c r="K490" s="8" t="str">
        <f>VLOOKUP(F490,[1]characters!$A:$K,11,FALSE)</f>
        <v>attack</v>
      </c>
      <c r="L490" s="8" t="str">
        <f>VLOOKUP(F490,[1]characters!$A:$M,13,FALSE)</f>
        <v>human</v>
      </c>
      <c r="M490" s="16">
        <f>VLOOKUP(D490,gacha_188_base!A:B,2,FALSE)</f>
        <v>1709</v>
      </c>
      <c r="N490" s="38">
        <f>IFERROR(VLOOKUP($F490,bug_conf_sheet!$A:$H,3,FALSE),VLOOKUP("other",bug_conf_sheet!$A:$H,3,FALSE))</f>
        <v>1</v>
      </c>
      <c r="O490" s="38">
        <f>IFERROR(VLOOKUP($F490,bug_conf_sheet!$A:$H,4,FALSE),VLOOKUP("other",bug_conf_sheet!$A:$H,4,FALSE))</f>
        <v>0</v>
      </c>
      <c r="P490" s="38">
        <f>IFERROR(VLOOKUP($F490,bug_conf_sheet!$A:$H,5,FALSE),VLOOKUP("other",bug_conf_sheet!$A:$H,5,FALSE))</f>
        <v>0</v>
      </c>
      <c r="Q490" s="38">
        <f>IFERROR(VLOOKUP($F490,bug_conf_sheet!$A:$H,6,FALSE),VLOOKUP("other",bug_conf_sheet!$A:$H,6,FALSE))</f>
        <v>0</v>
      </c>
      <c r="R490" s="38">
        <f>IFERROR(VLOOKUP($F490,bug_conf_sheet!$A:$H,7,FALSE),VLOOKUP("other",bug_conf_sheet!$A:$H,7,FALSE))</f>
        <v>0</v>
      </c>
      <c r="S490" s="38">
        <f>IFERROR(VLOOKUP($F490,bug_conf_sheet!$A:$H,8,FALSE),VLOOKUP("other",bug_conf_sheet!$A:$H,8,FALSE))</f>
        <v>1</v>
      </c>
    </row>
    <row r="491" spans="1:19" ht="21" customHeight="1">
      <c r="A491" s="7" t="str">
        <f t="shared" si="48"/>
        <v>1884323</v>
      </c>
      <c r="B491" s="2" t="str">
        <f t="shared" si="47"/>
        <v>1884</v>
      </c>
      <c r="C491" s="8" t="str">
        <f t="shared" si="49"/>
        <v>4PremiumSS5</v>
      </c>
      <c r="D491" s="8" t="str">
        <f t="shared" si="50"/>
        <v>4PremiumSS5</v>
      </c>
      <c r="E491" s="10">
        <v>4</v>
      </c>
      <c r="F491" s="6">
        <v>323</v>
      </c>
      <c r="G491" s="8" t="str">
        <f>VLOOKUP(F491,[1]characters!$A:$C,3,FALSE)</f>
        <v>流麗の愛志士 土方歳三</v>
      </c>
      <c r="H491" s="8" t="str">
        <f>VLOOKUP(F491,[1]characters!$A:$J,10,FALSE)</f>
        <v>PremiumSS</v>
      </c>
      <c r="I491" s="8">
        <f>VLOOKUP(F491,[1]characters!$A:$I,9,FALSE)</f>
        <v>5</v>
      </c>
      <c r="J491" s="8" t="str">
        <f>VLOOKUP(F491,[1]characters!$A:$H,8,FALSE)</f>
        <v>green</v>
      </c>
      <c r="K491" s="8" t="str">
        <f>VLOOKUP(F491,[1]characters!$A:$K,11,FALSE)</f>
        <v>attack</v>
      </c>
      <c r="L491" s="8" t="str">
        <f>VLOOKUP(F491,[1]characters!$A:$M,13,FALSE)</f>
        <v>human</v>
      </c>
      <c r="M491" s="16">
        <f>VLOOKUP(D491,gacha_188_base!A:B,2,FALSE)</f>
        <v>109</v>
      </c>
      <c r="N491" s="38">
        <f>IFERROR(VLOOKUP($F491,bug_conf_sheet!$A:$H,3,FALSE),VLOOKUP("other",bug_conf_sheet!$A:$H,3,FALSE))</f>
        <v>1</v>
      </c>
      <c r="O491" s="38">
        <f>IFERROR(VLOOKUP($F491,bug_conf_sheet!$A:$H,4,FALSE),VLOOKUP("other",bug_conf_sheet!$A:$H,4,FALSE))</f>
        <v>0</v>
      </c>
      <c r="P491" s="38">
        <f>IFERROR(VLOOKUP($F491,bug_conf_sheet!$A:$H,5,FALSE),VLOOKUP("other",bug_conf_sheet!$A:$H,5,FALSE))</f>
        <v>0</v>
      </c>
      <c r="Q491" s="38">
        <f>IFERROR(VLOOKUP($F491,bug_conf_sheet!$A:$H,6,FALSE),VLOOKUP("other",bug_conf_sheet!$A:$H,6,FALSE))</f>
        <v>0</v>
      </c>
      <c r="R491" s="38">
        <f>IFERROR(VLOOKUP($F491,bug_conf_sheet!$A:$H,7,FALSE),VLOOKUP("other",bug_conf_sheet!$A:$H,7,FALSE))</f>
        <v>0</v>
      </c>
      <c r="S491" s="38">
        <f>IFERROR(VLOOKUP($F491,bug_conf_sheet!$A:$H,8,FALSE),VLOOKUP("other",bug_conf_sheet!$A:$H,8,FALSE))</f>
        <v>1</v>
      </c>
    </row>
    <row r="492" spans="1:19" ht="21" hidden="1" customHeight="1">
      <c r="A492" s="7" t="str">
        <f t="shared" si="48"/>
        <v>1884324</v>
      </c>
      <c r="B492" s="2" t="str">
        <f t="shared" si="47"/>
        <v>1884</v>
      </c>
      <c r="C492" s="8" t="str">
        <f t="shared" si="49"/>
        <v>4PremiumSS4</v>
      </c>
      <c r="D492" s="8" t="str">
        <f t="shared" si="50"/>
        <v>4PremiumSS4</v>
      </c>
      <c r="E492" s="10">
        <v>4</v>
      </c>
      <c r="F492" s="6">
        <v>324</v>
      </c>
      <c r="G492" s="8" t="str">
        <f>VLOOKUP(F492,[1]characters!$A:$C,3,FALSE)</f>
        <v>凛志士 沖田総司</v>
      </c>
      <c r="H492" s="8" t="str">
        <f>VLOOKUP(F492,[1]characters!$A:$J,10,FALSE)</f>
        <v>PremiumSS</v>
      </c>
      <c r="I492" s="8">
        <f>VLOOKUP(F492,[1]characters!$A:$I,9,FALSE)</f>
        <v>4</v>
      </c>
      <c r="J492" s="8" t="str">
        <f>VLOOKUP(F492,[1]characters!$A:$H,8,FALSE)</f>
        <v>blue</v>
      </c>
      <c r="K492" s="8" t="str">
        <f>VLOOKUP(F492,[1]characters!$A:$K,11,FALSE)</f>
        <v>balance</v>
      </c>
      <c r="L492" s="8" t="str">
        <f>VLOOKUP(F492,[1]characters!$A:$M,13,FALSE)</f>
        <v>human</v>
      </c>
      <c r="M492" s="16">
        <f>VLOOKUP(D492,gacha_188_base!A:B,2,FALSE)</f>
        <v>1709</v>
      </c>
      <c r="N492" s="38">
        <f>IFERROR(VLOOKUP($F492,bug_conf_sheet!$A:$H,3,FALSE),VLOOKUP("other",bug_conf_sheet!$A:$H,3,FALSE))</f>
        <v>1</v>
      </c>
      <c r="O492" s="38">
        <f>IFERROR(VLOOKUP($F492,bug_conf_sheet!$A:$H,4,FALSE),VLOOKUP("other",bug_conf_sheet!$A:$H,4,FALSE))</f>
        <v>0</v>
      </c>
      <c r="P492" s="38">
        <f>IFERROR(VLOOKUP($F492,bug_conf_sheet!$A:$H,5,FALSE),VLOOKUP("other",bug_conf_sheet!$A:$H,5,FALSE))</f>
        <v>0</v>
      </c>
      <c r="Q492" s="38">
        <f>IFERROR(VLOOKUP($F492,bug_conf_sheet!$A:$H,6,FALSE),VLOOKUP("other",bug_conf_sheet!$A:$H,6,FALSE))</f>
        <v>0</v>
      </c>
      <c r="R492" s="38">
        <f>IFERROR(VLOOKUP($F492,bug_conf_sheet!$A:$H,7,FALSE),VLOOKUP("other",bug_conf_sheet!$A:$H,7,FALSE))</f>
        <v>0</v>
      </c>
      <c r="S492" s="38">
        <f>IFERROR(VLOOKUP($F492,bug_conf_sheet!$A:$H,8,FALSE),VLOOKUP("other",bug_conf_sheet!$A:$H,8,FALSE))</f>
        <v>1</v>
      </c>
    </row>
    <row r="493" spans="1:19" s="14" customFormat="1" ht="21" customHeight="1" thickBot="1">
      <c r="A493" s="7" t="str">
        <f t="shared" si="48"/>
        <v>1884325</v>
      </c>
      <c r="B493" s="2" t="str">
        <f t="shared" si="47"/>
        <v>1884</v>
      </c>
      <c r="C493" s="8" t="str">
        <f t="shared" si="49"/>
        <v>4PremiumSS5</v>
      </c>
      <c r="D493" s="8" t="str">
        <f t="shared" si="50"/>
        <v>4PremiumSS5</v>
      </c>
      <c r="E493" s="10">
        <v>4</v>
      </c>
      <c r="F493" s="6">
        <v>325</v>
      </c>
      <c r="G493" s="8" t="str">
        <f>VLOOKUP(F493,[1]characters!$A:$C,3,FALSE)</f>
        <v>天賦の凛志士 沖田総司</v>
      </c>
      <c r="H493" s="8" t="str">
        <f>VLOOKUP(F493,[1]characters!$A:$J,10,FALSE)</f>
        <v>PremiumSS</v>
      </c>
      <c r="I493" s="8">
        <f>VLOOKUP(F493,[1]characters!$A:$I,9,FALSE)</f>
        <v>5</v>
      </c>
      <c r="J493" s="8" t="str">
        <f>VLOOKUP(F493,[1]characters!$A:$H,8,FALSE)</f>
        <v>blue</v>
      </c>
      <c r="K493" s="8" t="str">
        <f>VLOOKUP(F493,[1]characters!$A:$K,11,FALSE)</f>
        <v>balance</v>
      </c>
      <c r="L493" s="8" t="str">
        <f>VLOOKUP(F493,[1]characters!$A:$M,13,FALSE)</f>
        <v>human</v>
      </c>
      <c r="M493" s="16">
        <f>VLOOKUP(D493,gacha_188_base!A:B,2,FALSE)</f>
        <v>109</v>
      </c>
      <c r="N493" s="38">
        <f>IFERROR(VLOOKUP($F493,bug_conf_sheet!$A:$H,3,FALSE),VLOOKUP("other",bug_conf_sheet!$A:$H,3,FALSE))</f>
        <v>1</v>
      </c>
      <c r="O493" s="38">
        <f>IFERROR(VLOOKUP($F493,bug_conf_sheet!$A:$H,4,FALSE),VLOOKUP("other",bug_conf_sheet!$A:$H,4,FALSE))</f>
        <v>0</v>
      </c>
      <c r="P493" s="38">
        <f>IFERROR(VLOOKUP($F493,bug_conf_sheet!$A:$H,5,FALSE),VLOOKUP("other",bug_conf_sheet!$A:$H,5,FALSE))</f>
        <v>0</v>
      </c>
      <c r="Q493" s="38">
        <f>IFERROR(VLOOKUP($F493,bug_conf_sheet!$A:$H,6,FALSE),VLOOKUP("other",bug_conf_sheet!$A:$H,6,FALSE))</f>
        <v>0</v>
      </c>
      <c r="R493" s="38">
        <f>IFERROR(VLOOKUP($F493,bug_conf_sheet!$A:$H,7,FALSE),VLOOKUP("other",bug_conf_sheet!$A:$H,7,FALSE))</f>
        <v>0</v>
      </c>
      <c r="S493" s="38">
        <f>IFERROR(VLOOKUP($F493,bug_conf_sheet!$A:$H,8,FALSE),VLOOKUP("other",bug_conf_sheet!$A:$H,8,FALSE))</f>
        <v>1</v>
      </c>
    </row>
    <row r="494" spans="1:19" ht="21" hidden="1" customHeight="1">
      <c r="A494" s="7" t="str">
        <f t="shared" si="48"/>
        <v>1884326</v>
      </c>
      <c r="B494" s="2" t="str">
        <f t="shared" si="47"/>
        <v>1884</v>
      </c>
      <c r="C494" s="8" t="str">
        <f t="shared" si="49"/>
        <v>4PremiumSS4</v>
      </c>
      <c r="D494" s="8" t="str">
        <f t="shared" si="50"/>
        <v>4PremiumSS4</v>
      </c>
      <c r="E494" s="10">
        <v>4</v>
      </c>
      <c r="F494" s="6">
        <v>326</v>
      </c>
      <c r="G494" s="8" t="str">
        <f>VLOOKUP(F494,[1]characters!$A:$C,3,FALSE)</f>
        <v>妖志士 斎藤一</v>
      </c>
      <c r="H494" s="8" t="str">
        <f>VLOOKUP(F494,[1]characters!$A:$J,10,FALSE)</f>
        <v>PremiumSS</v>
      </c>
      <c r="I494" s="8">
        <f>VLOOKUP(F494,[1]characters!$A:$I,9,FALSE)</f>
        <v>4</v>
      </c>
      <c r="J494" s="8" t="str">
        <f>VLOOKUP(F494,[1]characters!$A:$H,8,FALSE)</f>
        <v>yellow</v>
      </c>
      <c r="K494" s="8" t="str">
        <f>VLOOKUP(F494,[1]characters!$A:$K,11,FALSE)</f>
        <v>technical</v>
      </c>
      <c r="L494" s="8" t="str">
        <f>VLOOKUP(F494,[1]characters!$A:$M,13,FALSE)</f>
        <v>human</v>
      </c>
      <c r="M494" s="16">
        <f>VLOOKUP(D494,gacha_188_base!A:B,2,FALSE)</f>
        <v>1709</v>
      </c>
      <c r="N494" s="38">
        <f>IFERROR(VLOOKUP($F494,bug_conf_sheet!$A:$H,3,FALSE),VLOOKUP("other",bug_conf_sheet!$A:$H,3,FALSE))</f>
        <v>1</v>
      </c>
      <c r="O494" s="38">
        <f>IFERROR(VLOOKUP($F494,bug_conf_sheet!$A:$H,4,FALSE),VLOOKUP("other",bug_conf_sheet!$A:$H,4,FALSE))</f>
        <v>0</v>
      </c>
      <c r="P494" s="38">
        <f>IFERROR(VLOOKUP($F494,bug_conf_sheet!$A:$H,5,FALSE),VLOOKUP("other",bug_conf_sheet!$A:$H,5,FALSE))</f>
        <v>0</v>
      </c>
      <c r="Q494" s="38">
        <f>IFERROR(VLOOKUP($F494,bug_conf_sheet!$A:$H,6,FALSE),VLOOKUP("other",bug_conf_sheet!$A:$H,6,FALSE))</f>
        <v>0</v>
      </c>
      <c r="R494" s="38">
        <f>IFERROR(VLOOKUP($F494,bug_conf_sheet!$A:$H,7,FALSE),VLOOKUP("other",bug_conf_sheet!$A:$H,7,FALSE))</f>
        <v>0</v>
      </c>
      <c r="S494" s="38">
        <f>IFERROR(VLOOKUP($F494,bug_conf_sheet!$A:$H,8,FALSE),VLOOKUP("other",bug_conf_sheet!$A:$H,8,FALSE))</f>
        <v>1</v>
      </c>
    </row>
    <row r="495" spans="1:19" ht="21" customHeight="1">
      <c r="A495" s="7" t="str">
        <f t="shared" si="48"/>
        <v>1884327</v>
      </c>
      <c r="B495" s="2" t="str">
        <f t="shared" si="47"/>
        <v>1884</v>
      </c>
      <c r="C495" s="8" t="str">
        <f t="shared" si="49"/>
        <v>4PremiumSS5</v>
      </c>
      <c r="D495" s="8" t="str">
        <f t="shared" si="50"/>
        <v>4PremiumSS5</v>
      </c>
      <c r="E495" s="10">
        <v>4</v>
      </c>
      <c r="F495" s="6">
        <v>327</v>
      </c>
      <c r="G495" s="8" t="str">
        <f>VLOOKUP(F495,[1]characters!$A:$C,3,FALSE)</f>
        <v>千殺の妖志士 斎藤一</v>
      </c>
      <c r="H495" s="8" t="str">
        <f>VLOOKUP(F495,[1]characters!$A:$J,10,FALSE)</f>
        <v>PremiumSS</v>
      </c>
      <c r="I495" s="8">
        <f>VLOOKUP(F495,[1]characters!$A:$I,9,FALSE)</f>
        <v>5</v>
      </c>
      <c r="J495" s="8" t="str">
        <f>VLOOKUP(F495,[1]characters!$A:$H,8,FALSE)</f>
        <v>yellow</v>
      </c>
      <c r="K495" s="8" t="str">
        <f>VLOOKUP(F495,[1]characters!$A:$K,11,FALSE)</f>
        <v>technical</v>
      </c>
      <c r="L495" s="8" t="str">
        <f>VLOOKUP(F495,[1]characters!$A:$M,13,FALSE)</f>
        <v>human</v>
      </c>
      <c r="M495" s="16">
        <f>VLOOKUP(D495,gacha_188_base!A:B,2,FALSE)</f>
        <v>109</v>
      </c>
      <c r="N495" s="38">
        <f>IFERROR(VLOOKUP($F495,bug_conf_sheet!$A:$H,3,FALSE),VLOOKUP("other",bug_conf_sheet!$A:$H,3,FALSE))</f>
        <v>1</v>
      </c>
      <c r="O495" s="38">
        <f>IFERROR(VLOOKUP($F495,bug_conf_sheet!$A:$H,4,FALSE),VLOOKUP("other",bug_conf_sheet!$A:$H,4,FALSE))</f>
        <v>0</v>
      </c>
      <c r="P495" s="38">
        <f>IFERROR(VLOOKUP($F495,bug_conf_sheet!$A:$H,5,FALSE),VLOOKUP("other",bug_conf_sheet!$A:$H,5,FALSE))</f>
        <v>0</v>
      </c>
      <c r="Q495" s="38">
        <f>IFERROR(VLOOKUP($F495,bug_conf_sheet!$A:$H,6,FALSE),VLOOKUP("other",bug_conf_sheet!$A:$H,6,FALSE))</f>
        <v>0</v>
      </c>
      <c r="R495" s="38">
        <f>IFERROR(VLOOKUP($F495,bug_conf_sheet!$A:$H,7,FALSE),VLOOKUP("other",bug_conf_sheet!$A:$H,7,FALSE))</f>
        <v>0</v>
      </c>
      <c r="S495" s="38">
        <f>IFERROR(VLOOKUP($F495,bug_conf_sheet!$A:$H,8,FALSE),VLOOKUP("other",bug_conf_sheet!$A:$H,8,FALSE))</f>
        <v>1</v>
      </c>
    </row>
    <row r="496" spans="1:19" ht="21" hidden="1" customHeight="1">
      <c r="A496" s="7" t="str">
        <f t="shared" si="48"/>
        <v>1884381</v>
      </c>
      <c r="B496" s="2" t="str">
        <f t="shared" si="47"/>
        <v>1884</v>
      </c>
      <c r="C496" s="8" t="str">
        <f t="shared" si="49"/>
        <v>4PremiumS4</v>
      </c>
      <c r="D496" s="8" t="str">
        <f t="shared" si="50"/>
        <v>4PremiumS4</v>
      </c>
      <c r="E496" s="10">
        <v>4</v>
      </c>
      <c r="F496" s="6">
        <v>381</v>
      </c>
      <c r="G496" s="8" t="str">
        <f>VLOOKUP(F496,[1]characters!$A:$C,3,FALSE)</f>
        <v>肉食の恋火 バハムート</v>
      </c>
      <c r="H496" s="8" t="str">
        <f>VLOOKUP(F496,[1]characters!$A:$J,10,FALSE)</f>
        <v>PremiumS</v>
      </c>
      <c r="I496" s="8">
        <f>VLOOKUP(F496,[1]characters!$A:$I,9,FALSE)</f>
        <v>4</v>
      </c>
      <c r="J496" s="8" t="str">
        <f>VLOOKUP(F496,[1]characters!$A:$H,8,FALSE)</f>
        <v>red</v>
      </c>
      <c r="K496" s="8" t="str">
        <f>VLOOKUP(F496,[1]characters!$A:$K,11,FALSE)</f>
        <v>technical</v>
      </c>
      <c r="L496" s="8" t="str">
        <f>VLOOKUP(F496,[1]characters!$A:$M,13,FALSE)</f>
        <v>dragon</v>
      </c>
      <c r="M496" s="16">
        <f>VLOOKUP(D496,gacha_188_base!A:B,2,FALSE)</f>
        <v>14883</v>
      </c>
      <c r="N496" s="38">
        <f>IFERROR(VLOOKUP($F496,bug_conf_sheet!$A:$H,3,FALSE),VLOOKUP("other",bug_conf_sheet!$A:$H,3,FALSE))</f>
        <v>1</v>
      </c>
      <c r="O496" s="38">
        <f>IFERROR(VLOOKUP($F496,bug_conf_sheet!$A:$H,4,FALSE),VLOOKUP("other",bug_conf_sheet!$A:$H,4,FALSE))</f>
        <v>0</v>
      </c>
      <c r="P496" s="38">
        <f>IFERROR(VLOOKUP($F496,bug_conf_sheet!$A:$H,5,FALSE),VLOOKUP("other",bug_conf_sheet!$A:$H,5,FALSE))</f>
        <v>0</v>
      </c>
      <c r="Q496" s="38">
        <f>IFERROR(VLOOKUP($F496,bug_conf_sheet!$A:$H,6,FALSE),VLOOKUP("other",bug_conf_sheet!$A:$H,6,FALSE))</f>
        <v>0</v>
      </c>
      <c r="R496" s="38">
        <f>IFERROR(VLOOKUP($F496,bug_conf_sheet!$A:$H,7,FALSE),VLOOKUP("other",bug_conf_sheet!$A:$H,7,FALSE))</f>
        <v>0</v>
      </c>
      <c r="S496" s="38">
        <f>IFERROR(VLOOKUP($F496,bug_conf_sheet!$A:$H,8,FALSE),VLOOKUP("other",bug_conf_sheet!$A:$H,8,FALSE))</f>
        <v>1</v>
      </c>
    </row>
    <row r="497" spans="1:19" ht="21" customHeight="1">
      <c r="A497" s="7" t="str">
        <f t="shared" si="48"/>
        <v>1884382</v>
      </c>
      <c r="B497" s="2" t="str">
        <f t="shared" si="47"/>
        <v>1884</v>
      </c>
      <c r="C497" s="8" t="str">
        <f t="shared" si="49"/>
        <v>4PremiumS5</v>
      </c>
      <c r="D497" s="8" t="str">
        <f t="shared" si="50"/>
        <v>4PremiumS5</v>
      </c>
      <c r="E497" s="10">
        <v>4</v>
      </c>
      <c r="F497" s="6">
        <v>382</v>
      </c>
      <c r="G497" s="8" t="str">
        <f>VLOOKUP(F497,[1]characters!$A:$C,3,FALSE)</f>
        <v>激情の愛炎 バハムート</v>
      </c>
      <c r="H497" s="8" t="str">
        <f>VLOOKUP(F497,[1]characters!$A:$J,10,FALSE)</f>
        <v>PremiumS</v>
      </c>
      <c r="I497" s="8">
        <f>VLOOKUP(F497,[1]characters!$A:$I,9,FALSE)</f>
        <v>5</v>
      </c>
      <c r="J497" s="8" t="str">
        <f>VLOOKUP(F497,[1]characters!$A:$H,8,FALSE)</f>
        <v>red</v>
      </c>
      <c r="K497" s="8" t="str">
        <f>VLOOKUP(F497,[1]characters!$A:$K,11,FALSE)</f>
        <v>technical</v>
      </c>
      <c r="L497" s="8" t="str">
        <f>VLOOKUP(F497,[1]characters!$A:$M,13,FALSE)</f>
        <v>dragon</v>
      </c>
      <c r="M497" s="16">
        <f>VLOOKUP(D497,gacha_188_base!A:B,2,FALSE)</f>
        <v>950</v>
      </c>
      <c r="N497" s="38">
        <f>IFERROR(VLOOKUP($F497,bug_conf_sheet!$A:$H,3,FALSE),VLOOKUP("other",bug_conf_sheet!$A:$H,3,FALSE))</f>
        <v>1</v>
      </c>
      <c r="O497" s="38">
        <f>IFERROR(VLOOKUP($F497,bug_conf_sheet!$A:$H,4,FALSE),VLOOKUP("other",bug_conf_sheet!$A:$H,4,FALSE))</f>
        <v>0</v>
      </c>
      <c r="P497" s="38">
        <f>IFERROR(VLOOKUP($F497,bug_conf_sheet!$A:$H,5,FALSE),VLOOKUP("other",bug_conf_sheet!$A:$H,5,FALSE))</f>
        <v>0</v>
      </c>
      <c r="Q497" s="38">
        <f>IFERROR(VLOOKUP($F497,bug_conf_sheet!$A:$H,6,FALSE),VLOOKUP("other",bug_conf_sheet!$A:$H,6,FALSE))</f>
        <v>0</v>
      </c>
      <c r="R497" s="38">
        <f>IFERROR(VLOOKUP($F497,bug_conf_sheet!$A:$H,7,FALSE),VLOOKUP("other",bug_conf_sheet!$A:$H,7,FALSE))</f>
        <v>0</v>
      </c>
      <c r="S497" s="38">
        <f>IFERROR(VLOOKUP($F497,bug_conf_sheet!$A:$H,8,FALSE),VLOOKUP("other",bug_conf_sheet!$A:$H,8,FALSE))</f>
        <v>1</v>
      </c>
    </row>
    <row r="498" spans="1:19" ht="21" hidden="1" customHeight="1">
      <c r="A498" s="7" t="str">
        <f t="shared" si="48"/>
        <v>1884383</v>
      </c>
      <c r="B498" s="2" t="str">
        <f t="shared" si="47"/>
        <v>1884</v>
      </c>
      <c r="C498" s="8" t="str">
        <f t="shared" si="49"/>
        <v>4PremiumSS4</v>
      </c>
      <c r="D498" s="8" t="str">
        <f t="shared" si="50"/>
        <v>4PremiumSS4</v>
      </c>
      <c r="E498" s="10">
        <v>4</v>
      </c>
      <c r="F498" s="6">
        <v>383</v>
      </c>
      <c r="G498" s="8" t="str">
        <f>VLOOKUP(F498,[1]characters!$A:$C,3,FALSE)</f>
        <v>酒宴の蟒蛇 ヤマタノオロチ</v>
      </c>
      <c r="H498" s="8" t="str">
        <f>VLOOKUP(F498,[1]characters!$A:$J,10,FALSE)</f>
        <v>PremiumSS</v>
      </c>
      <c r="I498" s="8">
        <f>VLOOKUP(F498,[1]characters!$A:$I,9,FALSE)</f>
        <v>4</v>
      </c>
      <c r="J498" s="8" t="str">
        <f>VLOOKUP(F498,[1]characters!$A:$H,8,FALSE)</f>
        <v>green</v>
      </c>
      <c r="K498" s="8" t="str">
        <f>VLOOKUP(F498,[1]characters!$A:$K,11,FALSE)</f>
        <v>hp</v>
      </c>
      <c r="L498" s="8" t="str">
        <f>VLOOKUP(F498,[1]characters!$A:$M,13,FALSE)</f>
        <v>dragon</v>
      </c>
      <c r="M498" s="16">
        <f>VLOOKUP(D498,gacha_188_base!A:B,2,FALSE)</f>
        <v>1709</v>
      </c>
      <c r="N498" s="38">
        <f>IFERROR(VLOOKUP($F498,bug_conf_sheet!$A:$H,3,FALSE),VLOOKUP("other",bug_conf_sheet!$A:$H,3,FALSE))</f>
        <v>1</v>
      </c>
      <c r="O498" s="38">
        <f>IFERROR(VLOOKUP($F498,bug_conf_sheet!$A:$H,4,FALSE),VLOOKUP("other",bug_conf_sheet!$A:$H,4,FALSE))</f>
        <v>0</v>
      </c>
      <c r="P498" s="38">
        <f>IFERROR(VLOOKUP($F498,bug_conf_sheet!$A:$H,5,FALSE),VLOOKUP("other",bug_conf_sheet!$A:$H,5,FALSE))</f>
        <v>0</v>
      </c>
      <c r="Q498" s="38">
        <f>IFERROR(VLOOKUP($F498,bug_conf_sheet!$A:$H,6,FALSE),VLOOKUP("other",bug_conf_sheet!$A:$H,6,FALSE))</f>
        <v>0</v>
      </c>
      <c r="R498" s="38">
        <f>IFERROR(VLOOKUP($F498,bug_conf_sheet!$A:$H,7,FALSE),VLOOKUP("other",bug_conf_sheet!$A:$H,7,FALSE))</f>
        <v>0</v>
      </c>
      <c r="S498" s="38">
        <f>IFERROR(VLOOKUP($F498,bug_conf_sheet!$A:$H,8,FALSE),VLOOKUP("other",bug_conf_sheet!$A:$H,8,FALSE))</f>
        <v>1</v>
      </c>
    </row>
    <row r="499" spans="1:19" ht="21" customHeight="1">
      <c r="A499" s="7" t="str">
        <f t="shared" si="48"/>
        <v>1884384</v>
      </c>
      <c r="B499" s="2" t="str">
        <f t="shared" si="47"/>
        <v>1884</v>
      </c>
      <c r="C499" s="8" t="str">
        <f t="shared" si="49"/>
        <v>4PremiumSS5</v>
      </c>
      <c r="D499" s="8" t="str">
        <f t="shared" si="50"/>
        <v>4PremiumSS5</v>
      </c>
      <c r="E499" s="10">
        <v>4</v>
      </c>
      <c r="F499" s="6">
        <v>384</v>
      </c>
      <c r="G499" s="8" t="str">
        <f>VLOOKUP(F499,[1]characters!$A:$C,3,FALSE)</f>
        <v>破国の呑龍 ヤマタノオロチ</v>
      </c>
      <c r="H499" s="8" t="str">
        <f>VLOOKUP(F499,[1]characters!$A:$J,10,FALSE)</f>
        <v>PremiumSS</v>
      </c>
      <c r="I499" s="8">
        <f>VLOOKUP(F499,[1]characters!$A:$I,9,FALSE)</f>
        <v>5</v>
      </c>
      <c r="J499" s="8" t="str">
        <f>VLOOKUP(F499,[1]characters!$A:$H,8,FALSE)</f>
        <v>green</v>
      </c>
      <c r="K499" s="8" t="str">
        <f>VLOOKUP(F499,[1]characters!$A:$K,11,FALSE)</f>
        <v>hp</v>
      </c>
      <c r="L499" s="8" t="str">
        <f>VLOOKUP(F499,[1]characters!$A:$M,13,FALSE)</f>
        <v>dragon</v>
      </c>
      <c r="M499" s="16">
        <f>VLOOKUP(D499,gacha_188_base!A:B,2,FALSE)</f>
        <v>109</v>
      </c>
      <c r="N499" s="38">
        <f>IFERROR(VLOOKUP($F499,bug_conf_sheet!$A:$H,3,FALSE),VLOOKUP("other",bug_conf_sheet!$A:$H,3,FALSE))</f>
        <v>1</v>
      </c>
      <c r="O499" s="38">
        <f>IFERROR(VLOOKUP($F499,bug_conf_sheet!$A:$H,4,FALSE),VLOOKUP("other",bug_conf_sheet!$A:$H,4,FALSE))</f>
        <v>0</v>
      </c>
      <c r="P499" s="38">
        <f>IFERROR(VLOOKUP($F499,bug_conf_sheet!$A:$H,5,FALSE),VLOOKUP("other",bug_conf_sheet!$A:$H,5,FALSE))</f>
        <v>0</v>
      </c>
      <c r="Q499" s="38">
        <f>IFERROR(VLOOKUP($F499,bug_conf_sheet!$A:$H,6,FALSE),VLOOKUP("other",bug_conf_sheet!$A:$H,6,FALSE))</f>
        <v>0</v>
      </c>
      <c r="R499" s="38">
        <f>IFERROR(VLOOKUP($F499,bug_conf_sheet!$A:$H,7,FALSE),VLOOKUP("other",bug_conf_sheet!$A:$H,7,FALSE))</f>
        <v>0</v>
      </c>
      <c r="S499" s="38">
        <f>IFERROR(VLOOKUP($F499,bug_conf_sheet!$A:$H,8,FALSE),VLOOKUP("other",bug_conf_sheet!$A:$H,8,FALSE))</f>
        <v>1</v>
      </c>
    </row>
    <row r="500" spans="1:19" ht="21" hidden="1" customHeight="1">
      <c r="A500" s="7" t="str">
        <f t="shared" si="48"/>
        <v>1884385</v>
      </c>
      <c r="B500" s="2" t="str">
        <f t="shared" si="47"/>
        <v>1884</v>
      </c>
      <c r="C500" s="8" t="str">
        <f t="shared" si="49"/>
        <v>4PremiumSS4</v>
      </c>
      <c r="D500" s="8" t="str">
        <f t="shared" si="50"/>
        <v>4PremiumSS4</v>
      </c>
      <c r="E500" s="10">
        <v>4</v>
      </c>
      <c r="F500" s="6">
        <v>385</v>
      </c>
      <c r="G500" s="8" t="str">
        <f>VLOOKUP(F500,[1]characters!$A:$C,3,FALSE)</f>
        <v>波烈の出奔 リヴァイアサン</v>
      </c>
      <c r="H500" s="8" t="str">
        <f>VLOOKUP(F500,[1]characters!$A:$J,10,FALSE)</f>
        <v>PremiumSS</v>
      </c>
      <c r="I500" s="8">
        <f>VLOOKUP(F500,[1]characters!$A:$I,9,FALSE)</f>
        <v>4</v>
      </c>
      <c r="J500" s="8" t="str">
        <f>VLOOKUP(F500,[1]characters!$A:$H,8,FALSE)</f>
        <v>blue</v>
      </c>
      <c r="K500" s="8" t="str">
        <f>VLOOKUP(F500,[1]characters!$A:$K,11,FALSE)</f>
        <v>balance</v>
      </c>
      <c r="L500" s="8" t="str">
        <f>VLOOKUP(F500,[1]characters!$A:$M,13,FALSE)</f>
        <v>dragon</v>
      </c>
      <c r="M500" s="16">
        <f>VLOOKUP(D500,gacha_188_base!A:B,2,FALSE)</f>
        <v>1709</v>
      </c>
      <c r="N500" s="38">
        <f>IFERROR(VLOOKUP($F500,bug_conf_sheet!$A:$H,3,FALSE),VLOOKUP("other",bug_conf_sheet!$A:$H,3,FALSE))</f>
        <v>1</v>
      </c>
      <c r="O500" s="38">
        <f>IFERROR(VLOOKUP($F500,bug_conf_sheet!$A:$H,4,FALSE),VLOOKUP("other",bug_conf_sheet!$A:$H,4,FALSE))</f>
        <v>0</v>
      </c>
      <c r="P500" s="38">
        <f>IFERROR(VLOOKUP($F500,bug_conf_sheet!$A:$H,5,FALSE),VLOOKUP("other",bug_conf_sheet!$A:$H,5,FALSE))</f>
        <v>0</v>
      </c>
      <c r="Q500" s="38">
        <f>IFERROR(VLOOKUP($F500,bug_conf_sheet!$A:$H,6,FALSE),VLOOKUP("other",bug_conf_sheet!$A:$H,6,FALSE))</f>
        <v>0</v>
      </c>
      <c r="R500" s="38">
        <f>IFERROR(VLOOKUP($F500,bug_conf_sheet!$A:$H,7,FALSE),VLOOKUP("other",bug_conf_sheet!$A:$H,7,FALSE))</f>
        <v>0</v>
      </c>
      <c r="S500" s="38">
        <f>IFERROR(VLOOKUP($F500,bug_conf_sheet!$A:$H,8,FALSE),VLOOKUP("other",bug_conf_sheet!$A:$H,8,FALSE))</f>
        <v>1</v>
      </c>
    </row>
    <row r="501" spans="1:19" ht="21" customHeight="1">
      <c r="A501" s="7" t="str">
        <f t="shared" si="48"/>
        <v>1884386</v>
      </c>
      <c r="B501" s="2" t="str">
        <f t="shared" si="47"/>
        <v>1884</v>
      </c>
      <c r="C501" s="8" t="str">
        <f t="shared" si="49"/>
        <v>4PremiumSS5</v>
      </c>
      <c r="D501" s="8" t="str">
        <f t="shared" si="50"/>
        <v>4PremiumSS5</v>
      </c>
      <c r="E501" s="10">
        <v>4</v>
      </c>
      <c r="F501" s="6">
        <v>386</v>
      </c>
      <c r="G501" s="8" t="str">
        <f>VLOOKUP(F501,[1]characters!$A:$C,3,FALSE)</f>
        <v>氾乱の海龍 リヴァイアサン</v>
      </c>
      <c r="H501" s="8" t="str">
        <f>VLOOKUP(F501,[1]characters!$A:$J,10,FALSE)</f>
        <v>PremiumSS</v>
      </c>
      <c r="I501" s="8">
        <f>VLOOKUP(F501,[1]characters!$A:$I,9,FALSE)</f>
        <v>5</v>
      </c>
      <c r="J501" s="8" t="str">
        <f>VLOOKUP(F501,[1]characters!$A:$H,8,FALSE)</f>
        <v>blue</v>
      </c>
      <c r="K501" s="8" t="str">
        <f>VLOOKUP(F501,[1]characters!$A:$K,11,FALSE)</f>
        <v>balance</v>
      </c>
      <c r="L501" s="8" t="str">
        <f>VLOOKUP(F501,[1]characters!$A:$M,13,FALSE)</f>
        <v>dragon</v>
      </c>
      <c r="M501" s="16">
        <f>VLOOKUP(D501,gacha_188_base!A:B,2,FALSE)</f>
        <v>109</v>
      </c>
      <c r="N501" s="38">
        <f>IFERROR(VLOOKUP($F501,bug_conf_sheet!$A:$H,3,FALSE),VLOOKUP("other",bug_conf_sheet!$A:$H,3,FALSE))</f>
        <v>1</v>
      </c>
      <c r="O501" s="38">
        <f>IFERROR(VLOOKUP($F501,bug_conf_sheet!$A:$H,4,FALSE),VLOOKUP("other",bug_conf_sheet!$A:$H,4,FALSE))</f>
        <v>0</v>
      </c>
      <c r="P501" s="38">
        <f>IFERROR(VLOOKUP($F501,bug_conf_sheet!$A:$H,5,FALSE),VLOOKUP("other",bug_conf_sheet!$A:$H,5,FALSE))</f>
        <v>0</v>
      </c>
      <c r="Q501" s="38">
        <f>IFERROR(VLOOKUP($F501,bug_conf_sheet!$A:$H,6,FALSE),VLOOKUP("other",bug_conf_sheet!$A:$H,6,FALSE))</f>
        <v>0</v>
      </c>
      <c r="R501" s="38">
        <f>IFERROR(VLOOKUP($F501,bug_conf_sheet!$A:$H,7,FALSE),VLOOKUP("other",bug_conf_sheet!$A:$H,7,FALSE))</f>
        <v>0</v>
      </c>
      <c r="S501" s="38">
        <f>IFERROR(VLOOKUP($F501,bug_conf_sheet!$A:$H,8,FALSE),VLOOKUP("other",bug_conf_sheet!$A:$H,8,FALSE))</f>
        <v>1</v>
      </c>
    </row>
    <row r="502" spans="1:19" ht="21" hidden="1" customHeight="1">
      <c r="A502" s="7" t="str">
        <f t="shared" si="48"/>
        <v>1884388</v>
      </c>
      <c r="B502" s="2" t="str">
        <f t="shared" si="47"/>
        <v>1884</v>
      </c>
      <c r="C502" s="8" t="str">
        <f t="shared" si="49"/>
        <v>4PremiumS4</v>
      </c>
      <c r="D502" s="8" t="str">
        <f t="shared" si="50"/>
        <v>4PremiumS4</v>
      </c>
      <c r="E502" s="10">
        <v>4</v>
      </c>
      <c r="F502" s="6">
        <v>388</v>
      </c>
      <c r="G502" s="8" t="str">
        <f>VLOOKUP(F502,[1]characters!$A:$C,3,FALSE)</f>
        <v>神円の恋姫 スフィンクス</v>
      </c>
      <c r="H502" s="8" t="str">
        <f>VLOOKUP(F502,[1]characters!$A:$J,10,FALSE)</f>
        <v>PremiumS</v>
      </c>
      <c r="I502" s="8">
        <f>VLOOKUP(F502,[1]characters!$A:$I,9,FALSE)</f>
        <v>4</v>
      </c>
      <c r="J502" s="8" t="str">
        <f>VLOOKUP(F502,[1]characters!$A:$H,8,FALSE)</f>
        <v>yellow</v>
      </c>
      <c r="K502" s="8" t="str">
        <f>VLOOKUP(F502,[1]characters!$A:$K,11,FALSE)</f>
        <v>heal</v>
      </c>
      <c r="L502" s="8" t="str">
        <f>VLOOKUP(F502,[1]characters!$A:$M,13,FALSE)</f>
        <v>animal</v>
      </c>
      <c r="M502" s="16">
        <f>VLOOKUP(D502,gacha_188_base!A:B,2,FALSE)</f>
        <v>14883</v>
      </c>
      <c r="N502" s="38">
        <f>IFERROR(VLOOKUP($F502,bug_conf_sheet!$A:$H,3,FALSE),VLOOKUP("other",bug_conf_sheet!$A:$H,3,FALSE))</f>
        <v>1</v>
      </c>
      <c r="O502" s="38">
        <f>IFERROR(VLOOKUP($F502,bug_conf_sheet!$A:$H,4,FALSE),VLOOKUP("other",bug_conf_sheet!$A:$H,4,FALSE))</f>
        <v>0</v>
      </c>
      <c r="P502" s="38">
        <f>IFERROR(VLOOKUP($F502,bug_conf_sheet!$A:$H,5,FALSE),VLOOKUP("other",bug_conf_sheet!$A:$H,5,FALSE))</f>
        <v>0</v>
      </c>
      <c r="Q502" s="38">
        <f>IFERROR(VLOOKUP($F502,bug_conf_sheet!$A:$H,6,FALSE),VLOOKUP("other",bug_conf_sheet!$A:$H,6,FALSE))</f>
        <v>0</v>
      </c>
      <c r="R502" s="38">
        <f>IFERROR(VLOOKUP($F502,bug_conf_sheet!$A:$H,7,FALSE),VLOOKUP("other",bug_conf_sheet!$A:$H,7,FALSE))</f>
        <v>0</v>
      </c>
      <c r="S502" s="38">
        <f>IFERROR(VLOOKUP($F502,bug_conf_sheet!$A:$H,8,FALSE),VLOOKUP("other",bug_conf_sheet!$A:$H,8,FALSE))</f>
        <v>1</v>
      </c>
    </row>
    <row r="503" spans="1:19" ht="21" customHeight="1">
      <c r="A503" s="7" t="str">
        <f t="shared" si="48"/>
        <v>1884389</v>
      </c>
      <c r="B503" s="2" t="str">
        <f t="shared" si="47"/>
        <v>1884</v>
      </c>
      <c r="C503" s="8" t="str">
        <f t="shared" si="49"/>
        <v>4PremiumS5</v>
      </c>
      <c r="D503" s="8" t="str">
        <f t="shared" si="50"/>
        <v>4PremiumS5</v>
      </c>
      <c r="E503" s="10">
        <v>4</v>
      </c>
      <c r="F503" s="6">
        <v>389</v>
      </c>
      <c r="G503" s="8" t="str">
        <f>VLOOKUP(F503,[1]characters!$A:$C,3,FALSE)</f>
        <v>操神の愛姫 スフィンクス</v>
      </c>
      <c r="H503" s="8" t="str">
        <f>VLOOKUP(F503,[1]characters!$A:$J,10,FALSE)</f>
        <v>PremiumS</v>
      </c>
      <c r="I503" s="8">
        <f>VLOOKUP(F503,[1]characters!$A:$I,9,FALSE)</f>
        <v>5</v>
      </c>
      <c r="J503" s="8" t="str">
        <f>VLOOKUP(F503,[1]characters!$A:$H,8,FALSE)</f>
        <v>yellow</v>
      </c>
      <c r="K503" s="8" t="str">
        <f>VLOOKUP(F503,[1]characters!$A:$K,11,FALSE)</f>
        <v>heal</v>
      </c>
      <c r="L503" s="8" t="str">
        <f>VLOOKUP(F503,[1]characters!$A:$M,13,FALSE)</f>
        <v>animal</v>
      </c>
      <c r="M503" s="16">
        <f>VLOOKUP(D503,gacha_188_base!A:B,2,FALSE)</f>
        <v>950</v>
      </c>
      <c r="N503" s="38">
        <f>IFERROR(VLOOKUP($F503,bug_conf_sheet!$A:$H,3,FALSE),VLOOKUP("other",bug_conf_sheet!$A:$H,3,FALSE))</f>
        <v>1</v>
      </c>
      <c r="O503" s="38">
        <f>IFERROR(VLOOKUP($F503,bug_conf_sheet!$A:$H,4,FALSE),VLOOKUP("other",bug_conf_sheet!$A:$H,4,FALSE))</f>
        <v>0</v>
      </c>
      <c r="P503" s="38">
        <f>IFERROR(VLOOKUP($F503,bug_conf_sheet!$A:$H,5,FALSE),VLOOKUP("other",bug_conf_sheet!$A:$H,5,FALSE))</f>
        <v>0</v>
      </c>
      <c r="Q503" s="38">
        <f>IFERROR(VLOOKUP($F503,bug_conf_sheet!$A:$H,6,FALSE),VLOOKUP("other",bug_conf_sheet!$A:$H,6,FALSE))</f>
        <v>0</v>
      </c>
      <c r="R503" s="38">
        <f>IFERROR(VLOOKUP($F503,bug_conf_sheet!$A:$H,7,FALSE),VLOOKUP("other",bug_conf_sheet!$A:$H,7,FALSE))</f>
        <v>0</v>
      </c>
      <c r="S503" s="38">
        <f>IFERROR(VLOOKUP($F503,bug_conf_sheet!$A:$H,8,FALSE),VLOOKUP("other",bug_conf_sheet!$A:$H,8,FALSE))</f>
        <v>1</v>
      </c>
    </row>
    <row r="504" spans="1:19" ht="21" hidden="1" customHeight="1">
      <c r="A504" s="7" t="str">
        <f t="shared" si="48"/>
        <v>1884390</v>
      </c>
      <c r="B504" s="2" t="str">
        <f t="shared" si="47"/>
        <v>1884</v>
      </c>
      <c r="C504" s="8" t="str">
        <f t="shared" si="49"/>
        <v>4PremiumSS4</v>
      </c>
      <c r="D504" s="8" t="str">
        <f t="shared" si="50"/>
        <v>4PremiumSS4</v>
      </c>
      <c r="E504" s="10">
        <v>4</v>
      </c>
      <c r="F504" s="6">
        <v>390</v>
      </c>
      <c r="G504" s="8" t="str">
        <f>VLOOKUP(F504,[1]characters!$A:$C,3,FALSE)</f>
        <v>華環の旅客 親指姫</v>
      </c>
      <c r="H504" s="8" t="str">
        <f>VLOOKUP(F504,[1]characters!$A:$J,10,FALSE)</f>
        <v>PremiumSS</v>
      </c>
      <c r="I504" s="8">
        <f>VLOOKUP(F504,[1]characters!$A:$I,9,FALSE)</f>
        <v>4</v>
      </c>
      <c r="J504" s="8" t="str">
        <f>VLOOKUP(F504,[1]characters!$A:$H,8,FALSE)</f>
        <v>red</v>
      </c>
      <c r="K504" s="8" t="str">
        <f>VLOOKUP(F504,[1]characters!$A:$K,11,FALSE)</f>
        <v>heal</v>
      </c>
      <c r="L504" s="8" t="str">
        <f>VLOOKUP(F504,[1]characters!$A:$M,13,FALSE)</f>
        <v>human</v>
      </c>
      <c r="M504" s="16">
        <f>VLOOKUP(D504,gacha_188_base!A:B,2,FALSE)</f>
        <v>1709</v>
      </c>
      <c r="N504" s="38">
        <f>IFERROR(VLOOKUP($F504,bug_conf_sheet!$A:$H,3,FALSE),VLOOKUP("other",bug_conf_sheet!$A:$H,3,FALSE))</f>
        <v>1</v>
      </c>
      <c r="O504" s="38">
        <f>IFERROR(VLOOKUP($F504,bug_conf_sheet!$A:$H,4,FALSE),VLOOKUP("other",bug_conf_sheet!$A:$H,4,FALSE))</f>
        <v>0</v>
      </c>
      <c r="P504" s="38">
        <f>IFERROR(VLOOKUP($F504,bug_conf_sheet!$A:$H,5,FALSE),VLOOKUP("other",bug_conf_sheet!$A:$H,5,FALSE))</f>
        <v>0</v>
      </c>
      <c r="Q504" s="38">
        <f>IFERROR(VLOOKUP($F504,bug_conf_sheet!$A:$H,6,FALSE),VLOOKUP("other",bug_conf_sheet!$A:$H,6,FALSE))</f>
        <v>0</v>
      </c>
      <c r="R504" s="38">
        <f>IFERROR(VLOOKUP($F504,bug_conf_sheet!$A:$H,7,FALSE),VLOOKUP("other",bug_conf_sheet!$A:$H,7,FALSE))</f>
        <v>0</v>
      </c>
      <c r="S504" s="38">
        <f>IFERROR(VLOOKUP($F504,bug_conf_sheet!$A:$H,8,FALSE),VLOOKUP("other",bug_conf_sheet!$A:$H,8,FALSE))</f>
        <v>1</v>
      </c>
    </row>
    <row r="505" spans="1:19" ht="21" customHeight="1">
      <c r="A505" s="7" t="str">
        <f t="shared" si="48"/>
        <v>1884391</v>
      </c>
      <c r="B505" s="2" t="str">
        <f t="shared" si="47"/>
        <v>1884</v>
      </c>
      <c r="C505" s="8" t="str">
        <f t="shared" si="49"/>
        <v>4PremiumSS5</v>
      </c>
      <c r="D505" s="8" t="str">
        <f t="shared" si="50"/>
        <v>4PremiumSS5</v>
      </c>
      <c r="E505" s="10">
        <v>4</v>
      </c>
      <c r="F505" s="6">
        <v>391</v>
      </c>
      <c r="G505" s="8" t="str">
        <f>VLOOKUP(F505,[1]characters!$A:$C,3,FALSE)</f>
        <v>燕翼の旅人 親指姫</v>
      </c>
      <c r="H505" s="8" t="str">
        <f>VLOOKUP(F505,[1]characters!$A:$J,10,FALSE)</f>
        <v>PremiumSS</v>
      </c>
      <c r="I505" s="8">
        <f>VLOOKUP(F505,[1]characters!$A:$I,9,FALSE)</f>
        <v>5</v>
      </c>
      <c r="J505" s="8" t="str">
        <f>VLOOKUP(F505,[1]characters!$A:$H,8,FALSE)</f>
        <v>red</v>
      </c>
      <c r="K505" s="8" t="str">
        <f>VLOOKUP(F505,[1]characters!$A:$K,11,FALSE)</f>
        <v>heal</v>
      </c>
      <c r="L505" s="8" t="str">
        <f>VLOOKUP(F505,[1]characters!$A:$M,13,FALSE)</f>
        <v>human</v>
      </c>
      <c r="M505" s="16">
        <f>VLOOKUP(D505,gacha_188_base!A:B,2,FALSE)</f>
        <v>109</v>
      </c>
      <c r="N505" s="38">
        <f>IFERROR(VLOOKUP($F505,bug_conf_sheet!$A:$H,3,FALSE),VLOOKUP("other",bug_conf_sheet!$A:$H,3,FALSE))</f>
        <v>1</v>
      </c>
      <c r="O505" s="38">
        <f>IFERROR(VLOOKUP($F505,bug_conf_sheet!$A:$H,4,FALSE),VLOOKUP("other",bug_conf_sheet!$A:$H,4,FALSE))</f>
        <v>0</v>
      </c>
      <c r="P505" s="38">
        <f>IFERROR(VLOOKUP($F505,bug_conf_sheet!$A:$H,5,FALSE),VLOOKUP("other",bug_conf_sheet!$A:$H,5,FALSE))</f>
        <v>0</v>
      </c>
      <c r="Q505" s="38">
        <f>IFERROR(VLOOKUP($F505,bug_conf_sheet!$A:$H,6,FALSE),VLOOKUP("other",bug_conf_sheet!$A:$H,6,FALSE))</f>
        <v>0</v>
      </c>
      <c r="R505" s="38">
        <f>IFERROR(VLOOKUP($F505,bug_conf_sheet!$A:$H,7,FALSE),VLOOKUP("other",bug_conf_sheet!$A:$H,7,FALSE))</f>
        <v>0</v>
      </c>
      <c r="S505" s="38">
        <f>IFERROR(VLOOKUP($F505,bug_conf_sheet!$A:$H,8,FALSE),VLOOKUP("other",bug_conf_sheet!$A:$H,8,FALSE))</f>
        <v>1</v>
      </c>
    </row>
    <row r="506" spans="1:19" ht="21" hidden="1" customHeight="1">
      <c r="A506" s="7" t="str">
        <f t="shared" si="48"/>
        <v>1884393</v>
      </c>
      <c r="B506" s="2" t="str">
        <f t="shared" si="47"/>
        <v>1884</v>
      </c>
      <c r="C506" s="8" t="str">
        <f t="shared" si="49"/>
        <v>4PremiumS4</v>
      </c>
      <c r="D506" s="8" t="str">
        <f t="shared" si="50"/>
        <v>4PremiumS4</v>
      </c>
      <c r="E506" s="10">
        <v>4</v>
      </c>
      <c r="F506" s="6">
        <v>393</v>
      </c>
      <c r="G506" s="8" t="str">
        <f>VLOOKUP(F506,[1]characters!$A:$C,3,FALSE)</f>
        <v>影縫い ピーターパン</v>
      </c>
      <c r="H506" s="8" t="str">
        <f>VLOOKUP(F506,[1]characters!$A:$J,10,FALSE)</f>
        <v>PremiumS</v>
      </c>
      <c r="I506" s="8">
        <f>VLOOKUP(F506,[1]characters!$A:$I,9,FALSE)</f>
        <v>4</v>
      </c>
      <c r="J506" s="8" t="str">
        <f>VLOOKUP(F506,[1]characters!$A:$H,8,FALSE)</f>
        <v>green</v>
      </c>
      <c r="K506" s="8" t="str">
        <f>VLOOKUP(F506,[1]characters!$A:$K,11,FALSE)</f>
        <v>attack</v>
      </c>
      <c r="L506" s="8" t="str">
        <f>VLOOKUP(F506,[1]characters!$A:$M,13,FALSE)</f>
        <v>human</v>
      </c>
      <c r="M506" s="16">
        <f>VLOOKUP(D506,gacha_188_base!A:B,2,FALSE)</f>
        <v>14883</v>
      </c>
      <c r="N506" s="38">
        <f>IFERROR(VLOOKUP($F506,bug_conf_sheet!$A:$H,3,FALSE),VLOOKUP("other",bug_conf_sheet!$A:$H,3,FALSE))</f>
        <v>1</v>
      </c>
      <c r="O506" s="38">
        <f>IFERROR(VLOOKUP($F506,bug_conf_sheet!$A:$H,4,FALSE),VLOOKUP("other",bug_conf_sheet!$A:$H,4,FALSE))</f>
        <v>0</v>
      </c>
      <c r="P506" s="38">
        <f>IFERROR(VLOOKUP($F506,bug_conf_sheet!$A:$H,5,FALSE),VLOOKUP("other",bug_conf_sheet!$A:$H,5,FALSE))</f>
        <v>0</v>
      </c>
      <c r="Q506" s="38">
        <f>IFERROR(VLOOKUP($F506,bug_conf_sheet!$A:$H,6,FALSE),VLOOKUP("other",bug_conf_sheet!$A:$H,6,FALSE))</f>
        <v>0</v>
      </c>
      <c r="R506" s="38">
        <f>IFERROR(VLOOKUP($F506,bug_conf_sheet!$A:$H,7,FALSE),VLOOKUP("other",bug_conf_sheet!$A:$H,7,FALSE))</f>
        <v>0</v>
      </c>
      <c r="S506" s="38">
        <f>IFERROR(VLOOKUP($F506,bug_conf_sheet!$A:$H,8,FALSE),VLOOKUP("other",bug_conf_sheet!$A:$H,8,FALSE))</f>
        <v>1</v>
      </c>
    </row>
    <row r="507" spans="1:19" ht="21" customHeight="1">
      <c r="A507" s="7" t="str">
        <f t="shared" si="48"/>
        <v>1884394</v>
      </c>
      <c r="B507" s="2" t="str">
        <f t="shared" si="47"/>
        <v>1884</v>
      </c>
      <c r="C507" s="8" t="str">
        <f t="shared" si="49"/>
        <v>4PremiumS5</v>
      </c>
      <c r="D507" s="8" t="str">
        <f t="shared" si="50"/>
        <v>4PremiumS5</v>
      </c>
      <c r="E507" s="10">
        <v>4</v>
      </c>
      <c r="F507" s="6">
        <v>394</v>
      </c>
      <c r="G507" s="8" t="str">
        <f>VLOOKUP(F507,[1]characters!$A:$C,3,FALSE)</f>
        <v>影求の悪童 ピーターパン</v>
      </c>
      <c r="H507" s="8" t="str">
        <f>VLOOKUP(F507,[1]characters!$A:$J,10,FALSE)</f>
        <v>PremiumS</v>
      </c>
      <c r="I507" s="8">
        <f>VLOOKUP(F507,[1]characters!$A:$I,9,FALSE)</f>
        <v>5</v>
      </c>
      <c r="J507" s="8" t="str">
        <f>VLOOKUP(F507,[1]characters!$A:$H,8,FALSE)</f>
        <v>green</v>
      </c>
      <c r="K507" s="8" t="str">
        <f>VLOOKUP(F507,[1]characters!$A:$K,11,FALSE)</f>
        <v>attack</v>
      </c>
      <c r="L507" s="8" t="str">
        <f>VLOOKUP(F507,[1]characters!$A:$M,13,FALSE)</f>
        <v>human</v>
      </c>
      <c r="M507" s="16">
        <f>VLOOKUP(D507,gacha_188_base!A:B,2,FALSE)</f>
        <v>950</v>
      </c>
      <c r="N507" s="38">
        <f>IFERROR(VLOOKUP($F507,bug_conf_sheet!$A:$H,3,FALSE),VLOOKUP("other",bug_conf_sheet!$A:$H,3,FALSE))</f>
        <v>1</v>
      </c>
      <c r="O507" s="38">
        <f>IFERROR(VLOOKUP($F507,bug_conf_sheet!$A:$H,4,FALSE),VLOOKUP("other",bug_conf_sheet!$A:$H,4,FALSE))</f>
        <v>0</v>
      </c>
      <c r="P507" s="38">
        <f>IFERROR(VLOOKUP($F507,bug_conf_sheet!$A:$H,5,FALSE),VLOOKUP("other",bug_conf_sheet!$A:$H,5,FALSE))</f>
        <v>0</v>
      </c>
      <c r="Q507" s="38">
        <f>IFERROR(VLOOKUP($F507,bug_conf_sheet!$A:$H,6,FALSE),VLOOKUP("other",bug_conf_sheet!$A:$H,6,FALSE))</f>
        <v>0</v>
      </c>
      <c r="R507" s="38">
        <f>IFERROR(VLOOKUP($F507,bug_conf_sheet!$A:$H,7,FALSE),VLOOKUP("other",bug_conf_sheet!$A:$H,7,FALSE))</f>
        <v>0</v>
      </c>
      <c r="S507" s="38">
        <f>IFERROR(VLOOKUP($F507,bug_conf_sheet!$A:$H,8,FALSE),VLOOKUP("other",bug_conf_sheet!$A:$H,8,FALSE))</f>
        <v>1</v>
      </c>
    </row>
    <row r="508" spans="1:19" ht="21" hidden="1" customHeight="1">
      <c r="A508" s="7" t="str">
        <f t="shared" si="48"/>
        <v>1884396</v>
      </c>
      <c r="B508" s="2" t="str">
        <f t="shared" si="47"/>
        <v>1884</v>
      </c>
      <c r="C508" s="8" t="str">
        <f t="shared" si="49"/>
        <v>4PremiumS4</v>
      </c>
      <c r="D508" s="8" t="str">
        <f t="shared" si="50"/>
        <v>4PremiumS4</v>
      </c>
      <c r="E508" s="10">
        <v>4</v>
      </c>
      <c r="F508" s="6">
        <v>396</v>
      </c>
      <c r="G508" s="8" t="str">
        <f>VLOOKUP(F508,[1]characters!$A:$C,3,FALSE)</f>
        <v>竜宮の水雷 乙姫</v>
      </c>
      <c r="H508" s="8" t="str">
        <f>VLOOKUP(F508,[1]characters!$A:$J,10,FALSE)</f>
        <v>PremiumS</v>
      </c>
      <c r="I508" s="8">
        <f>VLOOKUP(F508,[1]characters!$A:$I,9,FALSE)</f>
        <v>4</v>
      </c>
      <c r="J508" s="8" t="str">
        <f>VLOOKUP(F508,[1]characters!$A:$H,8,FALSE)</f>
        <v>blue</v>
      </c>
      <c r="K508" s="8" t="str">
        <f>VLOOKUP(F508,[1]characters!$A:$K,11,FALSE)</f>
        <v>hp</v>
      </c>
      <c r="L508" s="8" t="str">
        <f>VLOOKUP(F508,[1]characters!$A:$M,13,FALSE)</f>
        <v>human</v>
      </c>
      <c r="M508" s="16">
        <f>VLOOKUP(D508,gacha_188_base!A:B,2,FALSE)</f>
        <v>14883</v>
      </c>
      <c r="N508" s="38">
        <f>IFERROR(VLOOKUP($F508,bug_conf_sheet!$A:$H,3,FALSE),VLOOKUP("other",bug_conf_sheet!$A:$H,3,FALSE))</f>
        <v>1</v>
      </c>
      <c r="O508" s="38">
        <f>IFERROR(VLOOKUP($F508,bug_conf_sheet!$A:$H,4,FALSE),VLOOKUP("other",bug_conf_sheet!$A:$H,4,FALSE))</f>
        <v>0</v>
      </c>
      <c r="P508" s="38">
        <f>IFERROR(VLOOKUP($F508,bug_conf_sheet!$A:$H,5,FALSE),VLOOKUP("other",bug_conf_sheet!$A:$H,5,FALSE))</f>
        <v>0</v>
      </c>
      <c r="Q508" s="38">
        <f>IFERROR(VLOOKUP($F508,bug_conf_sheet!$A:$H,6,FALSE),VLOOKUP("other",bug_conf_sheet!$A:$H,6,FALSE))</f>
        <v>0</v>
      </c>
      <c r="R508" s="38">
        <f>IFERROR(VLOOKUP($F508,bug_conf_sheet!$A:$H,7,FALSE),VLOOKUP("other",bug_conf_sheet!$A:$H,7,FALSE))</f>
        <v>0</v>
      </c>
      <c r="S508" s="38">
        <f>IFERROR(VLOOKUP($F508,bug_conf_sheet!$A:$H,8,FALSE),VLOOKUP("other",bug_conf_sheet!$A:$H,8,FALSE))</f>
        <v>1</v>
      </c>
    </row>
    <row r="509" spans="1:19" ht="21" customHeight="1">
      <c r="A509" s="7" t="str">
        <f t="shared" si="48"/>
        <v>1884397</v>
      </c>
      <c r="B509" s="2" t="str">
        <f t="shared" si="47"/>
        <v>1884</v>
      </c>
      <c r="C509" s="8" t="str">
        <f t="shared" si="49"/>
        <v>4PremiumS5</v>
      </c>
      <c r="D509" s="8" t="str">
        <f t="shared" si="50"/>
        <v>4PremiumS5</v>
      </c>
      <c r="E509" s="10">
        <v>4</v>
      </c>
      <c r="F509" s="6">
        <v>397</v>
      </c>
      <c r="G509" s="8" t="str">
        <f>VLOOKUP(F509,[1]characters!$A:$C,3,FALSE)</f>
        <v>禁断の追箱 乙姫</v>
      </c>
      <c r="H509" s="8" t="str">
        <f>VLOOKUP(F509,[1]characters!$A:$J,10,FALSE)</f>
        <v>PremiumS</v>
      </c>
      <c r="I509" s="8">
        <f>VLOOKUP(F509,[1]characters!$A:$I,9,FALSE)</f>
        <v>5</v>
      </c>
      <c r="J509" s="8" t="str">
        <f>VLOOKUP(F509,[1]characters!$A:$H,8,FALSE)</f>
        <v>blue</v>
      </c>
      <c r="K509" s="8" t="str">
        <f>VLOOKUP(F509,[1]characters!$A:$K,11,FALSE)</f>
        <v>hp</v>
      </c>
      <c r="L509" s="8" t="str">
        <f>VLOOKUP(F509,[1]characters!$A:$M,13,FALSE)</f>
        <v>human</v>
      </c>
      <c r="M509" s="16">
        <f>VLOOKUP(D509,gacha_188_base!A:B,2,FALSE)</f>
        <v>950</v>
      </c>
      <c r="N509" s="38">
        <f>IFERROR(VLOOKUP($F509,bug_conf_sheet!$A:$H,3,FALSE),VLOOKUP("other",bug_conf_sheet!$A:$H,3,FALSE))</f>
        <v>1</v>
      </c>
      <c r="O509" s="38">
        <f>IFERROR(VLOOKUP($F509,bug_conf_sheet!$A:$H,4,FALSE),VLOOKUP("other",bug_conf_sheet!$A:$H,4,FALSE))</f>
        <v>0</v>
      </c>
      <c r="P509" s="38">
        <f>IFERROR(VLOOKUP($F509,bug_conf_sheet!$A:$H,5,FALSE),VLOOKUP("other",bug_conf_sheet!$A:$H,5,FALSE))</f>
        <v>0</v>
      </c>
      <c r="Q509" s="38">
        <f>IFERROR(VLOOKUP($F509,bug_conf_sheet!$A:$H,6,FALSE),VLOOKUP("other",bug_conf_sheet!$A:$H,6,FALSE))</f>
        <v>0</v>
      </c>
      <c r="R509" s="38">
        <f>IFERROR(VLOOKUP($F509,bug_conf_sheet!$A:$H,7,FALSE),VLOOKUP("other",bug_conf_sheet!$A:$H,7,FALSE))</f>
        <v>0</v>
      </c>
      <c r="S509" s="38">
        <f>IFERROR(VLOOKUP($F509,bug_conf_sheet!$A:$H,8,FALSE),VLOOKUP("other",bug_conf_sheet!$A:$H,8,FALSE))</f>
        <v>1</v>
      </c>
    </row>
    <row r="510" spans="1:19" ht="21" hidden="1" customHeight="1">
      <c r="A510" s="7" t="str">
        <f t="shared" si="48"/>
        <v>1884398</v>
      </c>
      <c r="B510" s="2" t="str">
        <f t="shared" si="47"/>
        <v>1884</v>
      </c>
      <c r="C510" s="8" t="str">
        <f t="shared" si="49"/>
        <v>4PremiumSS4</v>
      </c>
      <c r="D510" s="8" t="str">
        <f t="shared" si="50"/>
        <v>4PremiumSS4</v>
      </c>
      <c r="E510" s="10">
        <v>4</v>
      </c>
      <c r="F510" s="6">
        <v>398</v>
      </c>
      <c r="G510" s="8" t="str">
        <f>VLOOKUP(F510,[1]characters!$A:$C,3,FALSE)</f>
        <v>ヘンゼル＆グレーテル</v>
      </c>
      <c r="H510" s="8" t="str">
        <f>VLOOKUP(F510,[1]characters!$A:$J,10,FALSE)</f>
        <v>PremiumSS</v>
      </c>
      <c r="I510" s="8">
        <f>VLOOKUP(F510,[1]characters!$A:$I,9,FALSE)</f>
        <v>4</v>
      </c>
      <c r="J510" s="8" t="str">
        <f>VLOOKUP(F510,[1]characters!$A:$H,8,FALSE)</f>
        <v>yellow</v>
      </c>
      <c r="K510" s="8" t="str">
        <f>VLOOKUP(F510,[1]characters!$A:$K,11,FALSE)</f>
        <v>balance</v>
      </c>
      <c r="L510" s="8" t="str">
        <f>VLOOKUP(F510,[1]characters!$A:$M,13,FALSE)</f>
        <v>human</v>
      </c>
      <c r="M510" s="16">
        <f>VLOOKUP(D510,gacha_188_base!A:B,2,FALSE)</f>
        <v>1709</v>
      </c>
      <c r="N510" s="38">
        <f>IFERROR(VLOOKUP($F510,bug_conf_sheet!$A:$H,3,FALSE),VLOOKUP("other",bug_conf_sheet!$A:$H,3,FALSE))</f>
        <v>1</v>
      </c>
      <c r="O510" s="38">
        <f>IFERROR(VLOOKUP($F510,bug_conf_sheet!$A:$H,4,FALSE),VLOOKUP("other",bug_conf_sheet!$A:$H,4,FALSE))</f>
        <v>0</v>
      </c>
      <c r="P510" s="38">
        <f>IFERROR(VLOOKUP($F510,bug_conf_sheet!$A:$H,5,FALSE),VLOOKUP("other",bug_conf_sheet!$A:$H,5,FALSE))</f>
        <v>0</v>
      </c>
      <c r="Q510" s="38">
        <f>IFERROR(VLOOKUP($F510,bug_conf_sheet!$A:$H,6,FALSE),VLOOKUP("other",bug_conf_sheet!$A:$H,6,FALSE))</f>
        <v>0</v>
      </c>
      <c r="R510" s="38">
        <f>IFERROR(VLOOKUP($F510,bug_conf_sheet!$A:$H,7,FALSE),VLOOKUP("other",bug_conf_sheet!$A:$H,7,FALSE))</f>
        <v>0</v>
      </c>
      <c r="S510" s="38">
        <f>IFERROR(VLOOKUP($F510,bug_conf_sheet!$A:$H,8,FALSE),VLOOKUP("other",bug_conf_sheet!$A:$H,8,FALSE))</f>
        <v>1</v>
      </c>
    </row>
    <row r="511" spans="1:19" ht="21" customHeight="1">
      <c r="A511" s="7" t="str">
        <f t="shared" si="48"/>
        <v>1884399</v>
      </c>
      <c r="B511" s="2" t="str">
        <f t="shared" si="47"/>
        <v>1884</v>
      </c>
      <c r="C511" s="8" t="str">
        <f t="shared" si="49"/>
        <v>4PremiumSS5</v>
      </c>
      <c r="D511" s="8" t="str">
        <f t="shared" si="50"/>
        <v>4PremiumSS5</v>
      </c>
      <c r="E511" s="10">
        <v>4</v>
      </c>
      <c r="F511" s="6">
        <v>399</v>
      </c>
      <c r="G511" s="8" t="str">
        <f>VLOOKUP(F511,[1]characters!$A:$C,3,FALSE)</f>
        <v>信愛の兄妹 ヘンゼル＆グレーテル</v>
      </c>
      <c r="H511" s="8" t="str">
        <f>VLOOKUP(F511,[1]characters!$A:$J,10,FALSE)</f>
        <v>PremiumSS</v>
      </c>
      <c r="I511" s="8">
        <f>VLOOKUP(F511,[1]characters!$A:$I,9,FALSE)</f>
        <v>5</v>
      </c>
      <c r="J511" s="8" t="str">
        <f>VLOOKUP(F511,[1]characters!$A:$H,8,FALSE)</f>
        <v>yellow</v>
      </c>
      <c r="K511" s="8" t="str">
        <f>VLOOKUP(F511,[1]characters!$A:$K,11,FALSE)</f>
        <v>balance</v>
      </c>
      <c r="L511" s="8" t="str">
        <f>VLOOKUP(F511,[1]characters!$A:$M,13,FALSE)</f>
        <v>human</v>
      </c>
      <c r="M511" s="16">
        <f>VLOOKUP(D511,gacha_188_base!A:B,2,FALSE)</f>
        <v>109</v>
      </c>
      <c r="N511" s="38">
        <f>IFERROR(VLOOKUP($F511,bug_conf_sheet!$A:$H,3,FALSE),VLOOKUP("other",bug_conf_sheet!$A:$H,3,FALSE))</f>
        <v>1</v>
      </c>
      <c r="O511" s="38">
        <f>IFERROR(VLOOKUP($F511,bug_conf_sheet!$A:$H,4,FALSE),VLOOKUP("other",bug_conf_sheet!$A:$H,4,FALSE))</f>
        <v>0</v>
      </c>
      <c r="P511" s="38">
        <f>IFERROR(VLOOKUP($F511,bug_conf_sheet!$A:$H,5,FALSE),VLOOKUP("other",bug_conf_sheet!$A:$H,5,FALSE))</f>
        <v>0</v>
      </c>
      <c r="Q511" s="38">
        <f>IFERROR(VLOOKUP($F511,bug_conf_sheet!$A:$H,6,FALSE),VLOOKUP("other",bug_conf_sheet!$A:$H,6,FALSE))</f>
        <v>0</v>
      </c>
      <c r="R511" s="38">
        <f>IFERROR(VLOOKUP($F511,bug_conf_sheet!$A:$H,7,FALSE),VLOOKUP("other",bug_conf_sheet!$A:$H,7,FALSE))</f>
        <v>0</v>
      </c>
      <c r="S511" s="38">
        <f>IFERROR(VLOOKUP($F511,bug_conf_sheet!$A:$H,8,FALSE),VLOOKUP("other",bug_conf_sheet!$A:$H,8,FALSE))</f>
        <v>1</v>
      </c>
    </row>
    <row r="512" spans="1:19" ht="21" hidden="1" customHeight="1">
      <c r="A512" s="7" t="str">
        <f t="shared" si="48"/>
        <v>1884401</v>
      </c>
      <c r="B512" s="2" t="str">
        <f t="shared" si="47"/>
        <v>1884</v>
      </c>
      <c r="C512" s="8" t="str">
        <f t="shared" si="49"/>
        <v>4PremiumS4</v>
      </c>
      <c r="D512" s="8" t="str">
        <f t="shared" si="50"/>
        <v>4PremiumS4</v>
      </c>
      <c r="E512" s="10">
        <v>4</v>
      </c>
      <c r="F512" s="6">
        <v>401</v>
      </c>
      <c r="G512" s="8" t="str">
        <f>VLOOKUP(F512,[1]characters!$A:$C,3,FALSE)</f>
        <v>紅銀の孤狼 フェンリル</v>
      </c>
      <c r="H512" s="8" t="str">
        <f>VLOOKUP(F512,[1]characters!$A:$J,10,FALSE)</f>
        <v>PremiumS</v>
      </c>
      <c r="I512" s="8">
        <f>VLOOKUP(F512,[1]characters!$A:$I,9,FALSE)</f>
        <v>4</v>
      </c>
      <c r="J512" s="8" t="str">
        <f>VLOOKUP(F512,[1]characters!$A:$H,8,FALSE)</f>
        <v>red</v>
      </c>
      <c r="K512" s="8" t="str">
        <f>VLOOKUP(F512,[1]characters!$A:$K,11,FALSE)</f>
        <v>attack</v>
      </c>
      <c r="L512" s="8" t="str">
        <f>VLOOKUP(F512,[1]characters!$A:$M,13,FALSE)</f>
        <v>animal</v>
      </c>
      <c r="M512" s="16">
        <f>VLOOKUP(D512,gacha_188_base!A:B,2,FALSE)</f>
        <v>14883</v>
      </c>
      <c r="N512" s="38">
        <f>IFERROR(VLOOKUP($F512,bug_conf_sheet!$A:$H,3,FALSE),VLOOKUP("other",bug_conf_sheet!$A:$H,3,FALSE))</f>
        <v>1</v>
      </c>
      <c r="O512" s="38">
        <f>IFERROR(VLOOKUP($F512,bug_conf_sheet!$A:$H,4,FALSE),VLOOKUP("other",bug_conf_sheet!$A:$H,4,FALSE))</f>
        <v>0</v>
      </c>
      <c r="P512" s="38">
        <f>IFERROR(VLOOKUP($F512,bug_conf_sheet!$A:$H,5,FALSE),VLOOKUP("other",bug_conf_sheet!$A:$H,5,FALSE))</f>
        <v>0</v>
      </c>
      <c r="Q512" s="38">
        <f>IFERROR(VLOOKUP($F512,bug_conf_sheet!$A:$H,6,FALSE),VLOOKUP("other",bug_conf_sheet!$A:$H,6,FALSE))</f>
        <v>0</v>
      </c>
      <c r="R512" s="38">
        <f>IFERROR(VLOOKUP($F512,bug_conf_sheet!$A:$H,7,FALSE),VLOOKUP("other",bug_conf_sheet!$A:$H,7,FALSE))</f>
        <v>0</v>
      </c>
      <c r="S512" s="38">
        <f>IFERROR(VLOOKUP($F512,bug_conf_sheet!$A:$H,8,FALSE),VLOOKUP("other",bug_conf_sheet!$A:$H,8,FALSE))</f>
        <v>1</v>
      </c>
    </row>
    <row r="513" spans="1:19" ht="21" customHeight="1">
      <c r="A513" s="7" t="str">
        <f t="shared" si="48"/>
        <v>1884402</v>
      </c>
      <c r="B513" s="2" t="str">
        <f t="shared" si="47"/>
        <v>1884</v>
      </c>
      <c r="C513" s="8" t="str">
        <f t="shared" si="49"/>
        <v>4PremiumS5</v>
      </c>
      <c r="D513" s="8" t="str">
        <f t="shared" si="50"/>
        <v>4PremiumS5</v>
      </c>
      <c r="E513" s="10">
        <v>4</v>
      </c>
      <c r="F513" s="6">
        <v>402</v>
      </c>
      <c r="G513" s="8" t="str">
        <f>VLOOKUP(F513,[1]characters!$A:$C,3,FALSE)</f>
        <v>天災の神狼 フェンリル</v>
      </c>
      <c r="H513" s="8" t="str">
        <f>VLOOKUP(F513,[1]characters!$A:$J,10,FALSE)</f>
        <v>PremiumS</v>
      </c>
      <c r="I513" s="8">
        <f>VLOOKUP(F513,[1]characters!$A:$I,9,FALSE)</f>
        <v>5</v>
      </c>
      <c r="J513" s="8" t="str">
        <f>VLOOKUP(F513,[1]characters!$A:$H,8,FALSE)</f>
        <v>red</v>
      </c>
      <c r="K513" s="8" t="str">
        <f>VLOOKUP(F513,[1]characters!$A:$K,11,FALSE)</f>
        <v>attack</v>
      </c>
      <c r="L513" s="8" t="str">
        <f>VLOOKUP(F513,[1]characters!$A:$M,13,FALSE)</f>
        <v>animal</v>
      </c>
      <c r="M513" s="16">
        <f>VLOOKUP(D513,gacha_188_base!A:B,2,FALSE)</f>
        <v>950</v>
      </c>
      <c r="N513" s="38">
        <f>IFERROR(VLOOKUP($F513,bug_conf_sheet!$A:$H,3,FALSE),VLOOKUP("other",bug_conf_sheet!$A:$H,3,FALSE))</f>
        <v>1</v>
      </c>
      <c r="O513" s="38">
        <f>IFERROR(VLOOKUP($F513,bug_conf_sheet!$A:$H,4,FALSE),VLOOKUP("other",bug_conf_sheet!$A:$H,4,FALSE))</f>
        <v>0</v>
      </c>
      <c r="P513" s="38">
        <f>IFERROR(VLOOKUP($F513,bug_conf_sheet!$A:$H,5,FALSE),VLOOKUP("other",bug_conf_sheet!$A:$H,5,FALSE))</f>
        <v>0</v>
      </c>
      <c r="Q513" s="38">
        <f>IFERROR(VLOOKUP($F513,bug_conf_sheet!$A:$H,6,FALSE),VLOOKUP("other",bug_conf_sheet!$A:$H,6,FALSE))</f>
        <v>0</v>
      </c>
      <c r="R513" s="38">
        <f>IFERROR(VLOOKUP($F513,bug_conf_sheet!$A:$H,7,FALSE),VLOOKUP("other",bug_conf_sheet!$A:$H,7,FALSE))</f>
        <v>0</v>
      </c>
      <c r="S513" s="38">
        <f>IFERROR(VLOOKUP($F513,bug_conf_sheet!$A:$H,8,FALSE),VLOOKUP("other",bug_conf_sheet!$A:$H,8,FALSE))</f>
        <v>1</v>
      </c>
    </row>
    <row r="514" spans="1:19" ht="21" hidden="1" customHeight="1">
      <c r="A514" s="7" t="str">
        <f t="shared" si="48"/>
        <v>1884403</v>
      </c>
      <c r="B514" s="2" t="str">
        <f t="shared" si="47"/>
        <v>1884</v>
      </c>
      <c r="C514" s="8" t="str">
        <f t="shared" si="49"/>
        <v>4PremiumSS4</v>
      </c>
      <c r="D514" s="8" t="str">
        <f t="shared" si="50"/>
        <v>4PremiumSS4</v>
      </c>
      <c r="E514" s="10">
        <v>4</v>
      </c>
      <c r="F514" s="6">
        <v>403</v>
      </c>
      <c r="G514" s="8" t="str">
        <f>VLOOKUP(F514,[1]characters!$A:$C,3,FALSE)</f>
        <v>静撃の翠眼 八咫烏</v>
      </c>
      <c r="H514" s="8" t="str">
        <f>VLOOKUP(F514,[1]characters!$A:$J,10,FALSE)</f>
        <v>PremiumSS</v>
      </c>
      <c r="I514" s="8">
        <f>VLOOKUP(F514,[1]characters!$A:$I,9,FALSE)</f>
        <v>4</v>
      </c>
      <c r="J514" s="8" t="str">
        <f>VLOOKUP(F514,[1]characters!$A:$H,8,FALSE)</f>
        <v>green</v>
      </c>
      <c r="K514" s="8" t="str">
        <f>VLOOKUP(F514,[1]characters!$A:$K,11,FALSE)</f>
        <v>balance</v>
      </c>
      <c r="L514" s="8" t="str">
        <f>VLOOKUP(F514,[1]characters!$A:$M,13,FALSE)</f>
        <v>animal</v>
      </c>
      <c r="M514" s="16">
        <f>VLOOKUP(D514,gacha_188_base!A:B,2,FALSE)</f>
        <v>1709</v>
      </c>
      <c r="N514" s="38">
        <f>IFERROR(VLOOKUP($F514,bug_conf_sheet!$A:$H,3,FALSE),VLOOKUP("other",bug_conf_sheet!$A:$H,3,FALSE))</f>
        <v>1</v>
      </c>
      <c r="O514" s="38">
        <f>IFERROR(VLOOKUP($F514,bug_conf_sheet!$A:$H,4,FALSE),VLOOKUP("other",bug_conf_sheet!$A:$H,4,FALSE))</f>
        <v>0</v>
      </c>
      <c r="P514" s="38">
        <f>IFERROR(VLOOKUP($F514,bug_conf_sheet!$A:$H,5,FALSE),VLOOKUP("other",bug_conf_sheet!$A:$H,5,FALSE))</f>
        <v>0</v>
      </c>
      <c r="Q514" s="38">
        <f>IFERROR(VLOOKUP($F514,bug_conf_sheet!$A:$H,6,FALSE),VLOOKUP("other",bug_conf_sheet!$A:$H,6,FALSE))</f>
        <v>0</v>
      </c>
      <c r="R514" s="38">
        <f>IFERROR(VLOOKUP($F514,bug_conf_sheet!$A:$H,7,FALSE),VLOOKUP("other",bug_conf_sheet!$A:$H,7,FALSE))</f>
        <v>0</v>
      </c>
      <c r="S514" s="38">
        <f>IFERROR(VLOOKUP($F514,bug_conf_sheet!$A:$H,8,FALSE),VLOOKUP("other",bug_conf_sheet!$A:$H,8,FALSE))</f>
        <v>1</v>
      </c>
    </row>
    <row r="515" spans="1:19" ht="21" customHeight="1">
      <c r="A515" s="7" t="str">
        <f t="shared" si="48"/>
        <v>1884404</v>
      </c>
      <c r="B515" s="2" t="str">
        <f t="shared" ref="B515:B578" si="51">188&amp;E515</f>
        <v>1884</v>
      </c>
      <c r="C515" s="8" t="str">
        <f t="shared" si="49"/>
        <v>4PremiumSS5</v>
      </c>
      <c r="D515" s="8" t="str">
        <f t="shared" si="50"/>
        <v>4PremiumSS5</v>
      </c>
      <c r="E515" s="10">
        <v>4</v>
      </c>
      <c r="F515" s="6">
        <v>404</v>
      </c>
      <c r="G515" s="8" t="str">
        <f>VLOOKUP(F515,[1]characters!$A:$C,3,FALSE)</f>
        <v>空襲の神眼 八咫烏</v>
      </c>
      <c r="H515" s="8" t="str">
        <f>VLOOKUP(F515,[1]characters!$A:$J,10,FALSE)</f>
        <v>PremiumSS</v>
      </c>
      <c r="I515" s="8">
        <f>VLOOKUP(F515,[1]characters!$A:$I,9,FALSE)</f>
        <v>5</v>
      </c>
      <c r="J515" s="8" t="str">
        <f>VLOOKUP(F515,[1]characters!$A:$H,8,FALSE)</f>
        <v>green</v>
      </c>
      <c r="K515" s="8" t="str">
        <f>VLOOKUP(F515,[1]characters!$A:$K,11,FALSE)</f>
        <v>balance</v>
      </c>
      <c r="L515" s="8" t="str">
        <f>VLOOKUP(F515,[1]characters!$A:$M,13,FALSE)</f>
        <v>animal</v>
      </c>
      <c r="M515" s="16">
        <f>VLOOKUP(D515,gacha_188_base!A:B,2,FALSE)</f>
        <v>109</v>
      </c>
      <c r="N515" s="38">
        <f>IFERROR(VLOOKUP($F515,bug_conf_sheet!$A:$H,3,FALSE),VLOOKUP("other",bug_conf_sheet!$A:$H,3,FALSE))</f>
        <v>1</v>
      </c>
      <c r="O515" s="38">
        <f>IFERROR(VLOOKUP($F515,bug_conf_sheet!$A:$H,4,FALSE),VLOOKUP("other",bug_conf_sheet!$A:$H,4,FALSE))</f>
        <v>0</v>
      </c>
      <c r="P515" s="38">
        <f>IFERROR(VLOOKUP($F515,bug_conf_sheet!$A:$H,5,FALSE),VLOOKUP("other",bug_conf_sheet!$A:$H,5,FALSE))</f>
        <v>0</v>
      </c>
      <c r="Q515" s="38">
        <f>IFERROR(VLOOKUP($F515,bug_conf_sheet!$A:$H,6,FALSE),VLOOKUP("other",bug_conf_sheet!$A:$H,6,FALSE))</f>
        <v>0</v>
      </c>
      <c r="R515" s="38">
        <f>IFERROR(VLOOKUP($F515,bug_conf_sheet!$A:$H,7,FALSE),VLOOKUP("other",bug_conf_sheet!$A:$H,7,FALSE))</f>
        <v>0</v>
      </c>
      <c r="S515" s="38">
        <f>IFERROR(VLOOKUP($F515,bug_conf_sheet!$A:$H,8,FALSE),VLOOKUP("other",bug_conf_sheet!$A:$H,8,FALSE))</f>
        <v>1</v>
      </c>
    </row>
    <row r="516" spans="1:19" ht="21" hidden="1" customHeight="1">
      <c r="A516" s="7" t="str">
        <f t="shared" si="48"/>
        <v>1884406</v>
      </c>
      <c r="B516" s="2" t="str">
        <f t="shared" si="51"/>
        <v>1884</v>
      </c>
      <c r="C516" s="8" t="str">
        <f t="shared" si="49"/>
        <v>4PremiumS4</v>
      </c>
      <c r="D516" s="8" t="str">
        <f t="shared" si="50"/>
        <v>4PremiumS4</v>
      </c>
      <c r="E516" s="10">
        <v>4</v>
      </c>
      <c r="F516" s="6">
        <v>406</v>
      </c>
      <c r="G516" s="8" t="str">
        <f>VLOOKUP(F516,[1]characters!$A:$C,3,FALSE)</f>
        <v>美笑の蒼蛇 エキドナ</v>
      </c>
      <c r="H516" s="8" t="str">
        <f>VLOOKUP(F516,[1]characters!$A:$J,10,FALSE)</f>
        <v>PremiumS</v>
      </c>
      <c r="I516" s="8">
        <f>VLOOKUP(F516,[1]characters!$A:$I,9,FALSE)</f>
        <v>4</v>
      </c>
      <c r="J516" s="8" t="str">
        <f>VLOOKUP(F516,[1]characters!$A:$H,8,FALSE)</f>
        <v>blue</v>
      </c>
      <c r="K516" s="8" t="str">
        <f>VLOOKUP(F516,[1]characters!$A:$K,11,FALSE)</f>
        <v>technical</v>
      </c>
      <c r="L516" s="8" t="str">
        <f>VLOOKUP(F516,[1]characters!$A:$M,13,FALSE)</f>
        <v>animal</v>
      </c>
      <c r="M516" s="16">
        <f>VLOOKUP(D516,gacha_188_base!A:B,2,FALSE)</f>
        <v>14883</v>
      </c>
      <c r="N516" s="38">
        <f>IFERROR(VLOOKUP($F516,bug_conf_sheet!$A:$H,3,FALSE),VLOOKUP("other",bug_conf_sheet!$A:$H,3,FALSE))</f>
        <v>1</v>
      </c>
      <c r="O516" s="38">
        <f>IFERROR(VLOOKUP($F516,bug_conf_sheet!$A:$H,4,FALSE),VLOOKUP("other",bug_conf_sheet!$A:$H,4,FALSE))</f>
        <v>0</v>
      </c>
      <c r="P516" s="38">
        <f>IFERROR(VLOOKUP($F516,bug_conf_sheet!$A:$H,5,FALSE),VLOOKUP("other",bug_conf_sheet!$A:$H,5,FALSE))</f>
        <v>0</v>
      </c>
      <c r="Q516" s="38">
        <f>IFERROR(VLOOKUP($F516,bug_conf_sheet!$A:$H,6,FALSE),VLOOKUP("other",bug_conf_sheet!$A:$H,6,FALSE))</f>
        <v>0</v>
      </c>
      <c r="R516" s="38">
        <f>IFERROR(VLOOKUP($F516,bug_conf_sheet!$A:$H,7,FALSE),VLOOKUP("other",bug_conf_sheet!$A:$H,7,FALSE))</f>
        <v>0</v>
      </c>
      <c r="S516" s="38">
        <f>IFERROR(VLOOKUP($F516,bug_conf_sheet!$A:$H,8,FALSE),VLOOKUP("other",bug_conf_sheet!$A:$H,8,FALSE))</f>
        <v>1</v>
      </c>
    </row>
    <row r="517" spans="1:19" ht="21" customHeight="1">
      <c r="A517" s="7" t="str">
        <f t="shared" si="48"/>
        <v>1884407</v>
      </c>
      <c r="B517" s="2" t="str">
        <f t="shared" si="51"/>
        <v>1884</v>
      </c>
      <c r="C517" s="8" t="str">
        <f t="shared" si="49"/>
        <v>4PremiumS5</v>
      </c>
      <c r="D517" s="8" t="str">
        <f t="shared" si="50"/>
        <v>4PremiumS5</v>
      </c>
      <c r="E517" s="10">
        <v>4</v>
      </c>
      <c r="F517" s="6">
        <v>407</v>
      </c>
      <c r="G517" s="8" t="str">
        <f>VLOOKUP(F517,[1]characters!$A:$C,3,FALSE)</f>
        <v>蠱惑の飛刀 エキドナ</v>
      </c>
      <c r="H517" s="8" t="str">
        <f>VLOOKUP(F517,[1]characters!$A:$J,10,FALSE)</f>
        <v>PremiumS</v>
      </c>
      <c r="I517" s="8">
        <f>VLOOKUP(F517,[1]characters!$A:$I,9,FALSE)</f>
        <v>5</v>
      </c>
      <c r="J517" s="8" t="str">
        <f>VLOOKUP(F517,[1]characters!$A:$H,8,FALSE)</f>
        <v>blue</v>
      </c>
      <c r="K517" s="8" t="str">
        <f>VLOOKUP(F517,[1]characters!$A:$K,11,FALSE)</f>
        <v>technical</v>
      </c>
      <c r="L517" s="8" t="str">
        <f>VLOOKUP(F517,[1]characters!$A:$M,13,FALSE)</f>
        <v>animal</v>
      </c>
      <c r="M517" s="16">
        <f>VLOOKUP(D517,gacha_188_base!A:B,2,FALSE)</f>
        <v>950</v>
      </c>
      <c r="N517" s="38">
        <f>IFERROR(VLOOKUP($F517,bug_conf_sheet!$A:$H,3,FALSE),VLOOKUP("other",bug_conf_sheet!$A:$H,3,FALSE))</f>
        <v>1</v>
      </c>
      <c r="O517" s="38">
        <f>IFERROR(VLOOKUP($F517,bug_conf_sheet!$A:$H,4,FALSE),VLOOKUP("other",bug_conf_sheet!$A:$H,4,FALSE))</f>
        <v>0</v>
      </c>
      <c r="P517" s="38">
        <f>IFERROR(VLOOKUP($F517,bug_conf_sheet!$A:$H,5,FALSE),VLOOKUP("other",bug_conf_sheet!$A:$H,5,FALSE))</f>
        <v>0</v>
      </c>
      <c r="Q517" s="38">
        <f>IFERROR(VLOOKUP($F517,bug_conf_sheet!$A:$H,6,FALSE),VLOOKUP("other",bug_conf_sheet!$A:$H,6,FALSE))</f>
        <v>0</v>
      </c>
      <c r="R517" s="38">
        <f>IFERROR(VLOOKUP($F517,bug_conf_sheet!$A:$H,7,FALSE),VLOOKUP("other",bug_conf_sheet!$A:$H,7,FALSE))</f>
        <v>0</v>
      </c>
      <c r="S517" s="38">
        <f>IFERROR(VLOOKUP($F517,bug_conf_sheet!$A:$H,8,FALSE),VLOOKUP("other",bug_conf_sheet!$A:$H,8,FALSE))</f>
        <v>1</v>
      </c>
    </row>
    <row r="518" spans="1:19" ht="21" hidden="1" customHeight="1">
      <c r="A518" s="7" t="str">
        <f t="shared" si="48"/>
        <v>1884408</v>
      </c>
      <c r="B518" s="2" t="str">
        <f t="shared" si="51"/>
        <v>1884</v>
      </c>
      <c r="C518" s="8" t="str">
        <f t="shared" si="49"/>
        <v>4PremiumSS4</v>
      </c>
      <c r="D518" s="8" t="str">
        <f t="shared" si="50"/>
        <v>4PremiumSS4</v>
      </c>
      <c r="E518" s="10">
        <v>4</v>
      </c>
      <c r="F518" s="6">
        <v>408</v>
      </c>
      <c r="G518" s="8" t="str">
        <f>VLOOKUP(F518,[1]characters!$A:$C,3,FALSE)</f>
        <v>皇魔 アスタロト</v>
      </c>
      <c r="H518" s="8" t="str">
        <f>VLOOKUP(F518,[1]characters!$A:$J,10,FALSE)</f>
        <v>PremiumSS</v>
      </c>
      <c r="I518" s="8">
        <f>VLOOKUP(F518,[1]characters!$A:$I,9,FALSE)</f>
        <v>4</v>
      </c>
      <c r="J518" s="8" t="str">
        <f>VLOOKUP(F518,[1]characters!$A:$H,8,FALSE)</f>
        <v>yellow</v>
      </c>
      <c r="K518" s="8" t="str">
        <f>VLOOKUP(F518,[1]characters!$A:$K,11,FALSE)</f>
        <v>attack</v>
      </c>
      <c r="L518" s="8" t="str">
        <f>VLOOKUP(F518,[1]characters!$A:$M,13,FALSE)</f>
        <v>god</v>
      </c>
      <c r="M518" s="16">
        <f>VLOOKUP(D518,gacha_188_base!A:B,2,FALSE)</f>
        <v>1709</v>
      </c>
      <c r="N518" s="38">
        <f>IFERROR(VLOOKUP($F518,bug_conf_sheet!$A:$H,3,FALSE),VLOOKUP("other",bug_conf_sheet!$A:$H,3,FALSE))</f>
        <v>1</v>
      </c>
      <c r="O518" s="38">
        <f>IFERROR(VLOOKUP($F518,bug_conf_sheet!$A:$H,4,FALSE),VLOOKUP("other",bug_conf_sheet!$A:$H,4,FALSE))</f>
        <v>0</v>
      </c>
      <c r="P518" s="38">
        <f>IFERROR(VLOOKUP($F518,bug_conf_sheet!$A:$H,5,FALSE),VLOOKUP("other",bug_conf_sheet!$A:$H,5,FALSE))</f>
        <v>0</v>
      </c>
      <c r="Q518" s="38">
        <f>IFERROR(VLOOKUP($F518,bug_conf_sheet!$A:$H,6,FALSE),VLOOKUP("other",bug_conf_sheet!$A:$H,6,FALSE))</f>
        <v>0</v>
      </c>
      <c r="R518" s="38">
        <f>IFERROR(VLOOKUP($F518,bug_conf_sheet!$A:$H,7,FALSE),VLOOKUP("other",bug_conf_sheet!$A:$H,7,FALSE))</f>
        <v>0</v>
      </c>
      <c r="S518" s="38">
        <f>IFERROR(VLOOKUP($F518,bug_conf_sheet!$A:$H,8,FALSE),VLOOKUP("other",bug_conf_sheet!$A:$H,8,FALSE))</f>
        <v>1</v>
      </c>
    </row>
    <row r="519" spans="1:19" ht="21" customHeight="1">
      <c r="A519" s="7" t="str">
        <f t="shared" si="48"/>
        <v>1884409</v>
      </c>
      <c r="B519" s="2" t="str">
        <f t="shared" si="51"/>
        <v>1884</v>
      </c>
      <c r="C519" s="8" t="str">
        <f t="shared" si="49"/>
        <v>4PremiumSS5</v>
      </c>
      <c r="D519" s="8" t="str">
        <f t="shared" si="50"/>
        <v>4PremiumSS5</v>
      </c>
      <c r="E519" s="10">
        <v>4</v>
      </c>
      <c r="F519" s="6">
        <v>409</v>
      </c>
      <c r="G519" s="8" t="str">
        <f>VLOOKUP(F519,[1]characters!$A:$C,3,FALSE)</f>
        <v>天眼の皇貴魔 アスタロト</v>
      </c>
      <c r="H519" s="8" t="str">
        <f>VLOOKUP(F519,[1]characters!$A:$J,10,FALSE)</f>
        <v>PremiumSS</v>
      </c>
      <c r="I519" s="8">
        <f>VLOOKUP(F519,[1]characters!$A:$I,9,FALSE)</f>
        <v>5</v>
      </c>
      <c r="J519" s="8" t="str">
        <f>VLOOKUP(F519,[1]characters!$A:$H,8,FALSE)</f>
        <v>yellow</v>
      </c>
      <c r="K519" s="8" t="str">
        <f>VLOOKUP(F519,[1]characters!$A:$K,11,FALSE)</f>
        <v>attack</v>
      </c>
      <c r="L519" s="8" t="str">
        <f>VLOOKUP(F519,[1]characters!$A:$M,13,FALSE)</f>
        <v>god</v>
      </c>
      <c r="M519" s="16">
        <f>VLOOKUP(D519,gacha_188_base!A:B,2,FALSE)</f>
        <v>109</v>
      </c>
      <c r="N519" s="38">
        <f>IFERROR(VLOOKUP($F519,bug_conf_sheet!$A:$H,3,FALSE),VLOOKUP("other",bug_conf_sheet!$A:$H,3,FALSE))</f>
        <v>1</v>
      </c>
      <c r="O519" s="38">
        <f>IFERROR(VLOOKUP($F519,bug_conf_sheet!$A:$H,4,FALSE),VLOOKUP("other",bug_conf_sheet!$A:$H,4,FALSE))</f>
        <v>0</v>
      </c>
      <c r="P519" s="38">
        <f>IFERROR(VLOOKUP($F519,bug_conf_sheet!$A:$H,5,FALSE),VLOOKUP("other",bug_conf_sheet!$A:$H,5,FALSE))</f>
        <v>0</v>
      </c>
      <c r="Q519" s="38">
        <f>IFERROR(VLOOKUP($F519,bug_conf_sheet!$A:$H,6,FALSE),VLOOKUP("other",bug_conf_sheet!$A:$H,6,FALSE))</f>
        <v>0</v>
      </c>
      <c r="R519" s="38">
        <f>IFERROR(VLOOKUP($F519,bug_conf_sheet!$A:$H,7,FALSE),VLOOKUP("other",bug_conf_sheet!$A:$H,7,FALSE))</f>
        <v>0</v>
      </c>
      <c r="S519" s="38">
        <f>IFERROR(VLOOKUP($F519,bug_conf_sheet!$A:$H,8,FALSE),VLOOKUP("other",bug_conf_sheet!$A:$H,8,FALSE))</f>
        <v>1</v>
      </c>
    </row>
    <row r="520" spans="1:19" ht="21" hidden="1" customHeight="1">
      <c r="A520" s="7" t="str">
        <f t="shared" si="48"/>
        <v>1884434</v>
      </c>
      <c r="B520" s="2" t="str">
        <f t="shared" si="51"/>
        <v>1884</v>
      </c>
      <c r="C520" s="8" t="str">
        <f t="shared" si="49"/>
        <v>4PremiumSS4</v>
      </c>
      <c r="D520" s="8" t="str">
        <f t="shared" si="50"/>
        <v>4PremiumSS4</v>
      </c>
      <c r="E520" s="10">
        <v>4</v>
      </c>
      <c r="F520" s="6">
        <v>434</v>
      </c>
      <c r="G520" s="8" t="str">
        <f>VLOOKUP(F520,[1]characters!$A:$C,3,FALSE)</f>
        <v>D.R.T.H.</v>
      </c>
      <c r="H520" s="8" t="str">
        <f>VLOOKUP(F520,[1]characters!$A:$J,10,FALSE)</f>
        <v>PremiumSS</v>
      </c>
      <c r="I520" s="8">
        <f>VLOOKUP(F520,[1]characters!$A:$I,9,FALSE)</f>
        <v>4</v>
      </c>
      <c r="J520" s="8" t="str">
        <f>VLOOKUP(F520,[1]characters!$A:$H,8,FALSE)</f>
        <v>red</v>
      </c>
      <c r="K520" s="8" t="str">
        <f>VLOOKUP(F520,[1]characters!$A:$K,11,FALSE)</f>
        <v>balance</v>
      </c>
      <c r="L520" s="8" t="str">
        <f>VLOOKUP(F520,[1]characters!$A:$M,13,FALSE)</f>
        <v>human</v>
      </c>
      <c r="M520" s="16">
        <f>VLOOKUP(D520,gacha_188_base!A:B,2,FALSE)</f>
        <v>1709</v>
      </c>
      <c r="N520" s="38">
        <f>IFERROR(VLOOKUP($F520,bug_conf_sheet!$A:$H,3,FALSE),VLOOKUP("other",bug_conf_sheet!$A:$H,3,FALSE))</f>
        <v>1</v>
      </c>
      <c r="O520" s="38">
        <f>IFERROR(VLOOKUP($F520,bug_conf_sheet!$A:$H,4,FALSE),VLOOKUP("other",bug_conf_sheet!$A:$H,4,FALSE))</f>
        <v>0</v>
      </c>
      <c r="P520" s="38">
        <f>IFERROR(VLOOKUP($F520,bug_conf_sheet!$A:$H,5,FALSE),VLOOKUP("other",bug_conf_sheet!$A:$H,5,FALSE))</f>
        <v>0</v>
      </c>
      <c r="Q520" s="38">
        <f>IFERROR(VLOOKUP($F520,bug_conf_sheet!$A:$H,6,FALSE),VLOOKUP("other",bug_conf_sheet!$A:$H,6,FALSE))</f>
        <v>0</v>
      </c>
      <c r="R520" s="38">
        <f>IFERROR(VLOOKUP($F520,bug_conf_sheet!$A:$H,7,FALSE),VLOOKUP("other",bug_conf_sheet!$A:$H,7,FALSE))</f>
        <v>0</v>
      </c>
      <c r="S520" s="38">
        <f>IFERROR(VLOOKUP($F520,bug_conf_sheet!$A:$H,8,FALSE),VLOOKUP("other",bug_conf_sheet!$A:$H,8,FALSE))</f>
        <v>1</v>
      </c>
    </row>
    <row r="521" spans="1:19" ht="21" customHeight="1">
      <c r="A521" s="7" t="str">
        <f t="shared" si="48"/>
        <v>1884435</v>
      </c>
      <c r="B521" s="2" t="str">
        <f t="shared" si="51"/>
        <v>1884</v>
      </c>
      <c r="C521" s="8" t="str">
        <f t="shared" si="49"/>
        <v>4PremiumSS5</v>
      </c>
      <c r="D521" s="8" t="str">
        <f t="shared" si="50"/>
        <v>4PremiumSS5</v>
      </c>
      <c r="E521" s="10">
        <v>4</v>
      </c>
      <c r="F521" s="6">
        <v>435</v>
      </c>
      <c r="G521" s="8" t="str">
        <f>VLOOKUP(F521,[1]characters!$A:$C,3,FALSE)</f>
        <v>曝弾の密偵 D.R.T.H.</v>
      </c>
      <c r="H521" s="8" t="str">
        <f>VLOOKUP(F521,[1]characters!$A:$J,10,FALSE)</f>
        <v>PremiumSS</v>
      </c>
      <c r="I521" s="8">
        <f>VLOOKUP(F521,[1]characters!$A:$I,9,FALSE)</f>
        <v>5</v>
      </c>
      <c r="J521" s="8" t="str">
        <f>VLOOKUP(F521,[1]characters!$A:$H,8,FALSE)</f>
        <v>red</v>
      </c>
      <c r="K521" s="8" t="str">
        <f>VLOOKUP(F521,[1]characters!$A:$K,11,FALSE)</f>
        <v>balance</v>
      </c>
      <c r="L521" s="8" t="str">
        <f>VLOOKUP(F521,[1]characters!$A:$M,13,FALSE)</f>
        <v>human</v>
      </c>
      <c r="M521" s="16">
        <f>VLOOKUP(D521,gacha_188_base!A:B,2,FALSE)</f>
        <v>109</v>
      </c>
      <c r="N521" s="38">
        <f>IFERROR(VLOOKUP($F521,bug_conf_sheet!$A:$H,3,FALSE),VLOOKUP("other",bug_conf_sheet!$A:$H,3,FALSE))</f>
        <v>1</v>
      </c>
      <c r="O521" s="38">
        <f>IFERROR(VLOOKUP($F521,bug_conf_sheet!$A:$H,4,FALSE),VLOOKUP("other",bug_conf_sheet!$A:$H,4,FALSE))</f>
        <v>0</v>
      </c>
      <c r="P521" s="38">
        <f>IFERROR(VLOOKUP($F521,bug_conf_sheet!$A:$H,5,FALSE),VLOOKUP("other",bug_conf_sheet!$A:$H,5,FALSE))</f>
        <v>0</v>
      </c>
      <c r="Q521" s="38">
        <f>IFERROR(VLOOKUP($F521,bug_conf_sheet!$A:$H,6,FALSE),VLOOKUP("other",bug_conf_sheet!$A:$H,6,FALSE))</f>
        <v>0</v>
      </c>
      <c r="R521" s="38">
        <f>IFERROR(VLOOKUP($F521,bug_conf_sheet!$A:$H,7,FALSE),VLOOKUP("other",bug_conf_sheet!$A:$H,7,FALSE))</f>
        <v>0</v>
      </c>
      <c r="S521" s="38">
        <f>IFERROR(VLOOKUP($F521,bug_conf_sheet!$A:$H,8,FALSE),VLOOKUP("other",bug_conf_sheet!$A:$H,8,FALSE))</f>
        <v>1</v>
      </c>
    </row>
    <row r="522" spans="1:19" ht="21" hidden="1" customHeight="1">
      <c r="A522" s="7" t="str">
        <f t="shared" ref="A522:A585" si="52">B522&amp;F522</f>
        <v>1884437</v>
      </c>
      <c r="B522" s="2" t="str">
        <f t="shared" si="51"/>
        <v>1884</v>
      </c>
      <c r="C522" s="8" t="str">
        <f t="shared" ref="C522:C585" si="53">E522&amp;H522&amp;I522</f>
        <v>4PremiumS4</v>
      </c>
      <c r="D522" s="8" t="str">
        <f t="shared" ref="D522:D567" si="54">E522&amp;H522&amp;I522</f>
        <v>4PremiumS4</v>
      </c>
      <c r="E522" s="10">
        <v>4</v>
      </c>
      <c r="F522" s="6">
        <v>437</v>
      </c>
      <c r="G522" s="8" t="str">
        <f>VLOOKUP(F522,[1]characters!$A:$C,3,FALSE)</f>
        <v>忘却者 カカシ</v>
      </c>
      <c r="H522" s="8" t="str">
        <f>VLOOKUP(F522,[1]characters!$A:$J,10,FALSE)</f>
        <v>PremiumS</v>
      </c>
      <c r="I522" s="8">
        <f>VLOOKUP(F522,[1]characters!$A:$I,9,FALSE)</f>
        <v>4</v>
      </c>
      <c r="J522" s="8" t="str">
        <f>VLOOKUP(F522,[1]characters!$A:$H,8,FALSE)</f>
        <v>green</v>
      </c>
      <c r="K522" s="8" t="str">
        <f>VLOOKUP(F522,[1]characters!$A:$K,11,FALSE)</f>
        <v>technical</v>
      </c>
      <c r="L522" s="8" t="str">
        <f>VLOOKUP(F522,[1]characters!$A:$M,13,FALSE)</f>
        <v>human</v>
      </c>
      <c r="M522" s="16">
        <f>VLOOKUP(D522,gacha_188_base!A:B,2,FALSE)</f>
        <v>14883</v>
      </c>
      <c r="N522" s="38">
        <f>IFERROR(VLOOKUP($F522,bug_conf_sheet!$A:$H,3,FALSE),VLOOKUP("other",bug_conf_sheet!$A:$H,3,FALSE))</f>
        <v>1</v>
      </c>
      <c r="O522" s="38">
        <f>IFERROR(VLOOKUP($F522,bug_conf_sheet!$A:$H,4,FALSE),VLOOKUP("other",bug_conf_sheet!$A:$H,4,FALSE))</f>
        <v>0</v>
      </c>
      <c r="P522" s="38">
        <f>IFERROR(VLOOKUP($F522,bug_conf_sheet!$A:$H,5,FALSE),VLOOKUP("other",bug_conf_sheet!$A:$H,5,FALSE))</f>
        <v>0</v>
      </c>
      <c r="Q522" s="38">
        <f>IFERROR(VLOOKUP($F522,bug_conf_sheet!$A:$H,6,FALSE),VLOOKUP("other",bug_conf_sheet!$A:$H,6,FALSE))</f>
        <v>0</v>
      </c>
      <c r="R522" s="38">
        <f>IFERROR(VLOOKUP($F522,bug_conf_sheet!$A:$H,7,FALSE),VLOOKUP("other",bug_conf_sheet!$A:$H,7,FALSE))</f>
        <v>0</v>
      </c>
      <c r="S522" s="38">
        <f>IFERROR(VLOOKUP($F522,bug_conf_sheet!$A:$H,8,FALSE),VLOOKUP("other",bug_conf_sheet!$A:$H,8,FALSE))</f>
        <v>1</v>
      </c>
    </row>
    <row r="523" spans="1:19" ht="21" customHeight="1">
      <c r="A523" s="7" t="str">
        <f t="shared" si="52"/>
        <v>1884438</v>
      </c>
      <c r="B523" s="2" t="str">
        <f t="shared" si="51"/>
        <v>1884</v>
      </c>
      <c r="C523" s="8" t="str">
        <f t="shared" si="53"/>
        <v>4PremiumS5</v>
      </c>
      <c r="D523" s="8" t="str">
        <f t="shared" si="54"/>
        <v>4PremiumS5</v>
      </c>
      <c r="E523" s="10">
        <v>4</v>
      </c>
      <c r="F523" s="6">
        <v>438</v>
      </c>
      <c r="G523" s="8" t="str">
        <f>VLOOKUP(F523,[1]characters!$A:$C,3,FALSE)</f>
        <v>記憶の奪還 カカシ</v>
      </c>
      <c r="H523" s="8" t="str">
        <f>VLOOKUP(F523,[1]characters!$A:$J,10,FALSE)</f>
        <v>PremiumS</v>
      </c>
      <c r="I523" s="8">
        <f>VLOOKUP(F523,[1]characters!$A:$I,9,FALSE)</f>
        <v>5</v>
      </c>
      <c r="J523" s="8" t="str">
        <f>VLOOKUP(F523,[1]characters!$A:$H,8,FALSE)</f>
        <v>green</v>
      </c>
      <c r="K523" s="8" t="str">
        <f>VLOOKUP(F523,[1]characters!$A:$K,11,FALSE)</f>
        <v>technical</v>
      </c>
      <c r="L523" s="8" t="str">
        <f>VLOOKUP(F523,[1]characters!$A:$M,13,FALSE)</f>
        <v>human</v>
      </c>
      <c r="M523" s="16">
        <f>VLOOKUP(D523,gacha_188_base!A:B,2,FALSE)</f>
        <v>950</v>
      </c>
      <c r="N523" s="38">
        <f>IFERROR(VLOOKUP($F523,bug_conf_sheet!$A:$H,3,FALSE),VLOOKUP("other",bug_conf_sheet!$A:$H,3,FALSE))</f>
        <v>1</v>
      </c>
      <c r="O523" s="38">
        <f>IFERROR(VLOOKUP($F523,bug_conf_sheet!$A:$H,4,FALSE),VLOOKUP("other",bug_conf_sheet!$A:$H,4,FALSE))</f>
        <v>0</v>
      </c>
      <c r="P523" s="38">
        <f>IFERROR(VLOOKUP($F523,bug_conf_sheet!$A:$H,5,FALSE),VLOOKUP("other",bug_conf_sheet!$A:$H,5,FALSE))</f>
        <v>0</v>
      </c>
      <c r="Q523" s="38">
        <f>IFERROR(VLOOKUP($F523,bug_conf_sheet!$A:$H,6,FALSE),VLOOKUP("other",bug_conf_sheet!$A:$H,6,FALSE))</f>
        <v>0</v>
      </c>
      <c r="R523" s="38">
        <f>IFERROR(VLOOKUP($F523,bug_conf_sheet!$A:$H,7,FALSE),VLOOKUP("other",bug_conf_sheet!$A:$H,7,FALSE))</f>
        <v>0</v>
      </c>
      <c r="S523" s="38">
        <f>IFERROR(VLOOKUP($F523,bug_conf_sheet!$A:$H,8,FALSE),VLOOKUP("other",bug_conf_sheet!$A:$H,8,FALSE))</f>
        <v>1</v>
      </c>
    </row>
    <row r="524" spans="1:19" ht="21" hidden="1" customHeight="1">
      <c r="A524" s="7" t="str">
        <f t="shared" si="52"/>
        <v>1884440</v>
      </c>
      <c r="B524" s="2" t="str">
        <f t="shared" si="51"/>
        <v>1884</v>
      </c>
      <c r="C524" s="8" t="str">
        <f t="shared" si="53"/>
        <v>4PremiumS4</v>
      </c>
      <c r="D524" s="8" t="str">
        <f t="shared" si="54"/>
        <v>4PremiumS4</v>
      </c>
      <c r="E524" s="10">
        <v>4</v>
      </c>
      <c r="F524" s="6">
        <v>440</v>
      </c>
      <c r="G524" s="8" t="str">
        <f>VLOOKUP(F524,[1]characters!$A:$C,3,FALSE)</f>
        <v>改良型 ブリキロガー</v>
      </c>
      <c r="H524" s="8" t="str">
        <f>VLOOKUP(F524,[1]characters!$A:$J,10,FALSE)</f>
        <v>PremiumS</v>
      </c>
      <c r="I524" s="8">
        <f>VLOOKUP(F524,[1]characters!$A:$I,9,FALSE)</f>
        <v>4</v>
      </c>
      <c r="J524" s="8" t="str">
        <f>VLOOKUP(F524,[1]characters!$A:$H,8,FALSE)</f>
        <v>blue</v>
      </c>
      <c r="K524" s="8" t="str">
        <f>VLOOKUP(F524,[1]characters!$A:$K,11,FALSE)</f>
        <v>attack</v>
      </c>
      <c r="L524" s="8" t="str">
        <f>VLOOKUP(F524,[1]characters!$A:$M,13,FALSE)</f>
        <v>machine</v>
      </c>
      <c r="M524" s="16">
        <f>VLOOKUP(D524,gacha_188_base!A:B,2,FALSE)</f>
        <v>14883</v>
      </c>
      <c r="N524" s="38">
        <f>IFERROR(VLOOKUP($F524,bug_conf_sheet!$A:$H,3,FALSE),VLOOKUP("other",bug_conf_sheet!$A:$H,3,FALSE))</f>
        <v>1</v>
      </c>
      <c r="O524" s="38">
        <f>IFERROR(VLOOKUP($F524,bug_conf_sheet!$A:$H,4,FALSE),VLOOKUP("other",bug_conf_sheet!$A:$H,4,FALSE))</f>
        <v>0</v>
      </c>
      <c r="P524" s="38">
        <f>IFERROR(VLOOKUP($F524,bug_conf_sheet!$A:$H,5,FALSE),VLOOKUP("other",bug_conf_sheet!$A:$H,5,FALSE))</f>
        <v>0</v>
      </c>
      <c r="Q524" s="38">
        <f>IFERROR(VLOOKUP($F524,bug_conf_sheet!$A:$H,6,FALSE),VLOOKUP("other",bug_conf_sheet!$A:$H,6,FALSE))</f>
        <v>0</v>
      </c>
      <c r="R524" s="38">
        <f>IFERROR(VLOOKUP($F524,bug_conf_sheet!$A:$H,7,FALSE),VLOOKUP("other",bug_conf_sheet!$A:$H,7,FALSE))</f>
        <v>0</v>
      </c>
      <c r="S524" s="38">
        <f>IFERROR(VLOOKUP($F524,bug_conf_sheet!$A:$H,8,FALSE),VLOOKUP("other",bug_conf_sheet!$A:$H,8,FALSE))</f>
        <v>1</v>
      </c>
    </row>
    <row r="525" spans="1:19" ht="21" customHeight="1">
      <c r="A525" s="7" t="str">
        <f t="shared" si="52"/>
        <v>1884441</v>
      </c>
      <c r="B525" s="2" t="str">
        <f t="shared" si="51"/>
        <v>1884</v>
      </c>
      <c r="C525" s="8" t="str">
        <f t="shared" si="53"/>
        <v>4PremiumS5</v>
      </c>
      <c r="D525" s="8" t="str">
        <f t="shared" si="54"/>
        <v>4PremiumS5</v>
      </c>
      <c r="E525" s="10">
        <v>4</v>
      </c>
      <c r="F525" s="6">
        <v>441</v>
      </c>
      <c r="G525" s="8" t="str">
        <f>VLOOKUP(F525,[1]characters!$A:$C,3,FALSE)</f>
        <v>求心の錻装 ブリキロガー</v>
      </c>
      <c r="H525" s="8" t="str">
        <f>VLOOKUP(F525,[1]characters!$A:$J,10,FALSE)</f>
        <v>PremiumS</v>
      </c>
      <c r="I525" s="8">
        <f>VLOOKUP(F525,[1]characters!$A:$I,9,FALSE)</f>
        <v>5</v>
      </c>
      <c r="J525" s="8" t="str">
        <f>VLOOKUP(F525,[1]characters!$A:$H,8,FALSE)</f>
        <v>blue</v>
      </c>
      <c r="K525" s="8" t="str">
        <f>VLOOKUP(F525,[1]characters!$A:$K,11,FALSE)</f>
        <v>attack</v>
      </c>
      <c r="L525" s="8" t="str">
        <f>VLOOKUP(F525,[1]characters!$A:$M,13,FALSE)</f>
        <v>machine</v>
      </c>
      <c r="M525" s="16">
        <f>VLOOKUP(D525,gacha_188_base!A:B,2,FALSE)</f>
        <v>950</v>
      </c>
      <c r="N525" s="38">
        <f>IFERROR(VLOOKUP($F525,bug_conf_sheet!$A:$H,3,FALSE),VLOOKUP("other",bug_conf_sheet!$A:$H,3,FALSE))</f>
        <v>1</v>
      </c>
      <c r="O525" s="38">
        <f>IFERROR(VLOOKUP($F525,bug_conf_sheet!$A:$H,4,FALSE),VLOOKUP("other",bug_conf_sheet!$A:$H,4,FALSE))</f>
        <v>0</v>
      </c>
      <c r="P525" s="38">
        <f>IFERROR(VLOOKUP($F525,bug_conf_sheet!$A:$H,5,FALSE),VLOOKUP("other",bug_conf_sheet!$A:$H,5,FALSE))</f>
        <v>0</v>
      </c>
      <c r="Q525" s="38">
        <f>IFERROR(VLOOKUP($F525,bug_conf_sheet!$A:$H,6,FALSE),VLOOKUP("other",bug_conf_sheet!$A:$H,6,FALSE))</f>
        <v>0</v>
      </c>
      <c r="R525" s="38">
        <f>IFERROR(VLOOKUP($F525,bug_conf_sheet!$A:$H,7,FALSE),VLOOKUP("other",bug_conf_sheet!$A:$H,7,FALSE))</f>
        <v>0</v>
      </c>
      <c r="S525" s="38">
        <f>IFERROR(VLOOKUP($F525,bug_conf_sheet!$A:$H,8,FALSE),VLOOKUP("other",bug_conf_sheet!$A:$H,8,FALSE))</f>
        <v>1</v>
      </c>
    </row>
    <row r="526" spans="1:19" ht="21" hidden="1" customHeight="1">
      <c r="A526" s="7" t="str">
        <f t="shared" si="52"/>
        <v>1884442</v>
      </c>
      <c r="B526" s="2" t="str">
        <f t="shared" si="51"/>
        <v>1884</v>
      </c>
      <c r="C526" s="8" t="str">
        <f t="shared" si="53"/>
        <v>4PremiumSS4</v>
      </c>
      <c r="D526" s="8" t="str">
        <f t="shared" si="54"/>
        <v>4PremiumSS4</v>
      </c>
      <c r="E526" s="10">
        <v>4</v>
      </c>
      <c r="F526" s="6">
        <v>442</v>
      </c>
      <c r="G526" s="8" t="str">
        <f>VLOOKUP(F526,[1]characters!$A:$C,3,FALSE)</f>
        <v>ブレイブリー・ライオン</v>
      </c>
      <c r="H526" s="8" t="str">
        <f>VLOOKUP(F526,[1]characters!$A:$J,10,FALSE)</f>
        <v>PremiumSS</v>
      </c>
      <c r="I526" s="8">
        <f>VLOOKUP(F526,[1]characters!$A:$I,9,FALSE)</f>
        <v>4</v>
      </c>
      <c r="J526" s="8" t="str">
        <f>VLOOKUP(F526,[1]characters!$A:$H,8,FALSE)</f>
        <v>yellow</v>
      </c>
      <c r="K526" s="8" t="str">
        <f>VLOOKUP(F526,[1]characters!$A:$K,11,FALSE)</f>
        <v>hp</v>
      </c>
      <c r="L526" s="8" t="str">
        <f>VLOOKUP(F526,[1]characters!$A:$M,13,FALSE)</f>
        <v>animal</v>
      </c>
      <c r="M526" s="16">
        <f>VLOOKUP(D526,gacha_188_base!A:B,2,FALSE)</f>
        <v>1709</v>
      </c>
      <c r="N526" s="38">
        <f>IFERROR(VLOOKUP($F526,bug_conf_sheet!$A:$H,3,FALSE),VLOOKUP("other",bug_conf_sheet!$A:$H,3,FALSE))</f>
        <v>1</v>
      </c>
      <c r="O526" s="38">
        <f>IFERROR(VLOOKUP($F526,bug_conf_sheet!$A:$H,4,FALSE),VLOOKUP("other",bug_conf_sheet!$A:$H,4,FALSE))</f>
        <v>0</v>
      </c>
      <c r="P526" s="38">
        <f>IFERROR(VLOOKUP($F526,bug_conf_sheet!$A:$H,5,FALSE),VLOOKUP("other",bug_conf_sheet!$A:$H,5,FALSE))</f>
        <v>0</v>
      </c>
      <c r="Q526" s="38">
        <f>IFERROR(VLOOKUP($F526,bug_conf_sheet!$A:$H,6,FALSE),VLOOKUP("other",bug_conf_sheet!$A:$H,6,FALSE))</f>
        <v>0</v>
      </c>
      <c r="R526" s="38">
        <f>IFERROR(VLOOKUP($F526,bug_conf_sheet!$A:$H,7,FALSE),VLOOKUP("other",bug_conf_sheet!$A:$H,7,FALSE))</f>
        <v>0</v>
      </c>
      <c r="S526" s="38">
        <f>IFERROR(VLOOKUP($F526,bug_conf_sheet!$A:$H,8,FALSE),VLOOKUP("other",bug_conf_sheet!$A:$H,8,FALSE))</f>
        <v>1</v>
      </c>
    </row>
    <row r="527" spans="1:19" ht="21" customHeight="1">
      <c r="A527" s="7" t="str">
        <f t="shared" si="52"/>
        <v>1884443</v>
      </c>
      <c r="B527" s="2" t="str">
        <f t="shared" si="51"/>
        <v>1884</v>
      </c>
      <c r="C527" s="8" t="str">
        <f t="shared" si="53"/>
        <v>4PremiumSS5</v>
      </c>
      <c r="D527" s="8" t="str">
        <f t="shared" si="54"/>
        <v>4PremiumSS5</v>
      </c>
      <c r="E527" s="10">
        <v>4</v>
      </c>
      <c r="F527" s="6">
        <v>443</v>
      </c>
      <c r="G527" s="8" t="str">
        <f>VLOOKUP(F527,[1]characters!$A:$C,3,FALSE)</f>
        <v>勇機結集 ブレイブリー・ライオン</v>
      </c>
      <c r="H527" s="8" t="str">
        <f>VLOOKUP(F527,[1]characters!$A:$J,10,FALSE)</f>
        <v>PremiumSS</v>
      </c>
      <c r="I527" s="8">
        <f>VLOOKUP(F527,[1]characters!$A:$I,9,FALSE)</f>
        <v>5</v>
      </c>
      <c r="J527" s="8" t="str">
        <f>VLOOKUP(F527,[1]characters!$A:$H,8,FALSE)</f>
        <v>yellow</v>
      </c>
      <c r="K527" s="8" t="str">
        <f>VLOOKUP(F527,[1]characters!$A:$K,11,FALSE)</f>
        <v>hp</v>
      </c>
      <c r="L527" s="8" t="str">
        <f>VLOOKUP(F527,[1]characters!$A:$M,13,FALSE)</f>
        <v>animal</v>
      </c>
      <c r="M527" s="16">
        <f>VLOOKUP(D527,gacha_188_base!A:B,2,FALSE)</f>
        <v>109</v>
      </c>
      <c r="N527" s="38">
        <f>IFERROR(VLOOKUP($F527,bug_conf_sheet!$A:$H,3,FALSE),VLOOKUP("other",bug_conf_sheet!$A:$H,3,FALSE))</f>
        <v>1</v>
      </c>
      <c r="O527" s="38">
        <f>IFERROR(VLOOKUP($F527,bug_conf_sheet!$A:$H,4,FALSE),VLOOKUP("other",bug_conf_sheet!$A:$H,4,FALSE))</f>
        <v>0</v>
      </c>
      <c r="P527" s="38">
        <f>IFERROR(VLOOKUP($F527,bug_conf_sheet!$A:$H,5,FALSE),VLOOKUP("other",bug_conf_sheet!$A:$H,5,FALSE))</f>
        <v>0</v>
      </c>
      <c r="Q527" s="38">
        <f>IFERROR(VLOOKUP($F527,bug_conf_sheet!$A:$H,6,FALSE),VLOOKUP("other",bug_conf_sheet!$A:$H,6,FALSE))</f>
        <v>0</v>
      </c>
      <c r="R527" s="38">
        <f>IFERROR(VLOOKUP($F527,bug_conf_sheet!$A:$H,7,FALSE),VLOOKUP("other",bug_conf_sheet!$A:$H,7,FALSE))</f>
        <v>0</v>
      </c>
      <c r="S527" s="38">
        <f>IFERROR(VLOOKUP($F527,bug_conf_sheet!$A:$H,8,FALSE),VLOOKUP("other",bug_conf_sheet!$A:$H,8,FALSE))</f>
        <v>1</v>
      </c>
    </row>
    <row r="528" spans="1:19" ht="21" hidden="1" customHeight="1">
      <c r="A528" s="7" t="str">
        <f t="shared" si="52"/>
        <v>1884463</v>
      </c>
      <c r="B528" s="2" t="str">
        <f t="shared" si="51"/>
        <v>1884</v>
      </c>
      <c r="C528" s="8" t="str">
        <f t="shared" si="53"/>
        <v>4PremiumS4</v>
      </c>
      <c r="D528" s="8" t="str">
        <f t="shared" si="54"/>
        <v>4PremiumS4</v>
      </c>
      <c r="E528" s="10">
        <v>4</v>
      </c>
      <c r="F528" s="9">
        <v>463</v>
      </c>
      <c r="G528" s="8" t="str">
        <f>VLOOKUP(F528,[1]characters!$A:$C,3,FALSE)</f>
        <v>燻銀 ガウェイン</v>
      </c>
      <c r="H528" s="8" t="str">
        <f>VLOOKUP(F528,[1]characters!$A:$J,10,FALSE)</f>
        <v>PremiumS</v>
      </c>
      <c r="I528" s="8">
        <f>VLOOKUP(F528,[1]characters!$A:$I,9,FALSE)</f>
        <v>4</v>
      </c>
      <c r="J528" s="8" t="str">
        <f>VLOOKUP(F528,[1]characters!$A:$H,8,FALSE)</f>
        <v>red</v>
      </c>
      <c r="K528" s="8" t="str">
        <f>VLOOKUP(F528,[1]characters!$A:$K,11,FALSE)</f>
        <v>hp</v>
      </c>
      <c r="L528" s="8" t="str">
        <f>VLOOKUP(F528,[1]characters!$A:$M,13,FALSE)</f>
        <v>human</v>
      </c>
      <c r="M528" s="16">
        <f>VLOOKUP(D528,gacha_188_base!A:B,2,FALSE)</f>
        <v>14883</v>
      </c>
      <c r="N528" s="38">
        <f>IFERROR(VLOOKUP($F528,bug_conf_sheet!$A:$H,3,FALSE),VLOOKUP("other",bug_conf_sheet!$A:$H,3,FALSE))</f>
        <v>1</v>
      </c>
      <c r="O528" s="38">
        <f>IFERROR(VLOOKUP($F528,bug_conf_sheet!$A:$H,4,FALSE),VLOOKUP("other",bug_conf_sheet!$A:$H,4,FALSE))</f>
        <v>0</v>
      </c>
      <c r="P528" s="38">
        <f>IFERROR(VLOOKUP($F528,bug_conf_sheet!$A:$H,5,FALSE),VLOOKUP("other",bug_conf_sheet!$A:$H,5,FALSE))</f>
        <v>0</v>
      </c>
      <c r="Q528" s="38">
        <f>IFERROR(VLOOKUP($F528,bug_conf_sheet!$A:$H,6,FALSE),VLOOKUP("other",bug_conf_sheet!$A:$H,6,FALSE))</f>
        <v>0</v>
      </c>
      <c r="R528" s="38">
        <f>IFERROR(VLOOKUP($F528,bug_conf_sheet!$A:$H,7,FALSE),VLOOKUP("other",bug_conf_sheet!$A:$H,7,FALSE))</f>
        <v>0</v>
      </c>
      <c r="S528" s="38">
        <f>IFERROR(VLOOKUP($F528,bug_conf_sheet!$A:$H,8,FALSE),VLOOKUP("other",bug_conf_sheet!$A:$H,8,FALSE))</f>
        <v>1</v>
      </c>
    </row>
    <row r="529" spans="1:19" ht="21" customHeight="1">
      <c r="A529" s="7" t="str">
        <f t="shared" si="52"/>
        <v>1884464</v>
      </c>
      <c r="B529" s="2" t="str">
        <f t="shared" si="51"/>
        <v>1884</v>
      </c>
      <c r="C529" s="8" t="str">
        <f t="shared" si="53"/>
        <v>4PremiumS5</v>
      </c>
      <c r="D529" s="8" t="str">
        <f t="shared" si="54"/>
        <v>4PremiumS5</v>
      </c>
      <c r="E529" s="10">
        <v>4</v>
      </c>
      <c r="F529" s="9">
        <v>464</v>
      </c>
      <c r="G529" s="8" t="str">
        <f>VLOOKUP(F529,[1]characters!$A:$C,3,FALSE)</f>
        <v>円熟の弾導 ガウェイン</v>
      </c>
      <c r="H529" s="8" t="str">
        <f>VLOOKUP(F529,[1]characters!$A:$J,10,FALSE)</f>
        <v>PremiumS</v>
      </c>
      <c r="I529" s="8">
        <f>VLOOKUP(F529,[1]characters!$A:$I,9,FALSE)</f>
        <v>5</v>
      </c>
      <c r="J529" s="8" t="str">
        <f>VLOOKUP(F529,[1]characters!$A:$H,8,FALSE)</f>
        <v>red</v>
      </c>
      <c r="K529" s="8" t="str">
        <f>VLOOKUP(F529,[1]characters!$A:$K,11,FALSE)</f>
        <v>hp</v>
      </c>
      <c r="L529" s="8" t="str">
        <f>VLOOKUP(F529,[1]characters!$A:$M,13,FALSE)</f>
        <v>human</v>
      </c>
      <c r="M529" s="16">
        <f>VLOOKUP(D529,gacha_188_base!A:B,2,FALSE)</f>
        <v>950</v>
      </c>
      <c r="N529" s="38">
        <f>IFERROR(VLOOKUP($F529,bug_conf_sheet!$A:$H,3,FALSE),VLOOKUP("other",bug_conf_sheet!$A:$H,3,FALSE))</f>
        <v>1</v>
      </c>
      <c r="O529" s="38">
        <f>IFERROR(VLOOKUP($F529,bug_conf_sheet!$A:$H,4,FALSE),VLOOKUP("other",bug_conf_sheet!$A:$H,4,FALSE))</f>
        <v>0</v>
      </c>
      <c r="P529" s="38">
        <f>IFERROR(VLOOKUP($F529,bug_conf_sheet!$A:$H,5,FALSE),VLOOKUP("other",bug_conf_sheet!$A:$H,5,FALSE))</f>
        <v>0</v>
      </c>
      <c r="Q529" s="38">
        <f>IFERROR(VLOOKUP($F529,bug_conf_sheet!$A:$H,6,FALSE),VLOOKUP("other",bug_conf_sheet!$A:$H,6,FALSE))</f>
        <v>0</v>
      </c>
      <c r="R529" s="38">
        <f>IFERROR(VLOOKUP($F529,bug_conf_sheet!$A:$H,7,FALSE),VLOOKUP("other",bug_conf_sheet!$A:$H,7,FALSE))</f>
        <v>0</v>
      </c>
      <c r="S529" s="38">
        <f>IFERROR(VLOOKUP($F529,bug_conf_sheet!$A:$H,8,FALSE),VLOOKUP("other",bug_conf_sheet!$A:$H,8,FALSE))</f>
        <v>1</v>
      </c>
    </row>
    <row r="530" spans="1:19" ht="21" hidden="1" customHeight="1">
      <c r="A530" s="7" t="str">
        <f t="shared" si="52"/>
        <v>1884465</v>
      </c>
      <c r="B530" s="2" t="str">
        <f t="shared" si="51"/>
        <v>1884</v>
      </c>
      <c r="C530" s="8" t="str">
        <f t="shared" si="53"/>
        <v>4PremiumSS4</v>
      </c>
      <c r="D530" s="8" t="str">
        <f t="shared" si="54"/>
        <v>4PremiumSS4</v>
      </c>
      <c r="E530" s="10">
        <v>4</v>
      </c>
      <c r="F530" s="9">
        <v>465</v>
      </c>
      <c r="G530" s="8" t="str">
        <f>VLOOKUP(F530,[1]characters!$A:$C,3,FALSE)</f>
        <v>真撃 ランスロット</v>
      </c>
      <c r="H530" s="8" t="str">
        <f>VLOOKUP(F530,[1]characters!$A:$J,10,FALSE)</f>
        <v>PremiumSS</v>
      </c>
      <c r="I530" s="8">
        <f>VLOOKUP(F530,[1]characters!$A:$I,9,FALSE)</f>
        <v>4</v>
      </c>
      <c r="J530" s="8" t="str">
        <f>VLOOKUP(F530,[1]characters!$A:$H,8,FALSE)</f>
        <v>green</v>
      </c>
      <c r="K530" s="8" t="str">
        <f>VLOOKUP(F530,[1]characters!$A:$K,11,FALSE)</f>
        <v>balance</v>
      </c>
      <c r="L530" s="8" t="str">
        <f>VLOOKUP(F530,[1]characters!$A:$M,13,FALSE)</f>
        <v>human</v>
      </c>
      <c r="M530" s="16">
        <f>VLOOKUP(D530,gacha_188_base!A:B,2,FALSE)</f>
        <v>1709</v>
      </c>
      <c r="N530" s="38">
        <f>IFERROR(VLOOKUP($F530,bug_conf_sheet!$A:$H,3,FALSE),VLOOKUP("other",bug_conf_sheet!$A:$H,3,FALSE))</f>
        <v>1</v>
      </c>
      <c r="O530" s="38">
        <f>IFERROR(VLOOKUP($F530,bug_conf_sheet!$A:$H,4,FALSE),VLOOKUP("other",bug_conf_sheet!$A:$H,4,FALSE))</f>
        <v>0</v>
      </c>
      <c r="P530" s="38">
        <f>IFERROR(VLOOKUP($F530,bug_conf_sheet!$A:$H,5,FALSE),VLOOKUP("other",bug_conf_sheet!$A:$H,5,FALSE))</f>
        <v>0</v>
      </c>
      <c r="Q530" s="38">
        <f>IFERROR(VLOOKUP($F530,bug_conf_sheet!$A:$H,6,FALSE),VLOOKUP("other",bug_conf_sheet!$A:$H,6,FALSE))</f>
        <v>0</v>
      </c>
      <c r="R530" s="38">
        <f>IFERROR(VLOOKUP($F530,bug_conf_sheet!$A:$H,7,FALSE),VLOOKUP("other",bug_conf_sheet!$A:$H,7,FALSE))</f>
        <v>0</v>
      </c>
      <c r="S530" s="38">
        <f>IFERROR(VLOOKUP($F530,bug_conf_sheet!$A:$H,8,FALSE),VLOOKUP("other",bug_conf_sheet!$A:$H,8,FALSE))</f>
        <v>1</v>
      </c>
    </row>
    <row r="531" spans="1:19" s="11" customFormat="1" ht="21" customHeight="1" thickBot="1">
      <c r="A531" s="7" t="str">
        <f t="shared" si="52"/>
        <v>1884466</v>
      </c>
      <c r="B531" s="2" t="str">
        <f t="shared" si="51"/>
        <v>1884</v>
      </c>
      <c r="C531" s="8" t="str">
        <f t="shared" si="53"/>
        <v>4PremiumSS5</v>
      </c>
      <c r="D531" s="8" t="str">
        <f t="shared" si="54"/>
        <v>4PremiumSS5</v>
      </c>
      <c r="E531" s="10">
        <v>4</v>
      </c>
      <c r="F531" s="6">
        <v>466</v>
      </c>
      <c r="G531" s="8" t="str">
        <f>VLOOKUP(F531,[1]characters!$A:$C,3,FALSE)</f>
        <v>真断の勇覇 ランスロット</v>
      </c>
      <c r="H531" s="8" t="str">
        <f>VLOOKUP(F531,[1]characters!$A:$J,10,FALSE)</f>
        <v>PremiumSS</v>
      </c>
      <c r="I531" s="8">
        <f>VLOOKUP(F531,[1]characters!$A:$I,9,FALSE)</f>
        <v>5</v>
      </c>
      <c r="J531" s="8" t="str">
        <f>VLOOKUP(F531,[1]characters!$A:$H,8,FALSE)</f>
        <v>green</v>
      </c>
      <c r="K531" s="8" t="str">
        <f>VLOOKUP(F531,[1]characters!$A:$K,11,FALSE)</f>
        <v>balance</v>
      </c>
      <c r="L531" s="8" t="str">
        <f>VLOOKUP(F531,[1]characters!$A:$M,13,FALSE)</f>
        <v>human</v>
      </c>
      <c r="M531" s="16">
        <f>VLOOKUP(D531,gacha_188_base!A:B,2,FALSE)</f>
        <v>109</v>
      </c>
      <c r="N531" s="38">
        <f>IFERROR(VLOOKUP($F531,bug_conf_sheet!$A:$H,3,FALSE),VLOOKUP("other",bug_conf_sheet!$A:$H,3,FALSE))</f>
        <v>1</v>
      </c>
      <c r="O531" s="38">
        <f>IFERROR(VLOOKUP($F531,bug_conf_sheet!$A:$H,4,FALSE),VLOOKUP("other",bug_conf_sheet!$A:$H,4,FALSE))</f>
        <v>0</v>
      </c>
      <c r="P531" s="38">
        <f>IFERROR(VLOOKUP($F531,bug_conf_sheet!$A:$H,5,FALSE),VLOOKUP("other",bug_conf_sheet!$A:$H,5,FALSE))</f>
        <v>0</v>
      </c>
      <c r="Q531" s="38">
        <f>IFERROR(VLOOKUP($F531,bug_conf_sheet!$A:$H,6,FALSE),VLOOKUP("other",bug_conf_sheet!$A:$H,6,FALSE))</f>
        <v>0</v>
      </c>
      <c r="R531" s="38">
        <f>IFERROR(VLOOKUP($F531,bug_conf_sheet!$A:$H,7,FALSE),VLOOKUP("other",bug_conf_sheet!$A:$H,7,FALSE))</f>
        <v>0</v>
      </c>
      <c r="S531" s="38">
        <f>IFERROR(VLOOKUP($F531,bug_conf_sheet!$A:$H,8,FALSE),VLOOKUP("other",bug_conf_sheet!$A:$H,8,FALSE))</f>
        <v>1</v>
      </c>
    </row>
    <row r="532" spans="1:19" ht="21" hidden="1" customHeight="1">
      <c r="A532" s="7" t="str">
        <f t="shared" si="52"/>
        <v>1884467</v>
      </c>
      <c r="B532" s="2" t="str">
        <f t="shared" si="51"/>
        <v>1884</v>
      </c>
      <c r="C532" s="8" t="str">
        <f t="shared" si="53"/>
        <v>4PremiumSS4</v>
      </c>
      <c r="D532" s="8" t="str">
        <f t="shared" si="54"/>
        <v>4PremiumSS4</v>
      </c>
      <c r="E532" s="10">
        <v>4</v>
      </c>
      <c r="F532" s="6">
        <v>467</v>
      </c>
      <c r="G532" s="8" t="str">
        <f>VLOOKUP(F532,[1]characters!$A:$C,3,FALSE)</f>
        <v>報復 モルドレッド</v>
      </c>
      <c r="H532" s="8" t="str">
        <f>VLOOKUP(F532,[1]characters!$A:$J,10,FALSE)</f>
        <v>PremiumSS</v>
      </c>
      <c r="I532" s="8">
        <f>VLOOKUP(F532,[1]characters!$A:$I,9,FALSE)</f>
        <v>4</v>
      </c>
      <c r="J532" s="8" t="str">
        <f>VLOOKUP(F532,[1]characters!$A:$H,8,FALSE)</f>
        <v>blue</v>
      </c>
      <c r="K532" s="8" t="str">
        <f>VLOOKUP(F532,[1]characters!$A:$K,11,FALSE)</f>
        <v>technical</v>
      </c>
      <c r="L532" s="8" t="str">
        <f>VLOOKUP(F532,[1]characters!$A:$M,13,FALSE)</f>
        <v>human</v>
      </c>
      <c r="M532" s="16">
        <f>VLOOKUP(D532,gacha_188_base!A:B,2,FALSE)</f>
        <v>1709</v>
      </c>
      <c r="N532" s="38">
        <f>IFERROR(VLOOKUP($F532,bug_conf_sheet!$A:$H,3,FALSE),VLOOKUP("other",bug_conf_sheet!$A:$H,3,FALSE))</f>
        <v>1</v>
      </c>
      <c r="O532" s="38">
        <f>IFERROR(VLOOKUP($F532,bug_conf_sheet!$A:$H,4,FALSE),VLOOKUP("other",bug_conf_sheet!$A:$H,4,FALSE))</f>
        <v>0</v>
      </c>
      <c r="P532" s="38">
        <f>IFERROR(VLOOKUP($F532,bug_conf_sheet!$A:$H,5,FALSE),VLOOKUP("other",bug_conf_sheet!$A:$H,5,FALSE))</f>
        <v>0</v>
      </c>
      <c r="Q532" s="38">
        <f>IFERROR(VLOOKUP($F532,bug_conf_sheet!$A:$H,6,FALSE),VLOOKUP("other",bug_conf_sheet!$A:$H,6,FALSE))</f>
        <v>0</v>
      </c>
      <c r="R532" s="38">
        <f>IFERROR(VLOOKUP($F532,bug_conf_sheet!$A:$H,7,FALSE),VLOOKUP("other",bug_conf_sheet!$A:$H,7,FALSE))</f>
        <v>0</v>
      </c>
      <c r="S532" s="38">
        <f>IFERROR(VLOOKUP($F532,bug_conf_sheet!$A:$H,8,FALSE),VLOOKUP("other",bug_conf_sheet!$A:$H,8,FALSE))</f>
        <v>1</v>
      </c>
    </row>
    <row r="533" spans="1:19" ht="21" customHeight="1">
      <c r="A533" s="7" t="str">
        <f t="shared" si="52"/>
        <v>1884468</v>
      </c>
      <c r="B533" s="2" t="str">
        <f t="shared" si="51"/>
        <v>1884</v>
      </c>
      <c r="C533" s="8" t="str">
        <f t="shared" si="53"/>
        <v>4PremiumSS5</v>
      </c>
      <c r="D533" s="8" t="str">
        <f t="shared" si="54"/>
        <v>4PremiumSS5</v>
      </c>
      <c r="E533" s="10">
        <v>4</v>
      </c>
      <c r="F533" s="6">
        <v>468</v>
      </c>
      <c r="G533" s="8" t="str">
        <f>VLOOKUP(F533,[1]characters!$A:$C,3,FALSE)</f>
        <v>憎愛の尖鋒 モルドレッド</v>
      </c>
      <c r="H533" s="8" t="str">
        <f>VLOOKUP(F533,[1]characters!$A:$J,10,FALSE)</f>
        <v>PremiumSS</v>
      </c>
      <c r="I533" s="8">
        <f>VLOOKUP(F533,[1]characters!$A:$I,9,FALSE)</f>
        <v>5</v>
      </c>
      <c r="J533" s="8" t="str">
        <f>VLOOKUP(F533,[1]characters!$A:$H,8,FALSE)</f>
        <v>blue</v>
      </c>
      <c r="K533" s="8" t="str">
        <f>VLOOKUP(F533,[1]characters!$A:$K,11,FALSE)</f>
        <v>technical</v>
      </c>
      <c r="L533" s="8" t="str">
        <f>VLOOKUP(F533,[1]characters!$A:$M,13,FALSE)</f>
        <v>human</v>
      </c>
      <c r="M533" s="16">
        <f>VLOOKUP(D533,gacha_188_base!A:B,2,FALSE)</f>
        <v>109</v>
      </c>
      <c r="N533" s="38">
        <f>IFERROR(VLOOKUP($F533,bug_conf_sheet!$A:$H,3,FALSE),VLOOKUP("other",bug_conf_sheet!$A:$H,3,FALSE))</f>
        <v>1</v>
      </c>
      <c r="O533" s="38">
        <f>IFERROR(VLOOKUP($F533,bug_conf_sheet!$A:$H,4,FALSE),VLOOKUP("other",bug_conf_sheet!$A:$H,4,FALSE))</f>
        <v>0</v>
      </c>
      <c r="P533" s="38">
        <f>IFERROR(VLOOKUP($F533,bug_conf_sheet!$A:$H,5,FALSE),VLOOKUP("other",bug_conf_sheet!$A:$H,5,FALSE))</f>
        <v>0</v>
      </c>
      <c r="Q533" s="38">
        <f>IFERROR(VLOOKUP($F533,bug_conf_sheet!$A:$H,6,FALSE),VLOOKUP("other",bug_conf_sheet!$A:$H,6,FALSE))</f>
        <v>0</v>
      </c>
      <c r="R533" s="38">
        <f>IFERROR(VLOOKUP($F533,bug_conf_sheet!$A:$H,7,FALSE),VLOOKUP("other",bug_conf_sheet!$A:$H,7,FALSE))</f>
        <v>0</v>
      </c>
      <c r="S533" s="38">
        <f>IFERROR(VLOOKUP($F533,bug_conf_sheet!$A:$H,8,FALSE),VLOOKUP("other",bug_conf_sheet!$A:$H,8,FALSE))</f>
        <v>1</v>
      </c>
    </row>
    <row r="534" spans="1:19" ht="21" hidden="1" customHeight="1">
      <c r="A534" s="7" t="str">
        <f t="shared" si="52"/>
        <v>1884470</v>
      </c>
      <c r="B534" s="2" t="str">
        <f t="shared" si="51"/>
        <v>1884</v>
      </c>
      <c r="C534" s="8" t="str">
        <f t="shared" si="53"/>
        <v>4PremiumS4</v>
      </c>
      <c r="D534" s="8" t="str">
        <f t="shared" si="54"/>
        <v>4PremiumS4</v>
      </c>
      <c r="E534" s="10">
        <v>4</v>
      </c>
      <c r="F534" s="6">
        <v>470</v>
      </c>
      <c r="G534" s="8" t="str">
        <f>VLOOKUP(F534,[1]characters!$A:$C,3,FALSE)</f>
        <v>純心 トリスタン</v>
      </c>
      <c r="H534" s="8" t="str">
        <f>VLOOKUP(F534,[1]characters!$A:$J,10,FALSE)</f>
        <v>PremiumS</v>
      </c>
      <c r="I534" s="8">
        <f>VLOOKUP(F534,[1]characters!$A:$I,9,FALSE)</f>
        <v>4</v>
      </c>
      <c r="J534" s="8" t="str">
        <f>VLOOKUP(F534,[1]characters!$A:$H,8,FALSE)</f>
        <v>yellow</v>
      </c>
      <c r="K534" s="8" t="str">
        <f>VLOOKUP(F534,[1]characters!$A:$K,11,FALSE)</f>
        <v>attack</v>
      </c>
      <c r="L534" s="8" t="str">
        <f>VLOOKUP(F534,[1]characters!$A:$M,13,FALSE)</f>
        <v>human</v>
      </c>
      <c r="M534" s="16">
        <f>VLOOKUP(D534,gacha_188_base!A:B,2,FALSE)</f>
        <v>14883</v>
      </c>
      <c r="N534" s="38">
        <f>IFERROR(VLOOKUP($F534,bug_conf_sheet!$A:$H,3,FALSE),VLOOKUP("other",bug_conf_sheet!$A:$H,3,FALSE))</f>
        <v>1</v>
      </c>
      <c r="O534" s="38">
        <f>IFERROR(VLOOKUP($F534,bug_conf_sheet!$A:$H,4,FALSE),VLOOKUP("other",bug_conf_sheet!$A:$H,4,FALSE))</f>
        <v>0</v>
      </c>
      <c r="P534" s="38">
        <f>IFERROR(VLOOKUP($F534,bug_conf_sheet!$A:$H,5,FALSE),VLOOKUP("other",bug_conf_sheet!$A:$H,5,FALSE))</f>
        <v>0</v>
      </c>
      <c r="Q534" s="38">
        <f>IFERROR(VLOOKUP($F534,bug_conf_sheet!$A:$H,6,FALSE),VLOOKUP("other",bug_conf_sheet!$A:$H,6,FALSE))</f>
        <v>0</v>
      </c>
      <c r="R534" s="38">
        <f>IFERROR(VLOOKUP($F534,bug_conf_sheet!$A:$H,7,FALSE),VLOOKUP("other",bug_conf_sheet!$A:$H,7,FALSE))</f>
        <v>0</v>
      </c>
      <c r="S534" s="38">
        <f>IFERROR(VLOOKUP($F534,bug_conf_sheet!$A:$H,8,FALSE),VLOOKUP("other",bug_conf_sheet!$A:$H,8,FALSE))</f>
        <v>1</v>
      </c>
    </row>
    <row r="535" spans="1:19" ht="21" customHeight="1">
      <c r="A535" s="7" t="str">
        <f t="shared" si="52"/>
        <v>1884471</v>
      </c>
      <c r="B535" s="2" t="str">
        <f t="shared" si="51"/>
        <v>1884</v>
      </c>
      <c r="C535" s="8" t="str">
        <f t="shared" si="53"/>
        <v>4PremiumS5</v>
      </c>
      <c r="D535" s="8" t="str">
        <f t="shared" si="54"/>
        <v>4PremiumS5</v>
      </c>
      <c r="E535" s="10">
        <v>4</v>
      </c>
      <c r="F535" s="6">
        <v>471</v>
      </c>
      <c r="G535" s="8" t="str">
        <f>VLOOKUP(F535,[1]characters!$A:$C,3,FALSE)</f>
        <v>不可避の爆激 トリスタン</v>
      </c>
      <c r="H535" s="8" t="str">
        <f>VLOOKUP(F535,[1]characters!$A:$J,10,FALSE)</f>
        <v>PremiumS</v>
      </c>
      <c r="I535" s="8">
        <f>VLOOKUP(F535,[1]characters!$A:$I,9,FALSE)</f>
        <v>5</v>
      </c>
      <c r="J535" s="8" t="str">
        <f>VLOOKUP(F535,[1]characters!$A:$H,8,FALSE)</f>
        <v>yellow</v>
      </c>
      <c r="K535" s="8" t="str">
        <f>VLOOKUP(F535,[1]characters!$A:$K,11,FALSE)</f>
        <v>attack</v>
      </c>
      <c r="L535" s="8" t="str">
        <f>VLOOKUP(F535,[1]characters!$A:$M,13,FALSE)</f>
        <v>human</v>
      </c>
      <c r="M535" s="16">
        <f>VLOOKUP(D535,gacha_188_base!A:B,2,FALSE)</f>
        <v>950</v>
      </c>
      <c r="N535" s="38">
        <f>IFERROR(VLOOKUP($F535,bug_conf_sheet!$A:$H,3,FALSE),VLOOKUP("other",bug_conf_sheet!$A:$H,3,FALSE))</f>
        <v>1</v>
      </c>
      <c r="O535" s="38">
        <f>IFERROR(VLOOKUP($F535,bug_conf_sheet!$A:$H,4,FALSE),VLOOKUP("other",bug_conf_sheet!$A:$H,4,FALSE))</f>
        <v>0</v>
      </c>
      <c r="P535" s="38">
        <f>IFERROR(VLOOKUP($F535,bug_conf_sheet!$A:$H,5,FALSE),VLOOKUP("other",bug_conf_sheet!$A:$H,5,FALSE))</f>
        <v>0</v>
      </c>
      <c r="Q535" s="38">
        <f>IFERROR(VLOOKUP($F535,bug_conf_sheet!$A:$H,6,FALSE),VLOOKUP("other",bug_conf_sheet!$A:$H,6,FALSE))</f>
        <v>0</v>
      </c>
      <c r="R535" s="38">
        <f>IFERROR(VLOOKUP($F535,bug_conf_sheet!$A:$H,7,FALSE),VLOOKUP("other",bug_conf_sheet!$A:$H,7,FALSE))</f>
        <v>0</v>
      </c>
      <c r="S535" s="38">
        <f>IFERROR(VLOOKUP($F535,bug_conf_sheet!$A:$H,8,FALSE),VLOOKUP("other",bug_conf_sheet!$A:$H,8,FALSE))</f>
        <v>1</v>
      </c>
    </row>
    <row r="536" spans="1:19" ht="21" hidden="1" customHeight="1">
      <c r="A536" s="7" t="str">
        <f t="shared" si="52"/>
        <v>1884474</v>
      </c>
      <c r="B536" s="2" t="str">
        <f t="shared" si="51"/>
        <v>1884</v>
      </c>
      <c r="C536" s="8" t="str">
        <f t="shared" si="53"/>
        <v>4PremiumSS4</v>
      </c>
      <c r="D536" s="8" t="str">
        <f t="shared" si="54"/>
        <v>4PremiumSS4</v>
      </c>
      <c r="E536" s="10">
        <v>4</v>
      </c>
      <c r="F536" s="6">
        <v>474</v>
      </c>
      <c r="G536" s="8" t="str">
        <f>VLOOKUP(F536,[1]characters!$A:$C,3,FALSE)</f>
        <v>キング・ドライグ</v>
      </c>
      <c r="H536" s="8" t="str">
        <f>VLOOKUP(F536,[1]characters!$A:$J,10,FALSE)</f>
        <v>PremiumSS</v>
      </c>
      <c r="I536" s="8">
        <f>VLOOKUP(F536,[1]characters!$A:$I,9,FALSE)</f>
        <v>4</v>
      </c>
      <c r="J536" s="8" t="str">
        <f>VLOOKUP(F536,[1]characters!$A:$H,8,FALSE)</f>
        <v>red</v>
      </c>
      <c r="K536" s="8" t="str">
        <f>VLOOKUP(F536,[1]characters!$A:$K,11,FALSE)</f>
        <v>attack</v>
      </c>
      <c r="L536" s="8" t="str">
        <f>VLOOKUP(F536,[1]characters!$A:$M,13,FALSE)</f>
        <v>dragon</v>
      </c>
      <c r="M536" s="16">
        <f>VLOOKUP(D536,gacha_188_base!A:B,2,FALSE)</f>
        <v>1709</v>
      </c>
      <c r="N536" s="38">
        <f>IFERROR(VLOOKUP($F536,bug_conf_sheet!$A:$H,3,FALSE),VLOOKUP("other",bug_conf_sheet!$A:$H,3,FALSE))</f>
        <v>1</v>
      </c>
      <c r="O536" s="38">
        <f>IFERROR(VLOOKUP($F536,bug_conf_sheet!$A:$H,4,FALSE),VLOOKUP("other",bug_conf_sheet!$A:$H,4,FALSE))</f>
        <v>0</v>
      </c>
      <c r="P536" s="38">
        <f>IFERROR(VLOOKUP($F536,bug_conf_sheet!$A:$H,5,FALSE),VLOOKUP("other",bug_conf_sheet!$A:$H,5,FALSE))</f>
        <v>0</v>
      </c>
      <c r="Q536" s="38">
        <f>IFERROR(VLOOKUP($F536,bug_conf_sheet!$A:$H,6,FALSE),VLOOKUP("other",bug_conf_sheet!$A:$H,6,FALSE))</f>
        <v>0</v>
      </c>
      <c r="R536" s="38">
        <f>IFERROR(VLOOKUP($F536,bug_conf_sheet!$A:$H,7,FALSE),VLOOKUP("other",bug_conf_sheet!$A:$H,7,FALSE))</f>
        <v>0</v>
      </c>
      <c r="S536" s="38">
        <f>IFERROR(VLOOKUP($F536,bug_conf_sheet!$A:$H,8,FALSE),VLOOKUP("other",bug_conf_sheet!$A:$H,8,FALSE))</f>
        <v>1</v>
      </c>
    </row>
    <row r="537" spans="1:19" ht="21" customHeight="1">
      <c r="A537" s="7" t="str">
        <f t="shared" si="52"/>
        <v>1884475</v>
      </c>
      <c r="B537" s="2" t="str">
        <f t="shared" si="51"/>
        <v>1884</v>
      </c>
      <c r="C537" s="8" t="str">
        <f t="shared" si="53"/>
        <v>4PremiumSS5</v>
      </c>
      <c r="D537" s="8" t="str">
        <f t="shared" si="54"/>
        <v>4PremiumSS5</v>
      </c>
      <c r="E537" s="10">
        <v>4</v>
      </c>
      <c r="F537" s="6">
        <v>475</v>
      </c>
      <c r="G537" s="8" t="str">
        <f>VLOOKUP(F537,[1]characters!$A:$C,3,FALSE)</f>
        <v>緋王 キング・ドライグ</v>
      </c>
      <c r="H537" s="8" t="str">
        <f>VLOOKUP(F537,[1]characters!$A:$J,10,FALSE)</f>
        <v>PremiumSS</v>
      </c>
      <c r="I537" s="8">
        <f>VLOOKUP(F537,[1]characters!$A:$I,9,FALSE)</f>
        <v>5</v>
      </c>
      <c r="J537" s="8" t="str">
        <f>VLOOKUP(F537,[1]characters!$A:$H,8,FALSE)</f>
        <v>red</v>
      </c>
      <c r="K537" s="8" t="str">
        <f>VLOOKUP(F537,[1]characters!$A:$K,11,FALSE)</f>
        <v>attack</v>
      </c>
      <c r="L537" s="8" t="str">
        <f>VLOOKUP(F537,[1]characters!$A:$M,13,FALSE)</f>
        <v>dragon</v>
      </c>
      <c r="M537" s="16">
        <f>VLOOKUP(D537,gacha_188_base!A:B,2,FALSE)</f>
        <v>109</v>
      </c>
      <c r="N537" s="38">
        <f>IFERROR(VLOOKUP($F537,bug_conf_sheet!$A:$H,3,FALSE),VLOOKUP("other",bug_conf_sheet!$A:$H,3,FALSE))</f>
        <v>1</v>
      </c>
      <c r="O537" s="38">
        <f>IFERROR(VLOOKUP($F537,bug_conf_sheet!$A:$H,4,FALSE),VLOOKUP("other",bug_conf_sheet!$A:$H,4,FALSE))</f>
        <v>0</v>
      </c>
      <c r="P537" s="38">
        <f>IFERROR(VLOOKUP($F537,bug_conf_sheet!$A:$H,5,FALSE),VLOOKUP("other",bug_conf_sheet!$A:$H,5,FALSE))</f>
        <v>0</v>
      </c>
      <c r="Q537" s="38">
        <f>IFERROR(VLOOKUP($F537,bug_conf_sheet!$A:$H,6,FALSE),VLOOKUP("other",bug_conf_sheet!$A:$H,6,FALSE))</f>
        <v>0</v>
      </c>
      <c r="R537" s="38">
        <f>IFERROR(VLOOKUP($F537,bug_conf_sheet!$A:$H,7,FALSE),VLOOKUP("other",bug_conf_sheet!$A:$H,7,FALSE))</f>
        <v>0</v>
      </c>
      <c r="S537" s="38">
        <f>IFERROR(VLOOKUP($F537,bug_conf_sheet!$A:$H,8,FALSE),VLOOKUP("other",bug_conf_sheet!$A:$H,8,FALSE))</f>
        <v>1</v>
      </c>
    </row>
    <row r="538" spans="1:19" ht="21" hidden="1" customHeight="1">
      <c r="A538" s="7" t="str">
        <f t="shared" si="52"/>
        <v>1884477</v>
      </c>
      <c r="B538" s="2" t="str">
        <f t="shared" si="51"/>
        <v>1884</v>
      </c>
      <c r="C538" s="8" t="str">
        <f t="shared" si="53"/>
        <v>4PremiumS4</v>
      </c>
      <c r="D538" s="8" t="str">
        <f t="shared" si="54"/>
        <v>4PremiumS4</v>
      </c>
      <c r="E538" s="10">
        <v>4</v>
      </c>
      <c r="F538" s="6">
        <v>477</v>
      </c>
      <c r="G538" s="8" t="str">
        <f>VLOOKUP(F538,[1]characters!$A:$C,3,FALSE)</f>
        <v>愛羽妖精 ファータ</v>
      </c>
      <c r="H538" s="8" t="str">
        <f>VLOOKUP(F538,[1]characters!$A:$J,10,FALSE)</f>
        <v>PremiumS</v>
      </c>
      <c r="I538" s="8">
        <f>VLOOKUP(F538,[1]characters!$A:$I,9,FALSE)</f>
        <v>4</v>
      </c>
      <c r="J538" s="8" t="str">
        <f>VLOOKUP(F538,[1]characters!$A:$H,8,FALSE)</f>
        <v>green</v>
      </c>
      <c r="K538" s="8" t="str">
        <f>VLOOKUP(F538,[1]characters!$A:$K,11,FALSE)</f>
        <v>heal</v>
      </c>
      <c r="L538" s="8" t="str">
        <f>VLOOKUP(F538,[1]characters!$A:$M,13,FALSE)</f>
        <v>unknown</v>
      </c>
      <c r="M538" s="16">
        <f>VLOOKUP(D538,gacha_188_base!A:B,2,FALSE)</f>
        <v>14883</v>
      </c>
      <c r="N538" s="38">
        <f>IFERROR(VLOOKUP($F538,bug_conf_sheet!$A:$H,3,FALSE),VLOOKUP("other",bug_conf_sheet!$A:$H,3,FALSE))</f>
        <v>1</v>
      </c>
      <c r="O538" s="38">
        <f>IFERROR(VLOOKUP($F538,bug_conf_sheet!$A:$H,4,FALSE),VLOOKUP("other",bug_conf_sheet!$A:$H,4,FALSE))</f>
        <v>0</v>
      </c>
      <c r="P538" s="38">
        <f>IFERROR(VLOOKUP($F538,bug_conf_sheet!$A:$H,5,FALSE),VLOOKUP("other",bug_conf_sheet!$A:$H,5,FALSE))</f>
        <v>0</v>
      </c>
      <c r="Q538" s="38">
        <f>IFERROR(VLOOKUP($F538,bug_conf_sheet!$A:$H,6,FALSE),VLOOKUP("other",bug_conf_sheet!$A:$H,6,FALSE))</f>
        <v>0</v>
      </c>
      <c r="R538" s="38">
        <f>IFERROR(VLOOKUP($F538,bug_conf_sheet!$A:$H,7,FALSE),VLOOKUP("other",bug_conf_sheet!$A:$H,7,FALSE))</f>
        <v>0</v>
      </c>
      <c r="S538" s="38">
        <f>IFERROR(VLOOKUP($F538,bug_conf_sheet!$A:$H,8,FALSE),VLOOKUP("other",bug_conf_sheet!$A:$H,8,FALSE))</f>
        <v>1</v>
      </c>
    </row>
    <row r="539" spans="1:19" ht="21" customHeight="1">
      <c r="A539" s="7" t="str">
        <f t="shared" si="52"/>
        <v>1884478</v>
      </c>
      <c r="B539" s="2" t="str">
        <f t="shared" si="51"/>
        <v>1884</v>
      </c>
      <c r="C539" s="8" t="str">
        <f t="shared" si="53"/>
        <v>4PremiumS5</v>
      </c>
      <c r="D539" s="8" t="str">
        <f t="shared" si="54"/>
        <v>4PremiumS5</v>
      </c>
      <c r="E539" s="10">
        <v>4</v>
      </c>
      <c r="F539" s="6">
        <v>478</v>
      </c>
      <c r="G539" s="8" t="str">
        <f>VLOOKUP(F539,[1]characters!$A:$C,3,FALSE)</f>
        <v>時計仕掛けの愛羽妖精 ファータ</v>
      </c>
      <c r="H539" s="8" t="str">
        <f>VLOOKUP(F539,[1]characters!$A:$J,10,FALSE)</f>
        <v>PremiumS</v>
      </c>
      <c r="I539" s="8">
        <f>VLOOKUP(F539,[1]characters!$A:$I,9,FALSE)</f>
        <v>5</v>
      </c>
      <c r="J539" s="8" t="str">
        <f>VLOOKUP(F539,[1]characters!$A:$H,8,FALSE)</f>
        <v>green</v>
      </c>
      <c r="K539" s="8" t="str">
        <f>VLOOKUP(F539,[1]characters!$A:$K,11,FALSE)</f>
        <v>heal</v>
      </c>
      <c r="L539" s="8" t="str">
        <f>VLOOKUP(F539,[1]characters!$A:$M,13,FALSE)</f>
        <v>unknown</v>
      </c>
      <c r="M539" s="16">
        <f>VLOOKUP(D539,gacha_188_base!A:B,2,FALSE)</f>
        <v>950</v>
      </c>
      <c r="N539" s="38">
        <f>IFERROR(VLOOKUP($F539,bug_conf_sheet!$A:$H,3,FALSE),VLOOKUP("other",bug_conf_sheet!$A:$H,3,FALSE))</f>
        <v>1</v>
      </c>
      <c r="O539" s="38">
        <f>IFERROR(VLOOKUP($F539,bug_conf_sheet!$A:$H,4,FALSE),VLOOKUP("other",bug_conf_sheet!$A:$H,4,FALSE))</f>
        <v>0</v>
      </c>
      <c r="P539" s="38">
        <f>IFERROR(VLOOKUP($F539,bug_conf_sheet!$A:$H,5,FALSE),VLOOKUP("other",bug_conf_sheet!$A:$H,5,FALSE))</f>
        <v>0</v>
      </c>
      <c r="Q539" s="38">
        <f>IFERROR(VLOOKUP($F539,bug_conf_sheet!$A:$H,6,FALSE),VLOOKUP("other",bug_conf_sheet!$A:$H,6,FALSE))</f>
        <v>0</v>
      </c>
      <c r="R539" s="38">
        <f>IFERROR(VLOOKUP($F539,bug_conf_sheet!$A:$H,7,FALSE),VLOOKUP("other",bug_conf_sheet!$A:$H,7,FALSE))</f>
        <v>0</v>
      </c>
      <c r="S539" s="38">
        <f>IFERROR(VLOOKUP($F539,bug_conf_sheet!$A:$H,8,FALSE),VLOOKUP("other",bug_conf_sheet!$A:$H,8,FALSE))</f>
        <v>1</v>
      </c>
    </row>
    <row r="540" spans="1:19" ht="21" hidden="1" customHeight="1">
      <c r="A540" s="7" t="str">
        <f t="shared" si="52"/>
        <v>1884479</v>
      </c>
      <c r="B540" s="2" t="str">
        <f t="shared" si="51"/>
        <v>1884</v>
      </c>
      <c r="C540" s="8" t="str">
        <f t="shared" si="53"/>
        <v>4PremiumSS4</v>
      </c>
      <c r="D540" s="8" t="str">
        <f t="shared" si="54"/>
        <v>4PremiumSS4</v>
      </c>
      <c r="E540" s="10">
        <v>4</v>
      </c>
      <c r="F540" s="6">
        <v>479</v>
      </c>
      <c r="G540" s="8" t="str">
        <f>VLOOKUP(F540,[1]characters!$A:$C,3,FALSE)</f>
        <v>フール</v>
      </c>
      <c r="H540" s="8" t="str">
        <f>VLOOKUP(F540,[1]characters!$A:$J,10,FALSE)</f>
        <v>PremiumSS</v>
      </c>
      <c r="I540" s="8">
        <f>VLOOKUP(F540,[1]characters!$A:$I,9,FALSE)</f>
        <v>4</v>
      </c>
      <c r="J540" s="8" t="str">
        <f>VLOOKUP(F540,[1]characters!$A:$H,8,FALSE)</f>
        <v>blue</v>
      </c>
      <c r="K540" s="8" t="str">
        <f>VLOOKUP(F540,[1]characters!$A:$K,11,FALSE)</f>
        <v>technical</v>
      </c>
      <c r="L540" s="8" t="str">
        <f>VLOOKUP(F540,[1]characters!$A:$M,13,FALSE)</f>
        <v>god</v>
      </c>
      <c r="M540" s="16">
        <f>VLOOKUP(D540,gacha_188_base!A:B,2,FALSE)</f>
        <v>1709</v>
      </c>
      <c r="N540" s="38">
        <f>IFERROR(VLOOKUP($F540,bug_conf_sheet!$A:$H,3,FALSE),VLOOKUP("other",bug_conf_sheet!$A:$H,3,FALSE))</f>
        <v>1</v>
      </c>
      <c r="O540" s="38">
        <f>IFERROR(VLOOKUP($F540,bug_conf_sheet!$A:$H,4,FALSE),VLOOKUP("other",bug_conf_sheet!$A:$H,4,FALSE))</f>
        <v>0</v>
      </c>
      <c r="P540" s="38">
        <f>IFERROR(VLOOKUP($F540,bug_conf_sheet!$A:$H,5,FALSE),VLOOKUP("other",bug_conf_sheet!$A:$H,5,FALSE))</f>
        <v>0</v>
      </c>
      <c r="Q540" s="38">
        <f>IFERROR(VLOOKUP($F540,bug_conf_sheet!$A:$H,6,FALSE),VLOOKUP("other",bug_conf_sheet!$A:$H,6,FALSE))</f>
        <v>0</v>
      </c>
      <c r="R540" s="38">
        <f>IFERROR(VLOOKUP($F540,bug_conf_sheet!$A:$H,7,FALSE),VLOOKUP("other",bug_conf_sheet!$A:$H,7,FALSE))</f>
        <v>0</v>
      </c>
      <c r="S540" s="38">
        <f>IFERROR(VLOOKUP($F540,bug_conf_sheet!$A:$H,8,FALSE),VLOOKUP("other",bug_conf_sheet!$A:$H,8,FALSE))</f>
        <v>1</v>
      </c>
    </row>
    <row r="541" spans="1:19" ht="21" customHeight="1">
      <c r="A541" s="7" t="str">
        <f t="shared" si="52"/>
        <v>1884480</v>
      </c>
      <c r="B541" s="2" t="str">
        <f t="shared" si="51"/>
        <v>1884</v>
      </c>
      <c r="C541" s="8" t="str">
        <f t="shared" si="53"/>
        <v>4PremiumSS5</v>
      </c>
      <c r="D541" s="8" t="str">
        <f t="shared" si="54"/>
        <v>4PremiumSS5</v>
      </c>
      <c r="E541" s="10">
        <v>4</v>
      </c>
      <c r="F541" s="6">
        <v>480</v>
      </c>
      <c r="G541" s="8" t="str">
        <f>VLOOKUP(F541,[1]characters!$A:$C,3,FALSE)</f>
        <v>夢幻の愚者フール</v>
      </c>
      <c r="H541" s="8" t="str">
        <f>VLOOKUP(F541,[1]characters!$A:$J,10,FALSE)</f>
        <v>PremiumSS</v>
      </c>
      <c r="I541" s="8">
        <f>VLOOKUP(F541,[1]characters!$A:$I,9,FALSE)</f>
        <v>5</v>
      </c>
      <c r="J541" s="8" t="str">
        <f>VLOOKUP(F541,[1]characters!$A:$H,8,FALSE)</f>
        <v>blue</v>
      </c>
      <c r="K541" s="8" t="str">
        <f>VLOOKUP(F541,[1]characters!$A:$K,11,FALSE)</f>
        <v>technical</v>
      </c>
      <c r="L541" s="8" t="str">
        <f>VLOOKUP(F541,[1]characters!$A:$M,13,FALSE)</f>
        <v>god</v>
      </c>
      <c r="M541" s="16">
        <f>VLOOKUP(D541,gacha_188_base!A:B,2,FALSE)</f>
        <v>109</v>
      </c>
      <c r="N541" s="38">
        <f>IFERROR(VLOOKUP($F541,bug_conf_sheet!$A:$H,3,FALSE),VLOOKUP("other",bug_conf_sheet!$A:$H,3,FALSE))</f>
        <v>1</v>
      </c>
      <c r="O541" s="38">
        <f>IFERROR(VLOOKUP($F541,bug_conf_sheet!$A:$H,4,FALSE),VLOOKUP("other",bug_conf_sheet!$A:$H,4,FALSE))</f>
        <v>0</v>
      </c>
      <c r="P541" s="38">
        <f>IFERROR(VLOOKUP($F541,bug_conf_sheet!$A:$H,5,FALSE),VLOOKUP("other",bug_conf_sheet!$A:$H,5,FALSE))</f>
        <v>0</v>
      </c>
      <c r="Q541" s="38">
        <f>IFERROR(VLOOKUP($F541,bug_conf_sheet!$A:$H,6,FALSE),VLOOKUP("other",bug_conf_sheet!$A:$H,6,FALSE))</f>
        <v>0</v>
      </c>
      <c r="R541" s="38">
        <f>IFERROR(VLOOKUP($F541,bug_conf_sheet!$A:$H,7,FALSE),VLOOKUP("other",bug_conf_sheet!$A:$H,7,FALSE))</f>
        <v>0</v>
      </c>
      <c r="S541" s="38">
        <f>IFERROR(VLOOKUP($F541,bug_conf_sheet!$A:$H,8,FALSE),VLOOKUP("other",bug_conf_sheet!$A:$H,8,FALSE))</f>
        <v>1</v>
      </c>
    </row>
    <row r="542" spans="1:19" ht="21" hidden="1" customHeight="1">
      <c r="A542" s="7" t="str">
        <f t="shared" si="52"/>
        <v>1884482</v>
      </c>
      <c r="B542" s="2" t="str">
        <f t="shared" si="51"/>
        <v>1884</v>
      </c>
      <c r="C542" s="8" t="str">
        <f t="shared" si="53"/>
        <v>4PremiumS4</v>
      </c>
      <c r="D542" s="8" t="str">
        <f t="shared" si="54"/>
        <v>4PremiumS4</v>
      </c>
      <c r="E542" s="10">
        <v>4</v>
      </c>
      <c r="F542" s="6">
        <v>482</v>
      </c>
      <c r="G542" s="8" t="str">
        <f>VLOOKUP(F542,[1]characters!$A:$C,3,FALSE)</f>
        <v>魁僧 沢庵宗彭</v>
      </c>
      <c r="H542" s="8" t="str">
        <f>VLOOKUP(F542,[1]characters!$A:$J,10,FALSE)</f>
        <v>PremiumS</v>
      </c>
      <c r="I542" s="8">
        <f>VLOOKUP(F542,[1]characters!$A:$I,9,FALSE)</f>
        <v>4</v>
      </c>
      <c r="J542" s="8" t="str">
        <f>VLOOKUP(F542,[1]characters!$A:$H,8,FALSE)</f>
        <v>yellow</v>
      </c>
      <c r="K542" s="8" t="str">
        <f>VLOOKUP(F542,[1]characters!$A:$K,11,FALSE)</f>
        <v>hp</v>
      </c>
      <c r="L542" s="8" t="str">
        <f>VLOOKUP(F542,[1]characters!$A:$M,13,FALSE)</f>
        <v>human</v>
      </c>
      <c r="M542" s="16">
        <f>VLOOKUP(D542,gacha_188_base!A:B,2,FALSE)</f>
        <v>14883</v>
      </c>
      <c r="N542" s="38">
        <f>IFERROR(VLOOKUP($F542,bug_conf_sheet!$A:$H,3,FALSE),VLOOKUP("other",bug_conf_sheet!$A:$H,3,FALSE))</f>
        <v>1</v>
      </c>
      <c r="O542" s="38">
        <f>IFERROR(VLOOKUP($F542,bug_conf_sheet!$A:$H,4,FALSE),VLOOKUP("other",bug_conf_sheet!$A:$H,4,FALSE))</f>
        <v>0</v>
      </c>
      <c r="P542" s="38">
        <f>IFERROR(VLOOKUP($F542,bug_conf_sheet!$A:$H,5,FALSE),VLOOKUP("other",bug_conf_sheet!$A:$H,5,FALSE))</f>
        <v>0</v>
      </c>
      <c r="Q542" s="38">
        <f>IFERROR(VLOOKUP($F542,bug_conf_sheet!$A:$H,6,FALSE),VLOOKUP("other",bug_conf_sheet!$A:$H,6,FALSE))</f>
        <v>0</v>
      </c>
      <c r="R542" s="38">
        <f>IFERROR(VLOOKUP($F542,bug_conf_sheet!$A:$H,7,FALSE),VLOOKUP("other",bug_conf_sheet!$A:$H,7,FALSE))</f>
        <v>0</v>
      </c>
      <c r="S542" s="38">
        <f>IFERROR(VLOOKUP($F542,bug_conf_sheet!$A:$H,8,FALSE),VLOOKUP("other",bug_conf_sheet!$A:$H,8,FALSE))</f>
        <v>1</v>
      </c>
    </row>
    <row r="543" spans="1:19" ht="21" customHeight="1">
      <c r="A543" s="7" t="str">
        <f t="shared" si="52"/>
        <v>1884483</v>
      </c>
      <c r="B543" s="2" t="str">
        <f t="shared" si="51"/>
        <v>1884</v>
      </c>
      <c r="C543" s="8" t="str">
        <f t="shared" si="53"/>
        <v>4PremiumS5</v>
      </c>
      <c r="D543" s="8" t="str">
        <f t="shared" si="54"/>
        <v>4PremiumS5</v>
      </c>
      <c r="E543" s="10">
        <v>4</v>
      </c>
      <c r="F543" s="6">
        <v>483</v>
      </c>
      <c r="G543" s="8" t="str">
        <f>VLOOKUP(F543,[1]characters!$A:$C,3,FALSE)</f>
        <v xml:space="preserve">命経死遂 沢庵宗彭 </v>
      </c>
      <c r="H543" s="8" t="str">
        <f>VLOOKUP(F543,[1]characters!$A:$J,10,FALSE)</f>
        <v>PremiumS</v>
      </c>
      <c r="I543" s="8">
        <f>VLOOKUP(F543,[1]characters!$A:$I,9,FALSE)</f>
        <v>5</v>
      </c>
      <c r="J543" s="8" t="str">
        <f>VLOOKUP(F543,[1]characters!$A:$H,8,FALSE)</f>
        <v>yellow</v>
      </c>
      <c r="K543" s="8" t="str">
        <f>VLOOKUP(F543,[1]characters!$A:$K,11,FALSE)</f>
        <v>hp</v>
      </c>
      <c r="L543" s="8" t="str">
        <f>VLOOKUP(F543,[1]characters!$A:$M,13,FALSE)</f>
        <v>human</v>
      </c>
      <c r="M543" s="16">
        <f>VLOOKUP(D543,gacha_188_base!A:B,2,FALSE)</f>
        <v>950</v>
      </c>
      <c r="N543" s="38">
        <f>IFERROR(VLOOKUP($F543,bug_conf_sheet!$A:$H,3,FALSE),VLOOKUP("other",bug_conf_sheet!$A:$H,3,FALSE))</f>
        <v>1</v>
      </c>
      <c r="O543" s="38">
        <f>IFERROR(VLOOKUP($F543,bug_conf_sheet!$A:$H,4,FALSE),VLOOKUP("other",bug_conf_sheet!$A:$H,4,FALSE))</f>
        <v>0</v>
      </c>
      <c r="P543" s="38">
        <f>IFERROR(VLOOKUP($F543,bug_conf_sheet!$A:$H,5,FALSE),VLOOKUP("other",bug_conf_sheet!$A:$H,5,FALSE))</f>
        <v>0</v>
      </c>
      <c r="Q543" s="38">
        <f>IFERROR(VLOOKUP($F543,bug_conf_sheet!$A:$H,6,FALSE),VLOOKUP("other",bug_conf_sheet!$A:$H,6,FALSE))</f>
        <v>0</v>
      </c>
      <c r="R543" s="38">
        <f>IFERROR(VLOOKUP($F543,bug_conf_sheet!$A:$H,7,FALSE),VLOOKUP("other",bug_conf_sheet!$A:$H,7,FALSE))</f>
        <v>0</v>
      </c>
      <c r="S543" s="38">
        <f>IFERROR(VLOOKUP($F543,bug_conf_sheet!$A:$H,8,FALSE),VLOOKUP("other",bug_conf_sheet!$A:$H,8,FALSE))</f>
        <v>1</v>
      </c>
    </row>
    <row r="544" spans="1:19" ht="21" hidden="1" customHeight="1">
      <c r="A544" s="7" t="str">
        <f t="shared" si="52"/>
        <v>1884492</v>
      </c>
      <c r="B544" s="2" t="str">
        <f t="shared" si="51"/>
        <v>1884</v>
      </c>
      <c r="C544" s="8" t="str">
        <f t="shared" si="53"/>
        <v>4PremiumSS4</v>
      </c>
      <c r="D544" s="8" t="str">
        <f t="shared" si="54"/>
        <v>4PremiumSS4</v>
      </c>
      <c r="E544" s="10">
        <v>4</v>
      </c>
      <c r="F544" s="6">
        <v>492</v>
      </c>
      <c r="G544" s="8" t="str">
        <f>VLOOKUP(F544,[1]characters!$A:$C,3,FALSE)</f>
        <v>ブートレグ・ペロー</v>
      </c>
      <c r="H544" s="8" t="str">
        <f>VLOOKUP(F544,[1]characters!$A:$J,10,FALSE)</f>
        <v>PremiumSS</v>
      </c>
      <c r="I544" s="8">
        <f>VLOOKUP(F544,[1]characters!$A:$I,9,FALSE)</f>
        <v>4</v>
      </c>
      <c r="J544" s="8" t="str">
        <f>VLOOKUP(F544,[1]characters!$A:$H,8,FALSE)</f>
        <v>red</v>
      </c>
      <c r="K544" s="8" t="str">
        <f>VLOOKUP(F544,[1]characters!$A:$K,11,FALSE)</f>
        <v>hp</v>
      </c>
      <c r="L544" s="8" t="str">
        <f>VLOOKUP(F544,[1]characters!$A:$M,13,FALSE)</f>
        <v>animal</v>
      </c>
      <c r="M544" s="16">
        <f>VLOOKUP(D544,gacha_188_base!A:B,2,FALSE)</f>
        <v>1709</v>
      </c>
      <c r="N544" s="38">
        <f>IFERROR(VLOOKUP($F544,bug_conf_sheet!$A:$H,3,FALSE),VLOOKUP("other",bug_conf_sheet!$A:$H,3,FALSE))</f>
        <v>1</v>
      </c>
      <c r="O544" s="38">
        <f>IFERROR(VLOOKUP($F544,bug_conf_sheet!$A:$H,4,FALSE),VLOOKUP("other",bug_conf_sheet!$A:$H,4,FALSE))</f>
        <v>0</v>
      </c>
      <c r="P544" s="38">
        <f>IFERROR(VLOOKUP($F544,bug_conf_sheet!$A:$H,5,FALSE),VLOOKUP("other",bug_conf_sheet!$A:$H,5,FALSE))</f>
        <v>0</v>
      </c>
      <c r="Q544" s="38">
        <f>IFERROR(VLOOKUP($F544,bug_conf_sheet!$A:$H,6,FALSE),VLOOKUP("other",bug_conf_sheet!$A:$H,6,FALSE))</f>
        <v>0</v>
      </c>
      <c r="R544" s="38">
        <f>IFERROR(VLOOKUP($F544,bug_conf_sheet!$A:$H,7,FALSE),VLOOKUP("other",bug_conf_sheet!$A:$H,7,FALSE))</f>
        <v>0</v>
      </c>
      <c r="S544" s="38">
        <f>IFERROR(VLOOKUP($F544,bug_conf_sheet!$A:$H,8,FALSE),VLOOKUP("other",bug_conf_sheet!$A:$H,8,FALSE))</f>
        <v>1</v>
      </c>
    </row>
    <row r="545" spans="1:19" ht="21" customHeight="1">
      <c r="A545" s="7" t="str">
        <f t="shared" si="52"/>
        <v>1884493</v>
      </c>
      <c r="B545" s="2" t="str">
        <f t="shared" si="51"/>
        <v>1884</v>
      </c>
      <c r="C545" s="8" t="str">
        <f t="shared" si="53"/>
        <v>4PremiumSS5</v>
      </c>
      <c r="D545" s="8" t="str">
        <f t="shared" si="54"/>
        <v>4PremiumSS5</v>
      </c>
      <c r="E545" s="10">
        <v>4</v>
      </c>
      <c r="F545" s="6">
        <v>493</v>
      </c>
      <c r="G545" s="8" t="str">
        <f>VLOOKUP(F545,[1]characters!$A:$C,3,FALSE)</f>
        <v>跋扈の機脚 ブートレグ・ペロー</v>
      </c>
      <c r="H545" s="8" t="str">
        <f>VLOOKUP(F545,[1]characters!$A:$J,10,FALSE)</f>
        <v>PremiumSS</v>
      </c>
      <c r="I545" s="8">
        <f>VLOOKUP(F545,[1]characters!$A:$I,9,FALSE)</f>
        <v>5</v>
      </c>
      <c r="J545" s="8" t="str">
        <f>VLOOKUP(F545,[1]characters!$A:$H,8,FALSE)</f>
        <v>red</v>
      </c>
      <c r="K545" s="8" t="str">
        <f>VLOOKUP(F545,[1]characters!$A:$K,11,FALSE)</f>
        <v>hp</v>
      </c>
      <c r="L545" s="8" t="str">
        <f>VLOOKUP(F545,[1]characters!$A:$M,13,FALSE)</f>
        <v>animal</v>
      </c>
      <c r="M545" s="16">
        <f>VLOOKUP(D545,gacha_188_base!A:B,2,FALSE)</f>
        <v>109</v>
      </c>
      <c r="N545" s="38">
        <f>IFERROR(VLOOKUP($F545,bug_conf_sheet!$A:$H,3,FALSE),VLOOKUP("other",bug_conf_sheet!$A:$H,3,FALSE))</f>
        <v>1</v>
      </c>
      <c r="O545" s="38">
        <f>IFERROR(VLOOKUP($F545,bug_conf_sheet!$A:$H,4,FALSE),VLOOKUP("other",bug_conf_sheet!$A:$H,4,FALSE))</f>
        <v>0</v>
      </c>
      <c r="P545" s="38">
        <f>IFERROR(VLOOKUP($F545,bug_conf_sheet!$A:$H,5,FALSE),VLOOKUP("other",bug_conf_sheet!$A:$H,5,FALSE))</f>
        <v>0</v>
      </c>
      <c r="Q545" s="38">
        <f>IFERROR(VLOOKUP($F545,bug_conf_sheet!$A:$H,6,FALSE),VLOOKUP("other",bug_conf_sheet!$A:$H,6,FALSE))</f>
        <v>0</v>
      </c>
      <c r="R545" s="38">
        <f>IFERROR(VLOOKUP($F545,bug_conf_sheet!$A:$H,7,FALSE),VLOOKUP("other",bug_conf_sheet!$A:$H,7,FALSE))</f>
        <v>0</v>
      </c>
      <c r="S545" s="38">
        <f>IFERROR(VLOOKUP($F545,bug_conf_sheet!$A:$H,8,FALSE),VLOOKUP("other",bug_conf_sheet!$A:$H,8,FALSE))</f>
        <v>1</v>
      </c>
    </row>
    <row r="546" spans="1:19" ht="21" hidden="1" customHeight="1">
      <c r="A546" s="7" t="str">
        <f t="shared" si="52"/>
        <v>1884494</v>
      </c>
      <c r="B546" s="2" t="str">
        <f t="shared" si="51"/>
        <v>1884</v>
      </c>
      <c r="C546" s="8" t="str">
        <f t="shared" si="53"/>
        <v>4PremiumSS4</v>
      </c>
      <c r="D546" s="8" t="str">
        <f t="shared" si="54"/>
        <v>4PremiumSS4</v>
      </c>
      <c r="E546" s="10">
        <v>4</v>
      </c>
      <c r="F546" s="6">
        <v>494</v>
      </c>
      <c r="G546" s="8" t="str">
        <f>VLOOKUP(F546,[1]characters!$A:$C,3,FALSE)</f>
        <v>ハーメルン</v>
      </c>
      <c r="H546" s="8" t="str">
        <f>VLOOKUP(F546,[1]characters!$A:$J,10,FALSE)</f>
        <v>PremiumSS</v>
      </c>
      <c r="I546" s="8">
        <f>VLOOKUP(F546,[1]characters!$A:$I,9,FALSE)</f>
        <v>4</v>
      </c>
      <c r="J546" s="8" t="str">
        <f>VLOOKUP(F546,[1]characters!$A:$H,8,FALSE)</f>
        <v>green</v>
      </c>
      <c r="K546" s="8" t="str">
        <f>VLOOKUP(F546,[1]characters!$A:$K,11,FALSE)</f>
        <v>technical</v>
      </c>
      <c r="L546" s="8" t="str">
        <f>VLOOKUP(F546,[1]characters!$A:$M,13,FALSE)</f>
        <v>human</v>
      </c>
      <c r="M546" s="16">
        <f>VLOOKUP(D546,gacha_188_base!A:B,2,FALSE)</f>
        <v>1709</v>
      </c>
      <c r="N546" s="38">
        <f>IFERROR(VLOOKUP($F546,bug_conf_sheet!$A:$H,3,FALSE),VLOOKUP("other",bug_conf_sheet!$A:$H,3,FALSE))</f>
        <v>1</v>
      </c>
      <c r="O546" s="38">
        <f>IFERROR(VLOOKUP($F546,bug_conf_sheet!$A:$H,4,FALSE),VLOOKUP("other",bug_conf_sheet!$A:$H,4,FALSE))</f>
        <v>0</v>
      </c>
      <c r="P546" s="38">
        <f>IFERROR(VLOOKUP($F546,bug_conf_sheet!$A:$H,5,FALSE),VLOOKUP("other",bug_conf_sheet!$A:$H,5,FALSE))</f>
        <v>0</v>
      </c>
      <c r="Q546" s="38">
        <f>IFERROR(VLOOKUP($F546,bug_conf_sheet!$A:$H,6,FALSE),VLOOKUP("other",bug_conf_sheet!$A:$H,6,FALSE))</f>
        <v>0</v>
      </c>
      <c r="R546" s="38">
        <f>IFERROR(VLOOKUP($F546,bug_conf_sheet!$A:$H,7,FALSE),VLOOKUP("other",bug_conf_sheet!$A:$H,7,FALSE))</f>
        <v>0</v>
      </c>
      <c r="S546" s="38">
        <f>IFERROR(VLOOKUP($F546,bug_conf_sheet!$A:$H,8,FALSE),VLOOKUP("other",bug_conf_sheet!$A:$H,8,FALSE))</f>
        <v>1</v>
      </c>
    </row>
    <row r="547" spans="1:19" ht="21" customHeight="1">
      <c r="A547" s="7" t="str">
        <f t="shared" si="52"/>
        <v>1884495</v>
      </c>
      <c r="B547" s="2" t="str">
        <f t="shared" si="51"/>
        <v>1884</v>
      </c>
      <c r="C547" s="8" t="str">
        <f t="shared" si="53"/>
        <v>4PremiumSS5</v>
      </c>
      <c r="D547" s="8" t="str">
        <f t="shared" si="54"/>
        <v>4PremiumSS5</v>
      </c>
      <c r="E547" s="10">
        <v>4</v>
      </c>
      <c r="F547" s="6">
        <v>495</v>
      </c>
      <c r="G547" s="8" t="str">
        <f>VLOOKUP(F547,[1]characters!$A:$C,3,FALSE)</f>
        <v>鼠災呼ぶ笛音 ハーメルン</v>
      </c>
      <c r="H547" s="8" t="str">
        <f>VLOOKUP(F547,[1]characters!$A:$J,10,FALSE)</f>
        <v>PremiumSS</v>
      </c>
      <c r="I547" s="8">
        <f>VLOOKUP(F547,[1]characters!$A:$I,9,FALSE)</f>
        <v>5</v>
      </c>
      <c r="J547" s="8" t="str">
        <f>VLOOKUP(F547,[1]characters!$A:$H,8,FALSE)</f>
        <v>green</v>
      </c>
      <c r="K547" s="8" t="str">
        <f>VLOOKUP(F547,[1]characters!$A:$K,11,FALSE)</f>
        <v>technical</v>
      </c>
      <c r="L547" s="8" t="str">
        <f>VLOOKUP(F547,[1]characters!$A:$M,13,FALSE)</f>
        <v>human</v>
      </c>
      <c r="M547" s="16">
        <f>VLOOKUP(D547,gacha_188_base!A:B,2,FALSE)</f>
        <v>109</v>
      </c>
      <c r="N547" s="38">
        <f>IFERROR(VLOOKUP($F547,bug_conf_sheet!$A:$H,3,FALSE),VLOOKUP("other",bug_conf_sheet!$A:$H,3,FALSE))</f>
        <v>1</v>
      </c>
      <c r="O547" s="38">
        <f>IFERROR(VLOOKUP($F547,bug_conf_sheet!$A:$H,4,FALSE),VLOOKUP("other",bug_conf_sheet!$A:$H,4,FALSE))</f>
        <v>0</v>
      </c>
      <c r="P547" s="38">
        <f>IFERROR(VLOOKUP($F547,bug_conf_sheet!$A:$H,5,FALSE),VLOOKUP("other",bug_conf_sheet!$A:$H,5,FALSE))</f>
        <v>0</v>
      </c>
      <c r="Q547" s="38">
        <f>IFERROR(VLOOKUP($F547,bug_conf_sheet!$A:$H,6,FALSE),VLOOKUP("other",bug_conf_sheet!$A:$H,6,FALSE))</f>
        <v>0</v>
      </c>
      <c r="R547" s="38">
        <f>IFERROR(VLOOKUP($F547,bug_conf_sheet!$A:$H,7,FALSE),VLOOKUP("other",bug_conf_sheet!$A:$H,7,FALSE))</f>
        <v>0</v>
      </c>
      <c r="S547" s="38">
        <f>IFERROR(VLOOKUP($F547,bug_conf_sheet!$A:$H,8,FALSE),VLOOKUP("other",bug_conf_sheet!$A:$H,8,FALSE))</f>
        <v>1</v>
      </c>
    </row>
    <row r="548" spans="1:19" ht="21" hidden="1" customHeight="1">
      <c r="A548" s="7" t="str">
        <f t="shared" si="52"/>
        <v>1884497</v>
      </c>
      <c r="B548" s="2" t="str">
        <f t="shared" si="51"/>
        <v>1884</v>
      </c>
      <c r="C548" s="8" t="str">
        <f t="shared" si="53"/>
        <v>4PremiumS4</v>
      </c>
      <c r="D548" s="8" t="str">
        <f t="shared" si="54"/>
        <v>4PremiumS4</v>
      </c>
      <c r="E548" s="10">
        <v>4</v>
      </c>
      <c r="F548" s="6">
        <v>497</v>
      </c>
      <c r="G548" s="8" t="str">
        <f>VLOOKUP(F548,[1]characters!$A:$C,3,FALSE)</f>
        <v>偏愛の野獣 エスタブ</v>
      </c>
      <c r="H548" s="8" t="str">
        <f>VLOOKUP(F548,[1]characters!$A:$J,10,FALSE)</f>
        <v>PremiumS</v>
      </c>
      <c r="I548" s="8">
        <f>VLOOKUP(F548,[1]characters!$A:$I,9,FALSE)</f>
        <v>4</v>
      </c>
      <c r="J548" s="8" t="str">
        <f>VLOOKUP(F548,[1]characters!$A:$H,8,FALSE)</f>
        <v>blue</v>
      </c>
      <c r="K548" s="8" t="str">
        <f>VLOOKUP(F548,[1]characters!$A:$K,11,FALSE)</f>
        <v>attack</v>
      </c>
      <c r="L548" s="8" t="str">
        <f>VLOOKUP(F548,[1]characters!$A:$M,13,FALSE)</f>
        <v>human</v>
      </c>
      <c r="M548" s="16">
        <f>VLOOKUP(D548,gacha_188_base!A:B,2,FALSE)</f>
        <v>14883</v>
      </c>
      <c r="N548" s="38">
        <f>IFERROR(VLOOKUP($F548,bug_conf_sheet!$A:$H,3,FALSE),VLOOKUP("other",bug_conf_sheet!$A:$H,3,FALSE))</f>
        <v>1</v>
      </c>
      <c r="O548" s="38">
        <f>IFERROR(VLOOKUP($F548,bug_conf_sheet!$A:$H,4,FALSE),VLOOKUP("other",bug_conf_sheet!$A:$H,4,FALSE))</f>
        <v>0</v>
      </c>
      <c r="P548" s="38">
        <f>IFERROR(VLOOKUP($F548,bug_conf_sheet!$A:$H,5,FALSE),VLOOKUP("other",bug_conf_sheet!$A:$H,5,FALSE))</f>
        <v>0</v>
      </c>
      <c r="Q548" s="38">
        <f>IFERROR(VLOOKUP($F548,bug_conf_sheet!$A:$H,6,FALSE),VLOOKUP("other",bug_conf_sheet!$A:$H,6,FALSE))</f>
        <v>0</v>
      </c>
      <c r="R548" s="38">
        <f>IFERROR(VLOOKUP($F548,bug_conf_sheet!$A:$H,7,FALSE),VLOOKUP("other",bug_conf_sheet!$A:$H,7,FALSE))</f>
        <v>0</v>
      </c>
      <c r="S548" s="38">
        <f>IFERROR(VLOOKUP($F548,bug_conf_sheet!$A:$H,8,FALSE),VLOOKUP("other",bug_conf_sheet!$A:$H,8,FALSE))</f>
        <v>1</v>
      </c>
    </row>
    <row r="549" spans="1:19" ht="21" customHeight="1">
      <c r="A549" s="7" t="str">
        <f t="shared" si="52"/>
        <v>1884498</v>
      </c>
      <c r="B549" s="2" t="str">
        <f t="shared" si="51"/>
        <v>1884</v>
      </c>
      <c r="C549" s="8" t="str">
        <f t="shared" si="53"/>
        <v>4PremiumS5</v>
      </c>
      <c r="D549" s="8" t="str">
        <f t="shared" si="54"/>
        <v>4PremiumS5</v>
      </c>
      <c r="E549" s="10">
        <v>4</v>
      </c>
      <c r="F549" s="6">
        <v>498</v>
      </c>
      <c r="G549" s="8" t="str">
        <f>VLOOKUP(F549,[1]characters!$A:$C,3,FALSE)</f>
        <v>自愛の高魔 エスタブ</v>
      </c>
      <c r="H549" s="8" t="str">
        <f>VLOOKUP(F549,[1]characters!$A:$J,10,FALSE)</f>
        <v>PremiumS</v>
      </c>
      <c r="I549" s="8">
        <f>VLOOKUP(F549,[1]characters!$A:$I,9,FALSE)</f>
        <v>5</v>
      </c>
      <c r="J549" s="8" t="str">
        <f>VLOOKUP(F549,[1]characters!$A:$H,8,FALSE)</f>
        <v>blue</v>
      </c>
      <c r="K549" s="8" t="str">
        <f>VLOOKUP(F549,[1]characters!$A:$K,11,FALSE)</f>
        <v>attack</v>
      </c>
      <c r="L549" s="8" t="str">
        <f>VLOOKUP(F549,[1]characters!$A:$M,13,FALSE)</f>
        <v>human</v>
      </c>
      <c r="M549" s="16">
        <f>VLOOKUP(D549,gacha_188_base!A:B,2,FALSE)</f>
        <v>950</v>
      </c>
      <c r="N549" s="38">
        <f>IFERROR(VLOOKUP($F549,bug_conf_sheet!$A:$H,3,FALSE),VLOOKUP("other",bug_conf_sheet!$A:$H,3,FALSE))</f>
        <v>1</v>
      </c>
      <c r="O549" s="38">
        <f>IFERROR(VLOOKUP($F549,bug_conf_sheet!$A:$H,4,FALSE),VLOOKUP("other",bug_conf_sheet!$A:$H,4,FALSE))</f>
        <v>0</v>
      </c>
      <c r="P549" s="38">
        <f>IFERROR(VLOOKUP($F549,bug_conf_sheet!$A:$H,5,FALSE),VLOOKUP("other",bug_conf_sheet!$A:$H,5,FALSE))</f>
        <v>0</v>
      </c>
      <c r="Q549" s="38">
        <f>IFERROR(VLOOKUP($F549,bug_conf_sheet!$A:$H,6,FALSE),VLOOKUP("other",bug_conf_sheet!$A:$H,6,FALSE))</f>
        <v>0</v>
      </c>
      <c r="R549" s="38">
        <f>IFERROR(VLOOKUP($F549,bug_conf_sheet!$A:$H,7,FALSE),VLOOKUP("other",bug_conf_sheet!$A:$H,7,FALSE))</f>
        <v>0</v>
      </c>
      <c r="S549" s="38">
        <f>IFERROR(VLOOKUP($F549,bug_conf_sheet!$A:$H,8,FALSE),VLOOKUP("other",bug_conf_sheet!$A:$H,8,FALSE))</f>
        <v>1</v>
      </c>
    </row>
    <row r="550" spans="1:19" ht="21" hidden="1" customHeight="1">
      <c r="A550" s="7" t="str">
        <f t="shared" si="52"/>
        <v>1884499</v>
      </c>
      <c r="B550" s="2" t="str">
        <f t="shared" si="51"/>
        <v>1884</v>
      </c>
      <c r="C550" s="8" t="str">
        <f t="shared" si="53"/>
        <v>4PremiumSS4</v>
      </c>
      <c r="D550" s="8" t="str">
        <f t="shared" si="54"/>
        <v>4PremiumSS4</v>
      </c>
      <c r="E550" s="10">
        <v>4</v>
      </c>
      <c r="F550" s="6">
        <v>499</v>
      </c>
      <c r="G550" s="8" t="str">
        <f>VLOOKUP(F550,[1]characters!$A:$C,3,FALSE)</f>
        <v>ラプンツェル</v>
      </c>
      <c r="H550" s="8" t="str">
        <f>VLOOKUP(F550,[1]characters!$A:$J,10,FALSE)</f>
        <v>PremiumSS</v>
      </c>
      <c r="I550" s="8">
        <f>VLOOKUP(F550,[1]characters!$A:$I,9,FALSE)</f>
        <v>4</v>
      </c>
      <c r="J550" s="8" t="str">
        <f>VLOOKUP(F550,[1]characters!$A:$H,8,FALSE)</f>
        <v>yellow</v>
      </c>
      <c r="K550" s="8" t="str">
        <f>VLOOKUP(F550,[1]characters!$A:$K,11,FALSE)</f>
        <v>balance</v>
      </c>
      <c r="L550" s="8" t="str">
        <f>VLOOKUP(F550,[1]characters!$A:$M,13,FALSE)</f>
        <v>human</v>
      </c>
      <c r="M550" s="16">
        <f>VLOOKUP(D550,gacha_188_base!A:B,2,FALSE)</f>
        <v>1709</v>
      </c>
      <c r="N550" s="38">
        <f>IFERROR(VLOOKUP($F550,bug_conf_sheet!$A:$H,3,FALSE),VLOOKUP("other",bug_conf_sheet!$A:$H,3,FALSE))</f>
        <v>1</v>
      </c>
      <c r="O550" s="38">
        <f>IFERROR(VLOOKUP($F550,bug_conf_sheet!$A:$H,4,FALSE),VLOOKUP("other",bug_conf_sheet!$A:$H,4,FALSE))</f>
        <v>0</v>
      </c>
      <c r="P550" s="38">
        <f>IFERROR(VLOOKUP($F550,bug_conf_sheet!$A:$H,5,FALSE),VLOOKUP("other",bug_conf_sheet!$A:$H,5,FALSE))</f>
        <v>0</v>
      </c>
      <c r="Q550" s="38">
        <f>IFERROR(VLOOKUP($F550,bug_conf_sheet!$A:$H,6,FALSE),VLOOKUP("other",bug_conf_sheet!$A:$H,6,FALSE))</f>
        <v>0</v>
      </c>
      <c r="R550" s="38">
        <f>IFERROR(VLOOKUP($F550,bug_conf_sheet!$A:$H,7,FALSE),VLOOKUP("other",bug_conf_sheet!$A:$H,7,FALSE))</f>
        <v>0</v>
      </c>
      <c r="S550" s="38">
        <f>IFERROR(VLOOKUP($F550,bug_conf_sheet!$A:$H,8,FALSE),VLOOKUP("other",bug_conf_sheet!$A:$H,8,FALSE))</f>
        <v>1</v>
      </c>
    </row>
    <row r="551" spans="1:19" ht="21" customHeight="1">
      <c r="A551" s="7" t="str">
        <f t="shared" si="52"/>
        <v>1884500</v>
      </c>
      <c r="B551" s="2" t="str">
        <f t="shared" si="51"/>
        <v>1884</v>
      </c>
      <c r="C551" s="8" t="str">
        <f t="shared" si="53"/>
        <v>4PremiumSS5</v>
      </c>
      <c r="D551" s="8" t="str">
        <f t="shared" si="54"/>
        <v>4PremiumSS5</v>
      </c>
      <c r="E551" s="10">
        <v>4</v>
      </c>
      <c r="F551" s="6">
        <v>500</v>
      </c>
      <c r="G551" s="8" t="str">
        <f>VLOOKUP(F551,[1]characters!$A:$C,3,FALSE)</f>
        <v>脈動の禁髪 ラプンツェル</v>
      </c>
      <c r="H551" s="8" t="str">
        <f>VLOOKUP(F551,[1]characters!$A:$J,10,FALSE)</f>
        <v>PremiumSS</v>
      </c>
      <c r="I551" s="8">
        <f>VLOOKUP(F551,[1]characters!$A:$I,9,FALSE)</f>
        <v>5</v>
      </c>
      <c r="J551" s="8" t="str">
        <f>VLOOKUP(F551,[1]characters!$A:$H,8,FALSE)</f>
        <v>yellow</v>
      </c>
      <c r="K551" s="8" t="str">
        <f>VLOOKUP(F551,[1]characters!$A:$K,11,FALSE)</f>
        <v>balance</v>
      </c>
      <c r="L551" s="8" t="str">
        <f>VLOOKUP(F551,[1]characters!$A:$M,13,FALSE)</f>
        <v>human</v>
      </c>
      <c r="M551" s="16">
        <f>VLOOKUP(D551,gacha_188_base!A:B,2,FALSE)</f>
        <v>109</v>
      </c>
      <c r="N551" s="38">
        <f>IFERROR(VLOOKUP($F551,bug_conf_sheet!$A:$H,3,FALSE),VLOOKUP("other",bug_conf_sheet!$A:$H,3,FALSE))</f>
        <v>1</v>
      </c>
      <c r="O551" s="38">
        <f>IFERROR(VLOOKUP($F551,bug_conf_sheet!$A:$H,4,FALSE),VLOOKUP("other",bug_conf_sheet!$A:$H,4,FALSE))</f>
        <v>0</v>
      </c>
      <c r="P551" s="38">
        <f>IFERROR(VLOOKUP($F551,bug_conf_sheet!$A:$H,5,FALSE),VLOOKUP("other",bug_conf_sheet!$A:$H,5,FALSE))</f>
        <v>0</v>
      </c>
      <c r="Q551" s="38">
        <f>IFERROR(VLOOKUP($F551,bug_conf_sheet!$A:$H,6,FALSE),VLOOKUP("other",bug_conf_sheet!$A:$H,6,FALSE))</f>
        <v>0</v>
      </c>
      <c r="R551" s="38">
        <f>IFERROR(VLOOKUP($F551,bug_conf_sheet!$A:$H,7,FALSE),VLOOKUP("other",bug_conf_sheet!$A:$H,7,FALSE))</f>
        <v>0</v>
      </c>
      <c r="S551" s="38">
        <f>IFERROR(VLOOKUP($F551,bug_conf_sheet!$A:$H,8,FALSE),VLOOKUP("other",bug_conf_sheet!$A:$H,8,FALSE))</f>
        <v>1</v>
      </c>
    </row>
    <row r="552" spans="1:19" ht="21" hidden="1" customHeight="1">
      <c r="A552" s="7" t="str">
        <f t="shared" si="52"/>
        <v>1884586</v>
      </c>
      <c r="B552" s="2" t="str">
        <f t="shared" si="51"/>
        <v>1884</v>
      </c>
      <c r="C552" s="8" t="str">
        <f t="shared" si="53"/>
        <v>4PremiumSS4</v>
      </c>
      <c r="D552" s="8" t="str">
        <f t="shared" si="54"/>
        <v>4PremiumSS4</v>
      </c>
      <c r="E552" s="10">
        <v>4</v>
      </c>
      <c r="F552" s="6">
        <v>586</v>
      </c>
      <c r="G552" s="8" t="str">
        <f>VLOOKUP(F552,[1]characters!$A:$C,3,FALSE)</f>
        <v>ユミル</v>
      </c>
      <c r="H552" s="8" t="str">
        <f>VLOOKUP(F552,[1]characters!$A:$J,10,FALSE)</f>
        <v>PremiumSS</v>
      </c>
      <c r="I552" s="8">
        <f>VLOOKUP(F552,[1]characters!$A:$I,9,FALSE)</f>
        <v>4</v>
      </c>
      <c r="J552" s="8" t="str">
        <f>VLOOKUP(F552,[1]characters!$A:$H,8,FALSE)</f>
        <v>red</v>
      </c>
      <c r="K552" s="8" t="str">
        <f>VLOOKUP(F552,[1]characters!$A:$K,11,FALSE)</f>
        <v>hp</v>
      </c>
      <c r="L552" s="8" t="str">
        <f>VLOOKUP(F552,[1]characters!$A:$M,13,FALSE)</f>
        <v>machine</v>
      </c>
      <c r="M552" s="16">
        <f>VLOOKUP(D552,gacha_188_base!A:B,2,FALSE)</f>
        <v>1709</v>
      </c>
      <c r="N552" s="38">
        <f>IFERROR(VLOOKUP($F552,bug_conf_sheet!$A:$H,3,FALSE),VLOOKUP("other",bug_conf_sheet!$A:$H,3,FALSE))</f>
        <v>1</v>
      </c>
      <c r="O552" s="38">
        <f>IFERROR(VLOOKUP($F552,bug_conf_sheet!$A:$H,4,FALSE),VLOOKUP("other",bug_conf_sheet!$A:$H,4,FALSE))</f>
        <v>0</v>
      </c>
      <c r="P552" s="38">
        <f>IFERROR(VLOOKUP($F552,bug_conf_sheet!$A:$H,5,FALSE),VLOOKUP("other",bug_conf_sheet!$A:$H,5,FALSE))</f>
        <v>0</v>
      </c>
      <c r="Q552" s="38">
        <f>IFERROR(VLOOKUP($F552,bug_conf_sheet!$A:$H,6,FALSE),VLOOKUP("other",bug_conf_sheet!$A:$H,6,FALSE))</f>
        <v>0</v>
      </c>
      <c r="R552" s="38">
        <f>IFERROR(VLOOKUP($F552,bug_conf_sheet!$A:$H,7,FALSE),VLOOKUP("other",bug_conf_sheet!$A:$H,7,FALSE))</f>
        <v>0</v>
      </c>
      <c r="S552" s="38">
        <f>IFERROR(VLOOKUP($F552,bug_conf_sheet!$A:$H,8,FALSE),VLOOKUP("other",bug_conf_sheet!$A:$H,8,FALSE))</f>
        <v>1</v>
      </c>
    </row>
    <row r="553" spans="1:19" ht="21" customHeight="1">
      <c r="A553" s="7" t="str">
        <f t="shared" si="52"/>
        <v>1884587</v>
      </c>
      <c r="B553" s="2" t="str">
        <f t="shared" si="51"/>
        <v>1884</v>
      </c>
      <c r="C553" s="8" t="str">
        <f t="shared" si="53"/>
        <v>4PremiumSS5</v>
      </c>
      <c r="D553" s="8" t="str">
        <f t="shared" si="54"/>
        <v>4PremiumSS5</v>
      </c>
      <c r="E553" s="10">
        <v>4</v>
      </c>
      <c r="F553" s="6">
        <v>587</v>
      </c>
      <c r="G553" s="8" t="str">
        <f>VLOOKUP(F553,[1]characters!$A:$C,3,FALSE)</f>
        <v>原初の煉鋼巨刃 ユミル</v>
      </c>
      <c r="H553" s="8" t="str">
        <f>VLOOKUP(F553,[1]characters!$A:$J,10,FALSE)</f>
        <v>PremiumSS</v>
      </c>
      <c r="I553" s="8">
        <f>VLOOKUP(F553,[1]characters!$A:$I,9,FALSE)</f>
        <v>5</v>
      </c>
      <c r="J553" s="8" t="str">
        <f>VLOOKUP(F553,[1]characters!$A:$H,8,FALSE)</f>
        <v>red</v>
      </c>
      <c r="K553" s="8" t="str">
        <f>VLOOKUP(F553,[1]characters!$A:$K,11,FALSE)</f>
        <v>hp</v>
      </c>
      <c r="L553" s="8" t="str">
        <f>VLOOKUP(F553,[1]characters!$A:$M,13,FALSE)</f>
        <v>machine</v>
      </c>
      <c r="M553" s="16">
        <f>VLOOKUP(D553,gacha_188_base!A:B,2,FALSE)</f>
        <v>109</v>
      </c>
      <c r="N553" s="38">
        <f>IFERROR(VLOOKUP($F553,bug_conf_sheet!$A:$H,3,FALSE),VLOOKUP("other",bug_conf_sheet!$A:$H,3,FALSE))</f>
        <v>1</v>
      </c>
      <c r="O553" s="38">
        <f>IFERROR(VLOOKUP($F553,bug_conf_sheet!$A:$H,4,FALSE),VLOOKUP("other",bug_conf_sheet!$A:$H,4,FALSE))</f>
        <v>0</v>
      </c>
      <c r="P553" s="38">
        <f>IFERROR(VLOOKUP($F553,bug_conf_sheet!$A:$H,5,FALSE),VLOOKUP("other",bug_conf_sheet!$A:$H,5,FALSE))</f>
        <v>0</v>
      </c>
      <c r="Q553" s="38">
        <f>IFERROR(VLOOKUP($F553,bug_conf_sheet!$A:$H,6,FALSE),VLOOKUP("other",bug_conf_sheet!$A:$H,6,FALSE))</f>
        <v>0</v>
      </c>
      <c r="R553" s="38">
        <f>IFERROR(VLOOKUP($F553,bug_conf_sheet!$A:$H,7,FALSE),VLOOKUP("other",bug_conf_sheet!$A:$H,7,FALSE))</f>
        <v>0</v>
      </c>
      <c r="S553" s="38">
        <f>IFERROR(VLOOKUP($F553,bug_conf_sheet!$A:$H,8,FALSE),VLOOKUP("other",bug_conf_sheet!$A:$H,8,FALSE))</f>
        <v>1</v>
      </c>
    </row>
    <row r="554" spans="1:19" ht="21" hidden="1" customHeight="1">
      <c r="A554" s="7" t="str">
        <f t="shared" si="52"/>
        <v>1884589</v>
      </c>
      <c r="B554" s="2" t="str">
        <f t="shared" si="51"/>
        <v>1884</v>
      </c>
      <c r="C554" s="8" t="str">
        <f t="shared" si="53"/>
        <v>4PremiumS4</v>
      </c>
      <c r="D554" s="8" t="str">
        <f t="shared" si="54"/>
        <v>4PremiumS4</v>
      </c>
      <c r="E554" s="10">
        <v>4</v>
      </c>
      <c r="F554" s="6">
        <v>589</v>
      </c>
      <c r="G554" s="8" t="str">
        <f>VLOOKUP(F554,[1]characters!$A:$C,3,FALSE)</f>
        <v>不幸の円環 ニーベルゲン</v>
      </c>
      <c r="H554" s="8" t="str">
        <f>VLOOKUP(F554,[1]characters!$A:$J,10,FALSE)</f>
        <v>PremiumS</v>
      </c>
      <c r="I554" s="8">
        <f>VLOOKUP(F554,[1]characters!$A:$I,9,FALSE)</f>
        <v>4</v>
      </c>
      <c r="J554" s="8" t="str">
        <f>VLOOKUP(F554,[1]characters!$A:$H,8,FALSE)</f>
        <v>green</v>
      </c>
      <c r="K554" s="8" t="str">
        <f>VLOOKUP(F554,[1]characters!$A:$K,11,FALSE)</f>
        <v>balance</v>
      </c>
      <c r="L554" s="8" t="str">
        <f>VLOOKUP(F554,[1]characters!$A:$M,13,FALSE)</f>
        <v>unknown</v>
      </c>
      <c r="M554" s="16">
        <f>VLOOKUP(D554,gacha_188_base!A:B,2,FALSE)</f>
        <v>14883</v>
      </c>
      <c r="N554" s="38">
        <f>IFERROR(VLOOKUP($F554,bug_conf_sheet!$A:$H,3,FALSE),VLOOKUP("other",bug_conf_sheet!$A:$H,3,FALSE))</f>
        <v>1</v>
      </c>
      <c r="O554" s="38">
        <f>IFERROR(VLOOKUP($F554,bug_conf_sheet!$A:$H,4,FALSE),VLOOKUP("other",bug_conf_sheet!$A:$H,4,FALSE))</f>
        <v>0</v>
      </c>
      <c r="P554" s="38">
        <f>IFERROR(VLOOKUP($F554,bug_conf_sheet!$A:$H,5,FALSE),VLOOKUP("other",bug_conf_sheet!$A:$H,5,FALSE))</f>
        <v>0</v>
      </c>
      <c r="Q554" s="38">
        <f>IFERROR(VLOOKUP($F554,bug_conf_sheet!$A:$H,6,FALSE),VLOOKUP("other",bug_conf_sheet!$A:$H,6,FALSE))</f>
        <v>0</v>
      </c>
      <c r="R554" s="38">
        <f>IFERROR(VLOOKUP($F554,bug_conf_sheet!$A:$H,7,FALSE),VLOOKUP("other",bug_conf_sheet!$A:$H,7,FALSE))</f>
        <v>0</v>
      </c>
      <c r="S554" s="38">
        <f>IFERROR(VLOOKUP($F554,bug_conf_sheet!$A:$H,8,FALSE),VLOOKUP("other",bug_conf_sheet!$A:$H,8,FALSE))</f>
        <v>1</v>
      </c>
    </row>
    <row r="555" spans="1:19" ht="21" customHeight="1">
      <c r="A555" s="7" t="str">
        <f t="shared" si="52"/>
        <v>1884590</v>
      </c>
      <c r="B555" s="2" t="str">
        <f t="shared" si="51"/>
        <v>1884</v>
      </c>
      <c r="C555" s="8" t="str">
        <f t="shared" si="53"/>
        <v>4PremiumS5</v>
      </c>
      <c r="D555" s="8" t="str">
        <f t="shared" si="54"/>
        <v>4PremiumS5</v>
      </c>
      <c r="E555" s="10">
        <v>4</v>
      </c>
      <c r="F555" s="6">
        <v>590</v>
      </c>
      <c r="G555" s="8" t="str">
        <f>VLOOKUP(F555,[1]characters!$A:$C,3,FALSE)</f>
        <v>永遠を廻る呪い ニーベルゲン</v>
      </c>
      <c r="H555" s="8" t="str">
        <f>VLOOKUP(F555,[1]characters!$A:$J,10,FALSE)</f>
        <v>PremiumS</v>
      </c>
      <c r="I555" s="8">
        <f>VLOOKUP(F555,[1]characters!$A:$I,9,FALSE)</f>
        <v>5</v>
      </c>
      <c r="J555" s="8" t="str">
        <f>VLOOKUP(F555,[1]characters!$A:$H,8,FALSE)</f>
        <v>green</v>
      </c>
      <c r="K555" s="8" t="str">
        <f>VLOOKUP(F555,[1]characters!$A:$K,11,FALSE)</f>
        <v>balance</v>
      </c>
      <c r="L555" s="8" t="str">
        <f>VLOOKUP(F555,[1]characters!$A:$M,13,FALSE)</f>
        <v>unknown</v>
      </c>
      <c r="M555" s="16">
        <f>VLOOKUP(D555,gacha_188_base!A:B,2,FALSE)</f>
        <v>950</v>
      </c>
      <c r="N555" s="38">
        <f>IFERROR(VLOOKUP($F555,bug_conf_sheet!$A:$H,3,FALSE),VLOOKUP("other",bug_conf_sheet!$A:$H,3,FALSE))</f>
        <v>1</v>
      </c>
      <c r="O555" s="38">
        <f>IFERROR(VLOOKUP($F555,bug_conf_sheet!$A:$H,4,FALSE),VLOOKUP("other",bug_conf_sheet!$A:$H,4,FALSE))</f>
        <v>0</v>
      </c>
      <c r="P555" s="38">
        <f>IFERROR(VLOOKUP($F555,bug_conf_sheet!$A:$H,5,FALSE),VLOOKUP("other",bug_conf_sheet!$A:$H,5,FALSE))</f>
        <v>0</v>
      </c>
      <c r="Q555" s="38">
        <f>IFERROR(VLOOKUP($F555,bug_conf_sheet!$A:$H,6,FALSE),VLOOKUP("other",bug_conf_sheet!$A:$H,6,FALSE))</f>
        <v>0</v>
      </c>
      <c r="R555" s="38">
        <f>IFERROR(VLOOKUP($F555,bug_conf_sheet!$A:$H,7,FALSE),VLOOKUP("other",bug_conf_sheet!$A:$H,7,FALSE))</f>
        <v>0</v>
      </c>
      <c r="S555" s="38">
        <f>IFERROR(VLOOKUP($F555,bug_conf_sheet!$A:$H,8,FALSE),VLOOKUP("other",bug_conf_sheet!$A:$H,8,FALSE))</f>
        <v>1</v>
      </c>
    </row>
    <row r="556" spans="1:19" ht="21" hidden="1" customHeight="1">
      <c r="A556" s="7" t="str">
        <f t="shared" si="52"/>
        <v>1884592</v>
      </c>
      <c r="B556" s="2" t="str">
        <f t="shared" si="51"/>
        <v>1884</v>
      </c>
      <c r="C556" s="8" t="str">
        <f t="shared" si="53"/>
        <v>4PremiumS4</v>
      </c>
      <c r="D556" s="8" t="str">
        <f t="shared" si="54"/>
        <v>4PremiumS4</v>
      </c>
      <c r="E556" s="10">
        <v>4</v>
      </c>
      <c r="F556" s="6">
        <v>592</v>
      </c>
      <c r="G556" s="8" t="str">
        <f>VLOOKUP(F556,[1]characters!$A:$C,3,FALSE)</f>
        <v>財宝への執着 ファフニール</v>
      </c>
      <c r="H556" s="8" t="str">
        <f>VLOOKUP(F556,[1]characters!$A:$J,10,FALSE)</f>
        <v>PremiumS</v>
      </c>
      <c r="I556" s="8">
        <f>VLOOKUP(F556,[1]characters!$A:$I,9,FALSE)</f>
        <v>4</v>
      </c>
      <c r="J556" s="8" t="str">
        <f>VLOOKUP(F556,[1]characters!$A:$H,8,FALSE)</f>
        <v>blue</v>
      </c>
      <c r="K556" s="8" t="str">
        <f>VLOOKUP(F556,[1]characters!$A:$K,11,FALSE)</f>
        <v>technical</v>
      </c>
      <c r="L556" s="8" t="str">
        <f>VLOOKUP(F556,[1]characters!$A:$M,13,FALSE)</f>
        <v>dragon</v>
      </c>
      <c r="M556" s="16">
        <f>VLOOKUP(D556,gacha_188_base!A:B,2,FALSE)</f>
        <v>14883</v>
      </c>
      <c r="N556" s="38">
        <f>IFERROR(VLOOKUP($F556,bug_conf_sheet!$A:$H,3,FALSE),VLOOKUP("other",bug_conf_sheet!$A:$H,3,FALSE))</f>
        <v>1</v>
      </c>
      <c r="O556" s="38">
        <f>IFERROR(VLOOKUP($F556,bug_conf_sheet!$A:$H,4,FALSE),VLOOKUP("other",bug_conf_sheet!$A:$H,4,FALSE))</f>
        <v>0</v>
      </c>
      <c r="P556" s="38">
        <f>IFERROR(VLOOKUP($F556,bug_conf_sheet!$A:$H,5,FALSE),VLOOKUP("other",bug_conf_sheet!$A:$H,5,FALSE))</f>
        <v>0</v>
      </c>
      <c r="Q556" s="38">
        <f>IFERROR(VLOOKUP($F556,bug_conf_sheet!$A:$H,6,FALSE),VLOOKUP("other",bug_conf_sheet!$A:$H,6,FALSE))</f>
        <v>0</v>
      </c>
      <c r="R556" s="38">
        <f>IFERROR(VLOOKUP($F556,bug_conf_sheet!$A:$H,7,FALSE),VLOOKUP("other",bug_conf_sheet!$A:$H,7,FALSE))</f>
        <v>0</v>
      </c>
      <c r="S556" s="38">
        <f>IFERROR(VLOOKUP($F556,bug_conf_sheet!$A:$H,8,FALSE),VLOOKUP("other",bug_conf_sheet!$A:$H,8,FALSE))</f>
        <v>1</v>
      </c>
    </row>
    <row r="557" spans="1:19" ht="21" customHeight="1">
      <c r="A557" s="7" t="str">
        <f t="shared" si="52"/>
        <v>1884593</v>
      </c>
      <c r="B557" s="2" t="str">
        <f t="shared" si="51"/>
        <v>1884</v>
      </c>
      <c r="C557" s="8" t="str">
        <f t="shared" si="53"/>
        <v>4PremiumS5</v>
      </c>
      <c r="D557" s="8" t="str">
        <f t="shared" si="54"/>
        <v>4PremiumS5</v>
      </c>
      <c r="E557" s="10">
        <v>4</v>
      </c>
      <c r="F557" s="6">
        <v>593</v>
      </c>
      <c r="G557" s="8" t="str">
        <f>VLOOKUP(F557,[1]characters!$A:$C,3,FALSE)</f>
        <v>妄執する邪毒龍 ファフニール</v>
      </c>
      <c r="H557" s="8" t="str">
        <f>VLOOKUP(F557,[1]characters!$A:$J,10,FALSE)</f>
        <v>PremiumS</v>
      </c>
      <c r="I557" s="8">
        <f>VLOOKUP(F557,[1]characters!$A:$I,9,FALSE)</f>
        <v>5</v>
      </c>
      <c r="J557" s="8" t="str">
        <f>VLOOKUP(F557,[1]characters!$A:$H,8,FALSE)</f>
        <v>blue</v>
      </c>
      <c r="K557" s="8" t="str">
        <f>VLOOKUP(F557,[1]characters!$A:$K,11,FALSE)</f>
        <v>technical</v>
      </c>
      <c r="L557" s="8" t="str">
        <f>VLOOKUP(F557,[1]characters!$A:$M,13,FALSE)</f>
        <v>dragon</v>
      </c>
      <c r="M557" s="16">
        <f>VLOOKUP(D557,gacha_188_base!A:B,2,FALSE)</f>
        <v>950</v>
      </c>
      <c r="N557" s="38">
        <f>IFERROR(VLOOKUP($F557,bug_conf_sheet!$A:$H,3,FALSE),VLOOKUP("other",bug_conf_sheet!$A:$H,3,FALSE))</f>
        <v>1</v>
      </c>
      <c r="O557" s="38">
        <f>IFERROR(VLOOKUP($F557,bug_conf_sheet!$A:$H,4,FALSE),VLOOKUP("other",bug_conf_sheet!$A:$H,4,FALSE))</f>
        <v>0</v>
      </c>
      <c r="P557" s="38">
        <f>IFERROR(VLOOKUP($F557,bug_conf_sheet!$A:$H,5,FALSE),VLOOKUP("other",bug_conf_sheet!$A:$H,5,FALSE))</f>
        <v>0</v>
      </c>
      <c r="Q557" s="38">
        <f>IFERROR(VLOOKUP($F557,bug_conf_sheet!$A:$H,6,FALSE),VLOOKUP("other",bug_conf_sheet!$A:$H,6,FALSE))</f>
        <v>0</v>
      </c>
      <c r="R557" s="38">
        <f>IFERROR(VLOOKUP($F557,bug_conf_sheet!$A:$H,7,FALSE),VLOOKUP("other",bug_conf_sheet!$A:$H,7,FALSE))</f>
        <v>0</v>
      </c>
      <c r="S557" s="38">
        <f>IFERROR(VLOOKUP($F557,bug_conf_sheet!$A:$H,8,FALSE),VLOOKUP("other",bug_conf_sheet!$A:$H,8,FALSE))</f>
        <v>1</v>
      </c>
    </row>
    <row r="558" spans="1:19" ht="21" hidden="1" customHeight="1">
      <c r="A558" s="7" t="str">
        <f t="shared" si="52"/>
        <v>1884594</v>
      </c>
      <c r="B558" s="2" t="str">
        <f t="shared" si="51"/>
        <v>1884</v>
      </c>
      <c r="C558" s="8" t="str">
        <f t="shared" si="53"/>
        <v>4PremiumSS4</v>
      </c>
      <c r="D558" s="8" t="str">
        <f t="shared" si="54"/>
        <v>4PremiumSS4</v>
      </c>
      <c r="E558" s="10">
        <v>4</v>
      </c>
      <c r="F558" s="6">
        <v>594</v>
      </c>
      <c r="G558" s="8" t="str">
        <f>VLOOKUP(F558,[1]characters!$A:$C,3,FALSE)</f>
        <v>アルフヘイム</v>
      </c>
      <c r="H558" s="8" t="str">
        <f>VLOOKUP(F558,[1]characters!$A:$J,10,FALSE)</f>
        <v>PremiumSS</v>
      </c>
      <c r="I558" s="8">
        <f>VLOOKUP(F558,[1]characters!$A:$I,9,FALSE)</f>
        <v>4</v>
      </c>
      <c r="J558" s="8" t="str">
        <f>VLOOKUP(F558,[1]characters!$A:$H,8,FALSE)</f>
        <v>yellow</v>
      </c>
      <c r="K558" s="8" t="str">
        <f>VLOOKUP(F558,[1]characters!$A:$K,11,FALSE)</f>
        <v>attack</v>
      </c>
      <c r="L558" s="8" t="str">
        <f>VLOOKUP(F558,[1]characters!$A:$M,13,FALSE)</f>
        <v>dragon</v>
      </c>
      <c r="M558" s="16">
        <f>VLOOKUP(D558,gacha_188_base!A:B,2,FALSE)</f>
        <v>1709</v>
      </c>
      <c r="N558" s="38">
        <f>IFERROR(VLOOKUP($F558,bug_conf_sheet!$A:$H,3,FALSE),VLOOKUP("other",bug_conf_sheet!$A:$H,3,FALSE))</f>
        <v>1</v>
      </c>
      <c r="O558" s="38">
        <f>IFERROR(VLOOKUP($F558,bug_conf_sheet!$A:$H,4,FALSE),VLOOKUP("other",bug_conf_sheet!$A:$H,4,FALSE))</f>
        <v>0</v>
      </c>
      <c r="P558" s="38">
        <f>IFERROR(VLOOKUP($F558,bug_conf_sheet!$A:$H,5,FALSE),VLOOKUP("other",bug_conf_sheet!$A:$H,5,FALSE))</f>
        <v>0</v>
      </c>
      <c r="Q558" s="38">
        <f>IFERROR(VLOOKUP($F558,bug_conf_sheet!$A:$H,6,FALSE),VLOOKUP("other",bug_conf_sheet!$A:$H,6,FALSE))</f>
        <v>0</v>
      </c>
      <c r="R558" s="38">
        <f>IFERROR(VLOOKUP($F558,bug_conf_sheet!$A:$H,7,FALSE),VLOOKUP("other",bug_conf_sheet!$A:$H,7,FALSE))</f>
        <v>0</v>
      </c>
      <c r="S558" s="38">
        <f>IFERROR(VLOOKUP($F558,bug_conf_sheet!$A:$H,8,FALSE),VLOOKUP("other",bug_conf_sheet!$A:$H,8,FALSE))</f>
        <v>1</v>
      </c>
    </row>
    <row r="559" spans="1:19" ht="21" customHeight="1">
      <c r="A559" s="7" t="str">
        <f t="shared" si="52"/>
        <v>1884595</v>
      </c>
      <c r="B559" s="2" t="str">
        <f t="shared" si="51"/>
        <v>1884</v>
      </c>
      <c r="C559" s="8" t="str">
        <f t="shared" si="53"/>
        <v>4PremiumSS5</v>
      </c>
      <c r="D559" s="8" t="str">
        <f t="shared" si="54"/>
        <v>4PremiumSS5</v>
      </c>
      <c r="E559" s="10">
        <v>4</v>
      </c>
      <c r="F559" s="6">
        <v>595</v>
      </c>
      <c r="G559" s="8" t="str">
        <f>VLOOKUP(F559,[1]characters!$A:$C,3,FALSE)</f>
        <v>光華なる神域 アルフヘイム</v>
      </c>
      <c r="H559" s="8" t="str">
        <f>VLOOKUP(F559,[1]characters!$A:$J,10,FALSE)</f>
        <v>PremiumSS</v>
      </c>
      <c r="I559" s="8">
        <f>VLOOKUP(F559,[1]characters!$A:$I,9,FALSE)</f>
        <v>5</v>
      </c>
      <c r="J559" s="8" t="str">
        <f>VLOOKUP(F559,[1]characters!$A:$H,8,FALSE)</f>
        <v>yellow</v>
      </c>
      <c r="K559" s="8" t="str">
        <f>VLOOKUP(F559,[1]characters!$A:$K,11,FALSE)</f>
        <v>attack</v>
      </c>
      <c r="L559" s="8" t="str">
        <f>VLOOKUP(F559,[1]characters!$A:$M,13,FALSE)</f>
        <v>dragon</v>
      </c>
      <c r="M559" s="16">
        <f>VLOOKUP(D559,gacha_188_base!A:B,2,FALSE)</f>
        <v>109</v>
      </c>
      <c r="N559" s="38">
        <f>IFERROR(VLOOKUP($F559,bug_conf_sheet!$A:$H,3,FALSE),VLOOKUP("other",bug_conf_sheet!$A:$H,3,FALSE))</f>
        <v>1</v>
      </c>
      <c r="O559" s="38">
        <f>IFERROR(VLOOKUP($F559,bug_conf_sheet!$A:$H,4,FALSE),VLOOKUP("other",bug_conf_sheet!$A:$H,4,FALSE))</f>
        <v>0</v>
      </c>
      <c r="P559" s="38">
        <f>IFERROR(VLOOKUP($F559,bug_conf_sheet!$A:$H,5,FALSE),VLOOKUP("other",bug_conf_sheet!$A:$H,5,FALSE))</f>
        <v>0</v>
      </c>
      <c r="Q559" s="38">
        <f>IFERROR(VLOOKUP($F559,bug_conf_sheet!$A:$H,6,FALSE),VLOOKUP("other",bug_conf_sheet!$A:$H,6,FALSE))</f>
        <v>0</v>
      </c>
      <c r="R559" s="38">
        <f>IFERROR(VLOOKUP($F559,bug_conf_sheet!$A:$H,7,FALSE),VLOOKUP("other",bug_conf_sheet!$A:$H,7,FALSE))</f>
        <v>0</v>
      </c>
      <c r="S559" s="38">
        <f>IFERROR(VLOOKUP($F559,bug_conf_sheet!$A:$H,8,FALSE),VLOOKUP("other",bug_conf_sheet!$A:$H,8,FALSE))</f>
        <v>1</v>
      </c>
    </row>
    <row r="560" spans="1:19" ht="21" hidden="1" customHeight="1">
      <c r="A560" s="7" t="str">
        <f t="shared" si="52"/>
        <v>1884597</v>
      </c>
      <c r="B560" s="2" t="str">
        <f t="shared" si="51"/>
        <v>1884</v>
      </c>
      <c r="C560" s="8" t="str">
        <f t="shared" si="53"/>
        <v>4PremiumS4</v>
      </c>
      <c r="D560" s="8" t="str">
        <f t="shared" si="54"/>
        <v>4PremiumS4</v>
      </c>
      <c r="E560" s="10">
        <v>4</v>
      </c>
      <c r="F560" s="6">
        <v>597</v>
      </c>
      <c r="G560" s="8" t="str">
        <f>VLOOKUP(F560,[1]characters!$A:$C,3,FALSE)</f>
        <v>灼熱の魂 ムスペルヘイム</v>
      </c>
      <c r="H560" s="8" t="str">
        <f>VLOOKUP(F560,[1]characters!$A:$J,10,FALSE)</f>
        <v>PremiumS</v>
      </c>
      <c r="I560" s="8">
        <f>VLOOKUP(F560,[1]characters!$A:$I,9,FALSE)</f>
        <v>4</v>
      </c>
      <c r="J560" s="8" t="str">
        <f>VLOOKUP(F560,[1]characters!$A:$H,8,FALSE)</f>
        <v>red</v>
      </c>
      <c r="K560" s="8" t="str">
        <f>VLOOKUP(F560,[1]characters!$A:$K,11,FALSE)</f>
        <v>balance</v>
      </c>
      <c r="L560" s="8" t="str">
        <f>VLOOKUP(F560,[1]characters!$A:$M,13,FALSE)</f>
        <v>human</v>
      </c>
      <c r="M560" s="16">
        <f>VLOOKUP(D560,gacha_188_base!A:B,2,FALSE)</f>
        <v>14883</v>
      </c>
      <c r="N560" s="38">
        <f>IFERROR(VLOOKUP($F560,bug_conf_sheet!$A:$H,3,FALSE),VLOOKUP("other",bug_conf_sheet!$A:$H,3,FALSE))</f>
        <v>1</v>
      </c>
      <c r="O560" s="38">
        <f>IFERROR(VLOOKUP($F560,bug_conf_sheet!$A:$H,4,FALSE),VLOOKUP("other",bug_conf_sheet!$A:$H,4,FALSE))</f>
        <v>0</v>
      </c>
      <c r="P560" s="38">
        <f>IFERROR(VLOOKUP($F560,bug_conf_sheet!$A:$H,5,FALSE),VLOOKUP("other",bug_conf_sheet!$A:$H,5,FALSE))</f>
        <v>0</v>
      </c>
      <c r="Q560" s="38">
        <f>IFERROR(VLOOKUP($F560,bug_conf_sheet!$A:$H,6,FALSE),VLOOKUP("other",bug_conf_sheet!$A:$H,6,FALSE))</f>
        <v>0</v>
      </c>
      <c r="R560" s="38">
        <f>IFERROR(VLOOKUP($F560,bug_conf_sheet!$A:$H,7,FALSE),VLOOKUP("other",bug_conf_sheet!$A:$H,7,FALSE))</f>
        <v>0</v>
      </c>
      <c r="S560" s="38">
        <f>IFERROR(VLOOKUP($F560,bug_conf_sheet!$A:$H,8,FALSE),VLOOKUP("other",bug_conf_sheet!$A:$H,8,FALSE))</f>
        <v>1</v>
      </c>
    </row>
    <row r="561" spans="1:19" ht="21" customHeight="1">
      <c r="A561" s="7" t="str">
        <f t="shared" si="52"/>
        <v>1884598</v>
      </c>
      <c r="B561" s="2" t="str">
        <f t="shared" si="51"/>
        <v>1884</v>
      </c>
      <c r="C561" s="8" t="str">
        <f t="shared" si="53"/>
        <v>4PremiumS5</v>
      </c>
      <c r="D561" s="8" t="str">
        <f t="shared" si="54"/>
        <v>4PremiumS5</v>
      </c>
      <c r="E561" s="10">
        <v>4</v>
      </c>
      <c r="F561" s="6">
        <v>598</v>
      </c>
      <c r="G561" s="8" t="str">
        <f>VLOOKUP(F561,[1]characters!$A:$C,3,FALSE)</f>
        <v>焼燃の情熱 ムスペルヘイム</v>
      </c>
      <c r="H561" s="8" t="str">
        <f>VLOOKUP(F561,[1]characters!$A:$J,10,FALSE)</f>
        <v>PremiumS</v>
      </c>
      <c r="I561" s="8">
        <f>VLOOKUP(F561,[1]characters!$A:$I,9,FALSE)</f>
        <v>5</v>
      </c>
      <c r="J561" s="8" t="str">
        <f>VLOOKUP(F561,[1]characters!$A:$H,8,FALSE)</f>
        <v>red</v>
      </c>
      <c r="K561" s="8" t="str">
        <f>VLOOKUP(F561,[1]characters!$A:$K,11,FALSE)</f>
        <v>balance</v>
      </c>
      <c r="L561" s="8" t="str">
        <f>VLOOKUP(F561,[1]characters!$A:$M,13,FALSE)</f>
        <v>human</v>
      </c>
      <c r="M561" s="16">
        <f>VLOOKUP(D561,gacha_188_base!A:B,2,FALSE)</f>
        <v>950</v>
      </c>
      <c r="N561" s="38">
        <f>IFERROR(VLOOKUP($F561,bug_conf_sheet!$A:$H,3,FALSE),VLOOKUP("other",bug_conf_sheet!$A:$H,3,FALSE))</f>
        <v>1</v>
      </c>
      <c r="O561" s="38">
        <f>IFERROR(VLOOKUP($F561,bug_conf_sheet!$A:$H,4,FALSE),VLOOKUP("other",bug_conf_sheet!$A:$H,4,FALSE))</f>
        <v>0</v>
      </c>
      <c r="P561" s="38">
        <f>IFERROR(VLOOKUP($F561,bug_conf_sheet!$A:$H,5,FALSE),VLOOKUP("other",bug_conf_sheet!$A:$H,5,FALSE))</f>
        <v>0</v>
      </c>
      <c r="Q561" s="38">
        <f>IFERROR(VLOOKUP($F561,bug_conf_sheet!$A:$H,6,FALSE),VLOOKUP("other",bug_conf_sheet!$A:$H,6,FALSE))</f>
        <v>0</v>
      </c>
      <c r="R561" s="38">
        <f>IFERROR(VLOOKUP($F561,bug_conf_sheet!$A:$H,7,FALSE),VLOOKUP("other",bug_conf_sheet!$A:$H,7,FALSE))</f>
        <v>0</v>
      </c>
      <c r="S561" s="38">
        <f>IFERROR(VLOOKUP($F561,bug_conf_sheet!$A:$H,8,FALSE),VLOOKUP("other",bug_conf_sheet!$A:$H,8,FALSE))</f>
        <v>1</v>
      </c>
    </row>
    <row r="562" spans="1:19" ht="21" hidden="1" customHeight="1">
      <c r="A562" s="7" t="str">
        <f t="shared" si="52"/>
        <v>1884600</v>
      </c>
      <c r="B562" s="2" t="str">
        <f t="shared" si="51"/>
        <v>1884</v>
      </c>
      <c r="C562" s="8" t="str">
        <f t="shared" si="53"/>
        <v>4PremiumS4</v>
      </c>
      <c r="D562" s="8" t="str">
        <f t="shared" si="54"/>
        <v>4PremiumS4</v>
      </c>
      <c r="E562" s="10">
        <v>4</v>
      </c>
      <c r="F562" s="6">
        <v>600</v>
      </c>
      <c r="G562" s="8" t="str">
        <f>VLOOKUP(F562,[1]characters!$A:$C,3,FALSE)</f>
        <v>界下に潜む蛇 ニーズヘッグ</v>
      </c>
      <c r="H562" s="8" t="str">
        <f>VLOOKUP(F562,[1]characters!$A:$J,10,FALSE)</f>
        <v>PremiumS</v>
      </c>
      <c r="I562" s="8">
        <f>VLOOKUP(F562,[1]characters!$A:$I,9,FALSE)</f>
        <v>4</v>
      </c>
      <c r="J562" s="8" t="str">
        <f>VLOOKUP(F562,[1]characters!$A:$H,8,FALSE)</f>
        <v>green</v>
      </c>
      <c r="K562" s="8" t="str">
        <f>VLOOKUP(F562,[1]characters!$A:$K,11,FALSE)</f>
        <v>attack</v>
      </c>
      <c r="L562" s="8" t="str">
        <f>VLOOKUP(F562,[1]characters!$A:$M,13,FALSE)</f>
        <v>dragon</v>
      </c>
      <c r="M562" s="16">
        <f>VLOOKUP(D562,gacha_188_base!A:B,2,FALSE)</f>
        <v>14883</v>
      </c>
      <c r="N562" s="38">
        <f>IFERROR(VLOOKUP($F562,bug_conf_sheet!$A:$H,3,FALSE),VLOOKUP("other",bug_conf_sheet!$A:$H,3,FALSE))</f>
        <v>1</v>
      </c>
      <c r="O562" s="38">
        <f>IFERROR(VLOOKUP($F562,bug_conf_sheet!$A:$H,4,FALSE),VLOOKUP("other",bug_conf_sheet!$A:$H,4,FALSE))</f>
        <v>0</v>
      </c>
      <c r="P562" s="38">
        <f>IFERROR(VLOOKUP($F562,bug_conf_sheet!$A:$H,5,FALSE),VLOOKUP("other",bug_conf_sheet!$A:$H,5,FALSE))</f>
        <v>0</v>
      </c>
      <c r="Q562" s="38">
        <f>IFERROR(VLOOKUP($F562,bug_conf_sheet!$A:$H,6,FALSE),VLOOKUP("other",bug_conf_sheet!$A:$H,6,FALSE))</f>
        <v>0</v>
      </c>
      <c r="R562" s="38">
        <f>IFERROR(VLOOKUP($F562,bug_conf_sheet!$A:$H,7,FALSE),VLOOKUP("other",bug_conf_sheet!$A:$H,7,FALSE))</f>
        <v>0</v>
      </c>
      <c r="S562" s="38">
        <f>IFERROR(VLOOKUP($F562,bug_conf_sheet!$A:$H,8,FALSE),VLOOKUP("other",bug_conf_sheet!$A:$H,8,FALSE))</f>
        <v>1</v>
      </c>
    </row>
    <row r="563" spans="1:19" ht="21" customHeight="1">
      <c r="A563" s="7" t="str">
        <f t="shared" si="52"/>
        <v>1884601</v>
      </c>
      <c r="B563" s="2" t="str">
        <f t="shared" si="51"/>
        <v>1884</v>
      </c>
      <c r="C563" s="8" t="str">
        <f t="shared" si="53"/>
        <v>4PremiumS5</v>
      </c>
      <c r="D563" s="8" t="str">
        <f t="shared" si="54"/>
        <v>4PremiumS5</v>
      </c>
      <c r="E563" s="10">
        <v>4</v>
      </c>
      <c r="F563" s="6">
        <v>601</v>
      </c>
      <c r="G563" s="8" t="str">
        <f>VLOOKUP(F563,[1]characters!$A:$C,3,FALSE)</f>
        <v>界根蝕む悪食 ニーズヘッグ</v>
      </c>
      <c r="H563" s="8" t="str">
        <f>VLOOKUP(F563,[1]characters!$A:$J,10,FALSE)</f>
        <v>PremiumS</v>
      </c>
      <c r="I563" s="8">
        <f>VLOOKUP(F563,[1]characters!$A:$I,9,FALSE)</f>
        <v>5</v>
      </c>
      <c r="J563" s="8" t="str">
        <f>VLOOKUP(F563,[1]characters!$A:$H,8,FALSE)</f>
        <v>green</v>
      </c>
      <c r="K563" s="8" t="str">
        <f>VLOOKUP(F563,[1]characters!$A:$K,11,FALSE)</f>
        <v>attack</v>
      </c>
      <c r="L563" s="8" t="str">
        <f>VLOOKUP(F563,[1]characters!$A:$M,13,FALSE)</f>
        <v>dragon</v>
      </c>
      <c r="M563" s="16">
        <f>VLOOKUP(D563,gacha_188_base!A:B,2,FALSE)</f>
        <v>950</v>
      </c>
      <c r="N563" s="38">
        <f>IFERROR(VLOOKUP($F563,bug_conf_sheet!$A:$H,3,FALSE),VLOOKUP("other",bug_conf_sheet!$A:$H,3,FALSE))</f>
        <v>1</v>
      </c>
      <c r="O563" s="38">
        <f>IFERROR(VLOOKUP($F563,bug_conf_sheet!$A:$H,4,FALSE),VLOOKUP("other",bug_conf_sheet!$A:$H,4,FALSE))</f>
        <v>0</v>
      </c>
      <c r="P563" s="38">
        <f>IFERROR(VLOOKUP($F563,bug_conf_sheet!$A:$H,5,FALSE),VLOOKUP("other",bug_conf_sheet!$A:$H,5,FALSE))</f>
        <v>0</v>
      </c>
      <c r="Q563" s="38">
        <f>IFERROR(VLOOKUP($F563,bug_conf_sheet!$A:$H,6,FALSE),VLOOKUP("other",bug_conf_sheet!$A:$H,6,FALSE))</f>
        <v>0</v>
      </c>
      <c r="R563" s="38">
        <f>IFERROR(VLOOKUP($F563,bug_conf_sheet!$A:$H,7,FALSE),VLOOKUP("other",bug_conf_sheet!$A:$H,7,FALSE))</f>
        <v>0</v>
      </c>
      <c r="S563" s="38">
        <f>IFERROR(VLOOKUP($F563,bug_conf_sheet!$A:$H,8,FALSE),VLOOKUP("other",bug_conf_sheet!$A:$H,8,FALSE))</f>
        <v>1</v>
      </c>
    </row>
    <row r="564" spans="1:19" ht="21" hidden="1" customHeight="1">
      <c r="A564" s="7" t="str">
        <f t="shared" si="52"/>
        <v>1884602</v>
      </c>
      <c r="B564" s="2" t="str">
        <f t="shared" si="51"/>
        <v>1884</v>
      </c>
      <c r="C564" s="8" t="str">
        <f t="shared" si="53"/>
        <v>4PremiumSS4</v>
      </c>
      <c r="D564" s="8" t="str">
        <f t="shared" si="54"/>
        <v>4PremiumSS4</v>
      </c>
      <c r="E564" s="10">
        <v>4</v>
      </c>
      <c r="F564" s="6">
        <v>602</v>
      </c>
      <c r="G564" s="8" t="str">
        <f>VLOOKUP(F564,[1]characters!$A:$C,3,FALSE)</f>
        <v>フレイヤ</v>
      </c>
      <c r="H564" s="8" t="str">
        <f>VLOOKUP(F564,[1]characters!$A:$J,10,FALSE)</f>
        <v>PremiumSS</v>
      </c>
      <c r="I564" s="8">
        <f>VLOOKUP(F564,[1]characters!$A:$I,9,FALSE)</f>
        <v>4</v>
      </c>
      <c r="J564" s="8" t="str">
        <f>VLOOKUP(F564,[1]characters!$A:$H,8,FALSE)</f>
        <v>blue</v>
      </c>
      <c r="K564" s="8" t="str">
        <f>VLOOKUP(F564,[1]characters!$A:$K,11,FALSE)</f>
        <v>heal</v>
      </c>
      <c r="L564" s="8" t="str">
        <f>VLOOKUP(F564,[1]characters!$A:$M,13,FALSE)</f>
        <v>animal</v>
      </c>
      <c r="M564" s="16">
        <f>VLOOKUP(D564,gacha_188_base!A:B,2,FALSE)</f>
        <v>1709</v>
      </c>
      <c r="N564" s="38">
        <f>IFERROR(VLOOKUP($F564,bug_conf_sheet!$A:$H,3,FALSE),VLOOKUP("other",bug_conf_sheet!$A:$H,3,FALSE))</f>
        <v>1</v>
      </c>
      <c r="O564" s="38">
        <f>IFERROR(VLOOKUP($F564,bug_conf_sheet!$A:$H,4,FALSE),VLOOKUP("other",bug_conf_sheet!$A:$H,4,FALSE))</f>
        <v>0</v>
      </c>
      <c r="P564" s="38">
        <f>IFERROR(VLOOKUP($F564,bug_conf_sheet!$A:$H,5,FALSE),VLOOKUP("other",bug_conf_sheet!$A:$H,5,FALSE))</f>
        <v>0</v>
      </c>
      <c r="Q564" s="38">
        <f>IFERROR(VLOOKUP($F564,bug_conf_sheet!$A:$H,6,FALSE),VLOOKUP("other",bug_conf_sheet!$A:$H,6,FALSE))</f>
        <v>0</v>
      </c>
      <c r="R564" s="38">
        <f>IFERROR(VLOOKUP($F564,bug_conf_sheet!$A:$H,7,FALSE),VLOOKUP("other",bug_conf_sheet!$A:$H,7,FALSE))</f>
        <v>0</v>
      </c>
      <c r="S564" s="38">
        <f>IFERROR(VLOOKUP($F564,bug_conf_sheet!$A:$H,8,FALSE),VLOOKUP("other",bug_conf_sheet!$A:$H,8,FALSE))</f>
        <v>1</v>
      </c>
    </row>
    <row r="565" spans="1:19" ht="21" customHeight="1">
      <c r="A565" s="7" t="str">
        <f t="shared" si="52"/>
        <v>1884603</v>
      </c>
      <c r="B565" s="2" t="str">
        <f t="shared" si="51"/>
        <v>1884</v>
      </c>
      <c r="C565" s="8" t="str">
        <f t="shared" si="53"/>
        <v>4PremiumSS5</v>
      </c>
      <c r="D565" s="8" t="str">
        <f t="shared" si="54"/>
        <v>4PremiumSS5</v>
      </c>
      <c r="E565" s="10">
        <v>4</v>
      </c>
      <c r="F565" s="6">
        <v>603</v>
      </c>
      <c r="G565" s="8" t="str">
        <f>VLOOKUP(F565,[1]characters!$A:$C,3,FALSE)</f>
        <v>掌愛の豊穣女神 フレイヤ</v>
      </c>
      <c r="H565" s="8" t="str">
        <f>VLOOKUP(F565,[1]characters!$A:$J,10,FALSE)</f>
        <v>PremiumSS</v>
      </c>
      <c r="I565" s="8">
        <f>VLOOKUP(F565,[1]characters!$A:$I,9,FALSE)</f>
        <v>5</v>
      </c>
      <c r="J565" s="8" t="str">
        <f>VLOOKUP(F565,[1]characters!$A:$H,8,FALSE)</f>
        <v>blue</v>
      </c>
      <c r="K565" s="8" t="str">
        <f>VLOOKUP(F565,[1]characters!$A:$K,11,FALSE)</f>
        <v>heal</v>
      </c>
      <c r="L565" s="8" t="str">
        <f>VLOOKUP(F565,[1]characters!$A:$M,13,FALSE)</f>
        <v>animal</v>
      </c>
      <c r="M565" s="16">
        <f>VLOOKUP(D565,gacha_188_base!A:B,2,FALSE)</f>
        <v>109</v>
      </c>
      <c r="N565" s="38">
        <f>IFERROR(VLOOKUP($F565,bug_conf_sheet!$A:$H,3,FALSE),VLOOKUP("other",bug_conf_sheet!$A:$H,3,FALSE))</f>
        <v>1</v>
      </c>
      <c r="O565" s="38">
        <f>IFERROR(VLOOKUP($F565,bug_conf_sheet!$A:$H,4,FALSE),VLOOKUP("other",bug_conf_sheet!$A:$H,4,FALSE))</f>
        <v>0</v>
      </c>
      <c r="P565" s="38">
        <f>IFERROR(VLOOKUP($F565,bug_conf_sheet!$A:$H,5,FALSE),VLOOKUP("other",bug_conf_sheet!$A:$H,5,FALSE))</f>
        <v>0</v>
      </c>
      <c r="Q565" s="38">
        <f>IFERROR(VLOOKUP($F565,bug_conf_sheet!$A:$H,6,FALSE),VLOOKUP("other",bug_conf_sheet!$A:$H,6,FALSE))</f>
        <v>0</v>
      </c>
      <c r="R565" s="38">
        <f>IFERROR(VLOOKUP($F565,bug_conf_sheet!$A:$H,7,FALSE),VLOOKUP("other",bug_conf_sheet!$A:$H,7,FALSE))</f>
        <v>0</v>
      </c>
      <c r="S565" s="38">
        <f>IFERROR(VLOOKUP($F565,bug_conf_sheet!$A:$H,8,FALSE),VLOOKUP("other",bug_conf_sheet!$A:$H,8,FALSE))</f>
        <v>1</v>
      </c>
    </row>
    <row r="566" spans="1:19" ht="21" hidden="1" customHeight="1">
      <c r="A566" s="7" t="str">
        <f t="shared" si="52"/>
        <v>1884605</v>
      </c>
      <c r="B566" s="2" t="str">
        <f t="shared" si="51"/>
        <v>1884</v>
      </c>
      <c r="C566" s="8" t="str">
        <f t="shared" si="53"/>
        <v>4PremiumS4</v>
      </c>
      <c r="D566" s="8" t="str">
        <f t="shared" si="54"/>
        <v>4PremiumS4</v>
      </c>
      <c r="E566" s="10">
        <v>4</v>
      </c>
      <c r="F566" s="6">
        <v>605</v>
      </c>
      <c r="G566" s="8" t="str">
        <f>VLOOKUP(F566,[1]characters!$A:$C,3,FALSE)</f>
        <v>祝福される光耀 バルドル</v>
      </c>
      <c r="H566" s="8" t="str">
        <f>VLOOKUP(F566,[1]characters!$A:$J,10,FALSE)</f>
        <v>PremiumS</v>
      </c>
      <c r="I566" s="8">
        <f>VLOOKUP(F566,[1]characters!$A:$I,9,FALSE)</f>
        <v>4</v>
      </c>
      <c r="J566" s="8" t="str">
        <f>VLOOKUP(F566,[1]characters!$A:$H,8,FALSE)</f>
        <v>yellow</v>
      </c>
      <c r="K566" s="8" t="str">
        <f>VLOOKUP(F566,[1]characters!$A:$K,11,FALSE)</f>
        <v>heal</v>
      </c>
      <c r="L566" s="8" t="str">
        <f>VLOOKUP(F566,[1]characters!$A:$M,13,FALSE)</f>
        <v>god</v>
      </c>
      <c r="M566" s="16">
        <f>VLOOKUP(D566,gacha_188_base!A:B,2,FALSE)</f>
        <v>14883</v>
      </c>
      <c r="N566" s="38">
        <f>IFERROR(VLOOKUP($F566,bug_conf_sheet!$A:$H,3,FALSE),VLOOKUP("other",bug_conf_sheet!$A:$H,3,FALSE))</f>
        <v>1</v>
      </c>
      <c r="O566" s="38">
        <f>IFERROR(VLOOKUP($F566,bug_conf_sheet!$A:$H,4,FALSE),VLOOKUP("other",bug_conf_sheet!$A:$H,4,FALSE))</f>
        <v>0</v>
      </c>
      <c r="P566" s="38">
        <f>IFERROR(VLOOKUP($F566,bug_conf_sheet!$A:$H,5,FALSE),VLOOKUP("other",bug_conf_sheet!$A:$H,5,FALSE))</f>
        <v>0</v>
      </c>
      <c r="Q566" s="38">
        <f>IFERROR(VLOOKUP($F566,bug_conf_sheet!$A:$H,6,FALSE),VLOOKUP("other",bug_conf_sheet!$A:$H,6,FALSE))</f>
        <v>0</v>
      </c>
      <c r="R566" s="38">
        <f>IFERROR(VLOOKUP($F566,bug_conf_sheet!$A:$H,7,FALSE),VLOOKUP("other",bug_conf_sheet!$A:$H,7,FALSE))</f>
        <v>0</v>
      </c>
      <c r="S566" s="38">
        <f>IFERROR(VLOOKUP($F566,bug_conf_sheet!$A:$H,8,FALSE),VLOOKUP("other",bug_conf_sheet!$A:$H,8,FALSE))</f>
        <v>1</v>
      </c>
    </row>
    <row r="567" spans="1:19" ht="21" customHeight="1">
      <c r="A567" s="7" t="str">
        <f t="shared" si="52"/>
        <v>1884606</v>
      </c>
      <c r="B567" s="2" t="str">
        <f t="shared" si="51"/>
        <v>1884</v>
      </c>
      <c r="C567" s="8" t="str">
        <f t="shared" si="53"/>
        <v>4PremiumS5</v>
      </c>
      <c r="D567" s="8" t="str">
        <f t="shared" si="54"/>
        <v>4PremiumS5</v>
      </c>
      <c r="E567" s="10">
        <v>4</v>
      </c>
      <c r="F567" s="6">
        <v>606</v>
      </c>
      <c r="G567" s="8" t="str">
        <f>VLOOKUP(F567,[1]characters!$A:$C,3,FALSE)</f>
        <v>冀望の光芒 バルドル</v>
      </c>
      <c r="H567" s="8" t="str">
        <f>VLOOKUP(F567,[1]characters!$A:$J,10,FALSE)</f>
        <v>PremiumS</v>
      </c>
      <c r="I567" s="8">
        <f>VLOOKUP(F567,[1]characters!$A:$I,9,FALSE)</f>
        <v>5</v>
      </c>
      <c r="J567" s="8" t="str">
        <f>VLOOKUP(F567,[1]characters!$A:$H,8,FALSE)</f>
        <v>yellow</v>
      </c>
      <c r="K567" s="8" t="str">
        <f>VLOOKUP(F567,[1]characters!$A:$K,11,FALSE)</f>
        <v>heal</v>
      </c>
      <c r="L567" s="8" t="str">
        <f>VLOOKUP(F567,[1]characters!$A:$M,13,FALSE)</f>
        <v>god</v>
      </c>
      <c r="M567" s="16">
        <f>VLOOKUP(D567,gacha_188_base!A:B,2,FALSE)</f>
        <v>950</v>
      </c>
      <c r="N567" s="38">
        <f>IFERROR(VLOOKUP($F567,bug_conf_sheet!$A:$H,3,FALSE),VLOOKUP("other",bug_conf_sheet!$A:$H,3,FALSE))</f>
        <v>1</v>
      </c>
      <c r="O567" s="38">
        <f>IFERROR(VLOOKUP($F567,bug_conf_sheet!$A:$H,4,FALSE),VLOOKUP("other",bug_conf_sheet!$A:$H,4,FALSE))</f>
        <v>0</v>
      </c>
      <c r="P567" s="38">
        <f>IFERROR(VLOOKUP($F567,bug_conf_sheet!$A:$H,5,FALSE),VLOOKUP("other",bug_conf_sheet!$A:$H,5,FALSE))</f>
        <v>0</v>
      </c>
      <c r="Q567" s="38">
        <f>IFERROR(VLOOKUP($F567,bug_conf_sheet!$A:$H,6,FALSE),VLOOKUP("other",bug_conf_sheet!$A:$H,6,FALSE))</f>
        <v>0</v>
      </c>
      <c r="R567" s="38">
        <f>IFERROR(VLOOKUP($F567,bug_conf_sheet!$A:$H,7,FALSE),VLOOKUP("other",bug_conf_sheet!$A:$H,7,FALSE))</f>
        <v>0</v>
      </c>
      <c r="S567" s="38">
        <f>IFERROR(VLOOKUP($F567,bug_conf_sheet!$A:$H,8,FALSE),VLOOKUP("other",bug_conf_sheet!$A:$H,8,FALSE))</f>
        <v>1</v>
      </c>
    </row>
    <row r="568" spans="1:19" ht="21" hidden="1" customHeight="1">
      <c r="A568" s="7" t="str">
        <f t="shared" si="52"/>
        <v>1884619</v>
      </c>
      <c r="B568" s="2" t="str">
        <f t="shared" si="51"/>
        <v>1884</v>
      </c>
      <c r="C568" s="8" t="str">
        <f t="shared" si="53"/>
        <v>4PremiumSS4</v>
      </c>
      <c r="D568" s="8" t="str">
        <f>E568&amp;H568&amp;I568&amp;"new"</f>
        <v>4PremiumSS4new</v>
      </c>
      <c r="E568" s="10">
        <v>4</v>
      </c>
      <c r="F568" s="6">
        <v>619</v>
      </c>
      <c r="G568" s="8" t="str">
        <f>VLOOKUP(F568,[1]characters!$A:$C,3,FALSE)</f>
        <v>メビウス</v>
      </c>
      <c r="H568" s="8" t="str">
        <f>VLOOKUP(F568,[1]characters!$A:$J,10,FALSE)</f>
        <v>PremiumSS</v>
      </c>
      <c r="I568" s="8">
        <f>VLOOKUP(F568,[1]characters!$A:$I,9,FALSE)</f>
        <v>4</v>
      </c>
      <c r="J568" s="8" t="str">
        <f>VLOOKUP(F568,[1]characters!$A:$H,8,FALSE)</f>
        <v>blue</v>
      </c>
      <c r="K568" s="8" t="str">
        <f>VLOOKUP(F568,[1]characters!$A:$K,11,FALSE)</f>
        <v>balance</v>
      </c>
      <c r="L568" s="8" t="str">
        <f>VLOOKUP(F568,[1]characters!$A:$M,13,FALSE)</f>
        <v>human</v>
      </c>
      <c r="M568" s="16">
        <f>VLOOKUP(D568,gacha_188_base!A:B,2,FALSE)</f>
        <v>9400</v>
      </c>
      <c r="N568" s="38">
        <f>IFERROR(VLOOKUP($F568,bug_conf_sheet!$A:$H,3,FALSE),VLOOKUP("other",bug_conf_sheet!$A:$H,3,FALSE))</f>
        <v>1</v>
      </c>
      <c r="O568" s="38">
        <f>IFERROR(VLOOKUP($F568,bug_conf_sheet!$A:$H,4,FALSE),VLOOKUP("other",bug_conf_sheet!$A:$H,4,FALSE))</f>
        <v>0</v>
      </c>
      <c r="P568" s="38">
        <f>IFERROR(VLOOKUP($F568,bug_conf_sheet!$A:$H,5,FALSE),VLOOKUP("other",bug_conf_sheet!$A:$H,5,FALSE))</f>
        <v>0</v>
      </c>
      <c r="Q568" s="38">
        <f>IFERROR(VLOOKUP($F568,bug_conf_sheet!$A:$H,6,FALSE),VLOOKUP("other",bug_conf_sheet!$A:$H,6,FALSE))</f>
        <v>0</v>
      </c>
      <c r="R568" s="38">
        <f>IFERROR(VLOOKUP($F568,bug_conf_sheet!$A:$H,7,FALSE),VLOOKUP("other",bug_conf_sheet!$A:$H,7,FALSE))</f>
        <v>0</v>
      </c>
      <c r="S568" s="38">
        <f>IFERROR(VLOOKUP($F568,bug_conf_sheet!$A:$H,8,FALSE),VLOOKUP("other",bug_conf_sheet!$A:$H,8,FALSE))</f>
        <v>1</v>
      </c>
    </row>
    <row r="569" spans="1:19" ht="21" customHeight="1">
      <c r="A569" s="7" t="str">
        <f t="shared" si="52"/>
        <v>1884620</v>
      </c>
      <c r="B569" s="2" t="str">
        <f t="shared" si="51"/>
        <v>1884</v>
      </c>
      <c r="C569" s="8" t="str">
        <f t="shared" si="53"/>
        <v>4PremiumSS5</v>
      </c>
      <c r="D569" s="8" t="str">
        <f>E569&amp;H569&amp;I569&amp;"new"</f>
        <v>4PremiumSS5new</v>
      </c>
      <c r="E569" s="10">
        <v>4</v>
      </c>
      <c r="F569" s="6">
        <v>620</v>
      </c>
      <c r="G569" s="8" t="str">
        <f>VLOOKUP(F569,[1]characters!$A:$C,3,FALSE)</f>
        <v>奇跡の調和 メビウス</v>
      </c>
      <c r="H569" s="8" t="str">
        <f>VLOOKUP(F569,[1]characters!$A:$J,10,FALSE)</f>
        <v>PremiumSS</v>
      </c>
      <c r="I569" s="8">
        <f>VLOOKUP(F569,[1]characters!$A:$I,9,FALSE)</f>
        <v>5</v>
      </c>
      <c r="J569" s="8" t="str">
        <f>VLOOKUP(F569,[1]characters!$A:$H,8,FALSE)</f>
        <v>blue</v>
      </c>
      <c r="K569" s="8" t="str">
        <f>VLOOKUP(F569,[1]characters!$A:$K,11,FALSE)</f>
        <v>balance</v>
      </c>
      <c r="L569" s="8" t="str">
        <f>VLOOKUP(F569,[1]characters!$A:$M,13,FALSE)</f>
        <v>human</v>
      </c>
      <c r="M569" s="16">
        <f>VLOOKUP(D569,gacha_188_base!A:B,2,FALSE)</f>
        <v>600</v>
      </c>
      <c r="N569" s="38">
        <f>IFERROR(VLOOKUP($F569,bug_conf_sheet!$A:$H,3,FALSE),VLOOKUP("other",bug_conf_sheet!$A:$H,3,FALSE))</f>
        <v>1</v>
      </c>
      <c r="O569" s="38">
        <f>IFERROR(VLOOKUP($F569,bug_conf_sheet!$A:$H,4,FALSE),VLOOKUP("other",bug_conf_sheet!$A:$H,4,FALSE))</f>
        <v>0</v>
      </c>
      <c r="P569" s="38">
        <f>IFERROR(VLOOKUP($F569,bug_conf_sheet!$A:$H,5,FALSE),VLOOKUP("other",bug_conf_sheet!$A:$H,5,FALSE))</f>
        <v>0</v>
      </c>
      <c r="Q569" s="38">
        <f>IFERROR(VLOOKUP($F569,bug_conf_sheet!$A:$H,6,FALSE),VLOOKUP("other",bug_conf_sheet!$A:$H,6,FALSE))</f>
        <v>0</v>
      </c>
      <c r="R569" s="38">
        <f>IFERROR(VLOOKUP($F569,bug_conf_sheet!$A:$H,7,FALSE),VLOOKUP("other",bug_conf_sheet!$A:$H,7,FALSE))</f>
        <v>0</v>
      </c>
      <c r="S569" s="38">
        <f>IFERROR(VLOOKUP($F569,bug_conf_sheet!$A:$H,8,FALSE),VLOOKUP("other",bug_conf_sheet!$A:$H,8,FALSE))</f>
        <v>1</v>
      </c>
    </row>
    <row r="570" spans="1:19" ht="21" hidden="1" customHeight="1">
      <c r="A570" s="7" t="str">
        <f t="shared" si="52"/>
        <v>1885127</v>
      </c>
      <c r="B570" s="2" t="str">
        <f t="shared" si="51"/>
        <v>1885</v>
      </c>
      <c r="C570" s="8" t="str">
        <f t="shared" si="53"/>
        <v>5PremiumW4</v>
      </c>
      <c r="D570" s="8" t="str">
        <f t="shared" ref="D570:D633" si="55">E570&amp;H570&amp;I570</f>
        <v>5PremiumW4</v>
      </c>
      <c r="E570" s="10">
        <v>5</v>
      </c>
      <c r="F570" s="6">
        <v>127</v>
      </c>
      <c r="G570" s="8" t="str">
        <f>VLOOKUP(F570,[1]characters!$A:$C,3,FALSE)</f>
        <v>狂喜の賢者 ユノ</v>
      </c>
      <c r="H570" s="8" t="str">
        <f>VLOOKUP(F570,[1]characters!$A:$J,10,FALSE)</f>
        <v>PremiumW</v>
      </c>
      <c r="I570" s="8">
        <f>VLOOKUP(F570,[1]characters!$A:$I,9,FALSE)</f>
        <v>4</v>
      </c>
      <c r="J570" s="8" t="str">
        <f>VLOOKUP(F570,[1]characters!$A:$H,8,FALSE)</f>
        <v>red</v>
      </c>
      <c r="K570" s="8" t="str">
        <f>VLOOKUP(F570,[1]characters!$A:$K,11,FALSE)</f>
        <v>attack</v>
      </c>
      <c r="L570" s="8" t="str">
        <f>VLOOKUP(F570,[1]characters!$A:$M,13,FALSE)</f>
        <v>human</v>
      </c>
      <c r="M570" s="16">
        <f>VLOOKUP(D570,gacha_188_base!A:B,2,FALSE)</f>
        <v>7875</v>
      </c>
      <c r="N570" s="38">
        <f>IFERROR(VLOOKUP($F570,bug_conf_sheet!$A:$H,3,FALSE),VLOOKUP("other",bug_conf_sheet!$A:$H,3,FALSE))</f>
        <v>1</v>
      </c>
      <c r="O570" s="38">
        <f>IFERROR(VLOOKUP($F570,bug_conf_sheet!$A:$H,4,FALSE),VLOOKUP("other",bug_conf_sheet!$A:$H,4,FALSE))</f>
        <v>0</v>
      </c>
      <c r="P570" s="38">
        <f>IFERROR(VLOOKUP($F570,bug_conf_sheet!$A:$H,5,FALSE),VLOOKUP("other",bug_conf_sheet!$A:$H,5,FALSE))</f>
        <v>0</v>
      </c>
      <c r="Q570" s="38">
        <f>IFERROR(VLOOKUP($F570,bug_conf_sheet!$A:$H,6,FALSE),VLOOKUP("other",bug_conf_sheet!$A:$H,6,FALSE))</f>
        <v>0</v>
      </c>
      <c r="R570" s="38">
        <f>IFERROR(VLOOKUP($F570,bug_conf_sheet!$A:$H,7,FALSE),VLOOKUP("other",bug_conf_sheet!$A:$H,7,FALSE))</f>
        <v>0</v>
      </c>
      <c r="S570" s="38">
        <f>IFERROR(VLOOKUP($F570,bug_conf_sheet!$A:$H,8,FALSE),VLOOKUP("other",bug_conf_sheet!$A:$H,8,FALSE))</f>
        <v>1</v>
      </c>
    </row>
    <row r="571" spans="1:19" ht="21" hidden="1" customHeight="1">
      <c r="A571" s="7" t="str">
        <f t="shared" si="52"/>
        <v>1885129</v>
      </c>
      <c r="B571" s="2" t="str">
        <f t="shared" si="51"/>
        <v>1885</v>
      </c>
      <c r="C571" s="8" t="str">
        <f t="shared" si="53"/>
        <v>5PremiumW4</v>
      </c>
      <c r="D571" s="8" t="str">
        <f t="shared" si="55"/>
        <v>5PremiumW4</v>
      </c>
      <c r="E571" s="10">
        <v>5</v>
      </c>
      <c r="F571" s="6">
        <v>129</v>
      </c>
      <c r="G571" s="8" t="str">
        <f>VLOOKUP(F571,[1]characters!$A:$C,3,FALSE)</f>
        <v>孤高の狼憑き アマラ</v>
      </c>
      <c r="H571" s="8" t="str">
        <f>VLOOKUP(F571,[1]characters!$A:$J,10,FALSE)</f>
        <v>PremiumW</v>
      </c>
      <c r="I571" s="8">
        <f>VLOOKUP(F571,[1]characters!$A:$I,9,FALSE)</f>
        <v>4</v>
      </c>
      <c r="J571" s="8" t="str">
        <f>VLOOKUP(F571,[1]characters!$A:$H,8,FALSE)</f>
        <v>green</v>
      </c>
      <c r="K571" s="8" t="str">
        <f>VLOOKUP(F571,[1]characters!$A:$K,11,FALSE)</f>
        <v>attack</v>
      </c>
      <c r="L571" s="8" t="str">
        <f>VLOOKUP(F571,[1]characters!$A:$M,13,FALSE)</f>
        <v>human</v>
      </c>
      <c r="M571" s="16">
        <f>VLOOKUP(D571,gacha_188_base!A:B,2,FALSE)</f>
        <v>7875</v>
      </c>
      <c r="N571" s="38">
        <f>IFERROR(VLOOKUP($F571,bug_conf_sheet!$A:$H,3,FALSE),VLOOKUP("other",bug_conf_sheet!$A:$H,3,FALSE))</f>
        <v>1</v>
      </c>
      <c r="O571" s="38">
        <f>IFERROR(VLOOKUP($F571,bug_conf_sheet!$A:$H,4,FALSE),VLOOKUP("other",bug_conf_sheet!$A:$H,4,FALSE))</f>
        <v>0</v>
      </c>
      <c r="P571" s="38">
        <f>IFERROR(VLOOKUP($F571,bug_conf_sheet!$A:$H,5,FALSE),VLOOKUP("other",bug_conf_sheet!$A:$H,5,FALSE))</f>
        <v>0</v>
      </c>
      <c r="Q571" s="38">
        <f>IFERROR(VLOOKUP($F571,bug_conf_sheet!$A:$H,6,FALSE),VLOOKUP("other",bug_conf_sheet!$A:$H,6,FALSE))</f>
        <v>0</v>
      </c>
      <c r="R571" s="38">
        <f>IFERROR(VLOOKUP($F571,bug_conf_sheet!$A:$H,7,FALSE),VLOOKUP("other",bug_conf_sheet!$A:$H,7,FALSE))</f>
        <v>0</v>
      </c>
      <c r="S571" s="38">
        <f>IFERROR(VLOOKUP($F571,bug_conf_sheet!$A:$H,8,FALSE),VLOOKUP("other",bug_conf_sheet!$A:$H,8,FALSE))</f>
        <v>1</v>
      </c>
    </row>
    <row r="572" spans="1:19" ht="21" hidden="1" customHeight="1">
      <c r="A572" s="7" t="str">
        <f t="shared" si="52"/>
        <v>1885131</v>
      </c>
      <c r="B572" s="2" t="str">
        <f t="shared" si="51"/>
        <v>1885</v>
      </c>
      <c r="C572" s="8" t="str">
        <f t="shared" si="53"/>
        <v>5PremiumW4</v>
      </c>
      <c r="D572" s="8" t="str">
        <f t="shared" si="55"/>
        <v>5PremiumW4</v>
      </c>
      <c r="E572" s="10">
        <v>5</v>
      </c>
      <c r="F572" s="6">
        <v>131</v>
      </c>
      <c r="G572" s="8" t="str">
        <f>VLOOKUP(F572,[1]characters!$A:$C,3,FALSE)</f>
        <v>月下の人狼 ローレンス</v>
      </c>
      <c r="H572" s="8" t="str">
        <f>VLOOKUP(F572,[1]characters!$A:$J,10,FALSE)</f>
        <v>PremiumW</v>
      </c>
      <c r="I572" s="8">
        <f>VLOOKUP(F572,[1]characters!$A:$I,9,FALSE)</f>
        <v>4</v>
      </c>
      <c r="J572" s="8" t="str">
        <f>VLOOKUP(F572,[1]characters!$A:$H,8,FALSE)</f>
        <v>blue</v>
      </c>
      <c r="K572" s="8" t="str">
        <f>VLOOKUP(F572,[1]characters!$A:$K,11,FALSE)</f>
        <v>attack</v>
      </c>
      <c r="L572" s="8" t="str">
        <f>VLOOKUP(F572,[1]characters!$A:$M,13,FALSE)</f>
        <v>animal</v>
      </c>
      <c r="M572" s="16">
        <f>VLOOKUP(D572,gacha_188_base!A:B,2,FALSE)</f>
        <v>7875</v>
      </c>
      <c r="N572" s="38">
        <f>IFERROR(VLOOKUP($F572,bug_conf_sheet!$A:$H,3,FALSE),VLOOKUP("other",bug_conf_sheet!$A:$H,3,FALSE))</f>
        <v>1</v>
      </c>
      <c r="O572" s="38">
        <f>IFERROR(VLOOKUP($F572,bug_conf_sheet!$A:$H,4,FALSE),VLOOKUP("other",bug_conf_sheet!$A:$H,4,FALSE))</f>
        <v>0</v>
      </c>
      <c r="P572" s="38">
        <f>IFERROR(VLOOKUP($F572,bug_conf_sheet!$A:$H,5,FALSE),VLOOKUP("other",bug_conf_sheet!$A:$H,5,FALSE))</f>
        <v>0</v>
      </c>
      <c r="Q572" s="38">
        <f>IFERROR(VLOOKUP($F572,bug_conf_sheet!$A:$H,6,FALSE),VLOOKUP("other",bug_conf_sheet!$A:$H,6,FALSE))</f>
        <v>0</v>
      </c>
      <c r="R572" s="38">
        <f>IFERROR(VLOOKUP($F572,bug_conf_sheet!$A:$H,7,FALSE),VLOOKUP("other",bug_conf_sheet!$A:$H,7,FALSE))</f>
        <v>0</v>
      </c>
      <c r="S572" s="38">
        <f>IFERROR(VLOOKUP($F572,bug_conf_sheet!$A:$H,8,FALSE),VLOOKUP("other",bug_conf_sheet!$A:$H,8,FALSE))</f>
        <v>1</v>
      </c>
    </row>
    <row r="573" spans="1:19" ht="21" hidden="1" customHeight="1">
      <c r="A573" s="7" t="str">
        <f t="shared" si="52"/>
        <v>1885133</v>
      </c>
      <c r="B573" s="2" t="str">
        <f t="shared" si="51"/>
        <v>1885</v>
      </c>
      <c r="C573" s="8" t="str">
        <f t="shared" si="53"/>
        <v>5PremiumW4</v>
      </c>
      <c r="D573" s="8" t="str">
        <f t="shared" si="55"/>
        <v>5PremiumW4</v>
      </c>
      <c r="E573" s="10">
        <v>5</v>
      </c>
      <c r="F573" s="6">
        <v>133</v>
      </c>
      <c r="G573" s="8" t="str">
        <f>VLOOKUP(F573,[1]characters!$A:$C,3,FALSE)</f>
        <v>迅雷の刀剣 ハヤト</v>
      </c>
      <c r="H573" s="8" t="str">
        <f>VLOOKUP(F573,[1]characters!$A:$J,10,FALSE)</f>
        <v>PremiumW</v>
      </c>
      <c r="I573" s="8">
        <f>VLOOKUP(F573,[1]characters!$A:$I,9,FALSE)</f>
        <v>4</v>
      </c>
      <c r="J573" s="8" t="str">
        <f>VLOOKUP(F573,[1]characters!$A:$H,8,FALSE)</f>
        <v>yellow</v>
      </c>
      <c r="K573" s="8" t="str">
        <f>VLOOKUP(F573,[1]characters!$A:$K,11,FALSE)</f>
        <v>attack</v>
      </c>
      <c r="L573" s="8" t="str">
        <f>VLOOKUP(F573,[1]characters!$A:$M,13,FALSE)</f>
        <v>human</v>
      </c>
      <c r="M573" s="16">
        <f>VLOOKUP(D573,gacha_188_base!A:B,2,FALSE)</f>
        <v>7875</v>
      </c>
      <c r="N573" s="38">
        <f>IFERROR(VLOOKUP($F573,bug_conf_sheet!$A:$H,3,FALSE),VLOOKUP("other",bug_conf_sheet!$A:$H,3,FALSE))</f>
        <v>1</v>
      </c>
      <c r="O573" s="38">
        <f>IFERROR(VLOOKUP($F573,bug_conf_sheet!$A:$H,4,FALSE),VLOOKUP("other",bug_conf_sheet!$A:$H,4,FALSE))</f>
        <v>0</v>
      </c>
      <c r="P573" s="38">
        <f>IFERROR(VLOOKUP($F573,bug_conf_sheet!$A:$H,5,FALSE),VLOOKUP("other",bug_conf_sheet!$A:$H,5,FALSE))</f>
        <v>0</v>
      </c>
      <c r="Q573" s="38">
        <f>IFERROR(VLOOKUP($F573,bug_conf_sheet!$A:$H,6,FALSE),VLOOKUP("other",bug_conf_sheet!$A:$H,6,FALSE))</f>
        <v>0</v>
      </c>
      <c r="R573" s="38">
        <f>IFERROR(VLOOKUP($F573,bug_conf_sheet!$A:$H,7,FALSE),VLOOKUP("other",bug_conf_sheet!$A:$H,7,FALSE))</f>
        <v>0</v>
      </c>
      <c r="S573" s="38">
        <f>IFERROR(VLOOKUP($F573,bug_conf_sheet!$A:$H,8,FALSE),VLOOKUP("other",bug_conf_sheet!$A:$H,8,FALSE))</f>
        <v>1</v>
      </c>
    </row>
    <row r="574" spans="1:19" ht="21" hidden="1" customHeight="1">
      <c r="A574" s="7" t="str">
        <f t="shared" si="52"/>
        <v>1885135</v>
      </c>
      <c r="B574" s="2" t="str">
        <f t="shared" si="51"/>
        <v>1885</v>
      </c>
      <c r="C574" s="8" t="str">
        <f t="shared" si="53"/>
        <v>5PremiumW4</v>
      </c>
      <c r="D574" s="8" t="str">
        <f t="shared" si="55"/>
        <v>5PremiumW4</v>
      </c>
      <c r="E574" s="10">
        <v>5</v>
      </c>
      <c r="F574" s="6">
        <v>135</v>
      </c>
      <c r="G574" s="8" t="str">
        <f>VLOOKUP(F574,[1]characters!$A:$C,3,FALSE)</f>
        <v>京の炎華夕霧</v>
      </c>
      <c r="H574" s="8" t="str">
        <f>VLOOKUP(F574,[1]characters!$A:$J,10,FALSE)</f>
        <v>PremiumW</v>
      </c>
      <c r="I574" s="8">
        <f>VLOOKUP(F574,[1]characters!$A:$I,9,FALSE)</f>
        <v>4</v>
      </c>
      <c r="J574" s="8" t="str">
        <f>VLOOKUP(F574,[1]characters!$A:$H,8,FALSE)</f>
        <v>red</v>
      </c>
      <c r="K574" s="8" t="str">
        <f>VLOOKUP(F574,[1]characters!$A:$K,11,FALSE)</f>
        <v>balance</v>
      </c>
      <c r="L574" s="8" t="str">
        <f>VLOOKUP(F574,[1]characters!$A:$M,13,FALSE)</f>
        <v>human</v>
      </c>
      <c r="M574" s="16">
        <f>VLOOKUP(D574,gacha_188_base!A:B,2,FALSE)</f>
        <v>7875</v>
      </c>
      <c r="N574" s="38">
        <f>IFERROR(VLOOKUP($F574,bug_conf_sheet!$A:$H,3,FALSE),VLOOKUP("other",bug_conf_sheet!$A:$H,3,FALSE))</f>
        <v>1</v>
      </c>
      <c r="O574" s="38">
        <f>IFERROR(VLOOKUP($F574,bug_conf_sheet!$A:$H,4,FALSE),VLOOKUP("other",bug_conf_sheet!$A:$H,4,FALSE))</f>
        <v>0</v>
      </c>
      <c r="P574" s="38">
        <f>IFERROR(VLOOKUP($F574,bug_conf_sheet!$A:$H,5,FALSE),VLOOKUP("other",bug_conf_sheet!$A:$H,5,FALSE))</f>
        <v>0</v>
      </c>
      <c r="Q574" s="38">
        <f>IFERROR(VLOOKUP($F574,bug_conf_sheet!$A:$H,6,FALSE),VLOOKUP("other",bug_conf_sheet!$A:$H,6,FALSE))</f>
        <v>0</v>
      </c>
      <c r="R574" s="38">
        <f>IFERROR(VLOOKUP($F574,bug_conf_sheet!$A:$H,7,FALSE),VLOOKUP("other",bug_conf_sheet!$A:$H,7,FALSE))</f>
        <v>0</v>
      </c>
      <c r="S574" s="38">
        <f>IFERROR(VLOOKUP($F574,bug_conf_sheet!$A:$H,8,FALSE),VLOOKUP("other",bug_conf_sheet!$A:$H,8,FALSE))</f>
        <v>1</v>
      </c>
    </row>
    <row r="575" spans="1:19" ht="21" hidden="1" customHeight="1">
      <c r="A575" s="7" t="str">
        <f t="shared" si="52"/>
        <v>1885137</v>
      </c>
      <c r="B575" s="2" t="str">
        <f t="shared" si="51"/>
        <v>1885</v>
      </c>
      <c r="C575" s="8" t="str">
        <f t="shared" si="53"/>
        <v>5PremiumW4</v>
      </c>
      <c r="D575" s="8" t="str">
        <f t="shared" si="55"/>
        <v>5PremiumW4</v>
      </c>
      <c r="E575" s="10">
        <v>5</v>
      </c>
      <c r="F575" s="9">
        <v>137</v>
      </c>
      <c r="G575" s="8" t="str">
        <f>VLOOKUP(F575,[1]characters!$A:$C,3,FALSE)</f>
        <v>清福の仕立屋 チハヤ</v>
      </c>
      <c r="H575" s="8" t="str">
        <f>VLOOKUP(F575,[1]characters!$A:$J,10,FALSE)</f>
        <v>PremiumW</v>
      </c>
      <c r="I575" s="8">
        <f>VLOOKUP(F575,[1]characters!$A:$I,9,FALSE)</f>
        <v>4</v>
      </c>
      <c r="J575" s="8" t="str">
        <f>VLOOKUP(F575,[1]characters!$A:$H,8,FALSE)</f>
        <v>green</v>
      </c>
      <c r="K575" s="8" t="str">
        <f>VLOOKUP(F575,[1]characters!$A:$K,11,FALSE)</f>
        <v>balance</v>
      </c>
      <c r="L575" s="8" t="str">
        <f>VLOOKUP(F575,[1]characters!$A:$M,13,FALSE)</f>
        <v>human</v>
      </c>
      <c r="M575" s="16">
        <f>VLOOKUP(D575,gacha_188_base!A:B,2,FALSE)</f>
        <v>7875</v>
      </c>
      <c r="N575" s="38">
        <f>IFERROR(VLOOKUP($F575,bug_conf_sheet!$A:$H,3,FALSE),VLOOKUP("other",bug_conf_sheet!$A:$H,3,FALSE))</f>
        <v>1</v>
      </c>
      <c r="O575" s="38">
        <f>IFERROR(VLOOKUP($F575,bug_conf_sheet!$A:$H,4,FALSE),VLOOKUP("other",bug_conf_sheet!$A:$H,4,FALSE))</f>
        <v>0</v>
      </c>
      <c r="P575" s="38">
        <f>IFERROR(VLOOKUP($F575,bug_conf_sheet!$A:$H,5,FALSE),VLOOKUP("other",bug_conf_sheet!$A:$H,5,FALSE))</f>
        <v>0</v>
      </c>
      <c r="Q575" s="38">
        <f>IFERROR(VLOOKUP($F575,bug_conf_sheet!$A:$H,6,FALSE),VLOOKUP("other",bug_conf_sheet!$A:$H,6,FALSE))</f>
        <v>0</v>
      </c>
      <c r="R575" s="38">
        <f>IFERROR(VLOOKUP($F575,bug_conf_sheet!$A:$H,7,FALSE),VLOOKUP("other",bug_conf_sheet!$A:$H,7,FALSE))</f>
        <v>0</v>
      </c>
      <c r="S575" s="38">
        <f>IFERROR(VLOOKUP($F575,bug_conf_sheet!$A:$H,8,FALSE),VLOOKUP("other",bug_conf_sheet!$A:$H,8,FALSE))</f>
        <v>1</v>
      </c>
    </row>
    <row r="576" spans="1:19" ht="21" hidden="1" customHeight="1">
      <c r="A576" s="7" t="str">
        <f t="shared" si="52"/>
        <v>1885139</v>
      </c>
      <c r="B576" s="2" t="str">
        <f t="shared" si="51"/>
        <v>1885</v>
      </c>
      <c r="C576" s="8" t="str">
        <f t="shared" si="53"/>
        <v>5PremiumW4</v>
      </c>
      <c r="D576" s="8" t="str">
        <f t="shared" si="55"/>
        <v>5PremiumW4</v>
      </c>
      <c r="E576" s="10">
        <v>5</v>
      </c>
      <c r="F576" s="6">
        <v>139</v>
      </c>
      <c r="G576" s="8" t="str">
        <f>VLOOKUP(F576,[1]characters!$A:$C,3,FALSE)</f>
        <v>蒼昇刃姫 トモエ</v>
      </c>
      <c r="H576" s="8" t="str">
        <f>VLOOKUP(F576,[1]characters!$A:$J,10,FALSE)</f>
        <v>PremiumW</v>
      </c>
      <c r="I576" s="8">
        <f>VLOOKUP(F576,[1]characters!$A:$I,9,FALSE)</f>
        <v>4</v>
      </c>
      <c r="J576" s="8" t="str">
        <f>VLOOKUP(F576,[1]characters!$A:$H,8,FALSE)</f>
        <v>blue</v>
      </c>
      <c r="K576" s="8" t="str">
        <f>VLOOKUP(F576,[1]characters!$A:$K,11,FALSE)</f>
        <v>balance</v>
      </c>
      <c r="L576" s="8" t="str">
        <f>VLOOKUP(F576,[1]characters!$A:$M,13,FALSE)</f>
        <v>human</v>
      </c>
      <c r="M576" s="16">
        <f>VLOOKUP(D576,gacha_188_base!A:B,2,FALSE)</f>
        <v>7875</v>
      </c>
      <c r="N576" s="38">
        <f>IFERROR(VLOOKUP($F576,bug_conf_sheet!$A:$H,3,FALSE),VLOOKUP("other",bug_conf_sheet!$A:$H,3,FALSE))</f>
        <v>1</v>
      </c>
      <c r="O576" s="38">
        <f>IFERROR(VLOOKUP($F576,bug_conf_sheet!$A:$H,4,FALSE),VLOOKUP("other",bug_conf_sheet!$A:$H,4,FALSE))</f>
        <v>0</v>
      </c>
      <c r="P576" s="38">
        <f>IFERROR(VLOOKUP($F576,bug_conf_sheet!$A:$H,5,FALSE),VLOOKUP("other",bug_conf_sheet!$A:$H,5,FALSE))</f>
        <v>0</v>
      </c>
      <c r="Q576" s="38">
        <f>IFERROR(VLOOKUP($F576,bug_conf_sheet!$A:$H,6,FALSE),VLOOKUP("other",bug_conf_sheet!$A:$H,6,FALSE))</f>
        <v>0</v>
      </c>
      <c r="R576" s="38">
        <f>IFERROR(VLOOKUP($F576,bug_conf_sheet!$A:$H,7,FALSE),VLOOKUP("other",bug_conf_sheet!$A:$H,7,FALSE))</f>
        <v>0</v>
      </c>
      <c r="S576" s="38">
        <f>IFERROR(VLOOKUP($F576,bug_conf_sheet!$A:$H,8,FALSE),VLOOKUP("other",bug_conf_sheet!$A:$H,8,FALSE))</f>
        <v>1</v>
      </c>
    </row>
    <row r="577" spans="1:19" ht="21" hidden="1" customHeight="1">
      <c r="A577" s="7" t="str">
        <f t="shared" si="52"/>
        <v>1885141</v>
      </c>
      <c r="B577" s="2" t="str">
        <f t="shared" si="51"/>
        <v>1885</v>
      </c>
      <c r="C577" s="8" t="str">
        <f t="shared" si="53"/>
        <v>5PremiumW4</v>
      </c>
      <c r="D577" s="8" t="str">
        <f t="shared" si="55"/>
        <v>5PremiumW4</v>
      </c>
      <c r="E577" s="10">
        <v>5</v>
      </c>
      <c r="F577" s="13">
        <v>141</v>
      </c>
      <c r="G577" s="8" t="str">
        <f>VLOOKUP(F577,[1]characters!$A:$C,3,FALSE)</f>
        <v>妖狐演舞 タマモ</v>
      </c>
      <c r="H577" s="8" t="str">
        <f>VLOOKUP(F577,[1]characters!$A:$J,10,FALSE)</f>
        <v>PremiumW</v>
      </c>
      <c r="I577" s="8">
        <f>VLOOKUP(F577,[1]characters!$A:$I,9,FALSE)</f>
        <v>4</v>
      </c>
      <c r="J577" s="8" t="str">
        <f>VLOOKUP(F577,[1]characters!$A:$H,8,FALSE)</f>
        <v>yellow</v>
      </c>
      <c r="K577" s="8" t="str">
        <f>VLOOKUP(F577,[1]characters!$A:$K,11,FALSE)</f>
        <v>balance</v>
      </c>
      <c r="L577" s="8" t="str">
        <f>VLOOKUP(F577,[1]characters!$A:$M,13,FALSE)</f>
        <v>animal</v>
      </c>
      <c r="M577" s="16">
        <f>VLOOKUP(D577,gacha_188_base!A:B,2,FALSE)</f>
        <v>7875</v>
      </c>
      <c r="N577" s="38">
        <f>IFERROR(VLOOKUP($F577,bug_conf_sheet!$A:$H,3,FALSE),VLOOKUP("other",bug_conf_sheet!$A:$H,3,FALSE))</f>
        <v>1</v>
      </c>
      <c r="O577" s="38">
        <f>IFERROR(VLOOKUP($F577,bug_conf_sheet!$A:$H,4,FALSE),VLOOKUP("other",bug_conf_sheet!$A:$H,4,FALSE))</f>
        <v>0</v>
      </c>
      <c r="P577" s="38">
        <f>IFERROR(VLOOKUP($F577,bug_conf_sheet!$A:$H,5,FALSE),VLOOKUP("other",bug_conf_sheet!$A:$H,5,FALSE))</f>
        <v>0</v>
      </c>
      <c r="Q577" s="38">
        <f>IFERROR(VLOOKUP($F577,bug_conf_sheet!$A:$H,6,FALSE),VLOOKUP("other",bug_conf_sheet!$A:$H,6,FALSE))</f>
        <v>0</v>
      </c>
      <c r="R577" s="38">
        <f>IFERROR(VLOOKUP($F577,bug_conf_sheet!$A:$H,7,FALSE),VLOOKUP("other",bug_conf_sheet!$A:$H,7,FALSE))</f>
        <v>0</v>
      </c>
      <c r="S577" s="38">
        <f>IFERROR(VLOOKUP($F577,bug_conf_sheet!$A:$H,8,FALSE),VLOOKUP("other",bug_conf_sheet!$A:$H,8,FALSE))</f>
        <v>1</v>
      </c>
    </row>
    <row r="578" spans="1:19" s="14" customFormat="1" ht="21" hidden="1" customHeight="1" thickBot="1">
      <c r="A578" s="7" t="str">
        <f t="shared" si="52"/>
        <v>1885143</v>
      </c>
      <c r="B578" s="2" t="str">
        <f t="shared" si="51"/>
        <v>1885</v>
      </c>
      <c r="C578" s="8" t="str">
        <f t="shared" si="53"/>
        <v>5PremiumW4</v>
      </c>
      <c r="D578" s="8" t="str">
        <f t="shared" si="55"/>
        <v>5PremiumW4</v>
      </c>
      <c r="E578" s="10">
        <v>5</v>
      </c>
      <c r="F578" s="6">
        <v>143</v>
      </c>
      <c r="G578" s="8" t="str">
        <f>VLOOKUP(F578,[1]characters!$A:$C,3,FALSE)</f>
        <v>深紅の死神 赤ずきん</v>
      </c>
      <c r="H578" s="8" t="str">
        <f>VLOOKUP(F578,[1]characters!$A:$J,10,FALSE)</f>
        <v>PremiumW</v>
      </c>
      <c r="I578" s="8">
        <f>VLOOKUP(F578,[1]characters!$A:$I,9,FALSE)</f>
        <v>4</v>
      </c>
      <c r="J578" s="8" t="str">
        <f>VLOOKUP(F578,[1]characters!$A:$H,8,FALSE)</f>
        <v>red</v>
      </c>
      <c r="K578" s="8" t="str">
        <f>VLOOKUP(F578,[1]characters!$A:$K,11,FALSE)</f>
        <v>balance</v>
      </c>
      <c r="L578" s="8" t="str">
        <f>VLOOKUP(F578,[1]characters!$A:$M,13,FALSE)</f>
        <v>human</v>
      </c>
      <c r="M578" s="16">
        <f>VLOOKUP(D578,gacha_188_base!A:B,2,FALSE)</f>
        <v>7875</v>
      </c>
      <c r="N578" s="38">
        <f>IFERROR(VLOOKUP($F578,bug_conf_sheet!$A:$H,3,FALSE),VLOOKUP("other",bug_conf_sheet!$A:$H,3,FALSE))</f>
        <v>1</v>
      </c>
      <c r="O578" s="38">
        <f>IFERROR(VLOOKUP($F578,bug_conf_sheet!$A:$H,4,FALSE),VLOOKUP("other",bug_conf_sheet!$A:$H,4,FALSE))</f>
        <v>0</v>
      </c>
      <c r="P578" s="38">
        <f>IFERROR(VLOOKUP($F578,bug_conf_sheet!$A:$H,5,FALSE),VLOOKUP("other",bug_conf_sheet!$A:$H,5,FALSE))</f>
        <v>0</v>
      </c>
      <c r="Q578" s="38">
        <f>IFERROR(VLOOKUP($F578,bug_conf_sheet!$A:$H,6,FALSE),VLOOKUP("other",bug_conf_sheet!$A:$H,6,FALSE))</f>
        <v>0</v>
      </c>
      <c r="R578" s="38">
        <f>IFERROR(VLOOKUP($F578,bug_conf_sheet!$A:$H,7,FALSE),VLOOKUP("other",bug_conf_sheet!$A:$H,7,FALSE))</f>
        <v>0</v>
      </c>
      <c r="S578" s="38">
        <f>IFERROR(VLOOKUP($F578,bug_conf_sheet!$A:$H,8,FALSE),VLOOKUP("other",bug_conf_sheet!$A:$H,8,FALSE))</f>
        <v>1</v>
      </c>
    </row>
    <row r="579" spans="1:19" ht="21" hidden="1" customHeight="1">
      <c r="A579" s="7" t="str">
        <f t="shared" si="52"/>
        <v>1885145</v>
      </c>
      <c r="B579" s="2" t="str">
        <f t="shared" ref="B579:B642" si="56">188&amp;E579</f>
        <v>1885</v>
      </c>
      <c r="C579" s="8" t="str">
        <f t="shared" si="53"/>
        <v>5PremiumW4</v>
      </c>
      <c r="D579" s="8" t="str">
        <f t="shared" si="55"/>
        <v>5PremiumW4</v>
      </c>
      <c r="E579" s="10">
        <v>5</v>
      </c>
      <c r="F579" s="6">
        <v>145</v>
      </c>
      <c r="G579" s="8" t="str">
        <f>VLOOKUP(F579,[1]characters!$A:$C,3,FALSE)</f>
        <v>魔性妖艶 かぐや</v>
      </c>
      <c r="H579" s="8" t="str">
        <f>VLOOKUP(F579,[1]characters!$A:$J,10,FALSE)</f>
        <v>PremiumW</v>
      </c>
      <c r="I579" s="8">
        <f>VLOOKUP(F579,[1]characters!$A:$I,9,FALSE)</f>
        <v>4</v>
      </c>
      <c r="J579" s="8" t="str">
        <f>VLOOKUP(F579,[1]characters!$A:$H,8,FALSE)</f>
        <v>green</v>
      </c>
      <c r="K579" s="8" t="str">
        <f>VLOOKUP(F579,[1]characters!$A:$K,11,FALSE)</f>
        <v>hp</v>
      </c>
      <c r="L579" s="8" t="str">
        <f>VLOOKUP(F579,[1]characters!$A:$M,13,FALSE)</f>
        <v>human</v>
      </c>
      <c r="M579" s="16">
        <f>VLOOKUP(D579,gacha_188_base!A:B,2,FALSE)</f>
        <v>7875</v>
      </c>
      <c r="N579" s="38">
        <f>IFERROR(VLOOKUP($F579,bug_conf_sheet!$A:$H,3,FALSE),VLOOKUP("other",bug_conf_sheet!$A:$H,3,FALSE))</f>
        <v>1</v>
      </c>
      <c r="O579" s="38">
        <f>IFERROR(VLOOKUP($F579,bug_conf_sheet!$A:$H,4,FALSE),VLOOKUP("other",bug_conf_sheet!$A:$H,4,FALSE))</f>
        <v>0</v>
      </c>
      <c r="P579" s="38">
        <f>IFERROR(VLOOKUP($F579,bug_conf_sheet!$A:$H,5,FALSE),VLOOKUP("other",bug_conf_sheet!$A:$H,5,FALSE))</f>
        <v>0</v>
      </c>
      <c r="Q579" s="38">
        <f>IFERROR(VLOOKUP($F579,bug_conf_sheet!$A:$H,6,FALSE),VLOOKUP("other",bug_conf_sheet!$A:$H,6,FALSE))</f>
        <v>0</v>
      </c>
      <c r="R579" s="38">
        <f>IFERROR(VLOOKUP($F579,bug_conf_sheet!$A:$H,7,FALSE),VLOOKUP("other",bug_conf_sheet!$A:$H,7,FALSE))</f>
        <v>0</v>
      </c>
      <c r="S579" s="38">
        <f>IFERROR(VLOOKUP($F579,bug_conf_sheet!$A:$H,8,FALSE),VLOOKUP("other",bug_conf_sheet!$A:$H,8,FALSE))</f>
        <v>1</v>
      </c>
    </row>
    <row r="580" spans="1:19" ht="21" hidden="1" customHeight="1">
      <c r="A580" s="7" t="str">
        <f t="shared" si="52"/>
        <v>1885147</v>
      </c>
      <c r="B580" s="2" t="str">
        <f t="shared" si="56"/>
        <v>1885</v>
      </c>
      <c r="C580" s="8" t="str">
        <f t="shared" si="53"/>
        <v>5PremiumW4</v>
      </c>
      <c r="D580" s="8" t="str">
        <f t="shared" si="55"/>
        <v>5PremiumW4</v>
      </c>
      <c r="E580" s="10">
        <v>5</v>
      </c>
      <c r="F580" s="6">
        <v>147</v>
      </c>
      <c r="G580" s="8" t="str">
        <f>VLOOKUP(F580,[1]characters!$A:$C,3,FALSE)</f>
        <v>蒼き閃光 元マーメイド</v>
      </c>
      <c r="H580" s="8" t="str">
        <f>VLOOKUP(F580,[1]characters!$A:$J,10,FALSE)</f>
        <v>PremiumW</v>
      </c>
      <c r="I580" s="8">
        <f>VLOOKUP(F580,[1]characters!$A:$I,9,FALSE)</f>
        <v>4</v>
      </c>
      <c r="J580" s="8" t="str">
        <f>VLOOKUP(F580,[1]characters!$A:$H,8,FALSE)</f>
        <v>blue</v>
      </c>
      <c r="K580" s="8" t="str">
        <f>VLOOKUP(F580,[1]characters!$A:$K,11,FALSE)</f>
        <v>hp</v>
      </c>
      <c r="L580" s="8" t="str">
        <f>VLOOKUP(F580,[1]characters!$A:$M,13,FALSE)</f>
        <v>human</v>
      </c>
      <c r="M580" s="16">
        <f>VLOOKUP(D580,gacha_188_base!A:B,2,FALSE)</f>
        <v>7875</v>
      </c>
      <c r="N580" s="38">
        <f>IFERROR(VLOOKUP($F580,bug_conf_sheet!$A:$H,3,FALSE),VLOOKUP("other",bug_conf_sheet!$A:$H,3,FALSE))</f>
        <v>1</v>
      </c>
      <c r="O580" s="38">
        <f>IFERROR(VLOOKUP($F580,bug_conf_sheet!$A:$H,4,FALSE),VLOOKUP("other",bug_conf_sheet!$A:$H,4,FALSE))</f>
        <v>0</v>
      </c>
      <c r="P580" s="38">
        <f>IFERROR(VLOOKUP($F580,bug_conf_sheet!$A:$H,5,FALSE),VLOOKUP("other",bug_conf_sheet!$A:$H,5,FALSE))</f>
        <v>0</v>
      </c>
      <c r="Q580" s="38">
        <f>IFERROR(VLOOKUP($F580,bug_conf_sheet!$A:$H,6,FALSE),VLOOKUP("other",bug_conf_sheet!$A:$H,6,FALSE))</f>
        <v>0</v>
      </c>
      <c r="R580" s="38">
        <f>IFERROR(VLOOKUP($F580,bug_conf_sheet!$A:$H,7,FALSE),VLOOKUP("other",bug_conf_sheet!$A:$H,7,FALSE))</f>
        <v>0</v>
      </c>
      <c r="S580" s="38">
        <f>IFERROR(VLOOKUP($F580,bug_conf_sheet!$A:$H,8,FALSE),VLOOKUP("other",bug_conf_sheet!$A:$H,8,FALSE))</f>
        <v>1</v>
      </c>
    </row>
    <row r="581" spans="1:19" ht="21" hidden="1" customHeight="1">
      <c r="A581" s="7" t="str">
        <f t="shared" si="52"/>
        <v>1885149</v>
      </c>
      <c r="B581" s="2" t="str">
        <f t="shared" si="56"/>
        <v>1885</v>
      </c>
      <c r="C581" s="8" t="str">
        <f t="shared" si="53"/>
        <v>5PremiumW4</v>
      </c>
      <c r="D581" s="8" t="str">
        <f t="shared" si="55"/>
        <v>5PremiumW4</v>
      </c>
      <c r="E581" s="10">
        <v>5</v>
      </c>
      <c r="F581" s="6">
        <v>149</v>
      </c>
      <c r="G581" s="8" t="str">
        <f>VLOOKUP(F581,[1]characters!$A:$C,3,FALSE)</f>
        <v>雷撃蹴技を極めし者 シンデレラ</v>
      </c>
      <c r="H581" s="8" t="str">
        <f>VLOOKUP(F581,[1]characters!$A:$J,10,FALSE)</f>
        <v>PremiumW</v>
      </c>
      <c r="I581" s="8">
        <f>VLOOKUP(F581,[1]characters!$A:$I,9,FALSE)</f>
        <v>4</v>
      </c>
      <c r="J581" s="8" t="str">
        <f>VLOOKUP(F581,[1]characters!$A:$H,8,FALSE)</f>
        <v>yellow</v>
      </c>
      <c r="K581" s="8" t="str">
        <f>VLOOKUP(F581,[1]characters!$A:$K,11,FALSE)</f>
        <v>balance</v>
      </c>
      <c r="L581" s="8" t="str">
        <f>VLOOKUP(F581,[1]characters!$A:$M,13,FALSE)</f>
        <v>human</v>
      </c>
      <c r="M581" s="16">
        <f>VLOOKUP(D581,gacha_188_base!A:B,2,FALSE)</f>
        <v>7875</v>
      </c>
      <c r="N581" s="38">
        <f>IFERROR(VLOOKUP($F581,bug_conf_sheet!$A:$H,3,FALSE),VLOOKUP("other",bug_conf_sheet!$A:$H,3,FALSE))</f>
        <v>1</v>
      </c>
      <c r="O581" s="38">
        <f>IFERROR(VLOOKUP($F581,bug_conf_sheet!$A:$H,4,FALSE),VLOOKUP("other",bug_conf_sheet!$A:$H,4,FALSE))</f>
        <v>0</v>
      </c>
      <c r="P581" s="38">
        <f>IFERROR(VLOOKUP($F581,bug_conf_sheet!$A:$H,5,FALSE),VLOOKUP("other",bug_conf_sheet!$A:$H,5,FALSE))</f>
        <v>0</v>
      </c>
      <c r="Q581" s="38">
        <f>IFERROR(VLOOKUP($F581,bug_conf_sheet!$A:$H,6,FALSE),VLOOKUP("other",bug_conf_sheet!$A:$H,6,FALSE))</f>
        <v>0</v>
      </c>
      <c r="R581" s="38">
        <f>IFERROR(VLOOKUP($F581,bug_conf_sheet!$A:$H,7,FALSE),VLOOKUP("other",bug_conf_sheet!$A:$H,7,FALSE))</f>
        <v>0</v>
      </c>
      <c r="S581" s="38">
        <f>IFERROR(VLOOKUP($F581,bug_conf_sheet!$A:$H,8,FALSE),VLOOKUP("other",bug_conf_sheet!$A:$H,8,FALSE))</f>
        <v>1</v>
      </c>
    </row>
    <row r="582" spans="1:19" ht="21" hidden="1" customHeight="1">
      <c r="A582" s="7" t="str">
        <f t="shared" si="52"/>
        <v>1885151</v>
      </c>
      <c r="B582" s="2" t="str">
        <f t="shared" si="56"/>
        <v>1885</v>
      </c>
      <c r="C582" s="8" t="str">
        <f t="shared" si="53"/>
        <v>5PremiumW4</v>
      </c>
      <c r="D582" s="8" t="str">
        <f t="shared" si="55"/>
        <v>5PremiumW4</v>
      </c>
      <c r="E582" s="10">
        <v>5</v>
      </c>
      <c r="F582" s="6">
        <v>151</v>
      </c>
      <c r="G582" s="8" t="str">
        <f>VLOOKUP(F582,[1]characters!$A:$C,3,FALSE)</f>
        <v>毒煙の処刑人サキ</v>
      </c>
      <c r="H582" s="8" t="str">
        <f>VLOOKUP(F582,[1]characters!$A:$J,10,FALSE)</f>
        <v>PremiumW</v>
      </c>
      <c r="I582" s="8">
        <f>VLOOKUP(F582,[1]characters!$A:$I,9,FALSE)</f>
        <v>4</v>
      </c>
      <c r="J582" s="8" t="str">
        <f>VLOOKUP(F582,[1]characters!$A:$H,8,FALSE)</f>
        <v>red</v>
      </c>
      <c r="K582" s="8" t="str">
        <f>VLOOKUP(F582,[1]characters!$A:$K,11,FALSE)</f>
        <v>technical</v>
      </c>
      <c r="L582" s="8" t="str">
        <f>VLOOKUP(F582,[1]characters!$A:$M,13,FALSE)</f>
        <v>human</v>
      </c>
      <c r="M582" s="16">
        <f>VLOOKUP(D582,gacha_188_base!A:B,2,FALSE)</f>
        <v>7875</v>
      </c>
      <c r="N582" s="38">
        <f>IFERROR(VLOOKUP($F582,bug_conf_sheet!$A:$H,3,FALSE),VLOOKUP("other",bug_conf_sheet!$A:$H,3,FALSE))</f>
        <v>1</v>
      </c>
      <c r="O582" s="38">
        <f>IFERROR(VLOOKUP($F582,bug_conf_sheet!$A:$H,4,FALSE),VLOOKUP("other",bug_conf_sheet!$A:$H,4,FALSE))</f>
        <v>0</v>
      </c>
      <c r="P582" s="38">
        <f>IFERROR(VLOOKUP($F582,bug_conf_sheet!$A:$H,5,FALSE),VLOOKUP("other",bug_conf_sheet!$A:$H,5,FALSE))</f>
        <v>0</v>
      </c>
      <c r="Q582" s="38">
        <f>IFERROR(VLOOKUP($F582,bug_conf_sheet!$A:$H,6,FALSE),VLOOKUP("other",bug_conf_sheet!$A:$H,6,FALSE))</f>
        <v>0</v>
      </c>
      <c r="R582" s="38">
        <f>IFERROR(VLOOKUP($F582,bug_conf_sheet!$A:$H,7,FALSE),VLOOKUP("other",bug_conf_sheet!$A:$H,7,FALSE))</f>
        <v>0</v>
      </c>
      <c r="S582" s="38">
        <f>IFERROR(VLOOKUP($F582,bug_conf_sheet!$A:$H,8,FALSE),VLOOKUP("other",bug_conf_sheet!$A:$H,8,FALSE))</f>
        <v>1</v>
      </c>
    </row>
    <row r="583" spans="1:19" ht="21" hidden="1" customHeight="1">
      <c r="A583" s="7" t="str">
        <f t="shared" si="52"/>
        <v>1885153</v>
      </c>
      <c r="B583" s="2" t="str">
        <f t="shared" si="56"/>
        <v>1885</v>
      </c>
      <c r="C583" s="8" t="str">
        <f t="shared" si="53"/>
        <v>5PremiumW4</v>
      </c>
      <c r="D583" s="8" t="str">
        <f t="shared" si="55"/>
        <v>5PremiumW4</v>
      </c>
      <c r="E583" s="10">
        <v>5</v>
      </c>
      <c r="F583" s="6">
        <v>153</v>
      </c>
      <c r="G583" s="8" t="str">
        <f>VLOOKUP(F583,[1]characters!$A:$C,3,FALSE)</f>
        <v>拳聖ランラン</v>
      </c>
      <c r="H583" s="8" t="str">
        <f>VLOOKUP(F583,[1]characters!$A:$J,10,FALSE)</f>
        <v>PremiumW</v>
      </c>
      <c r="I583" s="8">
        <f>VLOOKUP(F583,[1]characters!$A:$I,9,FALSE)</f>
        <v>4</v>
      </c>
      <c r="J583" s="8" t="str">
        <f>VLOOKUP(F583,[1]characters!$A:$H,8,FALSE)</f>
        <v>green</v>
      </c>
      <c r="K583" s="8" t="str">
        <f>VLOOKUP(F583,[1]characters!$A:$K,11,FALSE)</f>
        <v>heal</v>
      </c>
      <c r="L583" s="8" t="str">
        <f>VLOOKUP(F583,[1]characters!$A:$M,13,FALSE)</f>
        <v>human</v>
      </c>
      <c r="M583" s="16">
        <f>VLOOKUP(D583,gacha_188_base!A:B,2,FALSE)</f>
        <v>7875</v>
      </c>
      <c r="N583" s="38">
        <f>IFERROR(VLOOKUP($F583,bug_conf_sheet!$A:$H,3,FALSE),VLOOKUP("other",bug_conf_sheet!$A:$H,3,FALSE))</f>
        <v>1</v>
      </c>
      <c r="O583" s="38">
        <f>IFERROR(VLOOKUP($F583,bug_conf_sheet!$A:$H,4,FALSE),VLOOKUP("other",bug_conf_sheet!$A:$H,4,FALSE))</f>
        <v>0</v>
      </c>
      <c r="P583" s="38">
        <f>IFERROR(VLOOKUP($F583,bug_conf_sheet!$A:$H,5,FALSE),VLOOKUP("other",bug_conf_sheet!$A:$H,5,FALSE))</f>
        <v>0</v>
      </c>
      <c r="Q583" s="38">
        <f>IFERROR(VLOOKUP($F583,bug_conf_sheet!$A:$H,6,FALSE),VLOOKUP("other",bug_conf_sheet!$A:$H,6,FALSE))</f>
        <v>0</v>
      </c>
      <c r="R583" s="38">
        <f>IFERROR(VLOOKUP($F583,bug_conf_sheet!$A:$H,7,FALSE),VLOOKUP("other",bug_conf_sheet!$A:$H,7,FALSE))</f>
        <v>0</v>
      </c>
      <c r="S583" s="38">
        <f>IFERROR(VLOOKUP($F583,bug_conf_sheet!$A:$H,8,FALSE),VLOOKUP("other",bug_conf_sheet!$A:$H,8,FALSE))</f>
        <v>1</v>
      </c>
    </row>
    <row r="584" spans="1:19" ht="21" hidden="1" customHeight="1">
      <c r="A584" s="7" t="str">
        <f t="shared" si="52"/>
        <v>1885155</v>
      </c>
      <c r="B584" s="2" t="str">
        <f t="shared" si="56"/>
        <v>1885</v>
      </c>
      <c r="C584" s="8" t="str">
        <f t="shared" si="53"/>
        <v>5PremiumW4</v>
      </c>
      <c r="D584" s="8" t="str">
        <f t="shared" si="55"/>
        <v>5PremiumW4</v>
      </c>
      <c r="E584" s="10">
        <v>5</v>
      </c>
      <c r="F584" s="6">
        <v>155</v>
      </c>
      <c r="G584" s="8" t="str">
        <f>VLOOKUP(F584,[1]characters!$A:$C,3,FALSE)</f>
        <v>隻眼の掃除屋 ハンナ</v>
      </c>
      <c r="H584" s="8" t="str">
        <f>VLOOKUP(F584,[1]characters!$A:$J,10,FALSE)</f>
        <v>PremiumW</v>
      </c>
      <c r="I584" s="8">
        <f>VLOOKUP(F584,[1]characters!$A:$I,9,FALSE)</f>
        <v>4</v>
      </c>
      <c r="J584" s="8" t="str">
        <f>VLOOKUP(F584,[1]characters!$A:$H,8,FALSE)</f>
        <v>blue</v>
      </c>
      <c r="K584" s="8" t="str">
        <f>VLOOKUP(F584,[1]characters!$A:$K,11,FALSE)</f>
        <v>heal</v>
      </c>
      <c r="L584" s="8" t="str">
        <f>VLOOKUP(F584,[1]characters!$A:$M,13,FALSE)</f>
        <v>human</v>
      </c>
      <c r="M584" s="16">
        <f>VLOOKUP(D584,gacha_188_base!A:B,2,FALSE)</f>
        <v>7875</v>
      </c>
      <c r="N584" s="38">
        <f>IFERROR(VLOOKUP($F584,bug_conf_sheet!$A:$H,3,FALSE),VLOOKUP("other",bug_conf_sheet!$A:$H,3,FALSE))</f>
        <v>1</v>
      </c>
      <c r="O584" s="38">
        <f>IFERROR(VLOOKUP($F584,bug_conf_sheet!$A:$H,4,FALSE),VLOOKUP("other",bug_conf_sheet!$A:$H,4,FALSE))</f>
        <v>0</v>
      </c>
      <c r="P584" s="38">
        <f>IFERROR(VLOOKUP($F584,bug_conf_sheet!$A:$H,5,FALSE),VLOOKUP("other",bug_conf_sheet!$A:$H,5,FALSE))</f>
        <v>0</v>
      </c>
      <c r="Q584" s="38">
        <f>IFERROR(VLOOKUP($F584,bug_conf_sheet!$A:$H,6,FALSE),VLOOKUP("other",bug_conf_sheet!$A:$H,6,FALSE))</f>
        <v>0</v>
      </c>
      <c r="R584" s="38">
        <f>IFERROR(VLOOKUP($F584,bug_conf_sheet!$A:$H,7,FALSE),VLOOKUP("other",bug_conf_sheet!$A:$H,7,FALSE))</f>
        <v>0</v>
      </c>
      <c r="S584" s="38">
        <f>IFERROR(VLOOKUP($F584,bug_conf_sheet!$A:$H,8,FALSE),VLOOKUP("other",bug_conf_sheet!$A:$H,8,FALSE))</f>
        <v>1</v>
      </c>
    </row>
    <row r="585" spans="1:19" ht="21" hidden="1" customHeight="1">
      <c r="A585" s="7" t="str">
        <f t="shared" si="52"/>
        <v>1885157</v>
      </c>
      <c r="B585" s="2" t="str">
        <f t="shared" si="56"/>
        <v>1885</v>
      </c>
      <c r="C585" s="8" t="str">
        <f t="shared" si="53"/>
        <v>5PremiumW4</v>
      </c>
      <c r="D585" s="8" t="str">
        <f t="shared" si="55"/>
        <v>5PremiumW4</v>
      </c>
      <c r="E585" s="10">
        <v>5</v>
      </c>
      <c r="F585" s="6">
        <v>157</v>
      </c>
      <c r="G585" s="8" t="str">
        <f>VLOOKUP(F585,[1]characters!$A:$C,3,FALSE)</f>
        <v>雷光舞姫 エレナ</v>
      </c>
      <c r="H585" s="8" t="str">
        <f>VLOOKUP(F585,[1]characters!$A:$J,10,FALSE)</f>
        <v>PremiumW</v>
      </c>
      <c r="I585" s="8">
        <f>VLOOKUP(F585,[1]characters!$A:$I,9,FALSE)</f>
        <v>4</v>
      </c>
      <c r="J585" s="8" t="str">
        <f>VLOOKUP(F585,[1]characters!$A:$H,8,FALSE)</f>
        <v>yellow</v>
      </c>
      <c r="K585" s="8" t="str">
        <f>VLOOKUP(F585,[1]characters!$A:$K,11,FALSE)</f>
        <v>heal</v>
      </c>
      <c r="L585" s="8" t="str">
        <f>VLOOKUP(F585,[1]characters!$A:$M,13,FALSE)</f>
        <v>human</v>
      </c>
      <c r="M585" s="16">
        <f>VLOOKUP(D585,gacha_188_base!A:B,2,FALSE)</f>
        <v>7875</v>
      </c>
      <c r="N585" s="38">
        <f>IFERROR(VLOOKUP($F585,bug_conf_sheet!$A:$H,3,FALSE),VLOOKUP("other",bug_conf_sheet!$A:$H,3,FALSE))</f>
        <v>1</v>
      </c>
      <c r="O585" s="38">
        <f>IFERROR(VLOOKUP($F585,bug_conf_sheet!$A:$H,4,FALSE),VLOOKUP("other",bug_conf_sheet!$A:$H,4,FALSE))</f>
        <v>0</v>
      </c>
      <c r="P585" s="38">
        <f>IFERROR(VLOOKUP($F585,bug_conf_sheet!$A:$H,5,FALSE),VLOOKUP("other",bug_conf_sheet!$A:$H,5,FALSE))</f>
        <v>0</v>
      </c>
      <c r="Q585" s="38">
        <f>IFERROR(VLOOKUP($F585,bug_conf_sheet!$A:$H,6,FALSE),VLOOKUP("other",bug_conf_sheet!$A:$H,6,FALSE))</f>
        <v>0</v>
      </c>
      <c r="R585" s="38">
        <f>IFERROR(VLOOKUP($F585,bug_conf_sheet!$A:$H,7,FALSE),VLOOKUP("other",bug_conf_sheet!$A:$H,7,FALSE))</f>
        <v>0</v>
      </c>
      <c r="S585" s="38">
        <f>IFERROR(VLOOKUP($F585,bug_conf_sheet!$A:$H,8,FALSE),VLOOKUP("other",bug_conf_sheet!$A:$H,8,FALSE))</f>
        <v>1</v>
      </c>
    </row>
    <row r="586" spans="1:19" ht="21" hidden="1" customHeight="1">
      <c r="A586" s="7" t="str">
        <f t="shared" ref="A586:A649" si="57">B586&amp;F586</f>
        <v>1885159</v>
      </c>
      <c r="B586" s="2" t="str">
        <f t="shared" si="56"/>
        <v>1885</v>
      </c>
      <c r="C586" s="8" t="str">
        <f t="shared" ref="C586:C649" si="58">E586&amp;H586&amp;I586</f>
        <v>5PremiumW4</v>
      </c>
      <c r="D586" s="8" t="str">
        <f t="shared" si="55"/>
        <v>5PremiumW4</v>
      </c>
      <c r="E586" s="10">
        <v>5</v>
      </c>
      <c r="F586" s="6">
        <v>159</v>
      </c>
      <c r="G586" s="8" t="str">
        <f>VLOOKUP(F586,[1]characters!$A:$C,3,FALSE)</f>
        <v>邪を狩りし者 シャルロッテ</v>
      </c>
      <c r="H586" s="8" t="str">
        <f>VLOOKUP(F586,[1]characters!$A:$J,10,FALSE)</f>
        <v>PremiumW</v>
      </c>
      <c r="I586" s="8">
        <f>VLOOKUP(F586,[1]characters!$A:$I,9,FALSE)</f>
        <v>4</v>
      </c>
      <c r="J586" s="8" t="str">
        <f>VLOOKUP(F586,[1]characters!$A:$H,8,FALSE)</f>
        <v>red</v>
      </c>
      <c r="K586" s="8" t="str">
        <f>VLOOKUP(F586,[1]characters!$A:$K,11,FALSE)</f>
        <v>heal</v>
      </c>
      <c r="L586" s="8" t="str">
        <f>VLOOKUP(F586,[1]characters!$A:$M,13,FALSE)</f>
        <v>human</v>
      </c>
      <c r="M586" s="16">
        <f>VLOOKUP(D586,gacha_188_base!A:B,2,FALSE)</f>
        <v>7875</v>
      </c>
      <c r="N586" s="38">
        <f>IFERROR(VLOOKUP($F586,bug_conf_sheet!$A:$H,3,FALSE),VLOOKUP("other",bug_conf_sheet!$A:$H,3,FALSE))</f>
        <v>1</v>
      </c>
      <c r="O586" s="38">
        <f>IFERROR(VLOOKUP($F586,bug_conf_sheet!$A:$H,4,FALSE),VLOOKUP("other",bug_conf_sheet!$A:$H,4,FALSE))</f>
        <v>0</v>
      </c>
      <c r="P586" s="38">
        <f>IFERROR(VLOOKUP($F586,bug_conf_sheet!$A:$H,5,FALSE),VLOOKUP("other",bug_conf_sheet!$A:$H,5,FALSE))</f>
        <v>0</v>
      </c>
      <c r="Q586" s="38">
        <f>IFERROR(VLOOKUP($F586,bug_conf_sheet!$A:$H,6,FALSE),VLOOKUP("other",bug_conf_sheet!$A:$H,6,FALSE))</f>
        <v>0</v>
      </c>
      <c r="R586" s="38">
        <f>IFERROR(VLOOKUP($F586,bug_conf_sheet!$A:$H,7,FALSE),VLOOKUP("other",bug_conf_sheet!$A:$H,7,FALSE))</f>
        <v>0</v>
      </c>
      <c r="S586" s="38">
        <f>IFERROR(VLOOKUP($F586,bug_conf_sheet!$A:$H,8,FALSE),VLOOKUP("other",bug_conf_sheet!$A:$H,8,FALSE))</f>
        <v>1</v>
      </c>
    </row>
    <row r="587" spans="1:19" ht="21" hidden="1" customHeight="1">
      <c r="A587" s="7" t="str">
        <f t="shared" si="57"/>
        <v>1885161</v>
      </c>
      <c r="B587" s="2" t="str">
        <f t="shared" si="56"/>
        <v>1885</v>
      </c>
      <c r="C587" s="8" t="str">
        <f t="shared" si="58"/>
        <v>5PremiumW4</v>
      </c>
      <c r="D587" s="8" t="str">
        <f t="shared" si="55"/>
        <v>5PremiumW4</v>
      </c>
      <c r="E587" s="10">
        <v>5</v>
      </c>
      <c r="F587" s="6">
        <v>161</v>
      </c>
      <c r="G587" s="8" t="str">
        <f>VLOOKUP(F587,[1]characters!$A:$C,3,FALSE)</f>
        <v>咆哮の先導者 クリエ</v>
      </c>
      <c r="H587" s="8" t="str">
        <f>VLOOKUP(F587,[1]characters!$A:$J,10,FALSE)</f>
        <v>PremiumW</v>
      </c>
      <c r="I587" s="8">
        <f>VLOOKUP(F587,[1]characters!$A:$I,9,FALSE)</f>
        <v>4</v>
      </c>
      <c r="J587" s="8" t="str">
        <f>VLOOKUP(F587,[1]characters!$A:$H,8,FALSE)</f>
        <v>green</v>
      </c>
      <c r="K587" s="8" t="str">
        <f>VLOOKUP(F587,[1]characters!$A:$K,11,FALSE)</f>
        <v>balance</v>
      </c>
      <c r="L587" s="8" t="str">
        <f>VLOOKUP(F587,[1]characters!$A:$M,13,FALSE)</f>
        <v>human</v>
      </c>
      <c r="M587" s="16">
        <f>VLOOKUP(D587,gacha_188_base!A:B,2,FALSE)</f>
        <v>7875</v>
      </c>
      <c r="N587" s="38">
        <f>IFERROR(VLOOKUP($F587,bug_conf_sheet!$A:$H,3,FALSE),VLOOKUP("other",bug_conf_sheet!$A:$H,3,FALSE))</f>
        <v>1</v>
      </c>
      <c r="O587" s="38">
        <f>IFERROR(VLOOKUP($F587,bug_conf_sheet!$A:$H,4,FALSE),VLOOKUP("other",bug_conf_sheet!$A:$H,4,FALSE))</f>
        <v>0</v>
      </c>
      <c r="P587" s="38">
        <f>IFERROR(VLOOKUP($F587,bug_conf_sheet!$A:$H,5,FALSE),VLOOKUP("other",bug_conf_sheet!$A:$H,5,FALSE))</f>
        <v>0</v>
      </c>
      <c r="Q587" s="38">
        <f>IFERROR(VLOOKUP($F587,bug_conf_sheet!$A:$H,6,FALSE),VLOOKUP("other",bug_conf_sheet!$A:$H,6,FALSE))</f>
        <v>0</v>
      </c>
      <c r="R587" s="38">
        <f>IFERROR(VLOOKUP($F587,bug_conf_sheet!$A:$H,7,FALSE),VLOOKUP("other",bug_conf_sheet!$A:$H,7,FALSE))</f>
        <v>0</v>
      </c>
      <c r="S587" s="38">
        <f>IFERROR(VLOOKUP($F587,bug_conf_sheet!$A:$H,8,FALSE),VLOOKUP("other",bug_conf_sheet!$A:$H,8,FALSE))</f>
        <v>1</v>
      </c>
    </row>
    <row r="588" spans="1:19" ht="21" hidden="1" customHeight="1">
      <c r="A588" s="7" t="str">
        <f t="shared" si="57"/>
        <v>1885163</v>
      </c>
      <c r="B588" s="2" t="str">
        <f t="shared" si="56"/>
        <v>1885</v>
      </c>
      <c r="C588" s="8" t="str">
        <f t="shared" si="58"/>
        <v>5PremiumW4</v>
      </c>
      <c r="D588" s="8" t="str">
        <f t="shared" si="55"/>
        <v>5PremiumW4</v>
      </c>
      <c r="E588" s="10">
        <v>5</v>
      </c>
      <c r="F588" s="6">
        <v>163</v>
      </c>
      <c r="G588" s="8" t="str">
        <f>VLOOKUP(F588,[1]characters!$A:$C,3,FALSE)</f>
        <v>冷酷な狂嬢 クララ</v>
      </c>
      <c r="H588" s="8" t="str">
        <f>VLOOKUP(F588,[1]characters!$A:$J,10,FALSE)</f>
        <v>PremiumW</v>
      </c>
      <c r="I588" s="8">
        <f>VLOOKUP(F588,[1]characters!$A:$I,9,FALSE)</f>
        <v>4</v>
      </c>
      <c r="J588" s="8" t="str">
        <f>VLOOKUP(F588,[1]characters!$A:$H,8,FALSE)</f>
        <v>blue</v>
      </c>
      <c r="K588" s="8" t="str">
        <f>VLOOKUP(F588,[1]characters!$A:$K,11,FALSE)</f>
        <v>attack</v>
      </c>
      <c r="L588" s="8" t="str">
        <f>VLOOKUP(F588,[1]characters!$A:$M,13,FALSE)</f>
        <v>human</v>
      </c>
      <c r="M588" s="16">
        <f>VLOOKUP(D588,gacha_188_base!A:B,2,FALSE)</f>
        <v>7875</v>
      </c>
      <c r="N588" s="38">
        <f>IFERROR(VLOOKUP($F588,bug_conf_sheet!$A:$H,3,FALSE),VLOOKUP("other",bug_conf_sheet!$A:$H,3,FALSE))</f>
        <v>1</v>
      </c>
      <c r="O588" s="38">
        <f>IFERROR(VLOOKUP($F588,bug_conf_sheet!$A:$H,4,FALSE),VLOOKUP("other",bug_conf_sheet!$A:$H,4,FALSE))</f>
        <v>0</v>
      </c>
      <c r="P588" s="38">
        <f>IFERROR(VLOOKUP($F588,bug_conf_sheet!$A:$H,5,FALSE),VLOOKUP("other",bug_conf_sheet!$A:$H,5,FALSE))</f>
        <v>0</v>
      </c>
      <c r="Q588" s="38">
        <f>IFERROR(VLOOKUP($F588,bug_conf_sheet!$A:$H,6,FALSE),VLOOKUP("other",bug_conf_sheet!$A:$H,6,FALSE))</f>
        <v>0</v>
      </c>
      <c r="R588" s="38">
        <f>IFERROR(VLOOKUP($F588,bug_conf_sheet!$A:$H,7,FALSE),VLOOKUP("other",bug_conf_sheet!$A:$H,7,FALSE))</f>
        <v>0</v>
      </c>
      <c r="S588" s="38">
        <f>IFERROR(VLOOKUP($F588,bug_conf_sheet!$A:$H,8,FALSE),VLOOKUP("other",bug_conf_sheet!$A:$H,8,FALSE))</f>
        <v>1</v>
      </c>
    </row>
    <row r="589" spans="1:19" ht="21" hidden="1" customHeight="1">
      <c r="A589" s="7" t="str">
        <f t="shared" si="57"/>
        <v>1885165</v>
      </c>
      <c r="B589" s="2" t="str">
        <f t="shared" si="56"/>
        <v>1885</v>
      </c>
      <c r="C589" s="8" t="str">
        <f t="shared" si="58"/>
        <v>5PremiumW4</v>
      </c>
      <c r="D589" s="8" t="str">
        <f t="shared" si="55"/>
        <v>5PremiumW4</v>
      </c>
      <c r="E589" s="10">
        <v>5</v>
      </c>
      <c r="F589" s="6">
        <v>165</v>
      </c>
      <c r="G589" s="8" t="str">
        <f>VLOOKUP(F589,[1]characters!$A:$C,3,FALSE)</f>
        <v>イブとたったひとりのトモダチ</v>
      </c>
      <c r="H589" s="8" t="str">
        <f>VLOOKUP(F589,[1]characters!$A:$J,10,FALSE)</f>
        <v>PremiumW</v>
      </c>
      <c r="I589" s="8">
        <f>VLOOKUP(F589,[1]characters!$A:$I,9,FALSE)</f>
        <v>4</v>
      </c>
      <c r="J589" s="8" t="str">
        <f>VLOOKUP(F589,[1]characters!$A:$H,8,FALSE)</f>
        <v>yellow</v>
      </c>
      <c r="K589" s="8" t="str">
        <f>VLOOKUP(F589,[1]characters!$A:$K,11,FALSE)</f>
        <v>technical</v>
      </c>
      <c r="L589" s="8" t="str">
        <f>VLOOKUP(F589,[1]characters!$A:$M,13,FALSE)</f>
        <v>human</v>
      </c>
      <c r="M589" s="16">
        <f>VLOOKUP(D589,gacha_188_base!A:B,2,FALSE)</f>
        <v>7875</v>
      </c>
      <c r="N589" s="38">
        <f>IFERROR(VLOOKUP($F589,bug_conf_sheet!$A:$H,3,FALSE),VLOOKUP("other",bug_conf_sheet!$A:$H,3,FALSE))</f>
        <v>1</v>
      </c>
      <c r="O589" s="38">
        <f>IFERROR(VLOOKUP($F589,bug_conf_sheet!$A:$H,4,FALSE),VLOOKUP("other",bug_conf_sheet!$A:$H,4,FALSE))</f>
        <v>0</v>
      </c>
      <c r="P589" s="38">
        <f>IFERROR(VLOOKUP($F589,bug_conf_sheet!$A:$H,5,FALSE),VLOOKUP("other",bug_conf_sheet!$A:$H,5,FALSE))</f>
        <v>0</v>
      </c>
      <c r="Q589" s="38">
        <f>IFERROR(VLOOKUP($F589,bug_conf_sheet!$A:$H,6,FALSE),VLOOKUP("other",bug_conf_sheet!$A:$H,6,FALSE))</f>
        <v>0</v>
      </c>
      <c r="R589" s="38">
        <f>IFERROR(VLOOKUP($F589,bug_conf_sheet!$A:$H,7,FALSE),VLOOKUP("other",bug_conf_sheet!$A:$H,7,FALSE))</f>
        <v>0</v>
      </c>
      <c r="S589" s="38">
        <f>IFERROR(VLOOKUP($F589,bug_conf_sheet!$A:$H,8,FALSE),VLOOKUP("other",bug_conf_sheet!$A:$H,8,FALSE))</f>
        <v>1</v>
      </c>
    </row>
    <row r="590" spans="1:19" ht="21" hidden="1" customHeight="1">
      <c r="A590" s="7" t="str">
        <f t="shared" si="57"/>
        <v>1885167</v>
      </c>
      <c r="B590" s="2" t="str">
        <f t="shared" si="56"/>
        <v>1885</v>
      </c>
      <c r="C590" s="8" t="str">
        <f t="shared" si="58"/>
        <v>5PremiumN4</v>
      </c>
      <c r="D590" s="8" t="str">
        <f t="shared" si="55"/>
        <v>5PremiumN4</v>
      </c>
      <c r="E590" s="10">
        <v>5</v>
      </c>
      <c r="F590" s="6">
        <v>167</v>
      </c>
      <c r="G590" s="8" t="str">
        <f>VLOOKUP(F590,[1]characters!$A:$C,3,FALSE)</f>
        <v>逆徒 ベリアル</v>
      </c>
      <c r="H590" s="8" t="str">
        <f>VLOOKUP(F590,[1]characters!$A:$J,10,FALSE)</f>
        <v>PremiumN</v>
      </c>
      <c r="I590" s="8">
        <f>VLOOKUP(F590,[1]characters!$A:$I,9,FALSE)</f>
        <v>4</v>
      </c>
      <c r="J590" s="8" t="str">
        <f>VLOOKUP(F590,[1]characters!$A:$H,8,FALSE)</f>
        <v>red</v>
      </c>
      <c r="K590" s="8" t="str">
        <f>VLOOKUP(F590,[1]characters!$A:$K,11,FALSE)</f>
        <v>attack</v>
      </c>
      <c r="L590" s="8" t="str">
        <f>VLOOKUP(F590,[1]characters!$A:$M,13,FALSE)</f>
        <v>god</v>
      </c>
      <c r="M590" s="16">
        <f>VLOOKUP(D590,gacha_188_base!A:B,2,FALSE)</f>
        <v>14805</v>
      </c>
      <c r="N590" s="38">
        <f>IFERROR(VLOOKUP($F590,bug_conf_sheet!$A:$H,3,FALSE),VLOOKUP("other",bug_conf_sheet!$A:$H,3,FALSE))</f>
        <v>1</v>
      </c>
      <c r="O590" s="38">
        <f>IFERROR(VLOOKUP($F590,bug_conf_sheet!$A:$H,4,FALSE),VLOOKUP("other",bug_conf_sheet!$A:$H,4,FALSE))</f>
        <v>0</v>
      </c>
      <c r="P590" s="38">
        <f>IFERROR(VLOOKUP($F590,bug_conf_sheet!$A:$H,5,FALSE),VLOOKUP("other",bug_conf_sheet!$A:$H,5,FALSE))</f>
        <v>0</v>
      </c>
      <c r="Q590" s="38">
        <f>IFERROR(VLOOKUP($F590,bug_conf_sheet!$A:$H,6,FALSE),VLOOKUP("other",bug_conf_sheet!$A:$H,6,FALSE))</f>
        <v>0</v>
      </c>
      <c r="R590" s="38">
        <f>IFERROR(VLOOKUP($F590,bug_conf_sheet!$A:$H,7,FALSE),VLOOKUP("other",bug_conf_sheet!$A:$H,7,FALSE))</f>
        <v>0</v>
      </c>
      <c r="S590" s="38">
        <f>IFERROR(VLOOKUP($F590,bug_conf_sheet!$A:$H,8,FALSE),VLOOKUP("other",bug_conf_sheet!$A:$H,8,FALSE))</f>
        <v>1</v>
      </c>
    </row>
    <row r="591" spans="1:19" ht="21" customHeight="1">
      <c r="A591" s="7" t="str">
        <f t="shared" si="57"/>
        <v>1885168</v>
      </c>
      <c r="B591" s="2" t="str">
        <f t="shared" si="56"/>
        <v>1885</v>
      </c>
      <c r="C591" s="8" t="str">
        <f t="shared" si="58"/>
        <v>5PremiumN5</v>
      </c>
      <c r="D591" s="8" t="str">
        <f t="shared" si="55"/>
        <v>5PremiumN5</v>
      </c>
      <c r="E591" s="10">
        <v>5</v>
      </c>
      <c r="F591" s="6">
        <v>168</v>
      </c>
      <c r="G591" s="8" t="str">
        <f>VLOOKUP(F591,[1]characters!$A:$C,3,FALSE)</f>
        <v>猛進の大逆者 ベリアル</v>
      </c>
      <c r="H591" s="8" t="str">
        <f>VLOOKUP(F591,[1]characters!$A:$J,10,FALSE)</f>
        <v>PremiumN</v>
      </c>
      <c r="I591" s="8">
        <f>VLOOKUP(F591,[1]characters!$A:$I,9,FALSE)</f>
        <v>5</v>
      </c>
      <c r="J591" s="8" t="str">
        <f>VLOOKUP(F591,[1]characters!$A:$H,8,FALSE)</f>
        <v>red</v>
      </c>
      <c r="K591" s="8" t="str">
        <f>VLOOKUP(F591,[1]characters!$A:$K,11,FALSE)</f>
        <v>attack</v>
      </c>
      <c r="L591" s="8" t="str">
        <f>VLOOKUP(F591,[1]characters!$A:$M,13,FALSE)</f>
        <v>god</v>
      </c>
      <c r="M591" s="16">
        <f>VLOOKUP(D591,gacha_188_base!A:B,2,FALSE)</f>
        <v>945</v>
      </c>
      <c r="N591" s="38">
        <f>IFERROR(VLOOKUP($F591,bug_conf_sheet!$A:$H,3,FALSE),VLOOKUP("other",bug_conf_sheet!$A:$H,3,FALSE))</f>
        <v>1</v>
      </c>
      <c r="O591" s="38">
        <f>IFERROR(VLOOKUP($F591,bug_conf_sheet!$A:$H,4,FALSE),VLOOKUP("other",bug_conf_sheet!$A:$H,4,FALSE))</f>
        <v>0</v>
      </c>
      <c r="P591" s="38">
        <f>IFERROR(VLOOKUP($F591,bug_conf_sheet!$A:$H,5,FALSE),VLOOKUP("other",bug_conf_sheet!$A:$H,5,FALSE))</f>
        <v>0</v>
      </c>
      <c r="Q591" s="38">
        <f>IFERROR(VLOOKUP($F591,bug_conf_sheet!$A:$H,6,FALSE),VLOOKUP("other",bug_conf_sheet!$A:$H,6,FALSE))</f>
        <v>0</v>
      </c>
      <c r="R591" s="38">
        <f>IFERROR(VLOOKUP($F591,bug_conf_sheet!$A:$H,7,FALSE),VLOOKUP("other",bug_conf_sheet!$A:$H,7,FALSE))</f>
        <v>0</v>
      </c>
      <c r="S591" s="38">
        <f>IFERROR(VLOOKUP($F591,bug_conf_sheet!$A:$H,8,FALSE),VLOOKUP("other",bug_conf_sheet!$A:$H,8,FALSE))</f>
        <v>1</v>
      </c>
    </row>
    <row r="592" spans="1:19" ht="21" hidden="1" customHeight="1">
      <c r="A592" s="7" t="str">
        <f t="shared" si="57"/>
        <v>1885170</v>
      </c>
      <c r="B592" s="2" t="str">
        <f t="shared" si="56"/>
        <v>1885</v>
      </c>
      <c r="C592" s="8" t="str">
        <f t="shared" si="58"/>
        <v>5PremiumN4</v>
      </c>
      <c r="D592" s="8" t="str">
        <f t="shared" si="55"/>
        <v>5PremiumN4</v>
      </c>
      <c r="E592" s="10">
        <v>5</v>
      </c>
      <c r="F592" s="6">
        <v>170</v>
      </c>
      <c r="G592" s="8" t="str">
        <f>VLOOKUP(F592,[1]characters!$A:$C,3,FALSE)</f>
        <v>識徒 オセ</v>
      </c>
      <c r="H592" s="8" t="str">
        <f>VLOOKUP(F592,[1]characters!$A:$J,10,FALSE)</f>
        <v>PremiumN</v>
      </c>
      <c r="I592" s="8">
        <f>VLOOKUP(F592,[1]characters!$A:$I,9,FALSE)</f>
        <v>4</v>
      </c>
      <c r="J592" s="8" t="str">
        <f>VLOOKUP(F592,[1]characters!$A:$H,8,FALSE)</f>
        <v>green</v>
      </c>
      <c r="K592" s="8" t="str">
        <f>VLOOKUP(F592,[1]characters!$A:$K,11,FALSE)</f>
        <v>attack</v>
      </c>
      <c r="L592" s="8" t="str">
        <f>VLOOKUP(F592,[1]characters!$A:$M,13,FALSE)</f>
        <v>god</v>
      </c>
      <c r="M592" s="16">
        <f>VLOOKUP(D592,gacha_188_base!A:B,2,FALSE)</f>
        <v>14805</v>
      </c>
      <c r="N592" s="38">
        <f>IFERROR(VLOOKUP($F592,bug_conf_sheet!$A:$H,3,FALSE),VLOOKUP("other",bug_conf_sheet!$A:$H,3,FALSE))</f>
        <v>1</v>
      </c>
      <c r="O592" s="38">
        <f>IFERROR(VLOOKUP($F592,bug_conf_sheet!$A:$H,4,FALSE),VLOOKUP("other",bug_conf_sheet!$A:$H,4,FALSE))</f>
        <v>0</v>
      </c>
      <c r="P592" s="38">
        <f>IFERROR(VLOOKUP($F592,bug_conf_sheet!$A:$H,5,FALSE),VLOOKUP("other",bug_conf_sheet!$A:$H,5,FALSE))</f>
        <v>0</v>
      </c>
      <c r="Q592" s="38">
        <f>IFERROR(VLOOKUP($F592,bug_conf_sheet!$A:$H,6,FALSE),VLOOKUP("other",bug_conf_sheet!$A:$H,6,FALSE))</f>
        <v>0</v>
      </c>
      <c r="R592" s="38">
        <f>IFERROR(VLOOKUP($F592,bug_conf_sheet!$A:$H,7,FALSE),VLOOKUP("other",bug_conf_sheet!$A:$H,7,FALSE))</f>
        <v>0</v>
      </c>
      <c r="S592" s="38">
        <f>IFERROR(VLOOKUP($F592,bug_conf_sheet!$A:$H,8,FALSE),VLOOKUP("other",bug_conf_sheet!$A:$H,8,FALSE))</f>
        <v>1</v>
      </c>
    </row>
    <row r="593" spans="1:19" ht="21" customHeight="1">
      <c r="A593" s="7" t="str">
        <f t="shared" si="57"/>
        <v>1885171</v>
      </c>
      <c r="B593" s="2" t="str">
        <f t="shared" si="56"/>
        <v>1885</v>
      </c>
      <c r="C593" s="8" t="str">
        <f t="shared" si="58"/>
        <v>5PremiumN5</v>
      </c>
      <c r="D593" s="8" t="str">
        <f t="shared" si="55"/>
        <v>5PremiumN5</v>
      </c>
      <c r="E593" s="10">
        <v>5</v>
      </c>
      <c r="F593" s="6">
        <v>171</v>
      </c>
      <c r="G593" s="8" t="str">
        <f>VLOOKUP(F593,[1]characters!$A:$C,3,FALSE)</f>
        <v>精解の預知者 オセ</v>
      </c>
      <c r="H593" s="8" t="str">
        <f>VLOOKUP(F593,[1]characters!$A:$J,10,FALSE)</f>
        <v>PremiumN</v>
      </c>
      <c r="I593" s="8">
        <f>VLOOKUP(F593,[1]characters!$A:$I,9,FALSE)</f>
        <v>5</v>
      </c>
      <c r="J593" s="8" t="str">
        <f>VLOOKUP(F593,[1]characters!$A:$H,8,FALSE)</f>
        <v>green</v>
      </c>
      <c r="K593" s="8" t="str">
        <f>VLOOKUP(F593,[1]characters!$A:$K,11,FALSE)</f>
        <v>attack</v>
      </c>
      <c r="L593" s="8" t="str">
        <f>VLOOKUP(F593,[1]characters!$A:$M,13,FALSE)</f>
        <v>god</v>
      </c>
      <c r="M593" s="16">
        <f>VLOOKUP(D593,gacha_188_base!A:B,2,FALSE)</f>
        <v>945</v>
      </c>
      <c r="N593" s="38">
        <f>IFERROR(VLOOKUP($F593,bug_conf_sheet!$A:$H,3,FALSE),VLOOKUP("other",bug_conf_sheet!$A:$H,3,FALSE))</f>
        <v>1</v>
      </c>
      <c r="O593" s="38">
        <f>IFERROR(VLOOKUP($F593,bug_conf_sheet!$A:$H,4,FALSE),VLOOKUP("other",bug_conf_sheet!$A:$H,4,FALSE))</f>
        <v>0</v>
      </c>
      <c r="P593" s="38">
        <f>IFERROR(VLOOKUP($F593,bug_conf_sheet!$A:$H,5,FALSE),VLOOKUP("other",bug_conf_sheet!$A:$H,5,FALSE))</f>
        <v>0</v>
      </c>
      <c r="Q593" s="38">
        <f>IFERROR(VLOOKUP($F593,bug_conf_sheet!$A:$H,6,FALSE),VLOOKUP("other",bug_conf_sheet!$A:$H,6,FALSE))</f>
        <v>0</v>
      </c>
      <c r="R593" s="38">
        <f>IFERROR(VLOOKUP($F593,bug_conf_sheet!$A:$H,7,FALSE),VLOOKUP("other",bug_conf_sheet!$A:$H,7,FALSE))</f>
        <v>0</v>
      </c>
      <c r="S593" s="38">
        <f>IFERROR(VLOOKUP($F593,bug_conf_sheet!$A:$H,8,FALSE),VLOOKUP("other",bug_conf_sheet!$A:$H,8,FALSE))</f>
        <v>1</v>
      </c>
    </row>
    <row r="594" spans="1:19" ht="21" hidden="1" customHeight="1">
      <c r="A594" s="7" t="str">
        <f t="shared" si="57"/>
        <v>1885173</v>
      </c>
      <c r="B594" s="2" t="str">
        <f t="shared" si="56"/>
        <v>1885</v>
      </c>
      <c r="C594" s="8" t="str">
        <f t="shared" si="58"/>
        <v>5PremiumN4</v>
      </c>
      <c r="D594" s="8" t="str">
        <f t="shared" si="55"/>
        <v>5PremiumN4</v>
      </c>
      <c r="E594" s="10">
        <v>5</v>
      </c>
      <c r="F594" s="6">
        <v>173</v>
      </c>
      <c r="G594" s="8" t="str">
        <f>VLOOKUP(F594,[1]characters!$A:$C,3,FALSE)</f>
        <v>公爵 フォルネウス</v>
      </c>
      <c r="H594" s="8" t="str">
        <f>VLOOKUP(F594,[1]characters!$A:$J,10,FALSE)</f>
        <v>PremiumN</v>
      </c>
      <c r="I594" s="8">
        <f>VLOOKUP(F594,[1]characters!$A:$I,9,FALSE)</f>
        <v>4</v>
      </c>
      <c r="J594" s="8" t="str">
        <f>VLOOKUP(F594,[1]characters!$A:$H,8,FALSE)</f>
        <v>blue</v>
      </c>
      <c r="K594" s="8" t="str">
        <f>VLOOKUP(F594,[1]characters!$A:$K,11,FALSE)</f>
        <v>attack</v>
      </c>
      <c r="L594" s="8" t="str">
        <f>VLOOKUP(F594,[1]characters!$A:$M,13,FALSE)</f>
        <v>god</v>
      </c>
      <c r="M594" s="16">
        <f>VLOOKUP(D594,gacha_188_base!A:B,2,FALSE)</f>
        <v>14805</v>
      </c>
      <c r="N594" s="38">
        <f>IFERROR(VLOOKUP($F594,bug_conf_sheet!$A:$H,3,FALSE),VLOOKUP("other",bug_conf_sheet!$A:$H,3,FALSE))</f>
        <v>1</v>
      </c>
      <c r="O594" s="38">
        <f>IFERROR(VLOOKUP($F594,bug_conf_sheet!$A:$H,4,FALSE),VLOOKUP("other",bug_conf_sheet!$A:$H,4,FALSE))</f>
        <v>0</v>
      </c>
      <c r="P594" s="38">
        <f>IFERROR(VLOOKUP($F594,bug_conf_sheet!$A:$H,5,FALSE),VLOOKUP("other",bug_conf_sheet!$A:$H,5,FALSE))</f>
        <v>0</v>
      </c>
      <c r="Q594" s="38">
        <f>IFERROR(VLOOKUP($F594,bug_conf_sheet!$A:$H,6,FALSE),VLOOKUP("other",bug_conf_sheet!$A:$H,6,FALSE))</f>
        <v>0</v>
      </c>
      <c r="R594" s="38">
        <f>IFERROR(VLOOKUP($F594,bug_conf_sheet!$A:$H,7,FALSE),VLOOKUP("other",bug_conf_sheet!$A:$H,7,FALSE))</f>
        <v>0</v>
      </c>
      <c r="S594" s="38">
        <f>IFERROR(VLOOKUP($F594,bug_conf_sheet!$A:$H,8,FALSE),VLOOKUP("other",bug_conf_sheet!$A:$H,8,FALSE))</f>
        <v>1</v>
      </c>
    </row>
    <row r="595" spans="1:19" ht="21" customHeight="1">
      <c r="A595" s="7" t="str">
        <f t="shared" si="57"/>
        <v>1885174</v>
      </c>
      <c r="B595" s="2" t="str">
        <f t="shared" si="56"/>
        <v>1885</v>
      </c>
      <c r="C595" s="8" t="str">
        <f t="shared" si="58"/>
        <v>5PremiumN5</v>
      </c>
      <c r="D595" s="8" t="str">
        <f t="shared" si="55"/>
        <v>5PremiumN5</v>
      </c>
      <c r="E595" s="10">
        <v>5</v>
      </c>
      <c r="F595" s="6">
        <v>174</v>
      </c>
      <c r="G595" s="8" t="str">
        <f>VLOOKUP(F595,[1]characters!$A:$C,3,FALSE)</f>
        <v>偽愛の大公爵 フォルネウス</v>
      </c>
      <c r="H595" s="8" t="str">
        <f>VLOOKUP(F595,[1]characters!$A:$J,10,FALSE)</f>
        <v>PremiumN</v>
      </c>
      <c r="I595" s="8">
        <f>VLOOKUP(F595,[1]characters!$A:$I,9,FALSE)</f>
        <v>5</v>
      </c>
      <c r="J595" s="8" t="str">
        <f>VLOOKUP(F595,[1]characters!$A:$H,8,FALSE)</f>
        <v>blue</v>
      </c>
      <c r="K595" s="8" t="str">
        <f>VLOOKUP(F595,[1]characters!$A:$K,11,FALSE)</f>
        <v>attack</v>
      </c>
      <c r="L595" s="8" t="str">
        <f>VLOOKUP(F595,[1]characters!$A:$M,13,FALSE)</f>
        <v>god</v>
      </c>
      <c r="M595" s="16">
        <f>VLOOKUP(D595,gacha_188_base!A:B,2,FALSE)</f>
        <v>945</v>
      </c>
      <c r="N595" s="38">
        <f>IFERROR(VLOOKUP($F595,bug_conf_sheet!$A:$H,3,FALSE),VLOOKUP("other",bug_conf_sheet!$A:$H,3,FALSE))</f>
        <v>1</v>
      </c>
      <c r="O595" s="38">
        <f>IFERROR(VLOOKUP($F595,bug_conf_sheet!$A:$H,4,FALSE),VLOOKUP("other",bug_conf_sheet!$A:$H,4,FALSE))</f>
        <v>0</v>
      </c>
      <c r="P595" s="38">
        <f>IFERROR(VLOOKUP($F595,bug_conf_sheet!$A:$H,5,FALSE),VLOOKUP("other",bug_conf_sheet!$A:$H,5,FALSE))</f>
        <v>0</v>
      </c>
      <c r="Q595" s="38">
        <f>IFERROR(VLOOKUP($F595,bug_conf_sheet!$A:$H,6,FALSE),VLOOKUP("other",bug_conf_sheet!$A:$H,6,FALSE))</f>
        <v>0</v>
      </c>
      <c r="R595" s="38">
        <f>IFERROR(VLOOKUP($F595,bug_conf_sheet!$A:$H,7,FALSE),VLOOKUP("other",bug_conf_sheet!$A:$H,7,FALSE))</f>
        <v>0</v>
      </c>
      <c r="S595" s="38">
        <f>IFERROR(VLOOKUP($F595,bug_conf_sheet!$A:$H,8,FALSE),VLOOKUP("other",bug_conf_sheet!$A:$H,8,FALSE))</f>
        <v>1</v>
      </c>
    </row>
    <row r="596" spans="1:19" ht="21" hidden="1" customHeight="1">
      <c r="A596" s="7" t="str">
        <f t="shared" si="57"/>
        <v>1885176</v>
      </c>
      <c r="B596" s="2" t="str">
        <f t="shared" si="56"/>
        <v>1885</v>
      </c>
      <c r="C596" s="8" t="str">
        <f t="shared" si="58"/>
        <v>5PremiumN4</v>
      </c>
      <c r="D596" s="8" t="str">
        <f t="shared" si="55"/>
        <v>5PremiumN4</v>
      </c>
      <c r="E596" s="10">
        <v>5</v>
      </c>
      <c r="F596" s="6">
        <v>176</v>
      </c>
      <c r="G596" s="8" t="str">
        <f>VLOOKUP(F596,[1]characters!$A:$C,3,FALSE)</f>
        <v>異教徒 バフォメット</v>
      </c>
      <c r="H596" s="8" t="str">
        <f>VLOOKUP(F596,[1]characters!$A:$J,10,FALSE)</f>
        <v>PremiumN</v>
      </c>
      <c r="I596" s="8">
        <f>VLOOKUP(F596,[1]characters!$A:$I,9,FALSE)</f>
        <v>4</v>
      </c>
      <c r="J596" s="8" t="str">
        <f>VLOOKUP(F596,[1]characters!$A:$H,8,FALSE)</f>
        <v>yellow</v>
      </c>
      <c r="K596" s="8" t="str">
        <f>VLOOKUP(F596,[1]characters!$A:$K,11,FALSE)</f>
        <v>attack</v>
      </c>
      <c r="L596" s="8" t="str">
        <f>VLOOKUP(F596,[1]characters!$A:$M,13,FALSE)</f>
        <v>god</v>
      </c>
      <c r="M596" s="16">
        <f>VLOOKUP(D596,gacha_188_base!A:B,2,FALSE)</f>
        <v>14805</v>
      </c>
      <c r="N596" s="38">
        <f>IFERROR(VLOOKUP($F596,bug_conf_sheet!$A:$H,3,FALSE),VLOOKUP("other",bug_conf_sheet!$A:$H,3,FALSE))</f>
        <v>1</v>
      </c>
      <c r="O596" s="38">
        <f>IFERROR(VLOOKUP($F596,bug_conf_sheet!$A:$H,4,FALSE),VLOOKUP("other",bug_conf_sheet!$A:$H,4,FALSE))</f>
        <v>0</v>
      </c>
      <c r="P596" s="38">
        <f>IFERROR(VLOOKUP($F596,bug_conf_sheet!$A:$H,5,FALSE),VLOOKUP("other",bug_conf_sheet!$A:$H,5,FALSE))</f>
        <v>0</v>
      </c>
      <c r="Q596" s="38">
        <f>IFERROR(VLOOKUP($F596,bug_conf_sheet!$A:$H,6,FALSE),VLOOKUP("other",bug_conf_sheet!$A:$H,6,FALSE))</f>
        <v>0</v>
      </c>
      <c r="R596" s="38">
        <f>IFERROR(VLOOKUP($F596,bug_conf_sheet!$A:$H,7,FALSE),VLOOKUP("other",bug_conf_sheet!$A:$H,7,FALSE))</f>
        <v>0</v>
      </c>
      <c r="S596" s="38">
        <f>IFERROR(VLOOKUP($F596,bug_conf_sheet!$A:$H,8,FALSE),VLOOKUP("other",bug_conf_sheet!$A:$H,8,FALSE))</f>
        <v>1</v>
      </c>
    </row>
    <row r="597" spans="1:19" ht="21" customHeight="1">
      <c r="A597" s="7" t="str">
        <f t="shared" si="57"/>
        <v>1885177</v>
      </c>
      <c r="B597" s="2" t="str">
        <f t="shared" si="56"/>
        <v>1885</v>
      </c>
      <c r="C597" s="8" t="str">
        <f t="shared" si="58"/>
        <v>5PremiumN5</v>
      </c>
      <c r="D597" s="8" t="str">
        <f t="shared" si="55"/>
        <v>5PremiumN5</v>
      </c>
      <c r="E597" s="10">
        <v>5</v>
      </c>
      <c r="F597" s="6">
        <v>177</v>
      </c>
      <c r="G597" s="8" t="str">
        <f>VLOOKUP(F597,[1]characters!$A:$C,3,FALSE)</f>
        <v>黒魔の異端師 バフォメット</v>
      </c>
      <c r="H597" s="8" t="str">
        <f>VLOOKUP(F597,[1]characters!$A:$J,10,FALSE)</f>
        <v>PremiumN</v>
      </c>
      <c r="I597" s="8">
        <f>VLOOKUP(F597,[1]characters!$A:$I,9,FALSE)</f>
        <v>5</v>
      </c>
      <c r="J597" s="8" t="str">
        <f>VLOOKUP(F597,[1]characters!$A:$H,8,FALSE)</f>
        <v>yellow</v>
      </c>
      <c r="K597" s="8" t="str">
        <f>VLOOKUP(F597,[1]characters!$A:$K,11,FALSE)</f>
        <v>attack</v>
      </c>
      <c r="L597" s="8" t="str">
        <f>VLOOKUP(F597,[1]characters!$A:$M,13,FALSE)</f>
        <v>god</v>
      </c>
      <c r="M597" s="16">
        <f>VLOOKUP(D597,gacha_188_base!A:B,2,FALSE)</f>
        <v>945</v>
      </c>
      <c r="N597" s="38">
        <f>IFERROR(VLOOKUP($F597,bug_conf_sheet!$A:$H,3,FALSE),VLOOKUP("other",bug_conf_sheet!$A:$H,3,FALSE))</f>
        <v>1</v>
      </c>
      <c r="O597" s="38">
        <f>IFERROR(VLOOKUP($F597,bug_conf_sheet!$A:$H,4,FALSE),VLOOKUP("other",bug_conf_sheet!$A:$H,4,FALSE))</f>
        <v>0</v>
      </c>
      <c r="P597" s="38">
        <f>IFERROR(VLOOKUP($F597,bug_conf_sheet!$A:$H,5,FALSE),VLOOKUP("other",bug_conf_sheet!$A:$H,5,FALSE))</f>
        <v>0</v>
      </c>
      <c r="Q597" s="38">
        <f>IFERROR(VLOOKUP($F597,bug_conf_sheet!$A:$H,6,FALSE),VLOOKUP("other",bug_conf_sheet!$A:$H,6,FALSE))</f>
        <v>0</v>
      </c>
      <c r="R597" s="38">
        <f>IFERROR(VLOOKUP($F597,bug_conf_sheet!$A:$H,7,FALSE),VLOOKUP("other",bug_conf_sheet!$A:$H,7,FALSE))</f>
        <v>0</v>
      </c>
      <c r="S597" s="38">
        <f>IFERROR(VLOOKUP($F597,bug_conf_sheet!$A:$H,8,FALSE),VLOOKUP("other",bug_conf_sheet!$A:$H,8,FALSE))</f>
        <v>1</v>
      </c>
    </row>
    <row r="598" spans="1:19" ht="21" hidden="1" customHeight="1">
      <c r="A598" s="7" t="str">
        <f t="shared" si="57"/>
        <v>1885179</v>
      </c>
      <c r="B598" s="2" t="str">
        <f t="shared" si="56"/>
        <v>1885</v>
      </c>
      <c r="C598" s="8" t="str">
        <f t="shared" si="58"/>
        <v>5PremiumN4</v>
      </c>
      <c r="D598" s="8" t="str">
        <f t="shared" si="55"/>
        <v>5PremiumN4</v>
      </c>
      <c r="E598" s="10">
        <v>5</v>
      </c>
      <c r="F598" s="6">
        <v>179</v>
      </c>
      <c r="G598" s="8" t="str">
        <f>VLOOKUP(F598,[1]characters!$A:$C,3,FALSE)</f>
        <v>番犬 ケルベロス</v>
      </c>
      <c r="H598" s="8" t="str">
        <f>VLOOKUP(F598,[1]characters!$A:$J,10,FALSE)</f>
        <v>PremiumN</v>
      </c>
      <c r="I598" s="8">
        <f>VLOOKUP(F598,[1]characters!$A:$I,9,FALSE)</f>
        <v>4</v>
      </c>
      <c r="J598" s="8" t="str">
        <f>VLOOKUP(F598,[1]characters!$A:$H,8,FALSE)</f>
        <v>red</v>
      </c>
      <c r="K598" s="8" t="str">
        <f>VLOOKUP(F598,[1]characters!$A:$K,11,FALSE)</f>
        <v>balance</v>
      </c>
      <c r="L598" s="8" t="str">
        <f>VLOOKUP(F598,[1]characters!$A:$M,13,FALSE)</f>
        <v>animal</v>
      </c>
      <c r="M598" s="16">
        <f>VLOOKUP(D598,gacha_188_base!A:B,2,FALSE)</f>
        <v>14805</v>
      </c>
      <c r="N598" s="38">
        <f>IFERROR(VLOOKUP($F598,bug_conf_sheet!$A:$H,3,FALSE),VLOOKUP("other",bug_conf_sheet!$A:$H,3,FALSE))</f>
        <v>1</v>
      </c>
      <c r="O598" s="38">
        <f>IFERROR(VLOOKUP($F598,bug_conf_sheet!$A:$H,4,FALSE),VLOOKUP("other",bug_conf_sheet!$A:$H,4,FALSE))</f>
        <v>0</v>
      </c>
      <c r="P598" s="38">
        <f>IFERROR(VLOOKUP($F598,bug_conf_sheet!$A:$H,5,FALSE),VLOOKUP("other",bug_conf_sheet!$A:$H,5,FALSE))</f>
        <v>0</v>
      </c>
      <c r="Q598" s="38">
        <f>IFERROR(VLOOKUP($F598,bug_conf_sheet!$A:$H,6,FALSE),VLOOKUP("other",bug_conf_sheet!$A:$H,6,FALSE))</f>
        <v>0</v>
      </c>
      <c r="R598" s="38">
        <f>IFERROR(VLOOKUP($F598,bug_conf_sheet!$A:$H,7,FALSE),VLOOKUP("other",bug_conf_sheet!$A:$H,7,FALSE))</f>
        <v>0</v>
      </c>
      <c r="S598" s="38">
        <f>IFERROR(VLOOKUP($F598,bug_conf_sheet!$A:$H,8,FALSE),VLOOKUP("other",bug_conf_sheet!$A:$H,8,FALSE))</f>
        <v>1</v>
      </c>
    </row>
    <row r="599" spans="1:19" ht="21" customHeight="1">
      <c r="A599" s="7" t="str">
        <f t="shared" si="57"/>
        <v>1885180</v>
      </c>
      <c r="B599" s="2" t="str">
        <f t="shared" si="56"/>
        <v>1885</v>
      </c>
      <c r="C599" s="8" t="str">
        <f t="shared" si="58"/>
        <v>5PremiumN5</v>
      </c>
      <c r="D599" s="8" t="str">
        <f t="shared" si="55"/>
        <v>5PremiumN5</v>
      </c>
      <c r="E599" s="10">
        <v>5</v>
      </c>
      <c r="F599" s="6">
        <v>180</v>
      </c>
      <c r="G599" s="8" t="str">
        <f>VLOOKUP(F599,[1]characters!$A:$C,3,FALSE)</f>
        <v>地獄の大門番 ケルベロス</v>
      </c>
      <c r="H599" s="8" t="str">
        <f>VLOOKUP(F599,[1]characters!$A:$J,10,FALSE)</f>
        <v>PremiumN</v>
      </c>
      <c r="I599" s="8">
        <f>VLOOKUP(F599,[1]characters!$A:$I,9,FALSE)</f>
        <v>5</v>
      </c>
      <c r="J599" s="8" t="str">
        <f>VLOOKUP(F599,[1]characters!$A:$H,8,FALSE)</f>
        <v>red</v>
      </c>
      <c r="K599" s="8" t="str">
        <f>VLOOKUP(F599,[1]characters!$A:$K,11,FALSE)</f>
        <v>balance</v>
      </c>
      <c r="L599" s="8" t="str">
        <f>VLOOKUP(F599,[1]characters!$A:$M,13,FALSE)</f>
        <v>animal</v>
      </c>
      <c r="M599" s="16">
        <f>VLOOKUP(D599,gacha_188_base!A:B,2,FALSE)</f>
        <v>945</v>
      </c>
      <c r="N599" s="38">
        <f>IFERROR(VLOOKUP($F599,bug_conf_sheet!$A:$H,3,FALSE),VLOOKUP("other",bug_conf_sheet!$A:$H,3,FALSE))</f>
        <v>1</v>
      </c>
      <c r="O599" s="38">
        <f>IFERROR(VLOOKUP($F599,bug_conf_sheet!$A:$H,4,FALSE),VLOOKUP("other",bug_conf_sheet!$A:$H,4,FALSE))</f>
        <v>0</v>
      </c>
      <c r="P599" s="38">
        <f>IFERROR(VLOOKUP($F599,bug_conf_sheet!$A:$H,5,FALSE),VLOOKUP("other",bug_conf_sheet!$A:$H,5,FALSE))</f>
        <v>0</v>
      </c>
      <c r="Q599" s="38">
        <f>IFERROR(VLOOKUP($F599,bug_conf_sheet!$A:$H,6,FALSE),VLOOKUP("other",bug_conf_sheet!$A:$H,6,FALSE))</f>
        <v>0</v>
      </c>
      <c r="R599" s="38">
        <f>IFERROR(VLOOKUP($F599,bug_conf_sheet!$A:$H,7,FALSE),VLOOKUP("other",bug_conf_sheet!$A:$H,7,FALSE))</f>
        <v>0</v>
      </c>
      <c r="S599" s="38">
        <f>IFERROR(VLOOKUP($F599,bug_conf_sheet!$A:$H,8,FALSE),VLOOKUP("other",bug_conf_sheet!$A:$H,8,FALSE))</f>
        <v>1</v>
      </c>
    </row>
    <row r="600" spans="1:19" ht="21" hidden="1" customHeight="1">
      <c r="A600" s="7" t="str">
        <f t="shared" si="57"/>
        <v>1885182</v>
      </c>
      <c r="B600" s="2" t="str">
        <f t="shared" si="56"/>
        <v>1885</v>
      </c>
      <c r="C600" s="8" t="str">
        <f t="shared" si="58"/>
        <v>5PremiumN4</v>
      </c>
      <c r="D600" s="8" t="str">
        <f t="shared" si="55"/>
        <v>5PremiumN4</v>
      </c>
      <c r="E600" s="10">
        <v>5</v>
      </c>
      <c r="F600" s="6">
        <v>182</v>
      </c>
      <c r="G600" s="8" t="str">
        <f>VLOOKUP(F600,[1]characters!$A:$C,3,FALSE)</f>
        <v>放蕩者 ベヒモス</v>
      </c>
      <c r="H600" s="8" t="str">
        <f>VLOOKUP(F600,[1]characters!$A:$J,10,FALSE)</f>
        <v>PremiumN</v>
      </c>
      <c r="I600" s="8">
        <f>VLOOKUP(F600,[1]characters!$A:$I,9,FALSE)</f>
        <v>4</v>
      </c>
      <c r="J600" s="8" t="str">
        <f>VLOOKUP(F600,[1]characters!$A:$H,8,FALSE)</f>
        <v>green</v>
      </c>
      <c r="K600" s="8" t="str">
        <f>VLOOKUP(F600,[1]characters!$A:$K,11,FALSE)</f>
        <v>hp</v>
      </c>
      <c r="L600" s="8" t="str">
        <f>VLOOKUP(F600,[1]characters!$A:$M,13,FALSE)</f>
        <v>animal</v>
      </c>
      <c r="M600" s="16">
        <f>VLOOKUP(D600,gacha_188_base!A:B,2,FALSE)</f>
        <v>14805</v>
      </c>
      <c r="N600" s="38">
        <f>IFERROR(VLOOKUP($F600,bug_conf_sheet!$A:$H,3,FALSE),VLOOKUP("other",bug_conf_sheet!$A:$H,3,FALSE))</f>
        <v>1</v>
      </c>
      <c r="O600" s="38">
        <f>IFERROR(VLOOKUP($F600,bug_conf_sheet!$A:$H,4,FALSE),VLOOKUP("other",bug_conf_sheet!$A:$H,4,FALSE))</f>
        <v>0</v>
      </c>
      <c r="P600" s="38">
        <f>IFERROR(VLOOKUP($F600,bug_conf_sheet!$A:$H,5,FALSE),VLOOKUP("other",bug_conf_sheet!$A:$H,5,FALSE))</f>
        <v>0</v>
      </c>
      <c r="Q600" s="38">
        <f>IFERROR(VLOOKUP($F600,bug_conf_sheet!$A:$H,6,FALSE),VLOOKUP("other",bug_conf_sheet!$A:$H,6,FALSE))</f>
        <v>0</v>
      </c>
      <c r="R600" s="38">
        <f>IFERROR(VLOOKUP($F600,bug_conf_sheet!$A:$H,7,FALSE),VLOOKUP("other",bug_conf_sheet!$A:$H,7,FALSE))</f>
        <v>0</v>
      </c>
      <c r="S600" s="38">
        <f>IFERROR(VLOOKUP($F600,bug_conf_sheet!$A:$H,8,FALSE),VLOOKUP("other",bug_conf_sheet!$A:$H,8,FALSE))</f>
        <v>1</v>
      </c>
    </row>
    <row r="601" spans="1:19" ht="21" customHeight="1">
      <c r="A601" s="7" t="str">
        <f t="shared" si="57"/>
        <v>1885183</v>
      </c>
      <c r="B601" s="2" t="str">
        <f t="shared" si="56"/>
        <v>1885</v>
      </c>
      <c r="C601" s="8" t="str">
        <f t="shared" si="58"/>
        <v>5PremiumN5</v>
      </c>
      <c r="D601" s="8" t="str">
        <f t="shared" si="55"/>
        <v>5PremiumN5</v>
      </c>
      <c r="E601" s="10">
        <v>5</v>
      </c>
      <c r="F601" s="6">
        <v>183</v>
      </c>
      <c r="G601" s="8" t="str">
        <f>VLOOKUP(F601,[1]characters!$A:$C,3,FALSE)</f>
        <v>鈍重な彷徨者 ベヒモス</v>
      </c>
      <c r="H601" s="8" t="str">
        <f>VLOOKUP(F601,[1]characters!$A:$J,10,FALSE)</f>
        <v>PremiumN</v>
      </c>
      <c r="I601" s="8">
        <f>VLOOKUP(F601,[1]characters!$A:$I,9,FALSE)</f>
        <v>5</v>
      </c>
      <c r="J601" s="8" t="str">
        <f>VLOOKUP(F601,[1]characters!$A:$H,8,FALSE)</f>
        <v>green</v>
      </c>
      <c r="K601" s="8" t="str">
        <f>VLOOKUP(F601,[1]characters!$A:$K,11,FALSE)</f>
        <v>hp</v>
      </c>
      <c r="L601" s="8" t="str">
        <f>VLOOKUP(F601,[1]characters!$A:$M,13,FALSE)</f>
        <v>animal</v>
      </c>
      <c r="M601" s="16">
        <f>VLOOKUP(D601,gacha_188_base!A:B,2,FALSE)</f>
        <v>945</v>
      </c>
      <c r="N601" s="38">
        <f>IFERROR(VLOOKUP($F601,bug_conf_sheet!$A:$H,3,FALSE),VLOOKUP("other",bug_conf_sheet!$A:$H,3,FALSE))</f>
        <v>1</v>
      </c>
      <c r="O601" s="38">
        <f>IFERROR(VLOOKUP($F601,bug_conf_sheet!$A:$H,4,FALSE),VLOOKUP("other",bug_conf_sheet!$A:$H,4,FALSE))</f>
        <v>0</v>
      </c>
      <c r="P601" s="38">
        <f>IFERROR(VLOOKUP($F601,bug_conf_sheet!$A:$H,5,FALSE),VLOOKUP("other",bug_conf_sheet!$A:$H,5,FALSE))</f>
        <v>0</v>
      </c>
      <c r="Q601" s="38">
        <f>IFERROR(VLOOKUP($F601,bug_conf_sheet!$A:$H,6,FALSE),VLOOKUP("other",bug_conf_sheet!$A:$H,6,FALSE))</f>
        <v>0</v>
      </c>
      <c r="R601" s="38">
        <f>IFERROR(VLOOKUP($F601,bug_conf_sheet!$A:$H,7,FALSE),VLOOKUP("other",bug_conf_sheet!$A:$H,7,FALSE))</f>
        <v>0</v>
      </c>
      <c r="S601" s="38">
        <f>IFERROR(VLOOKUP($F601,bug_conf_sheet!$A:$H,8,FALSE),VLOOKUP("other",bug_conf_sheet!$A:$H,8,FALSE))</f>
        <v>1</v>
      </c>
    </row>
    <row r="602" spans="1:19" ht="21" hidden="1" customHeight="1">
      <c r="A602" s="7" t="str">
        <f t="shared" si="57"/>
        <v>1885185</v>
      </c>
      <c r="B602" s="2" t="str">
        <f t="shared" si="56"/>
        <v>1885</v>
      </c>
      <c r="C602" s="8" t="str">
        <f t="shared" si="58"/>
        <v>5PremiumN4</v>
      </c>
      <c r="D602" s="8" t="str">
        <f t="shared" si="55"/>
        <v>5PremiumN4</v>
      </c>
      <c r="E602" s="10">
        <v>5</v>
      </c>
      <c r="F602" s="6">
        <v>185</v>
      </c>
      <c r="G602" s="8" t="str">
        <f>VLOOKUP(F602,[1]characters!$A:$C,3,FALSE)</f>
        <v>海姫 クラーケン</v>
      </c>
      <c r="H602" s="8" t="str">
        <f>VLOOKUP(F602,[1]characters!$A:$J,10,FALSE)</f>
        <v>PremiumN</v>
      </c>
      <c r="I602" s="8">
        <f>VLOOKUP(F602,[1]characters!$A:$I,9,FALSE)</f>
        <v>4</v>
      </c>
      <c r="J602" s="8" t="str">
        <f>VLOOKUP(F602,[1]characters!$A:$H,8,FALSE)</f>
        <v>blue</v>
      </c>
      <c r="K602" s="8" t="str">
        <f>VLOOKUP(F602,[1]characters!$A:$K,11,FALSE)</f>
        <v>heal</v>
      </c>
      <c r="L602" s="8" t="str">
        <f>VLOOKUP(F602,[1]characters!$A:$M,13,FALSE)</f>
        <v>animal</v>
      </c>
      <c r="M602" s="16">
        <f>VLOOKUP(D602,gacha_188_base!A:B,2,FALSE)</f>
        <v>14805</v>
      </c>
      <c r="N602" s="38">
        <f>IFERROR(VLOOKUP($F602,bug_conf_sheet!$A:$H,3,FALSE),VLOOKUP("other",bug_conf_sheet!$A:$H,3,FALSE))</f>
        <v>1</v>
      </c>
      <c r="O602" s="38">
        <f>IFERROR(VLOOKUP($F602,bug_conf_sheet!$A:$H,4,FALSE),VLOOKUP("other",bug_conf_sheet!$A:$H,4,FALSE))</f>
        <v>0</v>
      </c>
      <c r="P602" s="38">
        <f>IFERROR(VLOOKUP($F602,bug_conf_sheet!$A:$H,5,FALSE),VLOOKUP("other",bug_conf_sheet!$A:$H,5,FALSE))</f>
        <v>0</v>
      </c>
      <c r="Q602" s="38">
        <f>IFERROR(VLOOKUP($F602,bug_conf_sheet!$A:$H,6,FALSE),VLOOKUP("other",bug_conf_sheet!$A:$H,6,FALSE))</f>
        <v>0</v>
      </c>
      <c r="R602" s="38">
        <f>IFERROR(VLOOKUP($F602,bug_conf_sheet!$A:$H,7,FALSE),VLOOKUP("other",bug_conf_sheet!$A:$H,7,FALSE))</f>
        <v>0</v>
      </c>
      <c r="S602" s="38">
        <f>IFERROR(VLOOKUP($F602,bug_conf_sheet!$A:$H,8,FALSE),VLOOKUP("other",bug_conf_sheet!$A:$H,8,FALSE))</f>
        <v>1</v>
      </c>
    </row>
    <row r="603" spans="1:19" ht="21" customHeight="1">
      <c r="A603" s="7" t="str">
        <f t="shared" si="57"/>
        <v>1885186</v>
      </c>
      <c r="B603" s="2" t="str">
        <f t="shared" si="56"/>
        <v>1885</v>
      </c>
      <c r="C603" s="8" t="str">
        <f t="shared" si="58"/>
        <v>5PremiumN5</v>
      </c>
      <c r="D603" s="8" t="str">
        <f t="shared" si="55"/>
        <v>5PremiumN5</v>
      </c>
      <c r="E603" s="10">
        <v>5</v>
      </c>
      <c r="F603" s="9">
        <v>186</v>
      </c>
      <c r="G603" s="8" t="str">
        <f>VLOOKUP(F603,[1]characters!$A:$C,3,FALSE)</f>
        <v>誇り高き多触姫・クラーケン</v>
      </c>
      <c r="H603" s="8" t="str">
        <f>VLOOKUP(F603,[1]characters!$A:$J,10,FALSE)</f>
        <v>PremiumN</v>
      </c>
      <c r="I603" s="8">
        <f>VLOOKUP(F603,[1]characters!$A:$I,9,FALSE)</f>
        <v>5</v>
      </c>
      <c r="J603" s="8" t="str">
        <f>VLOOKUP(F603,[1]characters!$A:$H,8,FALSE)</f>
        <v>blue</v>
      </c>
      <c r="K603" s="8" t="str">
        <f>VLOOKUP(F603,[1]characters!$A:$K,11,FALSE)</f>
        <v>heal</v>
      </c>
      <c r="L603" s="8" t="str">
        <f>VLOOKUP(F603,[1]characters!$A:$M,13,FALSE)</f>
        <v>animal</v>
      </c>
      <c r="M603" s="16">
        <f>VLOOKUP(D603,gacha_188_base!A:B,2,FALSE)</f>
        <v>945</v>
      </c>
      <c r="N603" s="38">
        <f>IFERROR(VLOOKUP($F603,bug_conf_sheet!$A:$H,3,FALSE),VLOOKUP("other",bug_conf_sheet!$A:$H,3,FALSE))</f>
        <v>1</v>
      </c>
      <c r="O603" s="38">
        <f>IFERROR(VLOOKUP($F603,bug_conf_sheet!$A:$H,4,FALSE),VLOOKUP("other",bug_conf_sheet!$A:$H,4,FALSE))</f>
        <v>0</v>
      </c>
      <c r="P603" s="38">
        <f>IFERROR(VLOOKUP($F603,bug_conf_sheet!$A:$H,5,FALSE),VLOOKUP("other",bug_conf_sheet!$A:$H,5,FALSE))</f>
        <v>0</v>
      </c>
      <c r="Q603" s="38">
        <f>IFERROR(VLOOKUP($F603,bug_conf_sheet!$A:$H,6,FALSE),VLOOKUP("other",bug_conf_sheet!$A:$H,6,FALSE))</f>
        <v>0</v>
      </c>
      <c r="R603" s="38">
        <f>IFERROR(VLOOKUP($F603,bug_conf_sheet!$A:$H,7,FALSE),VLOOKUP("other",bug_conf_sheet!$A:$H,7,FALSE))</f>
        <v>0</v>
      </c>
      <c r="S603" s="38">
        <f>IFERROR(VLOOKUP($F603,bug_conf_sheet!$A:$H,8,FALSE),VLOOKUP("other",bug_conf_sheet!$A:$H,8,FALSE))</f>
        <v>1</v>
      </c>
    </row>
    <row r="604" spans="1:19" ht="21" hidden="1" customHeight="1">
      <c r="A604" s="7" t="str">
        <f t="shared" si="57"/>
        <v>1885188</v>
      </c>
      <c r="B604" s="2" t="str">
        <f t="shared" si="56"/>
        <v>1885</v>
      </c>
      <c r="C604" s="8" t="str">
        <f t="shared" si="58"/>
        <v>5PremiumN4</v>
      </c>
      <c r="D604" s="8" t="str">
        <f t="shared" si="55"/>
        <v>5PremiumN4</v>
      </c>
      <c r="E604" s="10">
        <v>5</v>
      </c>
      <c r="F604" s="9">
        <v>188</v>
      </c>
      <c r="G604" s="8" t="str">
        <f>VLOOKUP(F604,[1]characters!$A:$C,3,FALSE)</f>
        <v>猛禽 ホルス</v>
      </c>
      <c r="H604" s="8" t="str">
        <f>VLOOKUP(F604,[1]characters!$A:$J,10,FALSE)</f>
        <v>PremiumN</v>
      </c>
      <c r="I604" s="8">
        <f>VLOOKUP(F604,[1]characters!$A:$I,9,FALSE)</f>
        <v>4</v>
      </c>
      <c r="J604" s="8" t="str">
        <f>VLOOKUP(F604,[1]characters!$A:$H,8,FALSE)</f>
        <v>yellow</v>
      </c>
      <c r="K604" s="8" t="str">
        <f>VLOOKUP(F604,[1]characters!$A:$K,11,FALSE)</f>
        <v>attack</v>
      </c>
      <c r="L604" s="8" t="str">
        <f>VLOOKUP(F604,[1]characters!$A:$M,13,FALSE)</f>
        <v>animal</v>
      </c>
      <c r="M604" s="16">
        <f>VLOOKUP(D604,gacha_188_base!A:B,2,FALSE)</f>
        <v>14805</v>
      </c>
      <c r="N604" s="38">
        <f>IFERROR(VLOOKUP($F604,bug_conf_sheet!$A:$H,3,FALSE),VLOOKUP("other",bug_conf_sheet!$A:$H,3,FALSE))</f>
        <v>1</v>
      </c>
      <c r="O604" s="38">
        <f>IFERROR(VLOOKUP($F604,bug_conf_sheet!$A:$H,4,FALSE),VLOOKUP("other",bug_conf_sheet!$A:$H,4,FALSE))</f>
        <v>0</v>
      </c>
      <c r="P604" s="38">
        <f>IFERROR(VLOOKUP($F604,bug_conf_sheet!$A:$H,5,FALSE),VLOOKUP("other",bug_conf_sheet!$A:$H,5,FALSE))</f>
        <v>0</v>
      </c>
      <c r="Q604" s="38">
        <f>IFERROR(VLOOKUP($F604,bug_conf_sheet!$A:$H,6,FALSE),VLOOKUP("other",bug_conf_sheet!$A:$H,6,FALSE))</f>
        <v>0</v>
      </c>
      <c r="R604" s="38">
        <f>IFERROR(VLOOKUP($F604,bug_conf_sheet!$A:$H,7,FALSE),VLOOKUP("other",bug_conf_sheet!$A:$H,7,FALSE))</f>
        <v>0</v>
      </c>
      <c r="S604" s="38">
        <f>IFERROR(VLOOKUP($F604,bug_conf_sheet!$A:$H,8,FALSE),VLOOKUP("other",bug_conf_sheet!$A:$H,8,FALSE))</f>
        <v>1</v>
      </c>
    </row>
    <row r="605" spans="1:19" ht="21" customHeight="1">
      <c r="A605" s="7" t="str">
        <f t="shared" si="57"/>
        <v>1885189</v>
      </c>
      <c r="B605" s="2" t="str">
        <f t="shared" si="56"/>
        <v>1885</v>
      </c>
      <c r="C605" s="8" t="str">
        <f t="shared" si="58"/>
        <v>5PremiumN5</v>
      </c>
      <c r="D605" s="8" t="str">
        <f t="shared" si="55"/>
        <v>5PremiumN5</v>
      </c>
      <c r="E605" s="10">
        <v>5</v>
      </c>
      <c r="F605" s="9">
        <v>189</v>
      </c>
      <c r="G605" s="8" t="str">
        <f>VLOOKUP(F605,[1]characters!$A:$C,3,FALSE)</f>
        <v>迅雷の王禽 ホルス</v>
      </c>
      <c r="H605" s="8" t="str">
        <f>VLOOKUP(F605,[1]characters!$A:$J,10,FALSE)</f>
        <v>PremiumN</v>
      </c>
      <c r="I605" s="8">
        <f>VLOOKUP(F605,[1]characters!$A:$I,9,FALSE)</f>
        <v>5</v>
      </c>
      <c r="J605" s="8" t="str">
        <f>VLOOKUP(F605,[1]characters!$A:$H,8,FALSE)</f>
        <v>yellow</v>
      </c>
      <c r="K605" s="8" t="str">
        <f>VLOOKUP(F605,[1]characters!$A:$K,11,FALSE)</f>
        <v>attack</v>
      </c>
      <c r="L605" s="8" t="str">
        <f>VLOOKUP(F605,[1]characters!$A:$M,13,FALSE)</f>
        <v>animal</v>
      </c>
      <c r="M605" s="16">
        <f>VLOOKUP(D605,gacha_188_base!A:B,2,FALSE)</f>
        <v>945</v>
      </c>
      <c r="N605" s="38">
        <f>IFERROR(VLOOKUP($F605,bug_conf_sheet!$A:$H,3,FALSE),VLOOKUP("other",bug_conf_sheet!$A:$H,3,FALSE))</f>
        <v>1</v>
      </c>
      <c r="O605" s="38">
        <f>IFERROR(VLOOKUP($F605,bug_conf_sheet!$A:$H,4,FALSE),VLOOKUP("other",bug_conf_sheet!$A:$H,4,FALSE))</f>
        <v>0</v>
      </c>
      <c r="P605" s="38">
        <f>IFERROR(VLOOKUP($F605,bug_conf_sheet!$A:$H,5,FALSE),VLOOKUP("other",bug_conf_sheet!$A:$H,5,FALSE))</f>
        <v>0</v>
      </c>
      <c r="Q605" s="38">
        <f>IFERROR(VLOOKUP($F605,bug_conf_sheet!$A:$H,6,FALSE),VLOOKUP("other",bug_conf_sheet!$A:$H,6,FALSE))</f>
        <v>0</v>
      </c>
      <c r="R605" s="38">
        <f>IFERROR(VLOOKUP($F605,bug_conf_sheet!$A:$H,7,FALSE),VLOOKUP("other",bug_conf_sheet!$A:$H,7,FALSE))</f>
        <v>0</v>
      </c>
      <c r="S605" s="38">
        <f>IFERROR(VLOOKUP($F605,bug_conf_sheet!$A:$H,8,FALSE),VLOOKUP("other",bug_conf_sheet!$A:$H,8,FALSE))</f>
        <v>1</v>
      </c>
    </row>
    <row r="606" spans="1:19" ht="21" hidden="1" customHeight="1">
      <c r="A606" s="7" t="str">
        <f t="shared" si="57"/>
        <v>1885191</v>
      </c>
      <c r="B606" s="2" t="str">
        <f t="shared" si="56"/>
        <v>1885</v>
      </c>
      <c r="C606" s="8" t="str">
        <f t="shared" si="58"/>
        <v>5PremiumN4</v>
      </c>
      <c r="D606" s="8" t="str">
        <f t="shared" si="55"/>
        <v>5PremiumN4</v>
      </c>
      <c r="E606" s="10">
        <v>5</v>
      </c>
      <c r="F606" s="6">
        <v>191</v>
      </c>
      <c r="G606" s="8" t="str">
        <f>VLOOKUP(F606,[1]characters!$A:$C,3,FALSE)</f>
        <v>始祖 卑弥呼</v>
      </c>
      <c r="H606" s="8" t="str">
        <f>VLOOKUP(F606,[1]characters!$A:$J,10,FALSE)</f>
        <v>PremiumN</v>
      </c>
      <c r="I606" s="8">
        <f>VLOOKUP(F606,[1]characters!$A:$I,9,FALSE)</f>
        <v>4</v>
      </c>
      <c r="J606" s="8" t="str">
        <f>VLOOKUP(F606,[1]characters!$A:$H,8,FALSE)</f>
        <v>red</v>
      </c>
      <c r="K606" s="8" t="str">
        <f>VLOOKUP(F606,[1]characters!$A:$K,11,FALSE)</f>
        <v>balance</v>
      </c>
      <c r="L606" s="8" t="str">
        <f>VLOOKUP(F606,[1]characters!$A:$M,13,FALSE)</f>
        <v>human</v>
      </c>
      <c r="M606" s="16">
        <f>VLOOKUP(D606,gacha_188_base!A:B,2,FALSE)</f>
        <v>14805</v>
      </c>
      <c r="N606" s="38">
        <f>IFERROR(VLOOKUP($F606,bug_conf_sheet!$A:$H,3,FALSE),VLOOKUP("other",bug_conf_sheet!$A:$H,3,FALSE))</f>
        <v>1</v>
      </c>
      <c r="O606" s="38">
        <f>IFERROR(VLOOKUP($F606,bug_conf_sheet!$A:$H,4,FALSE),VLOOKUP("other",bug_conf_sheet!$A:$H,4,FALSE))</f>
        <v>0</v>
      </c>
      <c r="P606" s="38">
        <f>IFERROR(VLOOKUP($F606,bug_conf_sheet!$A:$H,5,FALSE),VLOOKUP("other",bug_conf_sheet!$A:$H,5,FALSE))</f>
        <v>0</v>
      </c>
      <c r="Q606" s="38">
        <f>IFERROR(VLOOKUP($F606,bug_conf_sheet!$A:$H,6,FALSE),VLOOKUP("other",bug_conf_sheet!$A:$H,6,FALSE))</f>
        <v>0</v>
      </c>
      <c r="R606" s="38">
        <f>IFERROR(VLOOKUP($F606,bug_conf_sheet!$A:$H,7,FALSE),VLOOKUP("other",bug_conf_sheet!$A:$H,7,FALSE))</f>
        <v>0</v>
      </c>
      <c r="S606" s="38">
        <f>IFERROR(VLOOKUP($F606,bug_conf_sheet!$A:$H,8,FALSE),VLOOKUP("other",bug_conf_sheet!$A:$H,8,FALSE))</f>
        <v>1</v>
      </c>
    </row>
    <row r="607" spans="1:19" ht="21" customHeight="1">
      <c r="A607" s="7" t="str">
        <f t="shared" si="57"/>
        <v>1885192</v>
      </c>
      <c r="B607" s="2" t="str">
        <f t="shared" si="56"/>
        <v>1885</v>
      </c>
      <c r="C607" s="8" t="str">
        <f t="shared" si="58"/>
        <v>5PremiumN5</v>
      </c>
      <c r="D607" s="8" t="str">
        <f t="shared" si="55"/>
        <v>5PremiumN5</v>
      </c>
      <c r="E607" s="10">
        <v>5</v>
      </c>
      <c r="F607" s="6">
        <v>192</v>
      </c>
      <c r="G607" s="8" t="str">
        <f>VLOOKUP(F607,[1]characters!$A:$C,3,FALSE)</f>
        <v>荘厳なる始祖帝 卑弥呼</v>
      </c>
      <c r="H607" s="8" t="str">
        <f>VLOOKUP(F607,[1]characters!$A:$J,10,FALSE)</f>
        <v>PremiumN</v>
      </c>
      <c r="I607" s="8">
        <f>VLOOKUP(F607,[1]characters!$A:$I,9,FALSE)</f>
        <v>5</v>
      </c>
      <c r="J607" s="8" t="str">
        <f>VLOOKUP(F607,[1]characters!$A:$H,8,FALSE)</f>
        <v>red</v>
      </c>
      <c r="K607" s="8" t="str">
        <f>VLOOKUP(F607,[1]characters!$A:$K,11,FALSE)</f>
        <v>balance</v>
      </c>
      <c r="L607" s="8" t="str">
        <f>VLOOKUP(F607,[1]characters!$A:$M,13,FALSE)</f>
        <v>human</v>
      </c>
      <c r="M607" s="16">
        <f>VLOOKUP(D607,gacha_188_base!A:B,2,FALSE)</f>
        <v>945</v>
      </c>
      <c r="N607" s="38">
        <f>IFERROR(VLOOKUP($F607,bug_conf_sheet!$A:$H,3,FALSE),VLOOKUP("other",bug_conf_sheet!$A:$H,3,FALSE))</f>
        <v>1</v>
      </c>
      <c r="O607" s="38">
        <f>IFERROR(VLOOKUP($F607,bug_conf_sheet!$A:$H,4,FALSE),VLOOKUP("other",bug_conf_sheet!$A:$H,4,FALSE))</f>
        <v>0</v>
      </c>
      <c r="P607" s="38">
        <f>IFERROR(VLOOKUP($F607,bug_conf_sheet!$A:$H,5,FALSE),VLOOKUP("other",bug_conf_sheet!$A:$H,5,FALSE))</f>
        <v>0</v>
      </c>
      <c r="Q607" s="38">
        <f>IFERROR(VLOOKUP($F607,bug_conf_sheet!$A:$H,6,FALSE),VLOOKUP("other",bug_conf_sheet!$A:$H,6,FALSE))</f>
        <v>0</v>
      </c>
      <c r="R607" s="38">
        <f>IFERROR(VLOOKUP($F607,bug_conf_sheet!$A:$H,7,FALSE),VLOOKUP("other",bug_conf_sheet!$A:$H,7,FALSE))</f>
        <v>0</v>
      </c>
      <c r="S607" s="38">
        <f>IFERROR(VLOOKUP($F607,bug_conf_sheet!$A:$H,8,FALSE),VLOOKUP("other",bug_conf_sheet!$A:$H,8,FALSE))</f>
        <v>1</v>
      </c>
    </row>
    <row r="608" spans="1:19" ht="21" hidden="1" customHeight="1">
      <c r="A608" s="7" t="str">
        <f t="shared" si="57"/>
        <v>1885194</v>
      </c>
      <c r="B608" s="2" t="str">
        <f t="shared" si="56"/>
        <v>1885</v>
      </c>
      <c r="C608" s="8" t="str">
        <f t="shared" si="58"/>
        <v>5PremiumN4</v>
      </c>
      <c r="D608" s="8" t="str">
        <f t="shared" si="55"/>
        <v>5PremiumN4</v>
      </c>
      <c r="E608" s="10">
        <v>5</v>
      </c>
      <c r="F608" s="12">
        <v>194</v>
      </c>
      <c r="G608" s="8" t="str">
        <f>VLOOKUP(F608,[1]characters!$A:$C,3,FALSE)</f>
        <v>スナイパー ロビンフッド</v>
      </c>
      <c r="H608" s="8" t="str">
        <f>VLOOKUP(F608,[1]characters!$A:$J,10,FALSE)</f>
        <v>PremiumN</v>
      </c>
      <c r="I608" s="8">
        <f>VLOOKUP(F608,[1]characters!$A:$I,9,FALSE)</f>
        <v>4</v>
      </c>
      <c r="J608" s="8" t="str">
        <f>VLOOKUP(F608,[1]characters!$A:$H,8,FALSE)</f>
        <v>green</v>
      </c>
      <c r="K608" s="8" t="str">
        <f>VLOOKUP(F608,[1]characters!$A:$K,11,FALSE)</f>
        <v>balance</v>
      </c>
      <c r="L608" s="8" t="str">
        <f>VLOOKUP(F608,[1]characters!$A:$M,13,FALSE)</f>
        <v>human</v>
      </c>
      <c r="M608" s="16">
        <f>VLOOKUP(D608,gacha_188_base!A:B,2,FALSE)</f>
        <v>14805</v>
      </c>
      <c r="N608" s="38">
        <f>IFERROR(VLOOKUP($F608,bug_conf_sheet!$A:$H,3,FALSE),VLOOKUP("other",bug_conf_sheet!$A:$H,3,FALSE))</f>
        <v>1</v>
      </c>
      <c r="O608" s="38">
        <f>IFERROR(VLOOKUP($F608,bug_conf_sheet!$A:$H,4,FALSE),VLOOKUP("other",bug_conf_sheet!$A:$H,4,FALSE))</f>
        <v>0</v>
      </c>
      <c r="P608" s="38">
        <f>IFERROR(VLOOKUP($F608,bug_conf_sheet!$A:$H,5,FALSE),VLOOKUP("other",bug_conf_sheet!$A:$H,5,FALSE))</f>
        <v>0</v>
      </c>
      <c r="Q608" s="38">
        <f>IFERROR(VLOOKUP($F608,bug_conf_sheet!$A:$H,6,FALSE),VLOOKUP("other",bug_conf_sheet!$A:$H,6,FALSE))</f>
        <v>0</v>
      </c>
      <c r="R608" s="38">
        <f>IFERROR(VLOOKUP($F608,bug_conf_sheet!$A:$H,7,FALSE),VLOOKUP("other",bug_conf_sheet!$A:$H,7,FALSE))</f>
        <v>0</v>
      </c>
      <c r="S608" s="38">
        <f>IFERROR(VLOOKUP($F608,bug_conf_sheet!$A:$H,8,FALSE),VLOOKUP("other",bug_conf_sheet!$A:$H,8,FALSE))</f>
        <v>1</v>
      </c>
    </row>
    <row r="609" spans="1:19" ht="21" customHeight="1">
      <c r="A609" s="7" t="str">
        <f t="shared" si="57"/>
        <v>1885195</v>
      </c>
      <c r="B609" s="2" t="str">
        <f t="shared" si="56"/>
        <v>1885</v>
      </c>
      <c r="C609" s="8" t="str">
        <f t="shared" si="58"/>
        <v>5PremiumN5</v>
      </c>
      <c r="D609" s="8" t="str">
        <f t="shared" si="55"/>
        <v>5PremiumN5</v>
      </c>
      <c r="E609" s="10">
        <v>5</v>
      </c>
      <c r="F609" s="6">
        <v>195</v>
      </c>
      <c r="G609" s="8" t="str">
        <f>VLOOKUP(F609,[1]characters!$A:$C,3,FALSE)</f>
        <v>グランドハンター ロビンフッド</v>
      </c>
      <c r="H609" s="8" t="str">
        <f>VLOOKUP(F609,[1]characters!$A:$J,10,FALSE)</f>
        <v>PremiumN</v>
      </c>
      <c r="I609" s="8">
        <f>VLOOKUP(F609,[1]characters!$A:$I,9,FALSE)</f>
        <v>5</v>
      </c>
      <c r="J609" s="8" t="str">
        <f>VLOOKUP(F609,[1]characters!$A:$H,8,FALSE)</f>
        <v>green</v>
      </c>
      <c r="K609" s="8" t="str">
        <f>VLOOKUP(F609,[1]characters!$A:$K,11,FALSE)</f>
        <v>balance</v>
      </c>
      <c r="L609" s="8" t="str">
        <f>VLOOKUP(F609,[1]characters!$A:$M,13,FALSE)</f>
        <v>human</v>
      </c>
      <c r="M609" s="16">
        <f>VLOOKUP(D609,gacha_188_base!A:B,2,FALSE)</f>
        <v>945</v>
      </c>
      <c r="N609" s="38">
        <f>IFERROR(VLOOKUP($F609,bug_conf_sheet!$A:$H,3,FALSE),VLOOKUP("other",bug_conf_sheet!$A:$H,3,FALSE))</f>
        <v>1</v>
      </c>
      <c r="O609" s="38">
        <f>IFERROR(VLOOKUP($F609,bug_conf_sheet!$A:$H,4,FALSE),VLOOKUP("other",bug_conf_sheet!$A:$H,4,FALSE))</f>
        <v>0</v>
      </c>
      <c r="P609" s="38">
        <f>IFERROR(VLOOKUP($F609,bug_conf_sheet!$A:$H,5,FALSE),VLOOKUP("other",bug_conf_sheet!$A:$H,5,FALSE))</f>
        <v>0</v>
      </c>
      <c r="Q609" s="38">
        <f>IFERROR(VLOOKUP($F609,bug_conf_sheet!$A:$H,6,FALSE),VLOOKUP("other",bug_conf_sheet!$A:$H,6,FALSE))</f>
        <v>0</v>
      </c>
      <c r="R609" s="38">
        <f>IFERROR(VLOOKUP($F609,bug_conf_sheet!$A:$H,7,FALSE),VLOOKUP("other",bug_conf_sheet!$A:$H,7,FALSE))</f>
        <v>0</v>
      </c>
      <c r="S609" s="38">
        <f>IFERROR(VLOOKUP($F609,bug_conf_sheet!$A:$H,8,FALSE),VLOOKUP("other",bug_conf_sheet!$A:$H,8,FALSE))</f>
        <v>1</v>
      </c>
    </row>
    <row r="610" spans="1:19" ht="21" hidden="1" customHeight="1">
      <c r="A610" s="7" t="str">
        <f t="shared" si="57"/>
        <v>1885197</v>
      </c>
      <c r="B610" s="2" t="str">
        <f t="shared" si="56"/>
        <v>1885</v>
      </c>
      <c r="C610" s="8" t="str">
        <f t="shared" si="58"/>
        <v>5PremiumN4</v>
      </c>
      <c r="D610" s="8" t="str">
        <f t="shared" si="55"/>
        <v>5PremiumN4</v>
      </c>
      <c r="E610" s="10">
        <v>5</v>
      </c>
      <c r="F610" s="13">
        <v>197</v>
      </c>
      <c r="G610" s="8" t="str">
        <f>VLOOKUP(F610,[1]characters!$A:$C,3,FALSE)</f>
        <v>鉄腕 アキレス</v>
      </c>
      <c r="H610" s="8" t="str">
        <f>VLOOKUP(F610,[1]characters!$A:$J,10,FALSE)</f>
        <v>PremiumN</v>
      </c>
      <c r="I610" s="8">
        <f>VLOOKUP(F610,[1]characters!$A:$I,9,FALSE)</f>
        <v>4</v>
      </c>
      <c r="J610" s="8" t="str">
        <f>VLOOKUP(F610,[1]characters!$A:$H,8,FALSE)</f>
        <v>yellow</v>
      </c>
      <c r="K610" s="8" t="str">
        <f>VLOOKUP(F610,[1]characters!$A:$K,11,FALSE)</f>
        <v>balance</v>
      </c>
      <c r="L610" s="8" t="str">
        <f>VLOOKUP(F610,[1]characters!$A:$M,13,FALSE)</f>
        <v>human</v>
      </c>
      <c r="M610" s="16">
        <f>VLOOKUP(D610,gacha_188_base!A:B,2,FALSE)</f>
        <v>14805</v>
      </c>
      <c r="N610" s="38">
        <f>IFERROR(VLOOKUP($F610,bug_conf_sheet!$A:$H,3,FALSE),VLOOKUP("other",bug_conf_sheet!$A:$H,3,FALSE))</f>
        <v>1</v>
      </c>
      <c r="O610" s="38">
        <f>IFERROR(VLOOKUP($F610,bug_conf_sheet!$A:$H,4,FALSE),VLOOKUP("other",bug_conf_sheet!$A:$H,4,FALSE))</f>
        <v>0</v>
      </c>
      <c r="P610" s="38">
        <f>IFERROR(VLOOKUP($F610,bug_conf_sheet!$A:$H,5,FALSE),VLOOKUP("other",bug_conf_sheet!$A:$H,5,FALSE))</f>
        <v>0</v>
      </c>
      <c r="Q610" s="38">
        <f>IFERROR(VLOOKUP($F610,bug_conf_sheet!$A:$H,6,FALSE),VLOOKUP("other",bug_conf_sheet!$A:$H,6,FALSE))</f>
        <v>0</v>
      </c>
      <c r="R610" s="38">
        <f>IFERROR(VLOOKUP($F610,bug_conf_sheet!$A:$H,7,FALSE),VLOOKUP("other",bug_conf_sheet!$A:$H,7,FALSE))</f>
        <v>0</v>
      </c>
      <c r="S610" s="38">
        <f>IFERROR(VLOOKUP($F610,bug_conf_sheet!$A:$H,8,FALSE),VLOOKUP("other",bug_conf_sheet!$A:$H,8,FALSE))</f>
        <v>1</v>
      </c>
    </row>
    <row r="611" spans="1:19" ht="21" customHeight="1">
      <c r="A611" s="7" t="str">
        <f t="shared" si="57"/>
        <v>1885198</v>
      </c>
      <c r="B611" s="2" t="str">
        <f t="shared" si="56"/>
        <v>1885</v>
      </c>
      <c r="C611" s="8" t="str">
        <f t="shared" si="58"/>
        <v>5PremiumN5</v>
      </c>
      <c r="D611" s="8" t="str">
        <f t="shared" si="55"/>
        <v>5PremiumN5</v>
      </c>
      <c r="E611" s="10">
        <v>5</v>
      </c>
      <c r="F611" s="6">
        <v>198</v>
      </c>
      <c r="G611" s="8" t="str">
        <f>VLOOKUP(F611,[1]characters!$A:$C,3,FALSE)</f>
        <v>砕骨の剛腕 アキレス</v>
      </c>
      <c r="H611" s="8" t="str">
        <f>VLOOKUP(F611,[1]characters!$A:$J,10,FALSE)</f>
        <v>PremiumN</v>
      </c>
      <c r="I611" s="8">
        <f>VLOOKUP(F611,[1]characters!$A:$I,9,FALSE)</f>
        <v>5</v>
      </c>
      <c r="J611" s="8" t="str">
        <f>VLOOKUP(F611,[1]characters!$A:$H,8,FALSE)</f>
        <v>yellow</v>
      </c>
      <c r="K611" s="8" t="str">
        <f>VLOOKUP(F611,[1]characters!$A:$K,11,FALSE)</f>
        <v>balance</v>
      </c>
      <c r="L611" s="8" t="str">
        <f>VLOOKUP(F611,[1]characters!$A:$M,13,FALSE)</f>
        <v>human</v>
      </c>
      <c r="M611" s="16">
        <f>VLOOKUP(D611,gacha_188_base!A:B,2,FALSE)</f>
        <v>945</v>
      </c>
      <c r="N611" s="38">
        <f>IFERROR(VLOOKUP($F611,bug_conf_sheet!$A:$H,3,FALSE),VLOOKUP("other",bug_conf_sheet!$A:$H,3,FALSE))</f>
        <v>1</v>
      </c>
      <c r="O611" s="38">
        <f>IFERROR(VLOOKUP($F611,bug_conf_sheet!$A:$H,4,FALSE),VLOOKUP("other",bug_conf_sheet!$A:$H,4,FALSE))</f>
        <v>0</v>
      </c>
      <c r="P611" s="38">
        <f>IFERROR(VLOOKUP($F611,bug_conf_sheet!$A:$H,5,FALSE),VLOOKUP("other",bug_conf_sheet!$A:$H,5,FALSE))</f>
        <v>0</v>
      </c>
      <c r="Q611" s="38">
        <f>IFERROR(VLOOKUP($F611,bug_conf_sheet!$A:$H,6,FALSE),VLOOKUP("other",bug_conf_sheet!$A:$H,6,FALSE))</f>
        <v>0</v>
      </c>
      <c r="R611" s="38">
        <f>IFERROR(VLOOKUP($F611,bug_conf_sheet!$A:$H,7,FALSE),VLOOKUP("other",bug_conf_sheet!$A:$H,7,FALSE))</f>
        <v>0</v>
      </c>
      <c r="S611" s="38">
        <f>IFERROR(VLOOKUP($F611,bug_conf_sheet!$A:$H,8,FALSE),VLOOKUP("other",bug_conf_sheet!$A:$H,8,FALSE))</f>
        <v>1</v>
      </c>
    </row>
    <row r="612" spans="1:19" ht="21" hidden="1" customHeight="1">
      <c r="A612" s="7" t="str">
        <f t="shared" si="57"/>
        <v>1885200</v>
      </c>
      <c r="B612" s="2" t="str">
        <f t="shared" si="56"/>
        <v>1885</v>
      </c>
      <c r="C612" s="8" t="str">
        <f t="shared" si="58"/>
        <v>5PremiumN4</v>
      </c>
      <c r="D612" s="8" t="str">
        <f t="shared" si="55"/>
        <v>5PremiumN4</v>
      </c>
      <c r="E612" s="10">
        <v>5</v>
      </c>
      <c r="F612" s="6">
        <v>200</v>
      </c>
      <c r="G612" s="8" t="str">
        <f>VLOOKUP(F612,[1]characters!$A:$C,3,FALSE)</f>
        <v>大剣士 ジークフリート</v>
      </c>
      <c r="H612" s="8" t="str">
        <f>VLOOKUP(F612,[1]characters!$A:$J,10,FALSE)</f>
        <v>PremiumN</v>
      </c>
      <c r="I612" s="8">
        <f>VLOOKUP(F612,[1]characters!$A:$I,9,FALSE)</f>
        <v>4</v>
      </c>
      <c r="J612" s="8" t="str">
        <f>VLOOKUP(F612,[1]characters!$A:$H,8,FALSE)</f>
        <v>blue</v>
      </c>
      <c r="K612" s="8" t="str">
        <f>VLOOKUP(F612,[1]characters!$A:$K,11,FALSE)</f>
        <v>balance</v>
      </c>
      <c r="L612" s="8" t="str">
        <f>VLOOKUP(F612,[1]characters!$A:$M,13,FALSE)</f>
        <v>human</v>
      </c>
      <c r="M612" s="16">
        <f>VLOOKUP(D612,gacha_188_base!A:B,2,FALSE)</f>
        <v>14805</v>
      </c>
      <c r="N612" s="38">
        <f>IFERROR(VLOOKUP($F612,bug_conf_sheet!$A:$H,3,FALSE),VLOOKUP("other",bug_conf_sheet!$A:$H,3,FALSE))</f>
        <v>1</v>
      </c>
      <c r="O612" s="38">
        <f>IFERROR(VLOOKUP($F612,bug_conf_sheet!$A:$H,4,FALSE),VLOOKUP("other",bug_conf_sheet!$A:$H,4,FALSE))</f>
        <v>0</v>
      </c>
      <c r="P612" s="38">
        <f>IFERROR(VLOOKUP($F612,bug_conf_sheet!$A:$H,5,FALSE),VLOOKUP("other",bug_conf_sheet!$A:$H,5,FALSE))</f>
        <v>0</v>
      </c>
      <c r="Q612" s="38">
        <f>IFERROR(VLOOKUP($F612,bug_conf_sheet!$A:$H,6,FALSE),VLOOKUP("other",bug_conf_sheet!$A:$H,6,FALSE))</f>
        <v>0</v>
      </c>
      <c r="R612" s="38">
        <f>IFERROR(VLOOKUP($F612,bug_conf_sheet!$A:$H,7,FALSE),VLOOKUP("other",bug_conf_sheet!$A:$H,7,FALSE))</f>
        <v>0</v>
      </c>
      <c r="S612" s="38">
        <f>IFERROR(VLOOKUP($F612,bug_conf_sheet!$A:$H,8,FALSE),VLOOKUP("other",bug_conf_sheet!$A:$H,8,FALSE))</f>
        <v>1</v>
      </c>
    </row>
    <row r="613" spans="1:19" ht="21" customHeight="1">
      <c r="A613" s="7" t="str">
        <f t="shared" si="57"/>
        <v>1885201</v>
      </c>
      <c r="B613" s="2" t="str">
        <f t="shared" si="56"/>
        <v>1885</v>
      </c>
      <c r="C613" s="8" t="str">
        <f t="shared" si="58"/>
        <v>5PremiumN5</v>
      </c>
      <c r="D613" s="8" t="str">
        <f t="shared" si="55"/>
        <v>5PremiumN5</v>
      </c>
      <c r="E613" s="10">
        <v>5</v>
      </c>
      <c r="F613" s="5">
        <v>201</v>
      </c>
      <c r="G613" s="8" t="str">
        <f>VLOOKUP(F613,[1]characters!$A:$C,3,FALSE)</f>
        <v>斬空の大破剣 ジークフリート</v>
      </c>
      <c r="H613" s="8" t="str">
        <f>VLOOKUP(F613,[1]characters!$A:$J,10,FALSE)</f>
        <v>PremiumN</v>
      </c>
      <c r="I613" s="8">
        <f>VLOOKUP(F613,[1]characters!$A:$I,9,FALSE)</f>
        <v>5</v>
      </c>
      <c r="J613" s="8" t="str">
        <f>VLOOKUP(F613,[1]characters!$A:$H,8,FALSE)</f>
        <v>blue</v>
      </c>
      <c r="K613" s="8" t="str">
        <f>VLOOKUP(F613,[1]characters!$A:$K,11,FALSE)</f>
        <v>balance</v>
      </c>
      <c r="L613" s="8" t="str">
        <f>VLOOKUP(F613,[1]characters!$A:$M,13,FALSE)</f>
        <v>human</v>
      </c>
      <c r="M613" s="16">
        <f>VLOOKUP(D613,gacha_188_base!A:B,2,FALSE)</f>
        <v>945</v>
      </c>
      <c r="N613" s="38">
        <f>IFERROR(VLOOKUP($F613,bug_conf_sheet!$A:$H,3,FALSE),VLOOKUP("other",bug_conf_sheet!$A:$H,3,FALSE))</f>
        <v>1</v>
      </c>
      <c r="O613" s="38">
        <f>IFERROR(VLOOKUP($F613,bug_conf_sheet!$A:$H,4,FALSE),VLOOKUP("other",bug_conf_sheet!$A:$H,4,FALSE))</f>
        <v>0</v>
      </c>
      <c r="P613" s="38">
        <f>IFERROR(VLOOKUP($F613,bug_conf_sheet!$A:$H,5,FALSE),VLOOKUP("other",bug_conf_sheet!$A:$H,5,FALSE))</f>
        <v>0</v>
      </c>
      <c r="Q613" s="38">
        <f>IFERROR(VLOOKUP($F613,bug_conf_sheet!$A:$H,6,FALSE),VLOOKUP("other",bug_conf_sheet!$A:$H,6,FALSE))</f>
        <v>0</v>
      </c>
      <c r="R613" s="38">
        <f>IFERROR(VLOOKUP($F613,bug_conf_sheet!$A:$H,7,FALSE),VLOOKUP("other",bug_conf_sheet!$A:$H,7,FALSE))</f>
        <v>0</v>
      </c>
      <c r="S613" s="38">
        <f>IFERROR(VLOOKUP($F613,bug_conf_sheet!$A:$H,8,FALSE),VLOOKUP("other",bug_conf_sheet!$A:$H,8,FALSE))</f>
        <v>1</v>
      </c>
    </row>
    <row r="614" spans="1:19" ht="21" hidden="1" customHeight="1">
      <c r="A614" s="7" t="str">
        <f t="shared" si="57"/>
        <v>1885203</v>
      </c>
      <c r="B614" s="2" t="str">
        <f t="shared" si="56"/>
        <v>1885</v>
      </c>
      <c r="C614" s="8" t="str">
        <f t="shared" si="58"/>
        <v>5PremiumN4</v>
      </c>
      <c r="D614" s="8" t="str">
        <f t="shared" si="55"/>
        <v>5PremiumN4</v>
      </c>
      <c r="E614" s="10">
        <v>5</v>
      </c>
      <c r="F614" s="5">
        <v>203</v>
      </c>
      <c r="G614" s="8" t="str">
        <f>VLOOKUP(F614,[1]characters!$A:$C,3,FALSE)</f>
        <v>焔神 プロメテウス</v>
      </c>
      <c r="H614" s="8" t="str">
        <f>VLOOKUP(F614,[1]characters!$A:$J,10,FALSE)</f>
        <v>PremiumN</v>
      </c>
      <c r="I614" s="8">
        <f>VLOOKUP(F614,[1]characters!$A:$I,9,FALSE)</f>
        <v>4</v>
      </c>
      <c r="J614" s="8" t="str">
        <f>VLOOKUP(F614,[1]characters!$A:$H,8,FALSE)</f>
        <v>red</v>
      </c>
      <c r="K614" s="8" t="str">
        <f>VLOOKUP(F614,[1]characters!$A:$K,11,FALSE)</f>
        <v>hp</v>
      </c>
      <c r="L614" s="8" t="str">
        <f>VLOOKUP(F614,[1]characters!$A:$M,13,FALSE)</f>
        <v>god</v>
      </c>
      <c r="M614" s="16">
        <f>VLOOKUP(D614,gacha_188_base!A:B,2,FALSE)</f>
        <v>14805</v>
      </c>
      <c r="N614" s="38">
        <f>IFERROR(VLOOKUP($F614,bug_conf_sheet!$A:$H,3,FALSE),VLOOKUP("other",bug_conf_sheet!$A:$H,3,FALSE))</f>
        <v>1</v>
      </c>
      <c r="O614" s="38">
        <f>IFERROR(VLOOKUP($F614,bug_conf_sheet!$A:$H,4,FALSE),VLOOKUP("other",bug_conf_sheet!$A:$H,4,FALSE))</f>
        <v>0</v>
      </c>
      <c r="P614" s="38">
        <f>IFERROR(VLOOKUP($F614,bug_conf_sheet!$A:$H,5,FALSE),VLOOKUP("other",bug_conf_sheet!$A:$H,5,FALSE))</f>
        <v>0</v>
      </c>
      <c r="Q614" s="38">
        <f>IFERROR(VLOOKUP($F614,bug_conf_sheet!$A:$H,6,FALSE),VLOOKUP("other",bug_conf_sheet!$A:$H,6,FALSE))</f>
        <v>0</v>
      </c>
      <c r="R614" s="38">
        <f>IFERROR(VLOOKUP($F614,bug_conf_sheet!$A:$H,7,FALSE),VLOOKUP("other",bug_conf_sheet!$A:$H,7,FALSE))</f>
        <v>0</v>
      </c>
      <c r="S614" s="38">
        <f>IFERROR(VLOOKUP($F614,bug_conf_sheet!$A:$H,8,FALSE),VLOOKUP("other",bug_conf_sheet!$A:$H,8,FALSE))</f>
        <v>1</v>
      </c>
    </row>
    <row r="615" spans="1:19" ht="21" customHeight="1">
      <c r="A615" s="7" t="str">
        <f t="shared" si="57"/>
        <v>1885204</v>
      </c>
      <c r="B615" s="2" t="str">
        <f t="shared" si="56"/>
        <v>1885</v>
      </c>
      <c r="C615" s="8" t="str">
        <f t="shared" si="58"/>
        <v>5PremiumN5</v>
      </c>
      <c r="D615" s="8" t="str">
        <f t="shared" si="55"/>
        <v>5PremiumN5</v>
      </c>
      <c r="E615" s="10">
        <v>5</v>
      </c>
      <c r="F615" s="5">
        <v>204</v>
      </c>
      <c r="G615" s="8" t="str">
        <f>VLOOKUP(F615,[1]characters!$A:$C,3,FALSE)</f>
        <v>慟哭の巨焔 プロメテウス</v>
      </c>
      <c r="H615" s="8" t="str">
        <f>VLOOKUP(F615,[1]characters!$A:$J,10,FALSE)</f>
        <v>PremiumN</v>
      </c>
      <c r="I615" s="8">
        <f>VLOOKUP(F615,[1]characters!$A:$I,9,FALSE)</f>
        <v>5</v>
      </c>
      <c r="J615" s="8" t="str">
        <f>VLOOKUP(F615,[1]characters!$A:$H,8,FALSE)</f>
        <v>red</v>
      </c>
      <c r="K615" s="8" t="str">
        <f>VLOOKUP(F615,[1]characters!$A:$K,11,FALSE)</f>
        <v>hp</v>
      </c>
      <c r="L615" s="8" t="str">
        <f>VLOOKUP(F615,[1]characters!$A:$M,13,FALSE)</f>
        <v>god</v>
      </c>
      <c r="M615" s="16">
        <f>VLOOKUP(D615,gacha_188_base!A:B,2,FALSE)</f>
        <v>945</v>
      </c>
      <c r="N615" s="38">
        <f>IFERROR(VLOOKUP($F615,bug_conf_sheet!$A:$H,3,FALSE),VLOOKUP("other",bug_conf_sheet!$A:$H,3,FALSE))</f>
        <v>1</v>
      </c>
      <c r="O615" s="38">
        <f>IFERROR(VLOOKUP($F615,bug_conf_sheet!$A:$H,4,FALSE),VLOOKUP("other",bug_conf_sheet!$A:$H,4,FALSE))</f>
        <v>0</v>
      </c>
      <c r="P615" s="38">
        <f>IFERROR(VLOOKUP($F615,bug_conf_sheet!$A:$H,5,FALSE),VLOOKUP("other",bug_conf_sheet!$A:$H,5,FALSE))</f>
        <v>0</v>
      </c>
      <c r="Q615" s="38">
        <f>IFERROR(VLOOKUP($F615,bug_conf_sheet!$A:$H,6,FALSE),VLOOKUP("other",bug_conf_sheet!$A:$H,6,FALSE))</f>
        <v>0</v>
      </c>
      <c r="R615" s="38">
        <f>IFERROR(VLOOKUP($F615,bug_conf_sheet!$A:$H,7,FALSE),VLOOKUP("other",bug_conf_sheet!$A:$H,7,FALSE))</f>
        <v>0</v>
      </c>
      <c r="S615" s="38">
        <f>IFERROR(VLOOKUP($F615,bug_conf_sheet!$A:$H,8,FALSE),VLOOKUP("other",bug_conf_sheet!$A:$H,8,FALSE))</f>
        <v>1</v>
      </c>
    </row>
    <row r="616" spans="1:19" ht="21" hidden="1" customHeight="1">
      <c r="A616" s="7" t="str">
        <f t="shared" si="57"/>
        <v>1885206</v>
      </c>
      <c r="B616" s="2" t="str">
        <f t="shared" si="56"/>
        <v>1885</v>
      </c>
      <c r="C616" s="8" t="str">
        <f t="shared" si="58"/>
        <v>5PremiumN4</v>
      </c>
      <c r="D616" s="8" t="str">
        <f t="shared" si="55"/>
        <v>5PremiumN4</v>
      </c>
      <c r="E616" s="10">
        <v>5</v>
      </c>
      <c r="F616" s="5">
        <v>206</v>
      </c>
      <c r="G616" s="8" t="str">
        <f>VLOOKUP(F616,[1]characters!$A:$C,3,FALSE)</f>
        <v>美神 アフロディーテ</v>
      </c>
      <c r="H616" s="8" t="str">
        <f>VLOOKUP(F616,[1]characters!$A:$J,10,FALSE)</f>
        <v>PremiumN</v>
      </c>
      <c r="I616" s="8">
        <f>VLOOKUP(F616,[1]characters!$A:$I,9,FALSE)</f>
        <v>4</v>
      </c>
      <c r="J616" s="8" t="str">
        <f>VLOOKUP(F616,[1]characters!$A:$H,8,FALSE)</f>
        <v>green</v>
      </c>
      <c r="K616" s="8" t="str">
        <f>VLOOKUP(F616,[1]characters!$A:$K,11,FALSE)</f>
        <v>hp</v>
      </c>
      <c r="L616" s="8" t="str">
        <f>VLOOKUP(F616,[1]characters!$A:$M,13,FALSE)</f>
        <v>god</v>
      </c>
      <c r="M616" s="16">
        <f>VLOOKUP(D616,gacha_188_base!A:B,2,FALSE)</f>
        <v>14805</v>
      </c>
      <c r="N616" s="38">
        <f>IFERROR(VLOOKUP($F616,bug_conf_sheet!$A:$H,3,FALSE),VLOOKUP("other",bug_conf_sheet!$A:$H,3,FALSE))</f>
        <v>1</v>
      </c>
      <c r="O616" s="38">
        <f>IFERROR(VLOOKUP($F616,bug_conf_sheet!$A:$H,4,FALSE),VLOOKUP("other",bug_conf_sheet!$A:$H,4,FALSE))</f>
        <v>0</v>
      </c>
      <c r="P616" s="38">
        <f>IFERROR(VLOOKUP($F616,bug_conf_sheet!$A:$H,5,FALSE),VLOOKUP("other",bug_conf_sheet!$A:$H,5,FALSE))</f>
        <v>0</v>
      </c>
      <c r="Q616" s="38">
        <f>IFERROR(VLOOKUP($F616,bug_conf_sheet!$A:$H,6,FALSE),VLOOKUP("other",bug_conf_sheet!$A:$H,6,FALSE))</f>
        <v>0</v>
      </c>
      <c r="R616" s="38">
        <f>IFERROR(VLOOKUP($F616,bug_conf_sheet!$A:$H,7,FALSE),VLOOKUP("other",bug_conf_sheet!$A:$H,7,FALSE))</f>
        <v>0</v>
      </c>
      <c r="S616" s="38">
        <f>IFERROR(VLOOKUP($F616,bug_conf_sheet!$A:$H,8,FALSE),VLOOKUP("other",bug_conf_sheet!$A:$H,8,FALSE))</f>
        <v>1</v>
      </c>
    </row>
    <row r="617" spans="1:19" ht="21" customHeight="1">
      <c r="A617" s="7" t="str">
        <f t="shared" si="57"/>
        <v>1885207</v>
      </c>
      <c r="B617" s="2" t="str">
        <f t="shared" si="56"/>
        <v>1885</v>
      </c>
      <c r="C617" s="8" t="str">
        <f t="shared" si="58"/>
        <v>5PremiumN5</v>
      </c>
      <c r="D617" s="8" t="str">
        <f t="shared" si="55"/>
        <v>5PremiumN5</v>
      </c>
      <c r="E617" s="10">
        <v>5</v>
      </c>
      <c r="F617" s="5">
        <v>207</v>
      </c>
      <c r="G617" s="8" t="str">
        <f>VLOOKUP(F617,[1]characters!$A:$C,3,FALSE)</f>
        <v>豊穣の麗神・アフロディーテ</v>
      </c>
      <c r="H617" s="8" t="str">
        <f>VLOOKUP(F617,[1]characters!$A:$J,10,FALSE)</f>
        <v>PremiumN</v>
      </c>
      <c r="I617" s="8">
        <f>VLOOKUP(F617,[1]characters!$A:$I,9,FALSE)</f>
        <v>5</v>
      </c>
      <c r="J617" s="8" t="str">
        <f>VLOOKUP(F617,[1]characters!$A:$H,8,FALSE)</f>
        <v>green</v>
      </c>
      <c r="K617" s="8" t="str">
        <f>VLOOKUP(F617,[1]characters!$A:$K,11,FALSE)</f>
        <v>hp</v>
      </c>
      <c r="L617" s="8" t="str">
        <f>VLOOKUP(F617,[1]characters!$A:$M,13,FALSE)</f>
        <v>god</v>
      </c>
      <c r="M617" s="16">
        <f>VLOOKUP(D617,gacha_188_base!A:B,2,FALSE)</f>
        <v>945</v>
      </c>
      <c r="N617" s="38">
        <f>IFERROR(VLOOKUP($F617,bug_conf_sheet!$A:$H,3,FALSE),VLOOKUP("other",bug_conf_sheet!$A:$H,3,FALSE))</f>
        <v>1</v>
      </c>
      <c r="O617" s="38">
        <f>IFERROR(VLOOKUP($F617,bug_conf_sheet!$A:$H,4,FALSE),VLOOKUP("other",bug_conf_sheet!$A:$H,4,FALSE))</f>
        <v>0</v>
      </c>
      <c r="P617" s="38">
        <f>IFERROR(VLOOKUP($F617,bug_conf_sheet!$A:$H,5,FALSE),VLOOKUP("other",bug_conf_sheet!$A:$H,5,FALSE))</f>
        <v>0</v>
      </c>
      <c r="Q617" s="38">
        <f>IFERROR(VLOOKUP($F617,bug_conf_sheet!$A:$H,6,FALSE),VLOOKUP("other",bug_conf_sheet!$A:$H,6,FALSE))</f>
        <v>0</v>
      </c>
      <c r="R617" s="38">
        <f>IFERROR(VLOOKUP($F617,bug_conf_sheet!$A:$H,7,FALSE),VLOOKUP("other",bug_conf_sheet!$A:$H,7,FALSE))</f>
        <v>0</v>
      </c>
      <c r="S617" s="38">
        <f>IFERROR(VLOOKUP($F617,bug_conf_sheet!$A:$H,8,FALSE),VLOOKUP("other",bug_conf_sheet!$A:$H,8,FALSE))</f>
        <v>1</v>
      </c>
    </row>
    <row r="618" spans="1:19" ht="21" hidden="1" customHeight="1">
      <c r="A618" s="7" t="str">
        <f t="shared" si="57"/>
        <v>1885209</v>
      </c>
      <c r="B618" s="2" t="str">
        <f t="shared" si="56"/>
        <v>1885</v>
      </c>
      <c r="C618" s="8" t="str">
        <f t="shared" si="58"/>
        <v>5PremiumN4</v>
      </c>
      <c r="D618" s="8" t="str">
        <f t="shared" si="55"/>
        <v>5PremiumN4</v>
      </c>
      <c r="E618" s="10">
        <v>5</v>
      </c>
      <c r="F618" s="5">
        <v>209</v>
      </c>
      <c r="G618" s="8" t="str">
        <f>VLOOKUP(F618,[1]characters!$A:$C,3,FALSE)</f>
        <v>孤神 テティス</v>
      </c>
      <c r="H618" s="8" t="str">
        <f>VLOOKUP(F618,[1]characters!$A:$J,10,FALSE)</f>
        <v>PremiumN</v>
      </c>
      <c r="I618" s="8">
        <f>VLOOKUP(F618,[1]characters!$A:$I,9,FALSE)</f>
        <v>4</v>
      </c>
      <c r="J618" s="8" t="str">
        <f>VLOOKUP(F618,[1]characters!$A:$H,8,FALSE)</f>
        <v>blue</v>
      </c>
      <c r="K618" s="8" t="str">
        <f>VLOOKUP(F618,[1]characters!$A:$K,11,FALSE)</f>
        <v>hp</v>
      </c>
      <c r="L618" s="8" t="str">
        <f>VLOOKUP(F618,[1]characters!$A:$M,13,FALSE)</f>
        <v>god</v>
      </c>
      <c r="M618" s="16">
        <f>VLOOKUP(D618,gacha_188_base!A:B,2,FALSE)</f>
        <v>14805</v>
      </c>
      <c r="N618" s="38">
        <f>IFERROR(VLOOKUP($F618,bug_conf_sheet!$A:$H,3,FALSE),VLOOKUP("other",bug_conf_sheet!$A:$H,3,FALSE))</f>
        <v>1</v>
      </c>
      <c r="O618" s="38">
        <f>IFERROR(VLOOKUP($F618,bug_conf_sheet!$A:$H,4,FALSE),VLOOKUP("other",bug_conf_sheet!$A:$H,4,FALSE))</f>
        <v>0</v>
      </c>
      <c r="P618" s="38">
        <f>IFERROR(VLOOKUP($F618,bug_conf_sheet!$A:$H,5,FALSE),VLOOKUP("other",bug_conf_sheet!$A:$H,5,FALSE))</f>
        <v>0</v>
      </c>
      <c r="Q618" s="38">
        <f>IFERROR(VLOOKUP($F618,bug_conf_sheet!$A:$H,6,FALSE),VLOOKUP("other",bug_conf_sheet!$A:$H,6,FALSE))</f>
        <v>0</v>
      </c>
      <c r="R618" s="38">
        <f>IFERROR(VLOOKUP($F618,bug_conf_sheet!$A:$H,7,FALSE),VLOOKUP("other",bug_conf_sheet!$A:$H,7,FALSE))</f>
        <v>0</v>
      </c>
      <c r="S618" s="38">
        <f>IFERROR(VLOOKUP($F618,bug_conf_sheet!$A:$H,8,FALSE),VLOOKUP("other",bug_conf_sheet!$A:$H,8,FALSE))</f>
        <v>1</v>
      </c>
    </row>
    <row r="619" spans="1:19" ht="21" customHeight="1">
      <c r="A619" s="7" t="str">
        <f t="shared" si="57"/>
        <v>1885210</v>
      </c>
      <c r="B619" s="2" t="str">
        <f t="shared" si="56"/>
        <v>1885</v>
      </c>
      <c r="C619" s="8" t="str">
        <f t="shared" si="58"/>
        <v>5PremiumN5</v>
      </c>
      <c r="D619" s="8" t="str">
        <f t="shared" si="55"/>
        <v>5PremiumN5</v>
      </c>
      <c r="E619" s="10">
        <v>5</v>
      </c>
      <c r="F619" s="5">
        <v>210</v>
      </c>
      <c r="G619" s="8" t="str">
        <f>VLOOKUP(F619,[1]characters!$A:$C,3,FALSE)</f>
        <v>海底の孤高神 テティス</v>
      </c>
      <c r="H619" s="8" t="str">
        <f>VLOOKUP(F619,[1]characters!$A:$J,10,FALSE)</f>
        <v>PremiumN</v>
      </c>
      <c r="I619" s="8">
        <f>VLOOKUP(F619,[1]characters!$A:$I,9,FALSE)</f>
        <v>5</v>
      </c>
      <c r="J619" s="8" t="str">
        <f>VLOOKUP(F619,[1]characters!$A:$H,8,FALSE)</f>
        <v>blue</v>
      </c>
      <c r="K619" s="8" t="str">
        <f>VLOOKUP(F619,[1]characters!$A:$K,11,FALSE)</f>
        <v>hp</v>
      </c>
      <c r="L619" s="8" t="str">
        <f>VLOOKUP(F619,[1]characters!$A:$M,13,FALSE)</f>
        <v>god</v>
      </c>
      <c r="M619" s="16">
        <f>VLOOKUP(D619,gacha_188_base!A:B,2,FALSE)</f>
        <v>945</v>
      </c>
      <c r="N619" s="38">
        <f>IFERROR(VLOOKUP($F619,bug_conf_sheet!$A:$H,3,FALSE),VLOOKUP("other",bug_conf_sheet!$A:$H,3,FALSE))</f>
        <v>1</v>
      </c>
      <c r="O619" s="38">
        <f>IFERROR(VLOOKUP($F619,bug_conf_sheet!$A:$H,4,FALSE),VLOOKUP("other",bug_conf_sheet!$A:$H,4,FALSE))</f>
        <v>0</v>
      </c>
      <c r="P619" s="38">
        <f>IFERROR(VLOOKUP($F619,bug_conf_sheet!$A:$H,5,FALSE),VLOOKUP("other",bug_conf_sheet!$A:$H,5,FALSE))</f>
        <v>0</v>
      </c>
      <c r="Q619" s="38">
        <f>IFERROR(VLOOKUP($F619,bug_conf_sheet!$A:$H,6,FALSE),VLOOKUP("other",bug_conf_sheet!$A:$H,6,FALSE))</f>
        <v>0</v>
      </c>
      <c r="R619" s="38">
        <f>IFERROR(VLOOKUP($F619,bug_conf_sheet!$A:$H,7,FALSE),VLOOKUP("other",bug_conf_sheet!$A:$H,7,FALSE))</f>
        <v>0</v>
      </c>
      <c r="S619" s="38">
        <f>IFERROR(VLOOKUP($F619,bug_conf_sheet!$A:$H,8,FALSE),VLOOKUP("other",bug_conf_sheet!$A:$H,8,FALSE))</f>
        <v>1</v>
      </c>
    </row>
    <row r="620" spans="1:19" ht="21" hidden="1" customHeight="1">
      <c r="A620" s="7" t="str">
        <f t="shared" si="57"/>
        <v>1885212</v>
      </c>
      <c r="B620" s="2" t="str">
        <f t="shared" si="56"/>
        <v>1885</v>
      </c>
      <c r="C620" s="8" t="str">
        <f t="shared" si="58"/>
        <v>5PremiumN4</v>
      </c>
      <c r="D620" s="8" t="str">
        <f t="shared" si="55"/>
        <v>5PremiumN4</v>
      </c>
      <c r="E620" s="10">
        <v>5</v>
      </c>
      <c r="F620" s="5">
        <v>212</v>
      </c>
      <c r="G620" s="8" t="str">
        <f>VLOOKUP(F620,[1]characters!$A:$C,3,FALSE)</f>
        <v>星神 アストライアー</v>
      </c>
      <c r="H620" s="8" t="str">
        <f>VLOOKUP(F620,[1]characters!$A:$J,10,FALSE)</f>
        <v>PremiumN</v>
      </c>
      <c r="I620" s="8">
        <f>VLOOKUP(F620,[1]characters!$A:$I,9,FALSE)</f>
        <v>4</v>
      </c>
      <c r="J620" s="8" t="str">
        <f>VLOOKUP(F620,[1]characters!$A:$H,8,FALSE)</f>
        <v>yellow</v>
      </c>
      <c r="K620" s="8" t="str">
        <f>VLOOKUP(F620,[1]characters!$A:$K,11,FALSE)</f>
        <v>balance</v>
      </c>
      <c r="L620" s="8" t="str">
        <f>VLOOKUP(F620,[1]characters!$A:$M,13,FALSE)</f>
        <v>god</v>
      </c>
      <c r="M620" s="16">
        <f>VLOOKUP(D620,gacha_188_base!A:B,2,FALSE)</f>
        <v>14805</v>
      </c>
      <c r="N620" s="38">
        <f>IFERROR(VLOOKUP($F620,bug_conf_sheet!$A:$H,3,FALSE),VLOOKUP("other",bug_conf_sheet!$A:$H,3,FALSE))</f>
        <v>1</v>
      </c>
      <c r="O620" s="38">
        <f>IFERROR(VLOOKUP($F620,bug_conf_sheet!$A:$H,4,FALSE),VLOOKUP("other",bug_conf_sheet!$A:$H,4,FALSE))</f>
        <v>0</v>
      </c>
      <c r="P620" s="38">
        <f>IFERROR(VLOOKUP($F620,bug_conf_sheet!$A:$H,5,FALSE),VLOOKUP("other",bug_conf_sheet!$A:$H,5,FALSE))</f>
        <v>0</v>
      </c>
      <c r="Q620" s="38">
        <f>IFERROR(VLOOKUP($F620,bug_conf_sheet!$A:$H,6,FALSE),VLOOKUP("other",bug_conf_sheet!$A:$H,6,FALSE))</f>
        <v>0</v>
      </c>
      <c r="R620" s="38">
        <f>IFERROR(VLOOKUP($F620,bug_conf_sheet!$A:$H,7,FALSE),VLOOKUP("other",bug_conf_sheet!$A:$H,7,FALSE))</f>
        <v>0</v>
      </c>
      <c r="S620" s="38">
        <f>IFERROR(VLOOKUP($F620,bug_conf_sheet!$A:$H,8,FALSE),VLOOKUP("other",bug_conf_sheet!$A:$H,8,FALSE))</f>
        <v>1</v>
      </c>
    </row>
    <row r="621" spans="1:19" ht="21" customHeight="1">
      <c r="A621" s="7" t="str">
        <f t="shared" si="57"/>
        <v>1885213</v>
      </c>
      <c r="B621" s="2" t="str">
        <f t="shared" si="56"/>
        <v>1885</v>
      </c>
      <c r="C621" s="8" t="str">
        <f t="shared" si="58"/>
        <v>5PremiumN5</v>
      </c>
      <c r="D621" s="8" t="str">
        <f t="shared" si="55"/>
        <v>5PremiumN5</v>
      </c>
      <c r="E621" s="10">
        <v>5</v>
      </c>
      <c r="F621" s="5">
        <v>213</v>
      </c>
      <c r="G621" s="8" t="str">
        <f>VLOOKUP(F621,[1]characters!$A:$C,3,FALSE)</f>
        <v>満天の星降神 アストライアー</v>
      </c>
      <c r="H621" s="8" t="str">
        <f>VLOOKUP(F621,[1]characters!$A:$J,10,FALSE)</f>
        <v>PremiumN</v>
      </c>
      <c r="I621" s="8">
        <f>VLOOKUP(F621,[1]characters!$A:$I,9,FALSE)</f>
        <v>5</v>
      </c>
      <c r="J621" s="8" t="str">
        <f>VLOOKUP(F621,[1]characters!$A:$H,8,FALSE)</f>
        <v>yellow</v>
      </c>
      <c r="K621" s="8" t="str">
        <f>VLOOKUP(F621,[1]characters!$A:$K,11,FALSE)</f>
        <v>balance</v>
      </c>
      <c r="L621" s="8" t="str">
        <f>VLOOKUP(F621,[1]characters!$A:$M,13,FALSE)</f>
        <v>god</v>
      </c>
      <c r="M621" s="16">
        <f>VLOOKUP(D621,gacha_188_base!A:B,2,FALSE)</f>
        <v>945</v>
      </c>
      <c r="N621" s="38">
        <f>IFERROR(VLOOKUP($F621,bug_conf_sheet!$A:$H,3,FALSE),VLOOKUP("other",bug_conf_sheet!$A:$H,3,FALSE))</f>
        <v>1</v>
      </c>
      <c r="O621" s="38">
        <f>IFERROR(VLOOKUP($F621,bug_conf_sheet!$A:$H,4,FALSE),VLOOKUP("other",bug_conf_sheet!$A:$H,4,FALSE))</f>
        <v>0</v>
      </c>
      <c r="P621" s="38">
        <f>IFERROR(VLOOKUP($F621,bug_conf_sheet!$A:$H,5,FALSE),VLOOKUP("other",bug_conf_sheet!$A:$H,5,FALSE))</f>
        <v>0</v>
      </c>
      <c r="Q621" s="38">
        <f>IFERROR(VLOOKUP($F621,bug_conf_sheet!$A:$H,6,FALSE),VLOOKUP("other",bug_conf_sheet!$A:$H,6,FALSE))</f>
        <v>0</v>
      </c>
      <c r="R621" s="38">
        <f>IFERROR(VLOOKUP($F621,bug_conf_sheet!$A:$H,7,FALSE),VLOOKUP("other",bug_conf_sheet!$A:$H,7,FALSE))</f>
        <v>0</v>
      </c>
      <c r="S621" s="38">
        <f>IFERROR(VLOOKUP($F621,bug_conf_sheet!$A:$H,8,FALSE),VLOOKUP("other",bug_conf_sheet!$A:$H,8,FALSE))</f>
        <v>1</v>
      </c>
    </row>
    <row r="622" spans="1:19" ht="21" hidden="1" customHeight="1">
      <c r="A622" s="7" t="str">
        <f t="shared" si="57"/>
        <v>1885215</v>
      </c>
      <c r="B622" s="2" t="str">
        <f t="shared" si="56"/>
        <v>1885</v>
      </c>
      <c r="C622" s="8" t="str">
        <f t="shared" si="58"/>
        <v>5PremiumN4</v>
      </c>
      <c r="D622" s="8" t="str">
        <f t="shared" si="55"/>
        <v>5PremiumN4</v>
      </c>
      <c r="E622" s="10">
        <v>5</v>
      </c>
      <c r="F622" s="5">
        <v>215</v>
      </c>
      <c r="G622" s="8" t="str">
        <f>VLOOKUP(F622,[1]characters!$A:$C,3,FALSE)</f>
        <v>死導者 アズラエル</v>
      </c>
      <c r="H622" s="8" t="str">
        <f>VLOOKUP(F622,[1]characters!$A:$J,10,FALSE)</f>
        <v>PremiumN</v>
      </c>
      <c r="I622" s="8">
        <f>VLOOKUP(F622,[1]characters!$A:$I,9,FALSE)</f>
        <v>4</v>
      </c>
      <c r="J622" s="8" t="str">
        <f>VLOOKUP(F622,[1]characters!$A:$H,8,FALSE)</f>
        <v>red</v>
      </c>
      <c r="K622" s="8" t="str">
        <f>VLOOKUP(F622,[1]characters!$A:$K,11,FALSE)</f>
        <v>balance</v>
      </c>
      <c r="L622" s="8" t="str">
        <f>VLOOKUP(F622,[1]characters!$A:$M,13,FALSE)</f>
        <v>god</v>
      </c>
      <c r="M622" s="16">
        <f>VLOOKUP(D622,gacha_188_base!A:B,2,FALSE)</f>
        <v>14805</v>
      </c>
      <c r="N622" s="38">
        <f>IFERROR(VLOOKUP($F622,bug_conf_sheet!$A:$H,3,FALSE),VLOOKUP("other",bug_conf_sheet!$A:$H,3,FALSE))</f>
        <v>1</v>
      </c>
      <c r="O622" s="38">
        <f>IFERROR(VLOOKUP($F622,bug_conf_sheet!$A:$H,4,FALSE),VLOOKUP("other",bug_conf_sheet!$A:$H,4,FALSE))</f>
        <v>0</v>
      </c>
      <c r="P622" s="38">
        <f>IFERROR(VLOOKUP($F622,bug_conf_sheet!$A:$H,5,FALSE),VLOOKUP("other",bug_conf_sheet!$A:$H,5,FALSE))</f>
        <v>0</v>
      </c>
      <c r="Q622" s="38">
        <f>IFERROR(VLOOKUP($F622,bug_conf_sheet!$A:$H,6,FALSE),VLOOKUP("other",bug_conf_sheet!$A:$H,6,FALSE))</f>
        <v>0</v>
      </c>
      <c r="R622" s="38">
        <f>IFERROR(VLOOKUP($F622,bug_conf_sheet!$A:$H,7,FALSE),VLOOKUP("other",bug_conf_sheet!$A:$H,7,FALSE))</f>
        <v>0</v>
      </c>
      <c r="S622" s="38">
        <f>IFERROR(VLOOKUP($F622,bug_conf_sheet!$A:$H,8,FALSE),VLOOKUP("other",bug_conf_sheet!$A:$H,8,FALSE))</f>
        <v>1</v>
      </c>
    </row>
    <row r="623" spans="1:19" ht="21" customHeight="1">
      <c r="A623" s="7" t="str">
        <f t="shared" si="57"/>
        <v>1885216</v>
      </c>
      <c r="B623" s="2" t="str">
        <f t="shared" si="56"/>
        <v>1885</v>
      </c>
      <c r="C623" s="8" t="str">
        <f t="shared" si="58"/>
        <v>5PremiumN5</v>
      </c>
      <c r="D623" s="8" t="str">
        <f t="shared" si="55"/>
        <v>5PremiumN5</v>
      </c>
      <c r="E623" s="10">
        <v>5</v>
      </c>
      <c r="F623" s="5">
        <v>216</v>
      </c>
      <c r="G623" s="8" t="str">
        <f>VLOOKUP(F623,[1]characters!$A:$C,3,FALSE)</f>
        <v>百読の死導司書 アズラエル</v>
      </c>
      <c r="H623" s="8" t="str">
        <f>VLOOKUP(F623,[1]characters!$A:$J,10,FALSE)</f>
        <v>PremiumN</v>
      </c>
      <c r="I623" s="8">
        <f>VLOOKUP(F623,[1]characters!$A:$I,9,FALSE)</f>
        <v>5</v>
      </c>
      <c r="J623" s="8" t="str">
        <f>VLOOKUP(F623,[1]characters!$A:$H,8,FALSE)</f>
        <v>red</v>
      </c>
      <c r="K623" s="8" t="str">
        <f>VLOOKUP(F623,[1]characters!$A:$K,11,FALSE)</f>
        <v>balance</v>
      </c>
      <c r="L623" s="8" t="str">
        <f>VLOOKUP(F623,[1]characters!$A:$M,13,FALSE)</f>
        <v>god</v>
      </c>
      <c r="M623" s="16">
        <f>VLOOKUP(D623,gacha_188_base!A:B,2,FALSE)</f>
        <v>945</v>
      </c>
      <c r="N623" s="38">
        <f>IFERROR(VLOOKUP($F623,bug_conf_sheet!$A:$H,3,FALSE),VLOOKUP("other",bug_conf_sheet!$A:$H,3,FALSE))</f>
        <v>1</v>
      </c>
      <c r="O623" s="38">
        <f>IFERROR(VLOOKUP($F623,bug_conf_sheet!$A:$H,4,FALSE),VLOOKUP("other",bug_conf_sheet!$A:$H,4,FALSE))</f>
        <v>0</v>
      </c>
      <c r="P623" s="38">
        <f>IFERROR(VLOOKUP($F623,bug_conf_sheet!$A:$H,5,FALSE),VLOOKUP("other",bug_conf_sheet!$A:$H,5,FALSE))</f>
        <v>0</v>
      </c>
      <c r="Q623" s="38">
        <f>IFERROR(VLOOKUP($F623,bug_conf_sheet!$A:$H,6,FALSE),VLOOKUP("other",bug_conf_sheet!$A:$H,6,FALSE))</f>
        <v>0</v>
      </c>
      <c r="R623" s="38">
        <f>IFERROR(VLOOKUP($F623,bug_conf_sheet!$A:$H,7,FALSE),VLOOKUP("other",bug_conf_sheet!$A:$H,7,FALSE))</f>
        <v>0</v>
      </c>
      <c r="S623" s="38">
        <f>IFERROR(VLOOKUP($F623,bug_conf_sheet!$A:$H,8,FALSE),VLOOKUP("other",bug_conf_sheet!$A:$H,8,FALSE))</f>
        <v>1</v>
      </c>
    </row>
    <row r="624" spans="1:19" ht="21" hidden="1" customHeight="1">
      <c r="A624" s="7" t="str">
        <f t="shared" si="57"/>
        <v>1885218</v>
      </c>
      <c r="B624" s="2" t="str">
        <f t="shared" si="56"/>
        <v>1885</v>
      </c>
      <c r="C624" s="8" t="str">
        <f t="shared" si="58"/>
        <v>5PremiumN4</v>
      </c>
      <c r="D624" s="8" t="str">
        <f t="shared" si="55"/>
        <v>5PremiumN4</v>
      </c>
      <c r="E624" s="10">
        <v>5</v>
      </c>
      <c r="F624" s="5">
        <v>218</v>
      </c>
      <c r="G624" s="8" t="str">
        <f>VLOOKUP(F624,[1]characters!$A:$C,3,FALSE)</f>
        <v>聖蛇 ケツァクアトル</v>
      </c>
      <c r="H624" s="8" t="str">
        <f>VLOOKUP(F624,[1]characters!$A:$J,10,FALSE)</f>
        <v>PremiumN</v>
      </c>
      <c r="I624" s="8">
        <f>VLOOKUP(F624,[1]characters!$A:$I,9,FALSE)</f>
        <v>4</v>
      </c>
      <c r="J624" s="8" t="str">
        <f>VLOOKUP(F624,[1]characters!$A:$H,8,FALSE)</f>
        <v>green</v>
      </c>
      <c r="K624" s="8" t="str">
        <f>VLOOKUP(F624,[1]characters!$A:$K,11,FALSE)</f>
        <v>hp</v>
      </c>
      <c r="L624" s="8" t="str">
        <f>VLOOKUP(F624,[1]characters!$A:$M,13,FALSE)</f>
        <v>dragon</v>
      </c>
      <c r="M624" s="16">
        <f>VLOOKUP(D624,gacha_188_base!A:B,2,FALSE)</f>
        <v>14805</v>
      </c>
      <c r="N624" s="38">
        <f>IFERROR(VLOOKUP($F624,bug_conf_sheet!$A:$H,3,FALSE),VLOOKUP("other",bug_conf_sheet!$A:$H,3,FALSE))</f>
        <v>1</v>
      </c>
      <c r="O624" s="38">
        <f>IFERROR(VLOOKUP($F624,bug_conf_sheet!$A:$H,4,FALSE),VLOOKUP("other",bug_conf_sheet!$A:$H,4,FALSE))</f>
        <v>0</v>
      </c>
      <c r="P624" s="38">
        <f>IFERROR(VLOOKUP($F624,bug_conf_sheet!$A:$H,5,FALSE),VLOOKUP("other",bug_conf_sheet!$A:$H,5,FALSE))</f>
        <v>0</v>
      </c>
      <c r="Q624" s="38">
        <f>IFERROR(VLOOKUP($F624,bug_conf_sheet!$A:$H,6,FALSE),VLOOKUP("other",bug_conf_sheet!$A:$H,6,FALSE))</f>
        <v>0</v>
      </c>
      <c r="R624" s="38">
        <f>IFERROR(VLOOKUP($F624,bug_conf_sheet!$A:$H,7,FALSE),VLOOKUP("other",bug_conf_sheet!$A:$H,7,FALSE))</f>
        <v>0</v>
      </c>
      <c r="S624" s="38">
        <f>IFERROR(VLOOKUP($F624,bug_conf_sheet!$A:$H,8,FALSE),VLOOKUP("other",bug_conf_sheet!$A:$H,8,FALSE))</f>
        <v>1</v>
      </c>
    </row>
    <row r="625" spans="1:19" ht="21" customHeight="1">
      <c r="A625" s="7" t="str">
        <f t="shared" si="57"/>
        <v>1885219</v>
      </c>
      <c r="B625" s="2" t="str">
        <f t="shared" si="56"/>
        <v>1885</v>
      </c>
      <c r="C625" s="8" t="str">
        <f t="shared" si="58"/>
        <v>5PremiumN5</v>
      </c>
      <c r="D625" s="8" t="str">
        <f t="shared" si="55"/>
        <v>5PremiumN5</v>
      </c>
      <c r="E625" s="10">
        <v>5</v>
      </c>
      <c r="F625" s="5">
        <v>219</v>
      </c>
      <c r="G625" s="8" t="str">
        <f>VLOOKUP(F625,[1]characters!$A:$C,3,FALSE)</f>
        <v>覇翼の聖蛇竜 ケツァクアトル</v>
      </c>
      <c r="H625" s="8" t="str">
        <f>VLOOKUP(F625,[1]characters!$A:$J,10,FALSE)</f>
        <v>PremiumN</v>
      </c>
      <c r="I625" s="8">
        <f>VLOOKUP(F625,[1]characters!$A:$I,9,FALSE)</f>
        <v>5</v>
      </c>
      <c r="J625" s="8" t="str">
        <f>VLOOKUP(F625,[1]characters!$A:$H,8,FALSE)</f>
        <v>green</v>
      </c>
      <c r="K625" s="8" t="str">
        <f>VLOOKUP(F625,[1]characters!$A:$K,11,FALSE)</f>
        <v>hp</v>
      </c>
      <c r="L625" s="8" t="str">
        <f>VLOOKUP(F625,[1]characters!$A:$M,13,FALSE)</f>
        <v>dragon</v>
      </c>
      <c r="M625" s="16">
        <f>VLOOKUP(D625,gacha_188_base!A:B,2,FALSE)</f>
        <v>945</v>
      </c>
      <c r="N625" s="38">
        <f>IFERROR(VLOOKUP($F625,bug_conf_sheet!$A:$H,3,FALSE),VLOOKUP("other",bug_conf_sheet!$A:$H,3,FALSE))</f>
        <v>1</v>
      </c>
      <c r="O625" s="38">
        <f>IFERROR(VLOOKUP($F625,bug_conf_sheet!$A:$H,4,FALSE),VLOOKUP("other",bug_conf_sheet!$A:$H,4,FALSE))</f>
        <v>0</v>
      </c>
      <c r="P625" s="38">
        <f>IFERROR(VLOOKUP($F625,bug_conf_sheet!$A:$H,5,FALSE),VLOOKUP("other",bug_conf_sheet!$A:$H,5,FALSE))</f>
        <v>0</v>
      </c>
      <c r="Q625" s="38">
        <f>IFERROR(VLOOKUP($F625,bug_conf_sheet!$A:$H,6,FALSE),VLOOKUP("other",bug_conf_sheet!$A:$H,6,FALSE))</f>
        <v>0</v>
      </c>
      <c r="R625" s="38">
        <f>IFERROR(VLOOKUP($F625,bug_conf_sheet!$A:$H,7,FALSE),VLOOKUP("other",bug_conf_sheet!$A:$H,7,FALSE))</f>
        <v>0</v>
      </c>
      <c r="S625" s="38">
        <f>IFERROR(VLOOKUP($F625,bug_conf_sheet!$A:$H,8,FALSE),VLOOKUP("other",bug_conf_sheet!$A:$H,8,FALSE))</f>
        <v>1</v>
      </c>
    </row>
    <row r="626" spans="1:19" ht="21" hidden="1" customHeight="1">
      <c r="A626" s="7" t="str">
        <f t="shared" si="57"/>
        <v>1885221</v>
      </c>
      <c r="B626" s="2" t="str">
        <f t="shared" si="56"/>
        <v>1885</v>
      </c>
      <c r="C626" s="8" t="str">
        <f t="shared" si="58"/>
        <v>5PremiumN4</v>
      </c>
      <c r="D626" s="8" t="str">
        <f t="shared" si="55"/>
        <v>5PremiumN4</v>
      </c>
      <c r="E626" s="10">
        <v>5</v>
      </c>
      <c r="F626" s="5">
        <v>221</v>
      </c>
      <c r="G626" s="8" t="str">
        <f>VLOOKUP(F626,[1]characters!$A:$C,3,FALSE)</f>
        <v>宰相 ルキフグス</v>
      </c>
      <c r="H626" s="8" t="str">
        <f>VLOOKUP(F626,[1]characters!$A:$J,10,FALSE)</f>
        <v>PremiumN</v>
      </c>
      <c r="I626" s="8">
        <f>VLOOKUP(F626,[1]characters!$A:$I,9,FALSE)</f>
        <v>4</v>
      </c>
      <c r="J626" s="8" t="str">
        <f>VLOOKUP(F626,[1]characters!$A:$H,8,FALSE)</f>
        <v>blue</v>
      </c>
      <c r="K626" s="8" t="str">
        <f>VLOOKUP(F626,[1]characters!$A:$K,11,FALSE)</f>
        <v>balance</v>
      </c>
      <c r="L626" s="8" t="str">
        <f>VLOOKUP(F626,[1]characters!$A:$M,13,FALSE)</f>
        <v>god</v>
      </c>
      <c r="M626" s="16">
        <f>VLOOKUP(D626,gacha_188_base!A:B,2,FALSE)</f>
        <v>14805</v>
      </c>
      <c r="N626" s="38">
        <f>IFERROR(VLOOKUP($F626,bug_conf_sheet!$A:$H,3,FALSE),VLOOKUP("other",bug_conf_sheet!$A:$H,3,FALSE))</f>
        <v>1</v>
      </c>
      <c r="O626" s="38">
        <f>IFERROR(VLOOKUP($F626,bug_conf_sheet!$A:$H,4,FALSE),VLOOKUP("other",bug_conf_sheet!$A:$H,4,FALSE))</f>
        <v>0</v>
      </c>
      <c r="P626" s="38">
        <f>IFERROR(VLOOKUP($F626,bug_conf_sheet!$A:$H,5,FALSE),VLOOKUP("other",bug_conf_sheet!$A:$H,5,FALSE))</f>
        <v>0</v>
      </c>
      <c r="Q626" s="38">
        <f>IFERROR(VLOOKUP($F626,bug_conf_sheet!$A:$H,6,FALSE),VLOOKUP("other",bug_conf_sheet!$A:$H,6,FALSE))</f>
        <v>0</v>
      </c>
      <c r="R626" s="38">
        <f>IFERROR(VLOOKUP($F626,bug_conf_sheet!$A:$H,7,FALSE),VLOOKUP("other",bug_conf_sheet!$A:$H,7,FALSE))</f>
        <v>0</v>
      </c>
      <c r="S626" s="38">
        <f>IFERROR(VLOOKUP($F626,bug_conf_sheet!$A:$H,8,FALSE),VLOOKUP("other",bug_conf_sheet!$A:$H,8,FALSE))</f>
        <v>1</v>
      </c>
    </row>
    <row r="627" spans="1:19" ht="21" customHeight="1">
      <c r="A627" s="7" t="str">
        <f t="shared" si="57"/>
        <v>1885222</v>
      </c>
      <c r="B627" s="2" t="str">
        <f t="shared" si="56"/>
        <v>1885</v>
      </c>
      <c r="C627" s="8" t="str">
        <f t="shared" si="58"/>
        <v>5PremiumN5</v>
      </c>
      <c r="D627" s="8" t="str">
        <f t="shared" si="55"/>
        <v>5PremiumN5</v>
      </c>
      <c r="E627" s="10">
        <v>5</v>
      </c>
      <c r="F627" s="5">
        <v>222</v>
      </c>
      <c r="G627" s="8" t="str">
        <f>VLOOKUP(F627,[1]characters!$A:$C,3,FALSE)</f>
        <v>避光の鉄鎖宰相 ルキフグス</v>
      </c>
      <c r="H627" s="8" t="str">
        <f>VLOOKUP(F627,[1]characters!$A:$J,10,FALSE)</f>
        <v>PremiumN</v>
      </c>
      <c r="I627" s="8">
        <f>VLOOKUP(F627,[1]characters!$A:$I,9,FALSE)</f>
        <v>5</v>
      </c>
      <c r="J627" s="8" t="str">
        <f>VLOOKUP(F627,[1]characters!$A:$H,8,FALSE)</f>
        <v>blue</v>
      </c>
      <c r="K627" s="8" t="str">
        <f>VLOOKUP(F627,[1]characters!$A:$K,11,FALSE)</f>
        <v>balance</v>
      </c>
      <c r="L627" s="8" t="str">
        <f>VLOOKUP(F627,[1]characters!$A:$M,13,FALSE)</f>
        <v>god</v>
      </c>
      <c r="M627" s="16">
        <f>VLOOKUP(D627,gacha_188_base!A:B,2,FALSE)</f>
        <v>945</v>
      </c>
      <c r="N627" s="38">
        <f>IFERROR(VLOOKUP($F627,bug_conf_sheet!$A:$H,3,FALSE),VLOOKUP("other",bug_conf_sheet!$A:$H,3,FALSE))</f>
        <v>1</v>
      </c>
      <c r="O627" s="38">
        <f>IFERROR(VLOOKUP($F627,bug_conf_sheet!$A:$H,4,FALSE),VLOOKUP("other",bug_conf_sheet!$A:$H,4,FALSE))</f>
        <v>0</v>
      </c>
      <c r="P627" s="38">
        <f>IFERROR(VLOOKUP($F627,bug_conf_sheet!$A:$H,5,FALSE),VLOOKUP("other",bug_conf_sheet!$A:$H,5,FALSE))</f>
        <v>0</v>
      </c>
      <c r="Q627" s="38">
        <f>IFERROR(VLOOKUP($F627,bug_conf_sheet!$A:$H,6,FALSE),VLOOKUP("other",bug_conf_sheet!$A:$H,6,FALSE))</f>
        <v>0</v>
      </c>
      <c r="R627" s="38">
        <f>IFERROR(VLOOKUP($F627,bug_conf_sheet!$A:$H,7,FALSE),VLOOKUP("other",bug_conf_sheet!$A:$H,7,FALSE))</f>
        <v>0</v>
      </c>
      <c r="S627" s="38">
        <f>IFERROR(VLOOKUP($F627,bug_conf_sheet!$A:$H,8,FALSE),VLOOKUP("other",bug_conf_sheet!$A:$H,8,FALSE))</f>
        <v>1</v>
      </c>
    </row>
    <row r="628" spans="1:19" ht="21" hidden="1" customHeight="1">
      <c r="A628" s="7" t="str">
        <f t="shared" si="57"/>
        <v>1885224</v>
      </c>
      <c r="B628" s="2" t="str">
        <f t="shared" si="56"/>
        <v>1885</v>
      </c>
      <c r="C628" s="8" t="str">
        <f t="shared" si="58"/>
        <v>5PremiumN4</v>
      </c>
      <c r="D628" s="8" t="str">
        <f t="shared" si="55"/>
        <v>5PremiumN4</v>
      </c>
      <c r="E628" s="10">
        <v>5</v>
      </c>
      <c r="F628" s="5">
        <v>224</v>
      </c>
      <c r="G628" s="8" t="str">
        <f>VLOOKUP(F628,[1]characters!$A:$C,3,FALSE)</f>
        <v>巨腕 ヘラクレス</v>
      </c>
      <c r="H628" s="8" t="str">
        <f>VLOOKUP(F628,[1]characters!$A:$J,10,FALSE)</f>
        <v>PremiumN</v>
      </c>
      <c r="I628" s="8">
        <f>VLOOKUP(F628,[1]characters!$A:$I,9,FALSE)</f>
        <v>4</v>
      </c>
      <c r="J628" s="8" t="str">
        <f>VLOOKUP(F628,[1]characters!$A:$H,8,FALSE)</f>
        <v>yellow</v>
      </c>
      <c r="K628" s="8" t="str">
        <f>VLOOKUP(F628,[1]characters!$A:$K,11,FALSE)</f>
        <v>balance</v>
      </c>
      <c r="L628" s="8" t="str">
        <f>VLOOKUP(F628,[1]characters!$A:$M,13,FALSE)</f>
        <v>human</v>
      </c>
      <c r="M628" s="16">
        <f>VLOOKUP(D628,gacha_188_base!A:B,2,FALSE)</f>
        <v>14805</v>
      </c>
      <c r="N628" s="38">
        <f>IFERROR(VLOOKUP($F628,bug_conf_sheet!$A:$H,3,FALSE),VLOOKUP("other",bug_conf_sheet!$A:$H,3,FALSE))</f>
        <v>1</v>
      </c>
      <c r="O628" s="38">
        <f>IFERROR(VLOOKUP($F628,bug_conf_sheet!$A:$H,4,FALSE),VLOOKUP("other",bug_conf_sheet!$A:$H,4,FALSE))</f>
        <v>0</v>
      </c>
      <c r="P628" s="38">
        <f>IFERROR(VLOOKUP($F628,bug_conf_sheet!$A:$H,5,FALSE),VLOOKUP("other",bug_conf_sheet!$A:$H,5,FALSE))</f>
        <v>0</v>
      </c>
      <c r="Q628" s="38">
        <f>IFERROR(VLOOKUP($F628,bug_conf_sheet!$A:$H,6,FALSE),VLOOKUP("other",bug_conf_sheet!$A:$H,6,FALSE))</f>
        <v>0</v>
      </c>
      <c r="R628" s="38">
        <f>IFERROR(VLOOKUP($F628,bug_conf_sheet!$A:$H,7,FALSE),VLOOKUP("other",bug_conf_sheet!$A:$H,7,FALSE))</f>
        <v>0</v>
      </c>
      <c r="S628" s="38">
        <f>IFERROR(VLOOKUP($F628,bug_conf_sheet!$A:$H,8,FALSE),VLOOKUP("other",bug_conf_sheet!$A:$H,8,FALSE))</f>
        <v>1</v>
      </c>
    </row>
    <row r="629" spans="1:19" ht="21" customHeight="1">
      <c r="A629" s="7" t="str">
        <f t="shared" si="57"/>
        <v>1885225</v>
      </c>
      <c r="B629" s="2" t="str">
        <f t="shared" si="56"/>
        <v>1885</v>
      </c>
      <c r="C629" s="8" t="str">
        <f t="shared" si="58"/>
        <v>5PremiumN5</v>
      </c>
      <c r="D629" s="8" t="str">
        <f t="shared" si="55"/>
        <v>5PremiumN5</v>
      </c>
      <c r="E629" s="10">
        <v>5</v>
      </c>
      <c r="F629" s="5">
        <v>225</v>
      </c>
      <c r="G629" s="8" t="str">
        <f>VLOOKUP(F629,[1]characters!$A:$C,3,FALSE)</f>
        <v>咆哮の巨獅腕 ヘラクレス</v>
      </c>
      <c r="H629" s="8" t="str">
        <f>VLOOKUP(F629,[1]characters!$A:$J,10,FALSE)</f>
        <v>PremiumN</v>
      </c>
      <c r="I629" s="8">
        <f>VLOOKUP(F629,[1]characters!$A:$I,9,FALSE)</f>
        <v>5</v>
      </c>
      <c r="J629" s="8" t="str">
        <f>VLOOKUP(F629,[1]characters!$A:$H,8,FALSE)</f>
        <v>yellow</v>
      </c>
      <c r="K629" s="8" t="str">
        <f>VLOOKUP(F629,[1]characters!$A:$K,11,FALSE)</f>
        <v>balance</v>
      </c>
      <c r="L629" s="8" t="str">
        <f>VLOOKUP(F629,[1]characters!$A:$M,13,FALSE)</f>
        <v>human</v>
      </c>
      <c r="M629" s="16">
        <f>VLOOKUP(D629,gacha_188_base!A:B,2,FALSE)</f>
        <v>945</v>
      </c>
      <c r="N629" s="38">
        <f>IFERROR(VLOOKUP($F629,bug_conf_sheet!$A:$H,3,FALSE),VLOOKUP("other",bug_conf_sheet!$A:$H,3,FALSE))</f>
        <v>1</v>
      </c>
      <c r="O629" s="38">
        <f>IFERROR(VLOOKUP($F629,bug_conf_sheet!$A:$H,4,FALSE),VLOOKUP("other",bug_conf_sheet!$A:$H,4,FALSE))</f>
        <v>0</v>
      </c>
      <c r="P629" s="38">
        <f>IFERROR(VLOOKUP($F629,bug_conf_sheet!$A:$H,5,FALSE),VLOOKUP("other",bug_conf_sheet!$A:$H,5,FALSE))</f>
        <v>0</v>
      </c>
      <c r="Q629" s="38">
        <f>IFERROR(VLOOKUP($F629,bug_conf_sheet!$A:$H,6,FALSE),VLOOKUP("other",bug_conf_sheet!$A:$H,6,FALSE))</f>
        <v>0</v>
      </c>
      <c r="R629" s="38">
        <f>IFERROR(VLOOKUP($F629,bug_conf_sheet!$A:$H,7,FALSE),VLOOKUP("other",bug_conf_sheet!$A:$H,7,FALSE))</f>
        <v>0</v>
      </c>
      <c r="S629" s="38">
        <f>IFERROR(VLOOKUP($F629,bug_conf_sheet!$A:$H,8,FALSE),VLOOKUP("other",bug_conf_sheet!$A:$H,8,FALSE))</f>
        <v>1</v>
      </c>
    </row>
    <row r="630" spans="1:19" ht="21" hidden="1" customHeight="1">
      <c r="A630" s="7" t="str">
        <f t="shared" si="57"/>
        <v>1885227</v>
      </c>
      <c r="B630" s="2" t="str">
        <f t="shared" si="56"/>
        <v>1885</v>
      </c>
      <c r="C630" s="8" t="str">
        <f t="shared" si="58"/>
        <v>5PremiumS4</v>
      </c>
      <c r="D630" s="8" t="str">
        <f t="shared" si="55"/>
        <v>5PremiumS4</v>
      </c>
      <c r="E630" s="10">
        <v>5</v>
      </c>
      <c r="F630" s="5">
        <v>227</v>
      </c>
      <c r="G630" s="8" t="str">
        <f>VLOOKUP(F630,[1]characters!$A:$C,3,FALSE)</f>
        <v>滅弾 アレス</v>
      </c>
      <c r="H630" s="8" t="str">
        <f>VLOOKUP(F630,[1]characters!$A:$J,10,FALSE)</f>
        <v>PremiumS</v>
      </c>
      <c r="I630" s="8">
        <f>VLOOKUP(F630,[1]characters!$A:$I,9,FALSE)</f>
        <v>4</v>
      </c>
      <c r="J630" s="8" t="str">
        <f>VLOOKUP(F630,[1]characters!$A:$H,8,FALSE)</f>
        <v>red</v>
      </c>
      <c r="K630" s="8" t="str">
        <f>VLOOKUP(F630,[1]characters!$A:$K,11,FALSE)</f>
        <v>attack</v>
      </c>
      <c r="L630" s="8" t="str">
        <f>VLOOKUP(F630,[1]characters!$A:$M,13,FALSE)</f>
        <v>god</v>
      </c>
      <c r="M630" s="16">
        <f>VLOOKUP(D630,gacha_188_base!A:B,2,FALSE)</f>
        <v>14805</v>
      </c>
      <c r="N630" s="38">
        <f>IFERROR(VLOOKUP($F630,bug_conf_sheet!$A:$H,3,FALSE),VLOOKUP("other",bug_conf_sheet!$A:$H,3,FALSE))</f>
        <v>1</v>
      </c>
      <c r="O630" s="38">
        <f>IFERROR(VLOOKUP($F630,bug_conf_sheet!$A:$H,4,FALSE),VLOOKUP("other",bug_conf_sheet!$A:$H,4,FALSE))</f>
        <v>0</v>
      </c>
      <c r="P630" s="38">
        <f>IFERROR(VLOOKUP($F630,bug_conf_sheet!$A:$H,5,FALSE),VLOOKUP("other",bug_conf_sheet!$A:$H,5,FALSE))</f>
        <v>0</v>
      </c>
      <c r="Q630" s="38">
        <f>IFERROR(VLOOKUP($F630,bug_conf_sheet!$A:$H,6,FALSE),VLOOKUP("other",bug_conf_sheet!$A:$H,6,FALSE))</f>
        <v>0</v>
      </c>
      <c r="R630" s="38">
        <f>IFERROR(VLOOKUP($F630,bug_conf_sheet!$A:$H,7,FALSE),VLOOKUP("other",bug_conf_sheet!$A:$H,7,FALSE))</f>
        <v>0</v>
      </c>
      <c r="S630" s="38">
        <f>IFERROR(VLOOKUP($F630,bug_conf_sheet!$A:$H,8,FALSE),VLOOKUP("other",bug_conf_sheet!$A:$H,8,FALSE))</f>
        <v>1</v>
      </c>
    </row>
    <row r="631" spans="1:19" ht="21" customHeight="1">
      <c r="A631" s="7" t="str">
        <f t="shared" si="57"/>
        <v>1885228</v>
      </c>
      <c r="B631" s="2" t="str">
        <f t="shared" si="56"/>
        <v>1885</v>
      </c>
      <c r="C631" s="8" t="str">
        <f t="shared" si="58"/>
        <v>5PremiumS5</v>
      </c>
      <c r="D631" s="8" t="str">
        <f t="shared" si="55"/>
        <v>5PremiumS5</v>
      </c>
      <c r="E631" s="10">
        <v>5</v>
      </c>
      <c r="F631" s="5">
        <v>228</v>
      </c>
      <c r="G631" s="8" t="str">
        <f>VLOOKUP(F631,[1]characters!$A:$C,3,FALSE)</f>
        <v>殲滅の掃射砲 アレス</v>
      </c>
      <c r="H631" s="8" t="str">
        <f>VLOOKUP(F631,[1]characters!$A:$J,10,FALSE)</f>
        <v>PremiumS</v>
      </c>
      <c r="I631" s="8">
        <f>VLOOKUP(F631,[1]characters!$A:$I,9,FALSE)</f>
        <v>5</v>
      </c>
      <c r="J631" s="8" t="str">
        <f>VLOOKUP(F631,[1]characters!$A:$H,8,FALSE)</f>
        <v>red</v>
      </c>
      <c r="K631" s="8" t="str">
        <f>VLOOKUP(F631,[1]characters!$A:$K,11,FALSE)</f>
        <v>attack</v>
      </c>
      <c r="L631" s="8" t="str">
        <f>VLOOKUP(F631,[1]characters!$A:$M,13,FALSE)</f>
        <v>god</v>
      </c>
      <c r="M631" s="16">
        <f>VLOOKUP(D631,gacha_188_base!A:B,2,FALSE)</f>
        <v>945</v>
      </c>
      <c r="N631" s="38">
        <f>IFERROR(VLOOKUP($F631,bug_conf_sheet!$A:$H,3,FALSE),VLOOKUP("other",bug_conf_sheet!$A:$H,3,FALSE))</f>
        <v>1</v>
      </c>
      <c r="O631" s="38">
        <f>IFERROR(VLOOKUP($F631,bug_conf_sheet!$A:$H,4,FALSE),VLOOKUP("other",bug_conf_sheet!$A:$H,4,FALSE))</f>
        <v>0</v>
      </c>
      <c r="P631" s="38">
        <f>IFERROR(VLOOKUP($F631,bug_conf_sheet!$A:$H,5,FALSE),VLOOKUP("other",bug_conf_sheet!$A:$H,5,FALSE))</f>
        <v>0</v>
      </c>
      <c r="Q631" s="38">
        <f>IFERROR(VLOOKUP($F631,bug_conf_sheet!$A:$H,6,FALSE),VLOOKUP("other",bug_conf_sheet!$A:$H,6,FALSE))</f>
        <v>0</v>
      </c>
      <c r="R631" s="38">
        <f>IFERROR(VLOOKUP($F631,bug_conf_sheet!$A:$H,7,FALSE),VLOOKUP("other",bug_conf_sheet!$A:$H,7,FALSE))</f>
        <v>0</v>
      </c>
      <c r="S631" s="38">
        <f>IFERROR(VLOOKUP($F631,bug_conf_sheet!$A:$H,8,FALSE),VLOOKUP("other",bug_conf_sheet!$A:$H,8,FALSE))</f>
        <v>1</v>
      </c>
    </row>
    <row r="632" spans="1:19" ht="21" hidden="1" customHeight="1">
      <c r="A632" s="7" t="str">
        <f t="shared" si="57"/>
        <v>1885230</v>
      </c>
      <c r="B632" s="2" t="str">
        <f t="shared" si="56"/>
        <v>1885</v>
      </c>
      <c r="C632" s="8" t="str">
        <f t="shared" si="58"/>
        <v>5PremiumS4</v>
      </c>
      <c r="D632" s="8" t="str">
        <f t="shared" si="55"/>
        <v>5PremiumS4</v>
      </c>
      <c r="E632" s="10">
        <v>5</v>
      </c>
      <c r="F632" s="5">
        <v>230</v>
      </c>
      <c r="G632" s="8" t="str">
        <f>VLOOKUP(F632,[1]characters!$A:$C,3,FALSE)</f>
        <v>毒銃 ヨルムンガンド</v>
      </c>
      <c r="H632" s="8" t="str">
        <f>VLOOKUP(F632,[1]characters!$A:$J,10,FALSE)</f>
        <v>PremiumS</v>
      </c>
      <c r="I632" s="8">
        <f>VLOOKUP(F632,[1]characters!$A:$I,9,FALSE)</f>
        <v>4</v>
      </c>
      <c r="J632" s="8" t="str">
        <f>VLOOKUP(F632,[1]characters!$A:$H,8,FALSE)</f>
        <v>green</v>
      </c>
      <c r="K632" s="8" t="str">
        <f>VLOOKUP(F632,[1]characters!$A:$K,11,FALSE)</f>
        <v>technical</v>
      </c>
      <c r="L632" s="8" t="str">
        <f>VLOOKUP(F632,[1]characters!$A:$M,13,FALSE)</f>
        <v>dragon</v>
      </c>
      <c r="M632" s="16">
        <f>VLOOKUP(D632,gacha_188_base!A:B,2,FALSE)</f>
        <v>14805</v>
      </c>
      <c r="N632" s="38">
        <f>IFERROR(VLOOKUP($F632,bug_conf_sheet!$A:$H,3,FALSE),VLOOKUP("other",bug_conf_sheet!$A:$H,3,FALSE))</f>
        <v>1</v>
      </c>
      <c r="O632" s="38">
        <f>IFERROR(VLOOKUP($F632,bug_conf_sheet!$A:$H,4,FALSE),VLOOKUP("other",bug_conf_sheet!$A:$H,4,FALSE))</f>
        <v>0</v>
      </c>
      <c r="P632" s="38">
        <f>IFERROR(VLOOKUP($F632,bug_conf_sheet!$A:$H,5,FALSE),VLOOKUP("other",bug_conf_sheet!$A:$H,5,FALSE))</f>
        <v>0</v>
      </c>
      <c r="Q632" s="38">
        <f>IFERROR(VLOOKUP($F632,bug_conf_sheet!$A:$H,6,FALSE),VLOOKUP("other",bug_conf_sheet!$A:$H,6,FALSE))</f>
        <v>0</v>
      </c>
      <c r="R632" s="38">
        <f>IFERROR(VLOOKUP($F632,bug_conf_sheet!$A:$H,7,FALSE),VLOOKUP("other",bug_conf_sheet!$A:$H,7,FALSE))</f>
        <v>0</v>
      </c>
      <c r="S632" s="38">
        <f>IFERROR(VLOOKUP($F632,bug_conf_sheet!$A:$H,8,FALSE),VLOOKUP("other",bug_conf_sheet!$A:$H,8,FALSE))</f>
        <v>1</v>
      </c>
    </row>
    <row r="633" spans="1:19" ht="21" customHeight="1">
      <c r="A633" s="7" t="str">
        <f t="shared" si="57"/>
        <v>1885231</v>
      </c>
      <c r="B633" s="2" t="str">
        <f t="shared" si="56"/>
        <v>1885</v>
      </c>
      <c r="C633" s="8" t="str">
        <f t="shared" si="58"/>
        <v>5PremiumS5</v>
      </c>
      <c r="D633" s="8" t="str">
        <f t="shared" si="55"/>
        <v>5PremiumS5</v>
      </c>
      <c r="E633" s="10">
        <v>5</v>
      </c>
      <c r="F633" s="5">
        <v>231</v>
      </c>
      <c r="G633" s="8" t="str">
        <f>VLOOKUP(F633,[1]characters!$A:$C,3,FALSE)</f>
        <v>必中の咬銃 ヨルムンガンド</v>
      </c>
      <c r="H633" s="8" t="str">
        <f>VLOOKUP(F633,[1]characters!$A:$J,10,FALSE)</f>
        <v>PremiumS</v>
      </c>
      <c r="I633" s="8">
        <f>VLOOKUP(F633,[1]characters!$A:$I,9,FALSE)</f>
        <v>5</v>
      </c>
      <c r="J633" s="8" t="str">
        <f>VLOOKUP(F633,[1]characters!$A:$H,8,FALSE)</f>
        <v>green</v>
      </c>
      <c r="K633" s="8" t="str">
        <f>VLOOKUP(F633,[1]characters!$A:$K,11,FALSE)</f>
        <v>technical</v>
      </c>
      <c r="L633" s="8" t="str">
        <f>VLOOKUP(F633,[1]characters!$A:$M,13,FALSE)</f>
        <v>dragon</v>
      </c>
      <c r="M633" s="16">
        <f>VLOOKUP(D633,gacha_188_base!A:B,2,FALSE)</f>
        <v>945</v>
      </c>
      <c r="N633" s="38">
        <f>IFERROR(VLOOKUP($F633,bug_conf_sheet!$A:$H,3,FALSE),VLOOKUP("other",bug_conf_sheet!$A:$H,3,FALSE))</f>
        <v>1</v>
      </c>
      <c r="O633" s="38">
        <f>IFERROR(VLOOKUP($F633,bug_conf_sheet!$A:$H,4,FALSE),VLOOKUP("other",bug_conf_sheet!$A:$H,4,FALSE))</f>
        <v>0</v>
      </c>
      <c r="P633" s="38">
        <f>IFERROR(VLOOKUP($F633,bug_conf_sheet!$A:$H,5,FALSE),VLOOKUP("other",bug_conf_sheet!$A:$H,5,FALSE))</f>
        <v>0</v>
      </c>
      <c r="Q633" s="38">
        <f>IFERROR(VLOOKUP($F633,bug_conf_sheet!$A:$H,6,FALSE),VLOOKUP("other",bug_conf_sheet!$A:$H,6,FALSE))</f>
        <v>0</v>
      </c>
      <c r="R633" s="38">
        <f>IFERROR(VLOOKUP($F633,bug_conf_sheet!$A:$H,7,FALSE),VLOOKUP("other",bug_conf_sheet!$A:$H,7,FALSE))</f>
        <v>0</v>
      </c>
      <c r="S633" s="38">
        <f>IFERROR(VLOOKUP($F633,bug_conf_sheet!$A:$H,8,FALSE),VLOOKUP("other",bug_conf_sheet!$A:$H,8,FALSE))</f>
        <v>1</v>
      </c>
    </row>
    <row r="634" spans="1:19" ht="21" hidden="1" customHeight="1">
      <c r="A634" s="7" t="str">
        <f t="shared" si="57"/>
        <v>1885233</v>
      </c>
      <c r="B634" s="2" t="str">
        <f t="shared" si="56"/>
        <v>1885</v>
      </c>
      <c r="C634" s="8" t="str">
        <f t="shared" si="58"/>
        <v>5PremiumS4</v>
      </c>
      <c r="D634" s="8" t="str">
        <f t="shared" ref="D634:D697" si="59">E634&amp;H634&amp;I634</f>
        <v>5PremiumS4</v>
      </c>
      <c r="E634" s="10">
        <v>5</v>
      </c>
      <c r="F634" s="5">
        <v>233</v>
      </c>
      <c r="G634" s="8" t="str">
        <f>VLOOKUP(F634,[1]characters!$A:$C,3,FALSE)</f>
        <v>遂行 パーシヴァル</v>
      </c>
      <c r="H634" s="8" t="str">
        <f>VLOOKUP(F634,[1]characters!$A:$J,10,FALSE)</f>
        <v>PremiumS</v>
      </c>
      <c r="I634" s="8">
        <f>VLOOKUP(F634,[1]characters!$A:$I,9,FALSE)</f>
        <v>4</v>
      </c>
      <c r="J634" s="8" t="str">
        <f>VLOOKUP(F634,[1]characters!$A:$H,8,FALSE)</f>
        <v>blue</v>
      </c>
      <c r="K634" s="8" t="str">
        <f>VLOOKUP(F634,[1]characters!$A:$K,11,FALSE)</f>
        <v>technical</v>
      </c>
      <c r="L634" s="8" t="str">
        <f>VLOOKUP(F634,[1]characters!$A:$M,13,FALSE)</f>
        <v>human</v>
      </c>
      <c r="M634" s="16">
        <f>VLOOKUP(D634,gacha_188_base!A:B,2,FALSE)</f>
        <v>14805</v>
      </c>
      <c r="N634" s="38">
        <f>IFERROR(VLOOKUP($F634,bug_conf_sheet!$A:$H,3,FALSE),VLOOKUP("other",bug_conf_sheet!$A:$H,3,FALSE))</f>
        <v>1</v>
      </c>
      <c r="O634" s="38">
        <f>IFERROR(VLOOKUP($F634,bug_conf_sheet!$A:$H,4,FALSE),VLOOKUP("other",bug_conf_sheet!$A:$H,4,FALSE))</f>
        <v>0</v>
      </c>
      <c r="P634" s="38">
        <f>IFERROR(VLOOKUP($F634,bug_conf_sheet!$A:$H,5,FALSE),VLOOKUP("other",bug_conf_sheet!$A:$H,5,FALSE))</f>
        <v>0</v>
      </c>
      <c r="Q634" s="38">
        <f>IFERROR(VLOOKUP($F634,bug_conf_sheet!$A:$H,6,FALSE),VLOOKUP("other",bug_conf_sheet!$A:$H,6,FALSE))</f>
        <v>0</v>
      </c>
      <c r="R634" s="38">
        <f>IFERROR(VLOOKUP($F634,bug_conf_sheet!$A:$H,7,FALSE),VLOOKUP("other",bug_conf_sheet!$A:$H,7,FALSE))</f>
        <v>0</v>
      </c>
      <c r="S634" s="38">
        <f>IFERROR(VLOOKUP($F634,bug_conf_sheet!$A:$H,8,FALSE),VLOOKUP("other",bug_conf_sheet!$A:$H,8,FALSE))</f>
        <v>1</v>
      </c>
    </row>
    <row r="635" spans="1:19" ht="21" customHeight="1">
      <c r="A635" s="7" t="str">
        <f t="shared" si="57"/>
        <v>1885234</v>
      </c>
      <c r="B635" s="2" t="str">
        <f t="shared" si="56"/>
        <v>1885</v>
      </c>
      <c r="C635" s="8" t="str">
        <f t="shared" si="58"/>
        <v>5PremiumS5</v>
      </c>
      <c r="D635" s="8" t="str">
        <f t="shared" si="59"/>
        <v>5PremiumS5</v>
      </c>
      <c r="E635" s="10">
        <v>5</v>
      </c>
      <c r="F635" s="5">
        <v>234</v>
      </c>
      <c r="G635" s="8" t="str">
        <f>VLOOKUP(F635,[1]characters!$A:$C,3,FALSE)</f>
        <v>精密なる照準 パーシヴァル</v>
      </c>
      <c r="H635" s="8" t="str">
        <f>VLOOKUP(F635,[1]characters!$A:$J,10,FALSE)</f>
        <v>PremiumS</v>
      </c>
      <c r="I635" s="8">
        <f>VLOOKUP(F635,[1]characters!$A:$I,9,FALSE)</f>
        <v>5</v>
      </c>
      <c r="J635" s="8" t="str">
        <f>VLOOKUP(F635,[1]characters!$A:$H,8,FALSE)</f>
        <v>blue</v>
      </c>
      <c r="K635" s="8" t="str">
        <f>VLOOKUP(F635,[1]characters!$A:$K,11,FALSE)</f>
        <v>technical</v>
      </c>
      <c r="L635" s="8" t="str">
        <f>VLOOKUP(F635,[1]characters!$A:$M,13,FALSE)</f>
        <v>human</v>
      </c>
      <c r="M635" s="16">
        <f>VLOOKUP(D635,gacha_188_base!A:B,2,FALSE)</f>
        <v>945</v>
      </c>
      <c r="N635" s="38">
        <f>IFERROR(VLOOKUP($F635,bug_conf_sheet!$A:$H,3,FALSE),VLOOKUP("other",bug_conf_sheet!$A:$H,3,FALSE))</f>
        <v>1</v>
      </c>
      <c r="O635" s="38">
        <f>IFERROR(VLOOKUP($F635,bug_conf_sheet!$A:$H,4,FALSE),VLOOKUP("other",bug_conf_sheet!$A:$H,4,FALSE))</f>
        <v>0</v>
      </c>
      <c r="P635" s="38">
        <f>IFERROR(VLOOKUP($F635,bug_conf_sheet!$A:$H,5,FALSE),VLOOKUP("other",bug_conf_sheet!$A:$H,5,FALSE))</f>
        <v>0</v>
      </c>
      <c r="Q635" s="38">
        <f>IFERROR(VLOOKUP($F635,bug_conf_sheet!$A:$H,6,FALSE),VLOOKUP("other",bug_conf_sheet!$A:$H,6,FALSE))</f>
        <v>0</v>
      </c>
      <c r="R635" s="38">
        <f>IFERROR(VLOOKUP($F635,bug_conf_sheet!$A:$H,7,FALSE),VLOOKUP("other",bug_conf_sheet!$A:$H,7,FALSE))</f>
        <v>0</v>
      </c>
      <c r="S635" s="38">
        <f>IFERROR(VLOOKUP($F635,bug_conf_sheet!$A:$H,8,FALSE),VLOOKUP("other",bug_conf_sheet!$A:$H,8,FALSE))</f>
        <v>1</v>
      </c>
    </row>
    <row r="636" spans="1:19" ht="21" hidden="1" customHeight="1">
      <c r="A636" s="7" t="str">
        <f t="shared" si="57"/>
        <v>1885236</v>
      </c>
      <c r="B636" s="2" t="str">
        <f t="shared" si="56"/>
        <v>1885</v>
      </c>
      <c r="C636" s="8" t="str">
        <f t="shared" si="58"/>
        <v>5PremiumS4</v>
      </c>
      <c r="D636" s="8" t="str">
        <f t="shared" si="59"/>
        <v>5PremiumS4</v>
      </c>
      <c r="E636" s="10">
        <v>5</v>
      </c>
      <c r="F636" s="5">
        <v>236</v>
      </c>
      <c r="G636" s="8" t="str">
        <f>VLOOKUP(F636,[1]characters!$A:$C,3,FALSE)</f>
        <v>神産 イザナミ</v>
      </c>
      <c r="H636" s="8" t="str">
        <f>VLOOKUP(F636,[1]characters!$A:$J,10,FALSE)</f>
        <v>PremiumS</v>
      </c>
      <c r="I636" s="8">
        <f>VLOOKUP(F636,[1]characters!$A:$I,9,FALSE)</f>
        <v>4</v>
      </c>
      <c r="J636" s="8" t="str">
        <f>VLOOKUP(F636,[1]characters!$A:$H,8,FALSE)</f>
        <v>yellow</v>
      </c>
      <c r="K636" s="8" t="str">
        <f>VLOOKUP(F636,[1]characters!$A:$K,11,FALSE)</f>
        <v>attack</v>
      </c>
      <c r="L636" s="8" t="str">
        <f>VLOOKUP(F636,[1]characters!$A:$M,13,FALSE)</f>
        <v>god</v>
      </c>
      <c r="M636" s="16">
        <f>VLOOKUP(D636,gacha_188_base!A:B,2,FALSE)</f>
        <v>14805</v>
      </c>
      <c r="N636" s="38">
        <f>IFERROR(VLOOKUP($F636,bug_conf_sheet!$A:$H,3,FALSE),VLOOKUP("other",bug_conf_sheet!$A:$H,3,FALSE))</f>
        <v>1</v>
      </c>
      <c r="O636" s="38">
        <f>IFERROR(VLOOKUP($F636,bug_conf_sheet!$A:$H,4,FALSE),VLOOKUP("other",bug_conf_sheet!$A:$H,4,FALSE))</f>
        <v>0</v>
      </c>
      <c r="P636" s="38">
        <f>IFERROR(VLOOKUP($F636,bug_conf_sheet!$A:$H,5,FALSE),VLOOKUP("other",bug_conf_sheet!$A:$H,5,FALSE))</f>
        <v>0</v>
      </c>
      <c r="Q636" s="38">
        <f>IFERROR(VLOOKUP($F636,bug_conf_sheet!$A:$H,6,FALSE),VLOOKUP("other",bug_conf_sheet!$A:$H,6,FALSE))</f>
        <v>0</v>
      </c>
      <c r="R636" s="38">
        <f>IFERROR(VLOOKUP($F636,bug_conf_sheet!$A:$H,7,FALSE),VLOOKUP("other",bug_conf_sheet!$A:$H,7,FALSE))</f>
        <v>0</v>
      </c>
      <c r="S636" s="38">
        <f>IFERROR(VLOOKUP($F636,bug_conf_sheet!$A:$H,8,FALSE),VLOOKUP("other",bug_conf_sheet!$A:$H,8,FALSE))</f>
        <v>1</v>
      </c>
    </row>
    <row r="637" spans="1:19" ht="21" customHeight="1">
      <c r="A637" s="7" t="str">
        <f t="shared" si="57"/>
        <v>1885237</v>
      </c>
      <c r="B637" s="2" t="str">
        <f t="shared" si="56"/>
        <v>1885</v>
      </c>
      <c r="C637" s="8" t="str">
        <f t="shared" si="58"/>
        <v>5PremiumS5</v>
      </c>
      <c r="D637" s="8" t="str">
        <f t="shared" si="59"/>
        <v>5PremiumS5</v>
      </c>
      <c r="E637" s="10">
        <v>5</v>
      </c>
      <c r="F637" s="5">
        <v>237</v>
      </c>
      <c r="G637" s="8" t="str">
        <f>VLOOKUP(F637,[1]characters!$A:$C,3,FALSE)</f>
        <v>森羅万象の神母 イザナミ</v>
      </c>
      <c r="H637" s="8" t="str">
        <f>VLOOKUP(F637,[1]characters!$A:$J,10,FALSE)</f>
        <v>PremiumS</v>
      </c>
      <c r="I637" s="8">
        <f>VLOOKUP(F637,[1]characters!$A:$I,9,FALSE)</f>
        <v>5</v>
      </c>
      <c r="J637" s="8" t="str">
        <f>VLOOKUP(F637,[1]characters!$A:$H,8,FALSE)</f>
        <v>yellow</v>
      </c>
      <c r="K637" s="8" t="str">
        <f>VLOOKUP(F637,[1]characters!$A:$K,11,FALSE)</f>
        <v>attack</v>
      </c>
      <c r="L637" s="8" t="str">
        <f>VLOOKUP(F637,[1]characters!$A:$M,13,FALSE)</f>
        <v>god</v>
      </c>
      <c r="M637" s="16">
        <f>VLOOKUP(D637,gacha_188_base!A:B,2,FALSE)</f>
        <v>945</v>
      </c>
      <c r="N637" s="38">
        <f>IFERROR(VLOOKUP($F637,bug_conf_sheet!$A:$H,3,FALSE),VLOOKUP("other",bug_conf_sheet!$A:$H,3,FALSE))</f>
        <v>1</v>
      </c>
      <c r="O637" s="38">
        <f>IFERROR(VLOOKUP($F637,bug_conf_sheet!$A:$H,4,FALSE),VLOOKUP("other",bug_conf_sheet!$A:$H,4,FALSE))</f>
        <v>0</v>
      </c>
      <c r="P637" s="38">
        <f>IFERROR(VLOOKUP($F637,bug_conf_sheet!$A:$H,5,FALSE),VLOOKUP("other",bug_conf_sheet!$A:$H,5,FALSE))</f>
        <v>0</v>
      </c>
      <c r="Q637" s="38">
        <f>IFERROR(VLOOKUP($F637,bug_conf_sheet!$A:$H,6,FALSE),VLOOKUP("other",bug_conf_sheet!$A:$H,6,FALSE))</f>
        <v>0</v>
      </c>
      <c r="R637" s="38">
        <f>IFERROR(VLOOKUP($F637,bug_conf_sheet!$A:$H,7,FALSE),VLOOKUP("other",bug_conf_sheet!$A:$H,7,FALSE))</f>
        <v>0</v>
      </c>
      <c r="S637" s="38">
        <f>IFERROR(VLOOKUP($F637,bug_conf_sheet!$A:$H,8,FALSE),VLOOKUP("other",bug_conf_sheet!$A:$H,8,FALSE))</f>
        <v>1</v>
      </c>
    </row>
    <row r="638" spans="1:19" ht="21" hidden="1" customHeight="1">
      <c r="A638" s="7" t="str">
        <f t="shared" si="57"/>
        <v>1885239</v>
      </c>
      <c r="B638" s="2" t="str">
        <f t="shared" si="56"/>
        <v>1885</v>
      </c>
      <c r="C638" s="8" t="str">
        <f t="shared" si="58"/>
        <v>5PremiumS4</v>
      </c>
      <c r="D638" s="8" t="str">
        <f t="shared" si="59"/>
        <v>5PremiumS4</v>
      </c>
      <c r="E638" s="10">
        <v>5</v>
      </c>
      <c r="F638" s="5">
        <v>239</v>
      </c>
      <c r="G638" s="8" t="str">
        <f>VLOOKUP(F638,[1]characters!$A:$C,3,FALSE)</f>
        <v>豪炎の天使 ウリエル</v>
      </c>
      <c r="H638" s="8" t="str">
        <f>VLOOKUP(F638,[1]characters!$A:$J,10,FALSE)</f>
        <v>PremiumS</v>
      </c>
      <c r="I638" s="8">
        <f>VLOOKUP(F638,[1]characters!$A:$I,9,FALSE)</f>
        <v>4</v>
      </c>
      <c r="J638" s="8" t="str">
        <f>VLOOKUP(F638,[1]characters!$A:$H,8,FALSE)</f>
        <v>red</v>
      </c>
      <c r="K638" s="8" t="str">
        <f>VLOOKUP(F638,[1]characters!$A:$K,11,FALSE)</f>
        <v>hp</v>
      </c>
      <c r="L638" s="8" t="str">
        <f>VLOOKUP(F638,[1]characters!$A:$M,13,FALSE)</f>
        <v>machine</v>
      </c>
      <c r="M638" s="16">
        <f>VLOOKUP(D638,gacha_188_base!A:B,2,FALSE)</f>
        <v>14805</v>
      </c>
      <c r="N638" s="38">
        <f>IFERROR(VLOOKUP($F638,bug_conf_sheet!$A:$H,3,FALSE),VLOOKUP("other",bug_conf_sheet!$A:$H,3,FALSE))</f>
        <v>1</v>
      </c>
      <c r="O638" s="38">
        <f>IFERROR(VLOOKUP($F638,bug_conf_sheet!$A:$H,4,FALSE),VLOOKUP("other",bug_conf_sheet!$A:$H,4,FALSE))</f>
        <v>0</v>
      </c>
      <c r="P638" s="38">
        <f>IFERROR(VLOOKUP($F638,bug_conf_sheet!$A:$H,5,FALSE),VLOOKUP("other",bug_conf_sheet!$A:$H,5,FALSE))</f>
        <v>0</v>
      </c>
      <c r="Q638" s="38">
        <f>IFERROR(VLOOKUP($F638,bug_conf_sheet!$A:$H,6,FALSE),VLOOKUP("other",bug_conf_sheet!$A:$H,6,FALSE))</f>
        <v>0</v>
      </c>
      <c r="R638" s="38">
        <f>IFERROR(VLOOKUP($F638,bug_conf_sheet!$A:$H,7,FALSE),VLOOKUP("other",bug_conf_sheet!$A:$H,7,FALSE))</f>
        <v>0</v>
      </c>
      <c r="S638" s="38">
        <f>IFERROR(VLOOKUP($F638,bug_conf_sheet!$A:$H,8,FALSE),VLOOKUP("other",bug_conf_sheet!$A:$H,8,FALSE))</f>
        <v>1</v>
      </c>
    </row>
    <row r="639" spans="1:19" ht="21" customHeight="1">
      <c r="A639" s="7" t="str">
        <f t="shared" si="57"/>
        <v>1885240</v>
      </c>
      <c r="B639" s="2" t="str">
        <f t="shared" si="56"/>
        <v>1885</v>
      </c>
      <c r="C639" s="8" t="str">
        <f t="shared" si="58"/>
        <v>5PremiumS5</v>
      </c>
      <c r="D639" s="8" t="str">
        <f t="shared" si="59"/>
        <v>5PremiumS5</v>
      </c>
      <c r="E639" s="10">
        <v>5</v>
      </c>
      <c r="F639" s="5">
        <v>240</v>
      </c>
      <c r="G639" s="8" t="str">
        <f>VLOOKUP(F639,[1]characters!$A:$C,3,FALSE)</f>
        <v>轟炎の天使 ウリエル・スレイヤー</v>
      </c>
      <c r="H639" s="8" t="str">
        <f>VLOOKUP(F639,[1]characters!$A:$J,10,FALSE)</f>
        <v>PremiumS</v>
      </c>
      <c r="I639" s="8">
        <f>VLOOKUP(F639,[1]characters!$A:$I,9,FALSE)</f>
        <v>5</v>
      </c>
      <c r="J639" s="8" t="str">
        <f>VLOOKUP(F639,[1]characters!$A:$H,8,FALSE)</f>
        <v>red</v>
      </c>
      <c r="K639" s="8" t="str">
        <f>VLOOKUP(F639,[1]characters!$A:$K,11,FALSE)</f>
        <v>hp</v>
      </c>
      <c r="L639" s="8" t="str">
        <f>VLOOKUP(F639,[1]characters!$A:$M,13,FALSE)</f>
        <v>machine</v>
      </c>
      <c r="M639" s="16">
        <f>VLOOKUP(D639,gacha_188_base!A:B,2,FALSE)</f>
        <v>945</v>
      </c>
      <c r="N639" s="38">
        <f>IFERROR(VLOOKUP($F639,bug_conf_sheet!$A:$H,3,FALSE),VLOOKUP("other",bug_conf_sheet!$A:$H,3,FALSE))</f>
        <v>1</v>
      </c>
      <c r="O639" s="38">
        <f>IFERROR(VLOOKUP($F639,bug_conf_sheet!$A:$H,4,FALSE),VLOOKUP("other",bug_conf_sheet!$A:$H,4,FALSE))</f>
        <v>0</v>
      </c>
      <c r="P639" s="38">
        <f>IFERROR(VLOOKUP($F639,bug_conf_sheet!$A:$H,5,FALSE),VLOOKUP("other",bug_conf_sheet!$A:$H,5,FALSE))</f>
        <v>0</v>
      </c>
      <c r="Q639" s="38">
        <f>IFERROR(VLOOKUP($F639,bug_conf_sheet!$A:$H,6,FALSE),VLOOKUP("other",bug_conf_sheet!$A:$H,6,FALSE))</f>
        <v>0</v>
      </c>
      <c r="R639" s="38">
        <f>IFERROR(VLOOKUP($F639,bug_conf_sheet!$A:$H,7,FALSE),VLOOKUP("other",bug_conf_sheet!$A:$H,7,FALSE))</f>
        <v>0</v>
      </c>
      <c r="S639" s="38">
        <f>IFERROR(VLOOKUP($F639,bug_conf_sheet!$A:$H,8,FALSE),VLOOKUP("other",bug_conf_sheet!$A:$H,8,FALSE))</f>
        <v>1</v>
      </c>
    </row>
    <row r="640" spans="1:19" ht="21" hidden="1" customHeight="1">
      <c r="A640" s="7" t="str">
        <f t="shared" si="57"/>
        <v>1885242</v>
      </c>
      <c r="B640" s="2" t="str">
        <f t="shared" si="56"/>
        <v>1885</v>
      </c>
      <c r="C640" s="8" t="str">
        <f t="shared" si="58"/>
        <v>5PremiumS4</v>
      </c>
      <c r="D640" s="8" t="str">
        <f t="shared" si="59"/>
        <v>5PremiumS4</v>
      </c>
      <c r="E640" s="10">
        <v>5</v>
      </c>
      <c r="F640" s="5">
        <v>242</v>
      </c>
      <c r="G640" s="8" t="str">
        <f>VLOOKUP(F640,[1]characters!$A:$C,3,FALSE)</f>
        <v>百花の天使 ガブリエル</v>
      </c>
      <c r="H640" s="8" t="str">
        <f>VLOOKUP(F640,[1]characters!$A:$J,10,FALSE)</f>
        <v>PremiumS</v>
      </c>
      <c r="I640" s="8">
        <f>VLOOKUP(F640,[1]characters!$A:$I,9,FALSE)</f>
        <v>4</v>
      </c>
      <c r="J640" s="8" t="str">
        <f>VLOOKUP(F640,[1]characters!$A:$H,8,FALSE)</f>
        <v>green</v>
      </c>
      <c r="K640" s="8" t="str">
        <f>VLOOKUP(F640,[1]characters!$A:$K,11,FALSE)</f>
        <v>balance</v>
      </c>
      <c r="L640" s="8" t="str">
        <f>VLOOKUP(F640,[1]characters!$A:$M,13,FALSE)</f>
        <v>machine</v>
      </c>
      <c r="M640" s="16">
        <f>VLOOKUP(D640,gacha_188_base!A:B,2,FALSE)</f>
        <v>14805</v>
      </c>
      <c r="N640" s="38">
        <f>IFERROR(VLOOKUP($F640,bug_conf_sheet!$A:$H,3,FALSE),VLOOKUP("other",bug_conf_sheet!$A:$H,3,FALSE))</f>
        <v>1</v>
      </c>
      <c r="O640" s="38">
        <f>IFERROR(VLOOKUP($F640,bug_conf_sheet!$A:$H,4,FALSE),VLOOKUP("other",bug_conf_sheet!$A:$H,4,FALSE))</f>
        <v>0</v>
      </c>
      <c r="P640" s="38">
        <f>IFERROR(VLOOKUP($F640,bug_conf_sheet!$A:$H,5,FALSE),VLOOKUP("other",bug_conf_sheet!$A:$H,5,FALSE))</f>
        <v>0</v>
      </c>
      <c r="Q640" s="38">
        <f>IFERROR(VLOOKUP($F640,bug_conf_sheet!$A:$H,6,FALSE),VLOOKUP("other",bug_conf_sheet!$A:$H,6,FALSE))</f>
        <v>0</v>
      </c>
      <c r="R640" s="38">
        <f>IFERROR(VLOOKUP($F640,bug_conf_sheet!$A:$H,7,FALSE),VLOOKUP("other",bug_conf_sheet!$A:$H,7,FALSE))</f>
        <v>0</v>
      </c>
      <c r="S640" s="38">
        <f>IFERROR(VLOOKUP($F640,bug_conf_sheet!$A:$H,8,FALSE),VLOOKUP("other",bug_conf_sheet!$A:$H,8,FALSE))</f>
        <v>1</v>
      </c>
    </row>
    <row r="641" spans="1:19" ht="21" customHeight="1">
      <c r="A641" s="7" t="str">
        <f t="shared" si="57"/>
        <v>1885243</v>
      </c>
      <c r="B641" s="2" t="str">
        <f t="shared" si="56"/>
        <v>1885</v>
      </c>
      <c r="C641" s="8" t="str">
        <f t="shared" si="58"/>
        <v>5PremiumS5</v>
      </c>
      <c r="D641" s="8" t="str">
        <f t="shared" si="59"/>
        <v>5PremiumS5</v>
      </c>
      <c r="E641" s="10">
        <v>5</v>
      </c>
      <c r="F641" s="5">
        <v>243</v>
      </c>
      <c r="G641" s="8" t="str">
        <f>VLOOKUP(F641,[1]characters!$A:$C,3,FALSE)</f>
        <v>万花の天使 ガブリエル・ブルーム</v>
      </c>
      <c r="H641" s="8" t="str">
        <f>VLOOKUP(F641,[1]characters!$A:$J,10,FALSE)</f>
        <v>PremiumS</v>
      </c>
      <c r="I641" s="8">
        <f>VLOOKUP(F641,[1]characters!$A:$I,9,FALSE)</f>
        <v>5</v>
      </c>
      <c r="J641" s="8" t="str">
        <f>VLOOKUP(F641,[1]characters!$A:$H,8,FALSE)</f>
        <v>green</v>
      </c>
      <c r="K641" s="8" t="str">
        <f>VLOOKUP(F641,[1]characters!$A:$K,11,FALSE)</f>
        <v>balance</v>
      </c>
      <c r="L641" s="8" t="str">
        <f>VLOOKUP(F641,[1]characters!$A:$M,13,FALSE)</f>
        <v>machine</v>
      </c>
      <c r="M641" s="16">
        <f>VLOOKUP(D641,gacha_188_base!A:B,2,FALSE)</f>
        <v>945</v>
      </c>
      <c r="N641" s="38">
        <f>IFERROR(VLOOKUP($F641,bug_conf_sheet!$A:$H,3,FALSE),VLOOKUP("other",bug_conf_sheet!$A:$H,3,FALSE))</f>
        <v>1</v>
      </c>
      <c r="O641" s="38">
        <f>IFERROR(VLOOKUP($F641,bug_conf_sheet!$A:$H,4,FALSE),VLOOKUP("other",bug_conf_sheet!$A:$H,4,FALSE))</f>
        <v>0</v>
      </c>
      <c r="P641" s="38">
        <f>IFERROR(VLOOKUP($F641,bug_conf_sheet!$A:$H,5,FALSE),VLOOKUP("other",bug_conf_sheet!$A:$H,5,FALSE))</f>
        <v>0</v>
      </c>
      <c r="Q641" s="38">
        <f>IFERROR(VLOOKUP($F641,bug_conf_sheet!$A:$H,6,FALSE),VLOOKUP("other",bug_conf_sheet!$A:$H,6,FALSE))</f>
        <v>0</v>
      </c>
      <c r="R641" s="38">
        <f>IFERROR(VLOOKUP($F641,bug_conf_sheet!$A:$H,7,FALSE),VLOOKUP("other",bug_conf_sheet!$A:$H,7,FALSE))</f>
        <v>0</v>
      </c>
      <c r="S641" s="38">
        <f>IFERROR(VLOOKUP($F641,bug_conf_sheet!$A:$H,8,FALSE),VLOOKUP("other",bug_conf_sheet!$A:$H,8,FALSE))</f>
        <v>1</v>
      </c>
    </row>
    <row r="642" spans="1:19" ht="21" hidden="1" customHeight="1">
      <c r="A642" s="7" t="str">
        <f t="shared" si="57"/>
        <v>1885245</v>
      </c>
      <c r="B642" s="2" t="str">
        <f t="shared" si="56"/>
        <v>1885</v>
      </c>
      <c r="C642" s="8" t="str">
        <f t="shared" si="58"/>
        <v>5PremiumS4</v>
      </c>
      <c r="D642" s="8" t="str">
        <f t="shared" si="59"/>
        <v>5PremiumS4</v>
      </c>
      <c r="E642" s="10">
        <v>5</v>
      </c>
      <c r="F642" s="5">
        <v>245</v>
      </c>
      <c r="G642" s="8" t="str">
        <f>VLOOKUP(F642,[1]characters!$A:$C,3,FALSE)</f>
        <v>鎮癒の天使 ラファエル</v>
      </c>
      <c r="H642" s="8" t="str">
        <f>VLOOKUP(F642,[1]characters!$A:$J,10,FALSE)</f>
        <v>PremiumS</v>
      </c>
      <c r="I642" s="8">
        <f>VLOOKUP(F642,[1]characters!$A:$I,9,FALSE)</f>
        <v>4</v>
      </c>
      <c r="J642" s="8" t="str">
        <f>VLOOKUP(F642,[1]characters!$A:$H,8,FALSE)</f>
        <v>blue</v>
      </c>
      <c r="K642" s="8" t="str">
        <f>VLOOKUP(F642,[1]characters!$A:$K,11,FALSE)</f>
        <v>balance</v>
      </c>
      <c r="L642" s="8" t="str">
        <f>VLOOKUP(F642,[1]characters!$A:$M,13,FALSE)</f>
        <v>machine</v>
      </c>
      <c r="M642" s="16">
        <f>VLOOKUP(D642,gacha_188_base!A:B,2,FALSE)</f>
        <v>14805</v>
      </c>
      <c r="N642" s="38">
        <f>IFERROR(VLOOKUP($F642,bug_conf_sheet!$A:$H,3,FALSE),VLOOKUP("other",bug_conf_sheet!$A:$H,3,FALSE))</f>
        <v>1</v>
      </c>
      <c r="O642" s="38">
        <f>IFERROR(VLOOKUP($F642,bug_conf_sheet!$A:$H,4,FALSE),VLOOKUP("other",bug_conf_sheet!$A:$H,4,FALSE))</f>
        <v>0</v>
      </c>
      <c r="P642" s="38">
        <f>IFERROR(VLOOKUP($F642,bug_conf_sheet!$A:$H,5,FALSE),VLOOKUP("other",bug_conf_sheet!$A:$H,5,FALSE))</f>
        <v>0</v>
      </c>
      <c r="Q642" s="38">
        <f>IFERROR(VLOOKUP($F642,bug_conf_sheet!$A:$H,6,FALSE),VLOOKUP("other",bug_conf_sheet!$A:$H,6,FALSE))</f>
        <v>0</v>
      </c>
      <c r="R642" s="38">
        <f>IFERROR(VLOOKUP($F642,bug_conf_sheet!$A:$H,7,FALSE),VLOOKUP("other",bug_conf_sheet!$A:$H,7,FALSE))</f>
        <v>0</v>
      </c>
      <c r="S642" s="38">
        <f>IFERROR(VLOOKUP($F642,bug_conf_sheet!$A:$H,8,FALSE),VLOOKUP("other",bug_conf_sheet!$A:$H,8,FALSE))</f>
        <v>1</v>
      </c>
    </row>
    <row r="643" spans="1:19" ht="21" customHeight="1">
      <c r="A643" s="7" t="str">
        <f t="shared" si="57"/>
        <v>1885246</v>
      </c>
      <c r="B643" s="2" t="str">
        <f t="shared" ref="B643:B706" si="60">188&amp;E643</f>
        <v>1885</v>
      </c>
      <c r="C643" s="8" t="str">
        <f t="shared" si="58"/>
        <v>5PremiumS5</v>
      </c>
      <c r="D643" s="8" t="str">
        <f t="shared" si="59"/>
        <v>5PremiumS5</v>
      </c>
      <c r="E643" s="10">
        <v>5</v>
      </c>
      <c r="F643" s="5">
        <v>246</v>
      </c>
      <c r="G643" s="8" t="str">
        <f>VLOOKUP(F643,[1]characters!$A:$C,3,FALSE)</f>
        <v>真癒の天使 ラファエル・メディカ</v>
      </c>
      <c r="H643" s="8" t="str">
        <f>VLOOKUP(F643,[1]characters!$A:$J,10,FALSE)</f>
        <v>PremiumS</v>
      </c>
      <c r="I643" s="8">
        <f>VLOOKUP(F643,[1]characters!$A:$I,9,FALSE)</f>
        <v>5</v>
      </c>
      <c r="J643" s="8" t="str">
        <f>VLOOKUP(F643,[1]characters!$A:$H,8,FALSE)</f>
        <v>blue</v>
      </c>
      <c r="K643" s="8" t="str">
        <f>VLOOKUP(F643,[1]characters!$A:$K,11,FALSE)</f>
        <v>balance</v>
      </c>
      <c r="L643" s="8" t="str">
        <f>VLOOKUP(F643,[1]characters!$A:$M,13,FALSE)</f>
        <v>machine</v>
      </c>
      <c r="M643" s="16">
        <f>VLOOKUP(D643,gacha_188_base!A:B,2,FALSE)</f>
        <v>945</v>
      </c>
      <c r="N643" s="38">
        <f>IFERROR(VLOOKUP($F643,bug_conf_sheet!$A:$H,3,FALSE),VLOOKUP("other",bug_conf_sheet!$A:$H,3,FALSE))</f>
        <v>1</v>
      </c>
      <c r="O643" s="38">
        <f>IFERROR(VLOOKUP($F643,bug_conf_sheet!$A:$H,4,FALSE),VLOOKUP("other",bug_conf_sheet!$A:$H,4,FALSE))</f>
        <v>0</v>
      </c>
      <c r="P643" s="38">
        <f>IFERROR(VLOOKUP($F643,bug_conf_sheet!$A:$H,5,FALSE),VLOOKUP("other",bug_conf_sheet!$A:$H,5,FALSE))</f>
        <v>0</v>
      </c>
      <c r="Q643" s="38">
        <f>IFERROR(VLOOKUP($F643,bug_conf_sheet!$A:$H,6,FALSE),VLOOKUP("other",bug_conf_sheet!$A:$H,6,FALSE))</f>
        <v>0</v>
      </c>
      <c r="R643" s="38">
        <f>IFERROR(VLOOKUP($F643,bug_conf_sheet!$A:$H,7,FALSE),VLOOKUP("other",bug_conf_sheet!$A:$H,7,FALSE))</f>
        <v>0</v>
      </c>
      <c r="S643" s="38">
        <f>IFERROR(VLOOKUP($F643,bug_conf_sheet!$A:$H,8,FALSE),VLOOKUP("other",bug_conf_sheet!$A:$H,8,FALSE))</f>
        <v>1</v>
      </c>
    </row>
    <row r="644" spans="1:19" ht="21" hidden="1" customHeight="1">
      <c r="A644" s="7" t="str">
        <f t="shared" si="57"/>
        <v>1885248</v>
      </c>
      <c r="B644" s="2" t="str">
        <f t="shared" si="60"/>
        <v>1885</v>
      </c>
      <c r="C644" s="8" t="str">
        <f t="shared" si="58"/>
        <v>5PremiumS4</v>
      </c>
      <c r="D644" s="8" t="str">
        <f t="shared" si="59"/>
        <v>5PremiumS4</v>
      </c>
      <c r="E644" s="10">
        <v>5</v>
      </c>
      <c r="F644" s="5">
        <v>248</v>
      </c>
      <c r="G644" s="8" t="str">
        <f>VLOOKUP(F644,[1]characters!$A:$C,3,FALSE)</f>
        <v>彩電の天使 ミカエル</v>
      </c>
      <c r="H644" s="8" t="str">
        <f>VLOOKUP(F644,[1]characters!$A:$J,10,FALSE)</f>
        <v>PremiumS</v>
      </c>
      <c r="I644" s="8">
        <f>VLOOKUP(F644,[1]characters!$A:$I,9,FALSE)</f>
        <v>4</v>
      </c>
      <c r="J644" s="8" t="str">
        <f>VLOOKUP(F644,[1]characters!$A:$H,8,FALSE)</f>
        <v>yellow</v>
      </c>
      <c r="K644" s="8" t="str">
        <f>VLOOKUP(F644,[1]characters!$A:$K,11,FALSE)</f>
        <v>attack</v>
      </c>
      <c r="L644" s="8" t="str">
        <f>VLOOKUP(F644,[1]characters!$A:$M,13,FALSE)</f>
        <v>machine</v>
      </c>
      <c r="M644" s="16">
        <f>VLOOKUP(D644,gacha_188_base!A:B,2,FALSE)</f>
        <v>14805</v>
      </c>
      <c r="N644" s="38">
        <f>IFERROR(VLOOKUP($F644,bug_conf_sheet!$A:$H,3,FALSE),VLOOKUP("other",bug_conf_sheet!$A:$H,3,FALSE))</f>
        <v>1</v>
      </c>
      <c r="O644" s="38">
        <f>IFERROR(VLOOKUP($F644,bug_conf_sheet!$A:$H,4,FALSE),VLOOKUP("other",bug_conf_sheet!$A:$H,4,FALSE))</f>
        <v>0</v>
      </c>
      <c r="P644" s="38">
        <f>IFERROR(VLOOKUP($F644,bug_conf_sheet!$A:$H,5,FALSE),VLOOKUP("other",bug_conf_sheet!$A:$H,5,FALSE))</f>
        <v>0</v>
      </c>
      <c r="Q644" s="38">
        <f>IFERROR(VLOOKUP($F644,bug_conf_sheet!$A:$H,6,FALSE),VLOOKUP("other",bug_conf_sheet!$A:$H,6,FALSE))</f>
        <v>0</v>
      </c>
      <c r="R644" s="38">
        <f>IFERROR(VLOOKUP($F644,bug_conf_sheet!$A:$H,7,FALSE),VLOOKUP("other",bug_conf_sheet!$A:$H,7,FALSE))</f>
        <v>0</v>
      </c>
      <c r="S644" s="38">
        <f>IFERROR(VLOOKUP($F644,bug_conf_sheet!$A:$H,8,FALSE),VLOOKUP("other",bug_conf_sheet!$A:$H,8,FALSE))</f>
        <v>1</v>
      </c>
    </row>
    <row r="645" spans="1:19" ht="21" customHeight="1">
      <c r="A645" s="7" t="str">
        <f t="shared" si="57"/>
        <v>1885249</v>
      </c>
      <c r="B645" s="2" t="str">
        <f t="shared" si="60"/>
        <v>1885</v>
      </c>
      <c r="C645" s="8" t="str">
        <f t="shared" si="58"/>
        <v>5PremiumS5</v>
      </c>
      <c r="D645" s="8" t="str">
        <f t="shared" si="59"/>
        <v>5PremiumS5</v>
      </c>
      <c r="E645" s="10">
        <v>5</v>
      </c>
      <c r="F645" s="6">
        <v>249</v>
      </c>
      <c r="G645" s="8" t="str">
        <f>VLOOKUP(F645,[1]characters!$A:$C,3,FALSE)</f>
        <v>雷電の天使 ミカエル・ゲイナー</v>
      </c>
      <c r="H645" s="8" t="str">
        <f>VLOOKUP(F645,[1]characters!$A:$J,10,FALSE)</f>
        <v>PremiumS</v>
      </c>
      <c r="I645" s="8">
        <f>VLOOKUP(F645,[1]characters!$A:$I,9,FALSE)</f>
        <v>5</v>
      </c>
      <c r="J645" s="8" t="str">
        <f>VLOOKUP(F645,[1]characters!$A:$H,8,FALSE)</f>
        <v>yellow</v>
      </c>
      <c r="K645" s="8" t="str">
        <f>VLOOKUP(F645,[1]characters!$A:$K,11,FALSE)</f>
        <v>attack</v>
      </c>
      <c r="L645" s="8" t="str">
        <f>VLOOKUP(F645,[1]characters!$A:$M,13,FALSE)</f>
        <v>machine</v>
      </c>
      <c r="M645" s="16">
        <f>VLOOKUP(D645,gacha_188_base!A:B,2,FALSE)</f>
        <v>945</v>
      </c>
      <c r="N645" s="38">
        <f>IFERROR(VLOOKUP($F645,bug_conf_sheet!$A:$H,3,FALSE),VLOOKUP("other",bug_conf_sheet!$A:$H,3,FALSE))</f>
        <v>1</v>
      </c>
      <c r="O645" s="38">
        <f>IFERROR(VLOOKUP($F645,bug_conf_sheet!$A:$H,4,FALSE),VLOOKUP("other",bug_conf_sheet!$A:$H,4,FALSE))</f>
        <v>0</v>
      </c>
      <c r="P645" s="38">
        <f>IFERROR(VLOOKUP($F645,bug_conf_sheet!$A:$H,5,FALSE),VLOOKUP("other",bug_conf_sheet!$A:$H,5,FALSE))</f>
        <v>0</v>
      </c>
      <c r="Q645" s="38">
        <f>IFERROR(VLOOKUP($F645,bug_conf_sheet!$A:$H,6,FALSE),VLOOKUP("other",bug_conf_sheet!$A:$H,6,FALSE))</f>
        <v>0</v>
      </c>
      <c r="R645" s="38">
        <f>IFERROR(VLOOKUP($F645,bug_conf_sheet!$A:$H,7,FALSE),VLOOKUP("other",bug_conf_sheet!$A:$H,7,FALSE))</f>
        <v>0</v>
      </c>
      <c r="S645" s="38">
        <f>IFERROR(VLOOKUP($F645,bug_conf_sheet!$A:$H,8,FALSE),VLOOKUP("other",bug_conf_sheet!$A:$H,8,FALSE))</f>
        <v>1</v>
      </c>
    </row>
    <row r="646" spans="1:19" ht="21" hidden="1" customHeight="1">
      <c r="A646" s="7" t="str">
        <f t="shared" si="57"/>
        <v>1885251</v>
      </c>
      <c r="B646" s="2" t="str">
        <f t="shared" si="60"/>
        <v>1885</v>
      </c>
      <c r="C646" s="8" t="str">
        <f t="shared" si="58"/>
        <v>5PremiumS4</v>
      </c>
      <c r="D646" s="8" t="str">
        <f t="shared" si="59"/>
        <v>5PremiumS4</v>
      </c>
      <c r="E646" s="10">
        <v>5</v>
      </c>
      <c r="F646" s="6">
        <v>251</v>
      </c>
      <c r="G646" s="8" t="str">
        <f>VLOOKUP(F646,[1]characters!$A:$C,3,FALSE)</f>
        <v>強欲 マンモン</v>
      </c>
      <c r="H646" s="8" t="str">
        <f>VLOOKUP(F646,[1]characters!$A:$J,10,FALSE)</f>
        <v>PremiumS</v>
      </c>
      <c r="I646" s="8">
        <f>VLOOKUP(F646,[1]characters!$A:$I,9,FALSE)</f>
        <v>4</v>
      </c>
      <c r="J646" s="8" t="str">
        <f>VLOOKUP(F646,[1]characters!$A:$H,8,FALSE)</f>
        <v>red</v>
      </c>
      <c r="K646" s="8" t="str">
        <f>VLOOKUP(F646,[1]characters!$A:$K,11,FALSE)</f>
        <v>balance</v>
      </c>
      <c r="L646" s="8" t="str">
        <f>VLOOKUP(F646,[1]characters!$A:$M,13,FALSE)</f>
        <v>god</v>
      </c>
      <c r="M646" s="16">
        <f>VLOOKUP(D646,gacha_188_base!A:B,2,FALSE)</f>
        <v>14805</v>
      </c>
      <c r="N646" s="38">
        <f>IFERROR(VLOOKUP($F646,bug_conf_sheet!$A:$H,3,FALSE),VLOOKUP("other",bug_conf_sheet!$A:$H,3,FALSE))</f>
        <v>1</v>
      </c>
      <c r="O646" s="38">
        <f>IFERROR(VLOOKUP($F646,bug_conf_sheet!$A:$H,4,FALSE),VLOOKUP("other",bug_conf_sheet!$A:$H,4,FALSE))</f>
        <v>0</v>
      </c>
      <c r="P646" s="38">
        <f>IFERROR(VLOOKUP($F646,bug_conf_sheet!$A:$H,5,FALSE),VLOOKUP("other",bug_conf_sheet!$A:$H,5,FALSE))</f>
        <v>0</v>
      </c>
      <c r="Q646" s="38">
        <f>IFERROR(VLOOKUP($F646,bug_conf_sheet!$A:$H,6,FALSE),VLOOKUP("other",bug_conf_sheet!$A:$H,6,FALSE))</f>
        <v>0</v>
      </c>
      <c r="R646" s="38">
        <f>IFERROR(VLOOKUP($F646,bug_conf_sheet!$A:$H,7,FALSE),VLOOKUP("other",bug_conf_sheet!$A:$H,7,FALSE))</f>
        <v>0</v>
      </c>
      <c r="S646" s="38">
        <f>IFERROR(VLOOKUP($F646,bug_conf_sheet!$A:$H,8,FALSE),VLOOKUP("other",bug_conf_sheet!$A:$H,8,FALSE))</f>
        <v>1</v>
      </c>
    </row>
    <row r="647" spans="1:19" ht="21" customHeight="1">
      <c r="A647" s="7" t="str">
        <f t="shared" si="57"/>
        <v>1885252</v>
      </c>
      <c r="B647" s="2" t="str">
        <f t="shared" si="60"/>
        <v>1885</v>
      </c>
      <c r="C647" s="8" t="str">
        <f t="shared" si="58"/>
        <v>5PremiumS5</v>
      </c>
      <c r="D647" s="8" t="str">
        <f t="shared" si="59"/>
        <v>5PremiumS5</v>
      </c>
      <c r="E647" s="10">
        <v>5</v>
      </c>
      <c r="F647" s="6">
        <v>252</v>
      </c>
      <c r="G647" s="8" t="str">
        <f>VLOOKUP(F647,[1]characters!$A:$C,3,FALSE)</f>
        <v>強欲の沸騰 マンモン</v>
      </c>
      <c r="H647" s="8" t="str">
        <f>VLOOKUP(F647,[1]characters!$A:$J,10,FALSE)</f>
        <v>PremiumS</v>
      </c>
      <c r="I647" s="8">
        <f>VLOOKUP(F647,[1]characters!$A:$I,9,FALSE)</f>
        <v>5</v>
      </c>
      <c r="J647" s="8" t="str">
        <f>VLOOKUP(F647,[1]characters!$A:$H,8,FALSE)</f>
        <v>red</v>
      </c>
      <c r="K647" s="8" t="str">
        <f>VLOOKUP(F647,[1]characters!$A:$K,11,FALSE)</f>
        <v>balance</v>
      </c>
      <c r="L647" s="8" t="str">
        <f>VLOOKUP(F647,[1]characters!$A:$M,13,FALSE)</f>
        <v>god</v>
      </c>
      <c r="M647" s="16">
        <f>VLOOKUP(D647,gacha_188_base!A:B,2,FALSE)</f>
        <v>945</v>
      </c>
      <c r="N647" s="38">
        <f>IFERROR(VLOOKUP($F647,bug_conf_sheet!$A:$H,3,FALSE),VLOOKUP("other",bug_conf_sheet!$A:$H,3,FALSE))</f>
        <v>1</v>
      </c>
      <c r="O647" s="38">
        <f>IFERROR(VLOOKUP($F647,bug_conf_sheet!$A:$H,4,FALSE),VLOOKUP("other",bug_conf_sheet!$A:$H,4,FALSE))</f>
        <v>0</v>
      </c>
      <c r="P647" s="38">
        <f>IFERROR(VLOOKUP($F647,bug_conf_sheet!$A:$H,5,FALSE),VLOOKUP("other",bug_conf_sheet!$A:$H,5,FALSE))</f>
        <v>0</v>
      </c>
      <c r="Q647" s="38">
        <f>IFERROR(VLOOKUP($F647,bug_conf_sheet!$A:$H,6,FALSE),VLOOKUP("other",bug_conf_sheet!$A:$H,6,FALSE))</f>
        <v>0</v>
      </c>
      <c r="R647" s="38">
        <f>IFERROR(VLOOKUP($F647,bug_conf_sheet!$A:$H,7,FALSE),VLOOKUP("other",bug_conf_sheet!$A:$H,7,FALSE))</f>
        <v>0</v>
      </c>
      <c r="S647" s="38">
        <f>IFERROR(VLOOKUP($F647,bug_conf_sheet!$A:$H,8,FALSE),VLOOKUP("other",bug_conf_sheet!$A:$H,8,FALSE))</f>
        <v>1</v>
      </c>
    </row>
    <row r="648" spans="1:19" ht="21" hidden="1" customHeight="1">
      <c r="A648" s="7" t="str">
        <f t="shared" si="57"/>
        <v>1885254</v>
      </c>
      <c r="B648" s="2" t="str">
        <f t="shared" si="60"/>
        <v>1885</v>
      </c>
      <c r="C648" s="8" t="str">
        <f t="shared" si="58"/>
        <v>5PremiumS4</v>
      </c>
      <c r="D648" s="8" t="str">
        <f t="shared" si="59"/>
        <v>5PremiumS4</v>
      </c>
      <c r="E648" s="10">
        <v>5</v>
      </c>
      <c r="F648" s="6">
        <v>254</v>
      </c>
      <c r="G648" s="8" t="str">
        <f>VLOOKUP(F648,[1]characters!$A:$C,3,FALSE)</f>
        <v>怠惰 ベルフェゴール</v>
      </c>
      <c r="H648" s="8" t="str">
        <f>VLOOKUP(F648,[1]characters!$A:$J,10,FALSE)</f>
        <v>PremiumS</v>
      </c>
      <c r="I648" s="8">
        <f>VLOOKUP(F648,[1]characters!$A:$I,9,FALSE)</f>
        <v>4</v>
      </c>
      <c r="J648" s="8" t="str">
        <f>VLOOKUP(F648,[1]characters!$A:$H,8,FALSE)</f>
        <v>green</v>
      </c>
      <c r="K648" s="8" t="str">
        <f>VLOOKUP(F648,[1]characters!$A:$K,11,FALSE)</f>
        <v>technical</v>
      </c>
      <c r="L648" s="8" t="str">
        <f>VLOOKUP(F648,[1]characters!$A:$M,13,FALSE)</f>
        <v>god</v>
      </c>
      <c r="M648" s="16">
        <f>VLOOKUP(D648,gacha_188_base!A:B,2,FALSE)</f>
        <v>14805</v>
      </c>
      <c r="N648" s="38">
        <f>IFERROR(VLOOKUP($F648,bug_conf_sheet!$A:$H,3,FALSE),VLOOKUP("other",bug_conf_sheet!$A:$H,3,FALSE))</f>
        <v>1</v>
      </c>
      <c r="O648" s="38">
        <f>IFERROR(VLOOKUP($F648,bug_conf_sheet!$A:$H,4,FALSE),VLOOKUP("other",bug_conf_sheet!$A:$H,4,FALSE))</f>
        <v>0</v>
      </c>
      <c r="P648" s="38">
        <f>IFERROR(VLOOKUP($F648,bug_conf_sheet!$A:$H,5,FALSE),VLOOKUP("other",bug_conf_sheet!$A:$H,5,FALSE))</f>
        <v>0</v>
      </c>
      <c r="Q648" s="38">
        <f>IFERROR(VLOOKUP($F648,bug_conf_sheet!$A:$H,6,FALSE),VLOOKUP("other",bug_conf_sheet!$A:$H,6,FALSE))</f>
        <v>0</v>
      </c>
      <c r="R648" s="38">
        <f>IFERROR(VLOOKUP($F648,bug_conf_sheet!$A:$H,7,FALSE),VLOOKUP("other",bug_conf_sheet!$A:$H,7,FALSE))</f>
        <v>0</v>
      </c>
      <c r="S648" s="38">
        <f>IFERROR(VLOOKUP($F648,bug_conf_sheet!$A:$H,8,FALSE),VLOOKUP("other",bug_conf_sheet!$A:$H,8,FALSE))</f>
        <v>1</v>
      </c>
    </row>
    <row r="649" spans="1:19" ht="21" customHeight="1">
      <c r="A649" s="7" t="str">
        <f t="shared" si="57"/>
        <v>1885255</v>
      </c>
      <c r="B649" s="2" t="str">
        <f t="shared" si="60"/>
        <v>1885</v>
      </c>
      <c r="C649" s="8" t="str">
        <f t="shared" si="58"/>
        <v>5PremiumS5</v>
      </c>
      <c r="D649" s="8" t="str">
        <f t="shared" si="59"/>
        <v>5PremiumS5</v>
      </c>
      <c r="E649" s="10">
        <v>5</v>
      </c>
      <c r="F649" s="6">
        <v>255</v>
      </c>
      <c r="G649" s="8" t="str">
        <f>VLOOKUP(F649,[1]characters!$A:$C,3,FALSE)</f>
        <v>怠惰の頂点 ベルフェゴール</v>
      </c>
      <c r="H649" s="8" t="str">
        <f>VLOOKUP(F649,[1]characters!$A:$J,10,FALSE)</f>
        <v>PremiumS</v>
      </c>
      <c r="I649" s="8">
        <f>VLOOKUP(F649,[1]characters!$A:$I,9,FALSE)</f>
        <v>5</v>
      </c>
      <c r="J649" s="8" t="str">
        <f>VLOOKUP(F649,[1]characters!$A:$H,8,FALSE)</f>
        <v>green</v>
      </c>
      <c r="K649" s="8" t="str">
        <f>VLOOKUP(F649,[1]characters!$A:$K,11,FALSE)</f>
        <v>technical</v>
      </c>
      <c r="L649" s="8" t="str">
        <f>VLOOKUP(F649,[1]characters!$A:$M,13,FALSE)</f>
        <v>god</v>
      </c>
      <c r="M649" s="16">
        <f>VLOOKUP(D649,gacha_188_base!A:B,2,FALSE)</f>
        <v>945</v>
      </c>
      <c r="N649" s="38">
        <f>IFERROR(VLOOKUP($F649,bug_conf_sheet!$A:$H,3,FALSE),VLOOKUP("other",bug_conf_sheet!$A:$H,3,FALSE))</f>
        <v>1</v>
      </c>
      <c r="O649" s="38">
        <f>IFERROR(VLOOKUP($F649,bug_conf_sheet!$A:$H,4,FALSE),VLOOKUP("other",bug_conf_sheet!$A:$H,4,FALSE))</f>
        <v>0</v>
      </c>
      <c r="P649" s="38">
        <f>IFERROR(VLOOKUP($F649,bug_conf_sheet!$A:$H,5,FALSE),VLOOKUP("other",bug_conf_sheet!$A:$H,5,FALSE))</f>
        <v>0</v>
      </c>
      <c r="Q649" s="38">
        <f>IFERROR(VLOOKUP($F649,bug_conf_sheet!$A:$H,6,FALSE),VLOOKUP("other",bug_conf_sheet!$A:$H,6,FALSE))</f>
        <v>0</v>
      </c>
      <c r="R649" s="38">
        <f>IFERROR(VLOOKUP($F649,bug_conf_sheet!$A:$H,7,FALSE),VLOOKUP("other",bug_conf_sheet!$A:$H,7,FALSE))</f>
        <v>0</v>
      </c>
      <c r="S649" s="38">
        <f>IFERROR(VLOOKUP($F649,bug_conf_sheet!$A:$H,8,FALSE),VLOOKUP("other",bug_conf_sheet!$A:$H,8,FALSE))</f>
        <v>1</v>
      </c>
    </row>
    <row r="650" spans="1:19" ht="21" hidden="1" customHeight="1">
      <c r="A650" s="7" t="str">
        <f t="shared" ref="A650:A713" si="61">B650&amp;F650</f>
        <v>1885257</v>
      </c>
      <c r="B650" s="2" t="str">
        <f t="shared" si="60"/>
        <v>1885</v>
      </c>
      <c r="C650" s="8" t="str">
        <f t="shared" ref="C650:C713" si="62">E650&amp;H650&amp;I650</f>
        <v>5PremiumS4</v>
      </c>
      <c r="D650" s="8" t="str">
        <f t="shared" si="59"/>
        <v>5PremiumS4</v>
      </c>
      <c r="E650" s="10">
        <v>5</v>
      </c>
      <c r="F650" s="6">
        <v>257</v>
      </c>
      <c r="G650" s="8" t="str">
        <f>VLOOKUP(F650,[1]characters!$A:$C,3,FALSE)</f>
        <v>色欲 アスモデウス</v>
      </c>
      <c r="H650" s="8" t="str">
        <f>VLOOKUP(F650,[1]characters!$A:$J,10,FALSE)</f>
        <v>PremiumS</v>
      </c>
      <c r="I650" s="8">
        <f>VLOOKUP(F650,[1]characters!$A:$I,9,FALSE)</f>
        <v>4</v>
      </c>
      <c r="J650" s="8" t="str">
        <f>VLOOKUP(F650,[1]characters!$A:$H,8,FALSE)</f>
        <v>blue</v>
      </c>
      <c r="K650" s="8" t="str">
        <f>VLOOKUP(F650,[1]characters!$A:$K,11,FALSE)</f>
        <v>attack</v>
      </c>
      <c r="L650" s="8" t="str">
        <f>VLOOKUP(F650,[1]characters!$A:$M,13,FALSE)</f>
        <v>god</v>
      </c>
      <c r="M650" s="16">
        <f>VLOOKUP(D650,gacha_188_base!A:B,2,FALSE)</f>
        <v>14805</v>
      </c>
      <c r="N650" s="38">
        <f>IFERROR(VLOOKUP($F650,bug_conf_sheet!$A:$H,3,FALSE),VLOOKUP("other",bug_conf_sheet!$A:$H,3,FALSE))</f>
        <v>1</v>
      </c>
      <c r="O650" s="38">
        <f>IFERROR(VLOOKUP($F650,bug_conf_sheet!$A:$H,4,FALSE),VLOOKUP("other",bug_conf_sheet!$A:$H,4,FALSE))</f>
        <v>0</v>
      </c>
      <c r="P650" s="38">
        <f>IFERROR(VLOOKUP($F650,bug_conf_sheet!$A:$H,5,FALSE),VLOOKUP("other",bug_conf_sheet!$A:$H,5,FALSE))</f>
        <v>0</v>
      </c>
      <c r="Q650" s="38">
        <f>IFERROR(VLOOKUP($F650,bug_conf_sheet!$A:$H,6,FALSE),VLOOKUP("other",bug_conf_sheet!$A:$H,6,FALSE))</f>
        <v>0</v>
      </c>
      <c r="R650" s="38">
        <f>IFERROR(VLOOKUP($F650,bug_conf_sheet!$A:$H,7,FALSE),VLOOKUP("other",bug_conf_sheet!$A:$H,7,FALSE))</f>
        <v>0</v>
      </c>
      <c r="S650" s="38">
        <f>IFERROR(VLOOKUP($F650,bug_conf_sheet!$A:$H,8,FALSE),VLOOKUP("other",bug_conf_sheet!$A:$H,8,FALSE))</f>
        <v>1</v>
      </c>
    </row>
    <row r="651" spans="1:19" ht="21" customHeight="1">
      <c r="A651" s="7" t="str">
        <f t="shared" si="61"/>
        <v>1885258</v>
      </c>
      <c r="B651" s="2" t="str">
        <f t="shared" si="60"/>
        <v>1885</v>
      </c>
      <c r="C651" s="8" t="str">
        <f t="shared" si="62"/>
        <v>5PremiumS5</v>
      </c>
      <c r="D651" s="8" t="str">
        <f t="shared" si="59"/>
        <v>5PremiumS5</v>
      </c>
      <c r="E651" s="10">
        <v>5</v>
      </c>
      <c r="F651" s="6">
        <v>258</v>
      </c>
      <c r="G651" s="8" t="str">
        <f>VLOOKUP(F651,[1]characters!$A:$C,3,FALSE)</f>
        <v>色欲の源流 アスモデウス</v>
      </c>
      <c r="H651" s="8" t="str">
        <f>VLOOKUP(F651,[1]characters!$A:$J,10,FALSE)</f>
        <v>PremiumS</v>
      </c>
      <c r="I651" s="8">
        <f>VLOOKUP(F651,[1]characters!$A:$I,9,FALSE)</f>
        <v>5</v>
      </c>
      <c r="J651" s="8" t="str">
        <f>VLOOKUP(F651,[1]characters!$A:$H,8,FALSE)</f>
        <v>blue</v>
      </c>
      <c r="K651" s="8" t="str">
        <f>VLOOKUP(F651,[1]characters!$A:$K,11,FALSE)</f>
        <v>attack</v>
      </c>
      <c r="L651" s="8" t="str">
        <f>VLOOKUP(F651,[1]characters!$A:$M,13,FALSE)</f>
        <v>god</v>
      </c>
      <c r="M651" s="16">
        <f>VLOOKUP(D651,gacha_188_base!A:B,2,FALSE)</f>
        <v>945</v>
      </c>
      <c r="N651" s="38">
        <f>IFERROR(VLOOKUP($F651,bug_conf_sheet!$A:$H,3,FALSE),VLOOKUP("other",bug_conf_sheet!$A:$H,3,FALSE))</f>
        <v>1</v>
      </c>
      <c r="O651" s="38">
        <f>IFERROR(VLOOKUP($F651,bug_conf_sheet!$A:$H,4,FALSE),VLOOKUP("other",bug_conf_sheet!$A:$H,4,FALSE))</f>
        <v>0</v>
      </c>
      <c r="P651" s="38">
        <f>IFERROR(VLOOKUP($F651,bug_conf_sheet!$A:$H,5,FALSE),VLOOKUP("other",bug_conf_sheet!$A:$H,5,FALSE))</f>
        <v>0</v>
      </c>
      <c r="Q651" s="38">
        <f>IFERROR(VLOOKUP($F651,bug_conf_sheet!$A:$H,6,FALSE),VLOOKUP("other",bug_conf_sheet!$A:$H,6,FALSE))</f>
        <v>0</v>
      </c>
      <c r="R651" s="38">
        <f>IFERROR(VLOOKUP($F651,bug_conf_sheet!$A:$H,7,FALSE),VLOOKUP("other",bug_conf_sheet!$A:$H,7,FALSE))</f>
        <v>0</v>
      </c>
      <c r="S651" s="38">
        <f>IFERROR(VLOOKUP($F651,bug_conf_sheet!$A:$H,8,FALSE),VLOOKUP("other",bug_conf_sheet!$A:$H,8,FALSE))</f>
        <v>1</v>
      </c>
    </row>
    <row r="652" spans="1:19" ht="21" hidden="1" customHeight="1">
      <c r="A652" s="7" t="str">
        <f t="shared" si="61"/>
        <v>1885260</v>
      </c>
      <c r="B652" s="2" t="str">
        <f t="shared" si="60"/>
        <v>1885</v>
      </c>
      <c r="C652" s="8" t="str">
        <f t="shared" si="62"/>
        <v>5PremiumS4</v>
      </c>
      <c r="D652" s="8" t="str">
        <f t="shared" si="59"/>
        <v>5PremiumS4</v>
      </c>
      <c r="E652" s="10">
        <v>5</v>
      </c>
      <c r="F652" s="9">
        <v>260</v>
      </c>
      <c r="G652" s="8" t="str">
        <f>VLOOKUP(F652,[1]characters!$A:$C,3,FALSE)</f>
        <v>輪廻 ウロボロス</v>
      </c>
      <c r="H652" s="8" t="str">
        <f>VLOOKUP(F652,[1]characters!$A:$J,10,FALSE)</f>
        <v>PremiumS</v>
      </c>
      <c r="I652" s="8">
        <f>VLOOKUP(F652,[1]characters!$A:$I,9,FALSE)</f>
        <v>4</v>
      </c>
      <c r="J652" s="8" t="str">
        <f>VLOOKUP(F652,[1]characters!$A:$H,8,FALSE)</f>
        <v>yellow</v>
      </c>
      <c r="K652" s="8" t="str">
        <f>VLOOKUP(F652,[1]characters!$A:$K,11,FALSE)</f>
        <v>balance</v>
      </c>
      <c r="L652" s="8" t="str">
        <f>VLOOKUP(F652,[1]characters!$A:$M,13,FALSE)</f>
        <v>dragon</v>
      </c>
      <c r="M652" s="16">
        <f>VLOOKUP(D652,gacha_188_base!A:B,2,FALSE)</f>
        <v>14805</v>
      </c>
      <c r="N652" s="38">
        <f>IFERROR(VLOOKUP($F652,bug_conf_sheet!$A:$H,3,FALSE),VLOOKUP("other",bug_conf_sheet!$A:$H,3,FALSE))</f>
        <v>1</v>
      </c>
      <c r="O652" s="38">
        <f>IFERROR(VLOOKUP($F652,bug_conf_sheet!$A:$H,4,FALSE),VLOOKUP("other",bug_conf_sheet!$A:$H,4,FALSE))</f>
        <v>0</v>
      </c>
      <c r="P652" s="38">
        <f>IFERROR(VLOOKUP($F652,bug_conf_sheet!$A:$H,5,FALSE),VLOOKUP("other",bug_conf_sheet!$A:$H,5,FALSE))</f>
        <v>0</v>
      </c>
      <c r="Q652" s="38">
        <f>IFERROR(VLOOKUP($F652,bug_conf_sheet!$A:$H,6,FALSE),VLOOKUP("other",bug_conf_sheet!$A:$H,6,FALSE))</f>
        <v>0</v>
      </c>
      <c r="R652" s="38">
        <f>IFERROR(VLOOKUP($F652,bug_conf_sheet!$A:$H,7,FALSE),VLOOKUP("other",bug_conf_sheet!$A:$H,7,FALSE))</f>
        <v>0</v>
      </c>
      <c r="S652" s="38">
        <f>IFERROR(VLOOKUP($F652,bug_conf_sheet!$A:$H,8,FALSE),VLOOKUP("other",bug_conf_sheet!$A:$H,8,FALSE))</f>
        <v>1</v>
      </c>
    </row>
    <row r="653" spans="1:19" ht="21" customHeight="1">
      <c r="A653" s="7" t="str">
        <f t="shared" si="61"/>
        <v>1885261</v>
      </c>
      <c r="B653" s="2" t="str">
        <f t="shared" si="60"/>
        <v>1885</v>
      </c>
      <c r="C653" s="8" t="str">
        <f t="shared" si="62"/>
        <v>5PremiumS5</v>
      </c>
      <c r="D653" s="8" t="str">
        <f t="shared" si="59"/>
        <v>5PremiumS5</v>
      </c>
      <c r="E653" s="10">
        <v>5</v>
      </c>
      <c r="F653" s="9">
        <v>261</v>
      </c>
      <c r="G653" s="8" t="str">
        <f>VLOOKUP(F653,[1]characters!$A:$C,3,FALSE)</f>
        <v>輪廻の蛇龍 ウロボロス</v>
      </c>
      <c r="H653" s="8" t="str">
        <f>VLOOKUP(F653,[1]characters!$A:$J,10,FALSE)</f>
        <v>PremiumS</v>
      </c>
      <c r="I653" s="8">
        <f>VLOOKUP(F653,[1]characters!$A:$I,9,FALSE)</f>
        <v>5</v>
      </c>
      <c r="J653" s="8" t="str">
        <f>VLOOKUP(F653,[1]characters!$A:$H,8,FALSE)</f>
        <v>yellow</v>
      </c>
      <c r="K653" s="8" t="str">
        <f>VLOOKUP(F653,[1]characters!$A:$K,11,FALSE)</f>
        <v>balance</v>
      </c>
      <c r="L653" s="8" t="str">
        <f>VLOOKUP(F653,[1]characters!$A:$M,13,FALSE)</f>
        <v>dragon</v>
      </c>
      <c r="M653" s="16">
        <f>VLOOKUP(D653,gacha_188_base!A:B,2,FALSE)</f>
        <v>945</v>
      </c>
      <c r="N653" s="38">
        <f>IFERROR(VLOOKUP($F653,bug_conf_sheet!$A:$H,3,FALSE),VLOOKUP("other",bug_conf_sheet!$A:$H,3,FALSE))</f>
        <v>1</v>
      </c>
      <c r="O653" s="38">
        <f>IFERROR(VLOOKUP($F653,bug_conf_sheet!$A:$H,4,FALSE),VLOOKUP("other",bug_conf_sheet!$A:$H,4,FALSE))</f>
        <v>0</v>
      </c>
      <c r="P653" s="38">
        <f>IFERROR(VLOOKUP($F653,bug_conf_sheet!$A:$H,5,FALSE),VLOOKUP("other",bug_conf_sheet!$A:$H,5,FALSE))</f>
        <v>0</v>
      </c>
      <c r="Q653" s="38">
        <f>IFERROR(VLOOKUP($F653,bug_conf_sheet!$A:$H,6,FALSE),VLOOKUP("other",bug_conf_sheet!$A:$H,6,FALSE))</f>
        <v>0</v>
      </c>
      <c r="R653" s="38">
        <f>IFERROR(VLOOKUP($F653,bug_conf_sheet!$A:$H,7,FALSE),VLOOKUP("other",bug_conf_sheet!$A:$H,7,FALSE))</f>
        <v>0</v>
      </c>
      <c r="S653" s="38">
        <f>IFERROR(VLOOKUP($F653,bug_conf_sheet!$A:$H,8,FALSE),VLOOKUP("other",bug_conf_sheet!$A:$H,8,FALSE))</f>
        <v>1</v>
      </c>
    </row>
    <row r="654" spans="1:19" ht="21" hidden="1" customHeight="1">
      <c r="A654" s="7" t="str">
        <f t="shared" si="61"/>
        <v>1885320</v>
      </c>
      <c r="B654" s="2" t="str">
        <f t="shared" si="60"/>
        <v>1885</v>
      </c>
      <c r="C654" s="8" t="str">
        <f t="shared" si="62"/>
        <v>5PremiumSS4</v>
      </c>
      <c r="D654" s="8" t="str">
        <f t="shared" si="59"/>
        <v>5PremiumSS4</v>
      </c>
      <c r="E654" s="10">
        <v>5</v>
      </c>
      <c r="F654" s="6">
        <v>320</v>
      </c>
      <c r="G654" s="8" t="str">
        <f>VLOOKUP(F654,[1]characters!$A:$C,3,FALSE)</f>
        <v>烈志士 近藤勇</v>
      </c>
      <c r="H654" s="8" t="str">
        <f>VLOOKUP(F654,[1]characters!$A:$J,10,FALSE)</f>
        <v>PremiumSS</v>
      </c>
      <c r="I654" s="8">
        <f>VLOOKUP(F654,[1]characters!$A:$I,9,FALSE)</f>
        <v>4</v>
      </c>
      <c r="J654" s="8" t="str">
        <f>VLOOKUP(F654,[1]characters!$A:$H,8,FALSE)</f>
        <v>red</v>
      </c>
      <c r="K654" s="8" t="str">
        <f>VLOOKUP(F654,[1]characters!$A:$K,11,FALSE)</f>
        <v>hp</v>
      </c>
      <c r="L654" s="8" t="str">
        <f>VLOOKUP(F654,[1]characters!$A:$M,13,FALSE)</f>
        <v>human</v>
      </c>
      <c r="M654" s="16">
        <f>VLOOKUP(D654,gacha_188_base!A:B,2,FALSE)</f>
        <v>1709</v>
      </c>
      <c r="N654" s="38">
        <f>IFERROR(VLOOKUP($F654,bug_conf_sheet!$A:$H,3,FALSE),VLOOKUP("other",bug_conf_sheet!$A:$H,3,FALSE))</f>
        <v>1</v>
      </c>
      <c r="O654" s="38">
        <f>IFERROR(VLOOKUP($F654,bug_conf_sheet!$A:$H,4,FALSE),VLOOKUP("other",bug_conf_sheet!$A:$H,4,FALSE))</f>
        <v>0</v>
      </c>
      <c r="P654" s="38">
        <f>IFERROR(VLOOKUP($F654,bug_conf_sheet!$A:$H,5,FALSE),VLOOKUP("other",bug_conf_sheet!$A:$H,5,FALSE))</f>
        <v>0</v>
      </c>
      <c r="Q654" s="38">
        <f>IFERROR(VLOOKUP($F654,bug_conf_sheet!$A:$H,6,FALSE),VLOOKUP("other",bug_conf_sheet!$A:$H,6,FALSE))</f>
        <v>0</v>
      </c>
      <c r="R654" s="38">
        <f>IFERROR(VLOOKUP($F654,bug_conf_sheet!$A:$H,7,FALSE),VLOOKUP("other",bug_conf_sheet!$A:$H,7,FALSE))</f>
        <v>0</v>
      </c>
      <c r="S654" s="38">
        <f>IFERROR(VLOOKUP($F654,bug_conf_sheet!$A:$H,8,FALSE),VLOOKUP("other",bug_conf_sheet!$A:$H,8,FALSE))</f>
        <v>1</v>
      </c>
    </row>
    <row r="655" spans="1:19" ht="21" customHeight="1">
      <c r="A655" s="7" t="str">
        <f t="shared" si="61"/>
        <v>1885321</v>
      </c>
      <c r="B655" s="2" t="str">
        <f t="shared" si="60"/>
        <v>1885</v>
      </c>
      <c r="C655" s="8" t="str">
        <f t="shared" si="62"/>
        <v>5PremiumSS5</v>
      </c>
      <c r="D655" s="8" t="str">
        <f t="shared" si="59"/>
        <v>5PremiumSS5</v>
      </c>
      <c r="E655" s="10">
        <v>5</v>
      </c>
      <c r="F655" s="6">
        <v>321</v>
      </c>
      <c r="G655" s="8" t="str">
        <f>VLOOKUP(F655,[1]characters!$A:$C,3,FALSE)</f>
        <v>巌鉄の烈志士 近藤勇</v>
      </c>
      <c r="H655" s="8" t="str">
        <f>VLOOKUP(F655,[1]characters!$A:$J,10,FALSE)</f>
        <v>PremiumSS</v>
      </c>
      <c r="I655" s="8">
        <f>VLOOKUP(F655,[1]characters!$A:$I,9,FALSE)</f>
        <v>5</v>
      </c>
      <c r="J655" s="8" t="str">
        <f>VLOOKUP(F655,[1]characters!$A:$H,8,FALSE)</f>
        <v>red</v>
      </c>
      <c r="K655" s="8" t="str">
        <f>VLOOKUP(F655,[1]characters!$A:$K,11,FALSE)</f>
        <v>hp</v>
      </c>
      <c r="L655" s="8" t="str">
        <f>VLOOKUP(F655,[1]characters!$A:$M,13,FALSE)</f>
        <v>human</v>
      </c>
      <c r="M655" s="16">
        <f>VLOOKUP(D655,gacha_188_base!A:B,2,FALSE)</f>
        <v>109</v>
      </c>
      <c r="N655" s="38">
        <f>IFERROR(VLOOKUP($F655,bug_conf_sheet!$A:$H,3,FALSE),VLOOKUP("other",bug_conf_sheet!$A:$H,3,FALSE))</f>
        <v>1</v>
      </c>
      <c r="O655" s="38">
        <f>IFERROR(VLOOKUP($F655,bug_conf_sheet!$A:$H,4,FALSE),VLOOKUP("other",bug_conf_sheet!$A:$H,4,FALSE))</f>
        <v>0</v>
      </c>
      <c r="P655" s="38">
        <f>IFERROR(VLOOKUP($F655,bug_conf_sheet!$A:$H,5,FALSE),VLOOKUP("other",bug_conf_sheet!$A:$H,5,FALSE))</f>
        <v>0</v>
      </c>
      <c r="Q655" s="38">
        <f>IFERROR(VLOOKUP($F655,bug_conf_sheet!$A:$H,6,FALSE),VLOOKUP("other",bug_conf_sheet!$A:$H,6,FALSE))</f>
        <v>0</v>
      </c>
      <c r="R655" s="38">
        <f>IFERROR(VLOOKUP($F655,bug_conf_sheet!$A:$H,7,FALSE),VLOOKUP("other",bug_conf_sheet!$A:$H,7,FALSE))</f>
        <v>0</v>
      </c>
      <c r="S655" s="38">
        <f>IFERROR(VLOOKUP($F655,bug_conf_sheet!$A:$H,8,FALSE),VLOOKUP("other",bug_conf_sheet!$A:$H,8,FALSE))</f>
        <v>1</v>
      </c>
    </row>
    <row r="656" spans="1:19" ht="21" hidden="1" customHeight="1">
      <c r="A656" s="7" t="str">
        <f t="shared" si="61"/>
        <v>1885322</v>
      </c>
      <c r="B656" s="2" t="str">
        <f t="shared" si="60"/>
        <v>1885</v>
      </c>
      <c r="C656" s="8" t="str">
        <f t="shared" si="62"/>
        <v>5PremiumSS4</v>
      </c>
      <c r="D656" s="8" t="str">
        <f t="shared" si="59"/>
        <v>5PremiumSS4</v>
      </c>
      <c r="E656" s="10">
        <v>5</v>
      </c>
      <c r="F656" s="6">
        <v>322</v>
      </c>
      <c r="G656" s="8" t="str">
        <f>VLOOKUP(F656,[1]characters!$A:$C,3,FALSE)</f>
        <v>愛志士 土方歳三</v>
      </c>
      <c r="H656" s="8" t="str">
        <f>VLOOKUP(F656,[1]characters!$A:$J,10,FALSE)</f>
        <v>PremiumSS</v>
      </c>
      <c r="I656" s="8">
        <f>VLOOKUP(F656,[1]characters!$A:$I,9,FALSE)</f>
        <v>4</v>
      </c>
      <c r="J656" s="8" t="str">
        <f>VLOOKUP(F656,[1]characters!$A:$H,8,FALSE)</f>
        <v>green</v>
      </c>
      <c r="K656" s="8" t="str">
        <f>VLOOKUP(F656,[1]characters!$A:$K,11,FALSE)</f>
        <v>attack</v>
      </c>
      <c r="L656" s="8" t="str">
        <f>VLOOKUP(F656,[1]characters!$A:$M,13,FALSE)</f>
        <v>human</v>
      </c>
      <c r="M656" s="16">
        <f>VLOOKUP(D656,gacha_188_base!A:B,2,FALSE)</f>
        <v>1709</v>
      </c>
      <c r="N656" s="38">
        <f>IFERROR(VLOOKUP($F656,bug_conf_sheet!$A:$H,3,FALSE),VLOOKUP("other",bug_conf_sheet!$A:$H,3,FALSE))</f>
        <v>1</v>
      </c>
      <c r="O656" s="38">
        <f>IFERROR(VLOOKUP($F656,bug_conf_sheet!$A:$H,4,FALSE),VLOOKUP("other",bug_conf_sheet!$A:$H,4,FALSE))</f>
        <v>0</v>
      </c>
      <c r="P656" s="38">
        <f>IFERROR(VLOOKUP($F656,bug_conf_sheet!$A:$H,5,FALSE),VLOOKUP("other",bug_conf_sheet!$A:$H,5,FALSE))</f>
        <v>0</v>
      </c>
      <c r="Q656" s="38">
        <f>IFERROR(VLOOKUP($F656,bug_conf_sheet!$A:$H,6,FALSE),VLOOKUP("other",bug_conf_sheet!$A:$H,6,FALSE))</f>
        <v>0</v>
      </c>
      <c r="R656" s="38">
        <f>IFERROR(VLOOKUP($F656,bug_conf_sheet!$A:$H,7,FALSE),VLOOKUP("other",bug_conf_sheet!$A:$H,7,FALSE))</f>
        <v>0</v>
      </c>
      <c r="S656" s="38">
        <f>IFERROR(VLOOKUP($F656,bug_conf_sheet!$A:$H,8,FALSE),VLOOKUP("other",bug_conf_sheet!$A:$H,8,FALSE))</f>
        <v>1</v>
      </c>
    </row>
    <row r="657" spans="1:19" ht="21" customHeight="1">
      <c r="A657" s="7" t="str">
        <f t="shared" si="61"/>
        <v>1885323</v>
      </c>
      <c r="B657" s="2" t="str">
        <f t="shared" si="60"/>
        <v>1885</v>
      </c>
      <c r="C657" s="8" t="str">
        <f t="shared" si="62"/>
        <v>5PremiumSS5</v>
      </c>
      <c r="D657" s="8" t="str">
        <f t="shared" si="59"/>
        <v>5PremiumSS5</v>
      </c>
      <c r="E657" s="10">
        <v>5</v>
      </c>
      <c r="F657" s="6">
        <v>323</v>
      </c>
      <c r="G657" s="8" t="str">
        <f>VLOOKUP(F657,[1]characters!$A:$C,3,FALSE)</f>
        <v>流麗の愛志士 土方歳三</v>
      </c>
      <c r="H657" s="8" t="str">
        <f>VLOOKUP(F657,[1]characters!$A:$J,10,FALSE)</f>
        <v>PremiumSS</v>
      </c>
      <c r="I657" s="8">
        <f>VLOOKUP(F657,[1]characters!$A:$I,9,FALSE)</f>
        <v>5</v>
      </c>
      <c r="J657" s="8" t="str">
        <f>VLOOKUP(F657,[1]characters!$A:$H,8,FALSE)</f>
        <v>green</v>
      </c>
      <c r="K657" s="8" t="str">
        <f>VLOOKUP(F657,[1]characters!$A:$K,11,FALSE)</f>
        <v>attack</v>
      </c>
      <c r="L657" s="8" t="str">
        <f>VLOOKUP(F657,[1]characters!$A:$M,13,FALSE)</f>
        <v>human</v>
      </c>
      <c r="M657" s="16">
        <f>VLOOKUP(D657,gacha_188_base!A:B,2,FALSE)</f>
        <v>109</v>
      </c>
      <c r="N657" s="38">
        <f>IFERROR(VLOOKUP($F657,bug_conf_sheet!$A:$H,3,FALSE),VLOOKUP("other",bug_conf_sheet!$A:$H,3,FALSE))</f>
        <v>1</v>
      </c>
      <c r="O657" s="38">
        <f>IFERROR(VLOOKUP($F657,bug_conf_sheet!$A:$H,4,FALSE),VLOOKUP("other",bug_conf_sheet!$A:$H,4,FALSE))</f>
        <v>0</v>
      </c>
      <c r="P657" s="38">
        <f>IFERROR(VLOOKUP($F657,bug_conf_sheet!$A:$H,5,FALSE),VLOOKUP("other",bug_conf_sheet!$A:$H,5,FALSE))</f>
        <v>0</v>
      </c>
      <c r="Q657" s="38">
        <f>IFERROR(VLOOKUP($F657,bug_conf_sheet!$A:$H,6,FALSE),VLOOKUP("other",bug_conf_sheet!$A:$H,6,FALSE))</f>
        <v>0</v>
      </c>
      <c r="R657" s="38">
        <f>IFERROR(VLOOKUP($F657,bug_conf_sheet!$A:$H,7,FALSE),VLOOKUP("other",bug_conf_sheet!$A:$H,7,FALSE))</f>
        <v>0</v>
      </c>
      <c r="S657" s="38">
        <f>IFERROR(VLOOKUP($F657,bug_conf_sheet!$A:$H,8,FALSE),VLOOKUP("other",bug_conf_sheet!$A:$H,8,FALSE))</f>
        <v>1</v>
      </c>
    </row>
    <row r="658" spans="1:19" ht="21" hidden="1" customHeight="1">
      <c r="A658" s="7" t="str">
        <f t="shared" si="61"/>
        <v>1885324</v>
      </c>
      <c r="B658" s="2" t="str">
        <f t="shared" si="60"/>
        <v>1885</v>
      </c>
      <c r="C658" s="8" t="str">
        <f t="shared" si="62"/>
        <v>5PremiumSS4</v>
      </c>
      <c r="D658" s="8" t="str">
        <f t="shared" si="59"/>
        <v>5PremiumSS4</v>
      </c>
      <c r="E658" s="10">
        <v>5</v>
      </c>
      <c r="F658" s="6">
        <v>324</v>
      </c>
      <c r="G658" s="8" t="str">
        <f>VLOOKUP(F658,[1]characters!$A:$C,3,FALSE)</f>
        <v>凛志士 沖田総司</v>
      </c>
      <c r="H658" s="8" t="str">
        <f>VLOOKUP(F658,[1]characters!$A:$J,10,FALSE)</f>
        <v>PremiumSS</v>
      </c>
      <c r="I658" s="8">
        <f>VLOOKUP(F658,[1]characters!$A:$I,9,FALSE)</f>
        <v>4</v>
      </c>
      <c r="J658" s="8" t="str">
        <f>VLOOKUP(F658,[1]characters!$A:$H,8,FALSE)</f>
        <v>blue</v>
      </c>
      <c r="K658" s="8" t="str">
        <f>VLOOKUP(F658,[1]characters!$A:$K,11,FALSE)</f>
        <v>balance</v>
      </c>
      <c r="L658" s="8" t="str">
        <f>VLOOKUP(F658,[1]characters!$A:$M,13,FALSE)</f>
        <v>human</v>
      </c>
      <c r="M658" s="16">
        <f>VLOOKUP(D658,gacha_188_base!A:B,2,FALSE)</f>
        <v>1709</v>
      </c>
      <c r="N658" s="38">
        <f>IFERROR(VLOOKUP($F658,bug_conf_sheet!$A:$H,3,FALSE),VLOOKUP("other",bug_conf_sheet!$A:$H,3,FALSE))</f>
        <v>1</v>
      </c>
      <c r="O658" s="38">
        <f>IFERROR(VLOOKUP($F658,bug_conf_sheet!$A:$H,4,FALSE),VLOOKUP("other",bug_conf_sheet!$A:$H,4,FALSE))</f>
        <v>0</v>
      </c>
      <c r="P658" s="38">
        <f>IFERROR(VLOOKUP($F658,bug_conf_sheet!$A:$H,5,FALSE),VLOOKUP("other",bug_conf_sheet!$A:$H,5,FALSE))</f>
        <v>0</v>
      </c>
      <c r="Q658" s="38">
        <f>IFERROR(VLOOKUP($F658,bug_conf_sheet!$A:$H,6,FALSE),VLOOKUP("other",bug_conf_sheet!$A:$H,6,FALSE))</f>
        <v>0</v>
      </c>
      <c r="R658" s="38">
        <f>IFERROR(VLOOKUP($F658,bug_conf_sheet!$A:$H,7,FALSE),VLOOKUP("other",bug_conf_sheet!$A:$H,7,FALSE))</f>
        <v>0</v>
      </c>
      <c r="S658" s="38">
        <f>IFERROR(VLOOKUP($F658,bug_conf_sheet!$A:$H,8,FALSE),VLOOKUP("other",bug_conf_sheet!$A:$H,8,FALSE))</f>
        <v>1</v>
      </c>
    </row>
    <row r="659" spans="1:19" s="14" customFormat="1" ht="21" customHeight="1" thickBot="1">
      <c r="A659" s="7" t="str">
        <f t="shared" si="61"/>
        <v>1885325</v>
      </c>
      <c r="B659" s="2" t="str">
        <f t="shared" si="60"/>
        <v>1885</v>
      </c>
      <c r="C659" s="8" t="str">
        <f t="shared" si="62"/>
        <v>5PremiumSS5</v>
      </c>
      <c r="D659" s="8" t="str">
        <f t="shared" si="59"/>
        <v>5PremiumSS5</v>
      </c>
      <c r="E659" s="10">
        <v>5</v>
      </c>
      <c r="F659" s="6">
        <v>325</v>
      </c>
      <c r="G659" s="8" t="str">
        <f>VLOOKUP(F659,[1]characters!$A:$C,3,FALSE)</f>
        <v>天賦の凛志士 沖田総司</v>
      </c>
      <c r="H659" s="8" t="str">
        <f>VLOOKUP(F659,[1]characters!$A:$J,10,FALSE)</f>
        <v>PremiumSS</v>
      </c>
      <c r="I659" s="8">
        <f>VLOOKUP(F659,[1]characters!$A:$I,9,FALSE)</f>
        <v>5</v>
      </c>
      <c r="J659" s="8" t="str">
        <f>VLOOKUP(F659,[1]characters!$A:$H,8,FALSE)</f>
        <v>blue</v>
      </c>
      <c r="K659" s="8" t="str">
        <f>VLOOKUP(F659,[1]characters!$A:$K,11,FALSE)</f>
        <v>balance</v>
      </c>
      <c r="L659" s="8" t="str">
        <f>VLOOKUP(F659,[1]characters!$A:$M,13,FALSE)</f>
        <v>human</v>
      </c>
      <c r="M659" s="16">
        <f>VLOOKUP(D659,gacha_188_base!A:B,2,FALSE)</f>
        <v>109</v>
      </c>
      <c r="N659" s="38">
        <f>IFERROR(VLOOKUP($F659,bug_conf_sheet!$A:$H,3,FALSE),VLOOKUP("other",bug_conf_sheet!$A:$H,3,FALSE))</f>
        <v>1</v>
      </c>
      <c r="O659" s="38">
        <f>IFERROR(VLOOKUP($F659,bug_conf_sheet!$A:$H,4,FALSE),VLOOKUP("other",bug_conf_sheet!$A:$H,4,FALSE))</f>
        <v>0</v>
      </c>
      <c r="P659" s="38">
        <f>IFERROR(VLOOKUP($F659,bug_conf_sheet!$A:$H,5,FALSE),VLOOKUP("other",bug_conf_sheet!$A:$H,5,FALSE))</f>
        <v>0</v>
      </c>
      <c r="Q659" s="38">
        <f>IFERROR(VLOOKUP($F659,bug_conf_sheet!$A:$H,6,FALSE),VLOOKUP("other",bug_conf_sheet!$A:$H,6,FALSE))</f>
        <v>0</v>
      </c>
      <c r="R659" s="38">
        <f>IFERROR(VLOOKUP($F659,bug_conf_sheet!$A:$H,7,FALSE),VLOOKUP("other",bug_conf_sheet!$A:$H,7,FALSE))</f>
        <v>0</v>
      </c>
      <c r="S659" s="38">
        <f>IFERROR(VLOOKUP($F659,bug_conf_sheet!$A:$H,8,FALSE),VLOOKUP("other",bug_conf_sheet!$A:$H,8,FALSE))</f>
        <v>1</v>
      </c>
    </row>
    <row r="660" spans="1:19" ht="21" hidden="1" customHeight="1">
      <c r="A660" s="7" t="str">
        <f t="shared" si="61"/>
        <v>1885326</v>
      </c>
      <c r="B660" s="2" t="str">
        <f t="shared" si="60"/>
        <v>1885</v>
      </c>
      <c r="C660" s="8" t="str">
        <f t="shared" si="62"/>
        <v>5PremiumSS4</v>
      </c>
      <c r="D660" s="8" t="str">
        <f t="shared" si="59"/>
        <v>5PremiumSS4</v>
      </c>
      <c r="E660" s="10">
        <v>5</v>
      </c>
      <c r="F660" s="6">
        <v>326</v>
      </c>
      <c r="G660" s="8" t="str">
        <f>VLOOKUP(F660,[1]characters!$A:$C,3,FALSE)</f>
        <v>妖志士 斎藤一</v>
      </c>
      <c r="H660" s="8" t="str">
        <f>VLOOKUP(F660,[1]characters!$A:$J,10,FALSE)</f>
        <v>PremiumSS</v>
      </c>
      <c r="I660" s="8">
        <f>VLOOKUP(F660,[1]characters!$A:$I,9,FALSE)</f>
        <v>4</v>
      </c>
      <c r="J660" s="8" t="str">
        <f>VLOOKUP(F660,[1]characters!$A:$H,8,FALSE)</f>
        <v>yellow</v>
      </c>
      <c r="K660" s="8" t="str">
        <f>VLOOKUP(F660,[1]characters!$A:$K,11,FALSE)</f>
        <v>technical</v>
      </c>
      <c r="L660" s="8" t="str">
        <f>VLOOKUP(F660,[1]characters!$A:$M,13,FALSE)</f>
        <v>human</v>
      </c>
      <c r="M660" s="16">
        <f>VLOOKUP(D660,gacha_188_base!A:B,2,FALSE)</f>
        <v>1709</v>
      </c>
      <c r="N660" s="38">
        <f>IFERROR(VLOOKUP($F660,bug_conf_sheet!$A:$H,3,FALSE),VLOOKUP("other",bug_conf_sheet!$A:$H,3,FALSE))</f>
        <v>1</v>
      </c>
      <c r="O660" s="38">
        <f>IFERROR(VLOOKUP($F660,bug_conf_sheet!$A:$H,4,FALSE),VLOOKUP("other",bug_conf_sheet!$A:$H,4,FALSE))</f>
        <v>0</v>
      </c>
      <c r="P660" s="38">
        <f>IFERROR(VLOOKUP($F660,bug_conf_sheet!$A:$H,5,FALSE),VLOOKUP("other",bug_conf_sheet!$A:$H,5,FALSE))</f>
        <v>0</v>
      </c>
      <c r="Q660" s="38">
        <f>IFERROR(VLOOKUP($F660,bug_conf_sheet!$A:$H,6,FALSE),VLOOKUP("other",bug_conf_sheet!$A:$H,6,FALSE))</f>
        <v>0</v>
      </c>
      <c r="R660" s="38">
        <f>IFERROR(VLOOKUP($F660,bug_conf_sheet!$A:$H,7,FALSE),VLOOKUP("other",bug_conf_sheet!$A:$H,7,FALSE))</f>
        <v>0</v>
      </c>
      <c r="S660" s="38">
        <f>IFERROR(VLOOKUP($F660,bug_conf_sheet!$A:$H,8,FALSE),VLOOKUP("other",bug_conf_sheet!$A:$H,8,FALSE))</f>
        <v>1</v>
      </c>
    </row>
    <row r="661" spans="1:19" ht="21" customHeight="1">
      <c r="A661" s="7" t="str">
        <f t="shared" si="61"/>
        <v>1885327</v>
      </c>
      <c r="B661" s="2" t="str">
        <f t="shared" si="60"/>
        <v>1885</v>
      </c>
      <c r="C661" s="8" t="str">
        <f t="shared" si="62"/>
        <v>5PremiumSS5</v>
      </c>
      <c r="D661" s="8" t="str">
        <f t="shared" si="59"/>
        <v>5PremiumSS5</v>
      </c>
      <c r="E661" s="10">
        <v>5</v>
      </c>
      <c r="F661" s="6">
        <v>327</v>
      </c>
      <c r="G661" s="8" t="str">
        <f>VLOOKUP(F661,[1]characters!$A:$C,3,FALSE)</f>
        <v>千殺の妖志士 斎藤一</v>
      </c>
      <c r="H661" s="8" t="str">
        <f>VLOOKUP(F661,[1]characters!$A:$J,10,FALSE)</f>
        <v>PremiumSS</v>
      </c>
      <c r="I661" s="8">
        <f>VLOOKUP(F661,[1]characters!$A:$I,9,FALSE)</f>
        <v>5</v>
      </c>
      <c r="J661" s="8" t="str">
        <f>VLOOKUP(F661,[1]characters!$A:$H,8,FALSE)</f>
        <v>yellow</v>
      </c>
      <c r="K661" s="8" t="str">
        <f>VLOOKUP(F661,[1]characters!$A:$K,11,FALSE)</f>
        <v>technical</v>
      </c>
      <c r="L661" s="8" t="str">
        <f>VLOOKUP(F661,[1]characters!$A:$M,13,FALSE)</f>
        <v>human</v>
      </c>
      <c r="M661" s="16">
        <f>VLOOKUP(D661,gacha_188_base!A:B,2,FALSE)</f>
        <v>109</v>
      </c>
      <c r="N661" s="38">
        <f>IFERROR(VLOOKUP($F661,bug_conf_sheet!$A:$H,3,FALSE),VLOOKUP("other",bug_conf_sheet!$A:$H,3,FALSE))</f>
        <v>1</v>
      </c>
      <c r="O661" s="38">
        <f>IFERROR(VLOOKUP($F661,bug_conf_sheet!$A:$H,4,FALSE),VLOOKUP("other",bug_conf_sheet!$A:$H,4,FALSE))</f>
        <v>0</v>
      </c>
      <c r="P661" s="38">
        <f>IFERROR(VLOOKUP($F661,bug_conf_sheet!$A:$H,5,FALSE),VLOOKUP("other",bug_conf_sheet!$A:$H,5,FALSE))</f>
        <v>0</v>
      </c>
      <c r="Q661" s="38">
        <f>IFERROR(VLOOKUP($F661,bug_conf_sheet!$A:$H,6,FALSE),VLOOKUP("other",bug_conf_sheet!$A:$H,6,FALSE))</f>
        <v>0</v>
      </c>
      <c r="R661" s="38">
        <f>IFERROR(VLOOKUP($F661,bug_conf_sheet!$A:$H,7,FALSE),VLOOKUP("other",bug_conf_sheet!$A:$H,7,FALSE))</f>
        <v>0</v>
      </c>
      <c r="S661" s="38">
        <f>IFERROR(VLOOKUP($F661,bug_conf_sheet!$A:$H,8,FALSE),VLOOKUP("other",bug_conf_sheet!$A:$H,8,FALSE))</f>
        <v>1</v>
      </c>
    </row>
    <row r="662" spans="1:19" ht="21" hidden="1" customHeight="1">
      <c r="A662" s="7" t="str">
        <f t="shared" si="61"/>
        <v>1885381</v>
      </c>
      <c r="B662" s="2" t="str">
        <f t="shared" si="60"/>
        <v>1885</v>
      </c>
      <c r="C662" s="8" t="str">
        <f t="shared" si="62"/>
        <v>5PremiumS4</v>
      </c>
      <c r="D662" s="8" t="str">
        <f t="shared" si="59"/>
        <v>5PremiumS4</v>
      </c>
      <c r="E662" s="10">
        <v>5</v>
      </c>
      <c r="F662" s="6">
        <v>381</v>
      </c>
      <c r="G662" s="8" t="str">
        <f>VLOOKUP(F662,[1]characters!$A:$C,3,FALSE)</f>
        <v>肉食の恋火 バハムート</v>
      </c>
      <c r="H662" s="8" t="str">
        <f>VLOOKUP(F662,[1]characters!$A:$J,10,FALSE)</f>
        <v>PremiumS</v>
      </c>
      <c r="I662" s="8">
        <f>VLOOKUP(F662,[1]characters!$A:$I,9,FALSE)</f>
        <v>4</v>
      </c>
      <c r="J662" s="8" t="str">
        <f>VLOOKUP(F662,[1]characters!$A:$H,8,FALSE)</f>
        <v>red</v>
      </c>
      <c r="K662" s="8" t="str">
        <f>VLOOKUP(F662,[1]characters!$A:$K,11,FALSE)</f>
        <v>technical</v>
      </c>
      <c r="L662" s="8" t="str">
        <f>VLOOKUP(F662,[1]characters!$A:$M,13,FALSE)</f>
        <v>dragon</v>
      </c>
      <c r="M662" s="16">
        <f>VLOOKUP(D662,gacha_188_base!A:B,2,FALSE)</f>
        <v>14805</v>
      </c>
      <c r="N662" s="38">
        <f>IFERROR(VLOOKUP($F662,bug_conf_sheet!$A:$H,3,FALSE),VLOOKUP("other",bug_conf_sheet!$A:$H,3,FALSE))</f>
        <v>1</v>
      </c>
      <c r="O662" s="38">
        <f>IFERROR(VLOOKUP($F662,bug_conf_sheet!$A:$H,4,FALSE),VLOOKUP("other",bug_conf_sheet!$A:$H,4,FALSE))</f>
        <v>0</v>
      </c>
      <c r="P662" s="38">
        <f>IFERROR(VLOOKUP($F662,bug_conf_sheet!$A:$H,5,FALSE),VLOOKUP("other",bug_conf_sheet!$A:$H,5,FALSE))</f>
        <v>0</v>
      </c>
      <c r="Q662" s="38">
        <f>IFERROR(VLOOKUP($F662,bug_conf_sheet!$A:$H,6,FALSE),VLOOKUP("other",bug_conf_sheet!$A:$H,6,FALSE))</f>
        <v>0</v>
      </c>
      <c r="R662" s="38">
        <f>IFERROR(VLOOKUP($F662,bug_conf_sheet!$A:$H,7,FALSE),VLOOKUP("other",bug_conf_sheet!$A:$H,7,FALSE))</f>
        <v>0</v>
      </c>
      <c r="S662" s="38">
        <f>IFERROR(VLOOKUP($F662,bug_conf_sheet!$A:$H,8,FALSE),VLOOKUP("other",bug_conf_sheet!$A:$H,8,FALSE))</f>
        <v>1</v>
      </c>
    </row>
    <row r="663" spans="1:19" ht="21" customHeight="1">
      <c r="A663" s="7" t="str">
        <f t="shared" si="61"/>
        <v>1885382</v>
      </c>
      <c r="B663" s="2" t="str">
        <f t="shared" si="60"/>
        <v>1885</v>
      </c>
      <c r="C663" s="8" t="str">
        <f t="shared" si="62"/>
        <v>5PremiumS5</v>
      </c>
      <c r="D663" s="8" t="str">
        <f t="shared" si="59"/>
        <v>5PremiumS5</v>
      </c>
      <c r="E663" s="10">
        <v>5</v>
      </c>
      <c r="F663" s="6">
        <v>382</v>
      </c>
      <c r="G663" s="8" t="str">
        <f>VLOOKUP(F663,[1]characters!$A:$C,3,FALSE)</f>
        <v>激情の愛炎 バハムート</v>
      </c>
      <c r="H663" s="8" t="str">
        <f>VLOOKUP(F663,[1]characters!$A:$J,10,FALSE)</f>
        <v>PremiumS</v>
      </c>
      <c r="I663" s="8">
        <f>VLOOKUP(F663,[1]characters!$A:$I,9,FALSE)</f>
        <v>5</v>
      </c>
      <c r="J663" s="8" t="str">
        <f>VLOOKUP(F663,[1]characters!$A:$H,8,FALSE)</f>
        <v>red</v>
      </c>
      <c r="K663" s="8" t="str">
        <f>VLOOKUP(F663,[1]characters!$A:$K,11,FALSE)</f>
        <v>technical</v>
      </c>
      <c r="L663" s="8" t="str">
        <f>VLOOKUP(F663,[1]characters!$A:$M,13,FALSE)</f>
        <v>dragon</v>
      </c>
      <c r="M663" s="16">
        <f>VLOOKUP(D663,gacha_188_base!A:B,2,FALSE)</f>
        <v>945</v>
      </c>
      <c r="N663" s="38">
        <f>IFERROR(VLOOKUP($F663,bug_conf_sheet!$A:$H,3,FALSE),VLOOKUP("other",bug_conf_sheet!$A:$H,3,FALSE))</f>
        <v>1</v>
      </c>
      <c r="O663" s="38">
        <f>IFERROR(VLOOKUP($F663,bug_conf_sheet!$A:$H,4,FALSE),VLOOKUP("other",bug_conf_sheet!$A:$H,4,FALSE))</f>
        <v>0</v>
      </c>
      <c r="P663" s="38">
        <f>IFERROR(VLOOKUP($F663,bug_conf_sheet!$A:$H,5,FALSE),VLOOKUP("other",bug_conf_sheet!$A:$H,5,FALSE))</f>
        <v>0</v>
      </c>
      <c r="Q663" s="38">
        <f>IFERROR(VLOOKUP($F663,bug_conf_sheet!$A:$H,6,FALSE),VLOOKUP("other",bug_conf_sheet!$A:$H,6,FALSE))</f>
        <v>0</v>
      </c>
      <c r="R663" s="38">
        <f>IFERROR(VLOOKUP($F663,bug_conf_sheet!$A:$H,7,FALSE),VLOOKUP("other",bug_conf_sheet!$A:$H,7,FALSE))</f>
        <v>0</v>
      </c>
      <c r="S663" s="38">
        <f>IFERROR(VLOOKUP($F663,bug_conf_sheet!$A:$H,8,FALSE),VLOOKUP("other",bug_conf_sheet!$A:$H,8,FALSE))</f>
        <v>1</v>
      </c>
    </row>
    <row r="664" spans="1:19" ht="21" hidden="1" customHeight="1">
      <c r="A664" s="7" t="str">
        <f t="shared" si="61"/>
        <v>1885383</v>
      </c>
      <c r="B664" s="2" t="str">
        <f t="shared" si="60"/>
        <v>1885</v>
      </c>
      <c r="C664" s="8" t="str">
        <f t="shared" si="62"/>
        <v>5PremiumSS4</v>
      </c>
      <c r="D664" s="8" t="str">
        <f t="shared" si="59"/>
        <v>5PremiumSS4</v>
      </c>
      <c r="E664" s="10">
        <v>5</v>
      </c>
      <c r="F664" s="6">
        <v>383</v>
      </c>
      <c r="G664" s="8" t="str">
        <f>VLOOKUP(F664,[1]characters!$A:$C,3,FALSE)</f>
        <v>酒宴の蟒蛇 ヤマタノオロチ</v>
      </c>
      <c r="H664" s="8" t="str">
        <f>VLOOKUP(F664,[1]characters!$A:$J,10,FALSE)</f>
        <v>PremiumSS</v>
      </c>
      <c r="I664" s="8">
        <f>VLOOKUP(F664,[1]characters!$A:$I,9,FALSE)</f>
        <v>4</v>
      </c>
      <c r="J664" s="8" t="str">
        <f>VLOOKUP(F664,[1]characters!$A:$H,8,FALSE)</f>
        <v>green</v>
      </c>
      <c r="K664" s="8" t="str">
        <f>VLOOKUP(F664,[1]characters!$A:$K,11,FALSE)</f>
        <v>hp</v>
      </c>
      <c r="L664" s="8" t="str">
        <f>VLOOKUP(F664,[1]characters!$A:$M,13,FALSE)</f>
        <v>dragon</v>
      </c>
      <c r="M664" s="16">
        <f>VLOOKUP(D664,gacha_188_base!A:B,2,FALSE)</f>
        <v>1709</v>
      </c>
      <c r="N664" s="38">
        <f>IFERROR(VLOOKUP($F664,bug_conf_sheet!$A:$H,3,FALSE),VLOOKUP("other",bug_conf_sheet!$A:$H,3,FALSE))</f>
        <v>1</v>
      </c>
      <c r="O664" s="38">
        <f>IFERROR(VLOOKUP($F664,bug_conf_sheet!$A:$H,4,FALSE),VLOOKUP("other",bug_conf_sheet!$A:$H,4,FALSE))</f>
        <v>0</v>
      </c>
      <c r="P664" s="38">
        <f>IFERROR(VLOOKUP($F664,bug_conf_sheet!$A:$H,5,FALSE),VLOOKUP("other",bug_conf_sheet!$A:$H,5,FALSE))</f>
        <v>0</v>
      </c>
      <c r="Q664" s="38">
        <f>IFERROR(VLOOKUP($F664,bug_conf_sheet!$A:$H,6,FALSE),VLOOKUP("other",bug_conf_sheet!$A:$H,6,FALSE))</f>
        <v>0</v>
      </c>
      <c r="R664" s="38">
        <f>IFERROR(VLOOKUP($F664,bug_conf_sheet!$A:$H,7,FALSE),VLOOKUP("other",bug_conf_sheet!$A:$H,7,FALSE))</f>
        <v>0</v>
      </c>
      <c r="S664" s="38">
        <f>IFERROR(VLOOKUP($F664,bug_conf_sheet!$A:$H,8,FALSE),VLOOKUP("other",bug_conf_sheet!$A:$H,8,FALSE))</f>
        <v>1</v>
      </c>
    </row>
    <row r="665" spans="1:19" ht="21" customHeight="1">
      <c r="A665" s="7" t="str">
        <f t="shared" si="61"/>
        <v>1885384</v>
      </c>
      <c r="B665" s="2" t="str">
        <f t="shared" si="60"/>
        <v>1885</v>
      </c>
      <c r="C665" s="8" t="str">
        <f t="shared" si="62"/>
        <v>5PremiumSS5</v>
      </c>
      <c r="D665" s="8" t="str">
        <f t="shared" si="59"/>
        <v>5PremiumSS5</v>
      </c>
      <c r="E665" s="10">
        <v>5</v>
      </c>
      <c r="F665" s="6">
        <v>384</v>
      </c>
      <c r="G665" s="8" t="str">
        <f>VLOOKUP(F665,[1]characters!$A:$C,3,FALSE)</f>
        <v>破国の呑龍 ヤマタノオロチ</v>
      </c>
      <c r="H665" s="8" t="str">
        <f>VLOOKUP(F665,[1]characters!$A:$J,10,FALSE)</f>
        <v>PremiumSS</v>
      </c>
      <c r="I665" s="8">
        <f>VLOOKUP(F665,[1]characters!$A:$I,9,FALSE)</f>
        <v>5</v>
      </c>
      <c r="J665" s="8" t="str">
        <f>VLOOKUP(F665,[1]characters!$A:$H,8,FALSE)</f>
        <v>green</v>
      </c>
      <c r="K665" s="8" t="str">
        <f>VLOOKUP(F665,[1]characters!$A:$K,11,FALSE)</f>
        <v>hp</v>
      </c>
      <c r="L665" s="8" t="str">
        <f>VLOOKUP(F665,[1]characters!$A:$M,13,FALSE)</f>
        <v>dragon</v>
      </c>
      <c r="M665" s="16">
        <f>VLOOKUP(D665,gacha_188_base!A:B,2,FALSE)</f>
        <v>109</v>
      </c>
      <c r="N665" s="38">
        <f>IFERROR(VLOOKUP($F665,bug_conf_sheet!$A:$H,3,FALSE),VLOOKUP("other",bug_conf_sheet!$A:$H,3,FALSE))</f>
        <v>1</v>
      </c>
      <c r="O665" s="38">
        <f>IFERROR(VLOOKUP($F665,bug_conf_sheet!$A:$H,4,FALSE),VLOOKUP("other",bug_conf_sheet!$A:$H,4,FALSE))</f>
        <v>0</v>
      </c>
      <c r="P665" s="38">
        <f>IFERROR(VLOOKUP($F665,bug_conf_sheet!$A:$H,5,FALSE),VLOOKUP("other",bug_conf_sheet!$A:$H,5,FALSE))</f>
        <v>0</v>
      </c>
      <c r="Q665" s="38">
        <f>IFERROR(VLOOKUP($F665,bug_conf_sheet!$A:$H,6,FALSE),VLOOKUP("other",bug_conf_sheet!$A:$H,6,FALSE))</f>
        <v>0</v>
      </c>
      <c r="R665" s="38">
        <f>IFERROR(VLOOKUP($F665,bug_conf_sheet!$A:$H,7,FALSE),VLOOKUP("other",bug_conf_sheet!$A:$H,7,FALSE))</f>
        <v>0</v>
      </c>
      <c r="S665" s="38">
        <f>IFERROR(VLOOKUP($F665,bug_conf_sheet!$A:$H,8,FALSE),VLOOKUP("other",bug_conf_sheet!$A:$H,8,FALSE))</f>
        <v>1</v>
      </c>
    </row>
    <row r="666" spans="1:19" ht="21" hidden="1" customHeight="1">
      <c r="A666" s="7" t="str">
        <f t="shared" si="61"/>
        <v>1885385</v>
      </c>
      <c r="B666" s="2" t="str">
        <f t="shared" si="60"/>
        <v>1885</v>
      </c>
      <c r="C666" s="8" t="str">
        <f t="shared" si="62"/>
        <v>5PremiumSS4</v>
      </c>
      <c r="D666" s="8" t="str">
        <f t="shared" si="59"/>
        <v>5PremiumSS4</v>
      </c>
      <c r="E666" s="10">
        <v>5</v>
      </c>
      <c r="F666" s="6">
        <v>385</v>
      </c>
      <c r="G666" s="8" t="str">
        <f>VLOOKUP(F666,[1]characters!$A:$C,3,FALSE)</f>
        <v>波烈の出奔 リヴァイアサン</v>
      </c>
      <c r="H666" s="8" t="str">
        <f>VLOOKUP(F666,[1]characters!$A:$J,10,FALSE)</f>
        <v>PremiumSS</v>
      </c>
      <c r="I666" s="8">
        <f>VLOOKUP(F666,[1]characters!$A:$I,9,FALSE)</f>
        <v>4</v>
      </c>
      <c r="J666" s="8" t="str">
        <f>VLOOKUP(F666,[1]characters!$A:$H,8,FALSE)</f>
        <v>blue</v>
      </c>
      <c r="K666" s="8" t="str">
        <f>VLOOKUP(F666,[1]characters!$A:$K,11,FALSE)</f>
        <v>balance</v>
      </c>
      <c r="L666" s="8" t="str">
        <f>VLOOKUP(F666,[1]characters!$A:$M,13,FALSE)</f>
        <v>dragon</v>
      </c>
      <c r="M666" s="16">
        <f>VLOOKUP(D666,gacha_188_base!A:B,2,FALSE)</f>
        <v>1709</v>
      </c>
      <c r="N666" s="38">
        <f>IFERROR(VLOOKUP($F666,bug_conf_sheet!$A:$H,3,FALSE),VLOOKUP("other",bug_conf_sheet!$A:$H,3,FALSE))</f>
        <v>1</v>
      </c>
      <c r="O666" s="38">
        <f>IFERROR(VLOOKUP($F666,bug_conf_sheet!$A:$H,4,FALSE),VLOOKUP("other",bug_conf_sheet!$A:$H,4,FALSE))</f>
        <v>0</v>
      </c>
      <c r="P666" s="38">
        <f>IFERROR(VLOOKUP($F666,bug_conf_sheet!$A:$H,5,FALSE),VLOOKUP("other",bug_conf_sheet!$A:$H,5,FALSE))</f>
        <v>0</v>
      </c>
      <c r="Q666" s="38">
        <f>IFERROR(VLOOKUP($F666,bug_conf_sheet!$A:$H,6,FALSE),VLOOKUP("other",bug_conf_sheet!$A:$H,6,FALSE))</f>
        <v>0</v>
      </c>
      <c r="R666" s="38">
        <f>IFERROR(VLOOKUP($F666,bug_conf_sheet!$A:$H,7,FALSE),VLOOKUP("other",bug_conf_sheet!$A:$H,7,FALSE))</f>
        <v>0</v>
      </c>
      <c r="S666" s="38">
        <f>IFERROR(VLOOKUP($F666,bug_conf_sheet!$A:$H,8,FALSE),VLOOKUP("other",bug_conf_sheet!$A:$H,8,FALSE))</f>
        <v>1</v>
      </c>
    </row>
    <row r="667" spans="1:19" ht="21" customHeight="1">
      <c r="A667" s="7" t="str">
        <f t="shared" si="61"/>
        <v>1885386</v>
      </c>
      <c r="B667" s="2" t="str">
        <f t="shared" si="60"/>
        <v>1885</v>
      </c>
      <c r="C667" s="8" t="str">
        <f t="shared" si="62"/>
        <v>5PremiumSS5</v>
      </c>
      <c r="D667" s="8" t="str">
        <f t="shared" si="59"/>
        <v>5PremiumSS5</v>
      </c>
      <c r="E667" s="10">
        <v>5</v>
      </c>
      <c r="F667" s="6">
        <v>386</v>
      </c>
      <c r="G667" s="8" t="str">
        <f>VLOOKUP(F667,[1]characters!$A:$C,3,FALSE)</f>
        <v>氾乱の海龍 リヴァイアサン</v>
      </c>
      <c r="H667" s="8" t="str">
        <f>VLOOKUP(F667,[1]characters!$A:$J,10,FALSE)</f>
        <v>PremiumSS</v>
      </c>
      <c r="I667" s="8">
        <f>VLOOKUP(F667,[1]characters!$A:$I,9,FALSE)</f>
        <v>5</v>
      </c>
      <c r="J667" s="8" t="str">
        <f>VLOOKUP(F667,[1]characters!$A:$H,8,FALSE)</f>
        <v>blue</v>
      </c>
      <c r="K667" s="8" t="str">
        <f>VLOOKUP(F667,[1]characters!$A:$K,11,FALSE)</f>
        <v>balance</v>
      </c>
      <c r="L667" s="8" t="str">
        <f>VLOOKUP(F667,[1]characters!$A:$M,13,FALSE)</f>
        <v>dragon</v>
      </c>
      <c r="M667" s="16">
        <f>VLOOKUP(D667,gacha_188_base!A:B,2,FALSE)</f>
        <v>109</v>
      </c>
      <c r="N667" s="38">
        <f>IFERROR(VLOOKUP($F667,bug_conf_sheet!$A:$H,3,FALSE),VLOOKUP("other",bug_conf_sheet!$A:$H,3,FALSE))</f>
        <v>1</v>
      </c>
      <c r="O667" s="38">
        <f>IFERROR(VLOOKUP($F667,bug_conf_sheet!$A:$H,4,FALSE),VLOOKUP("other",bug_conf_sheet!$A:$H,4,FALSE))</f>
        <v>0</v>
      </c>
      <c r="P667" s="38">
        <f>IFERROR(VLOOKUP($F667,bug_conf_sheet!$A:$H,5,FALSE),VLOOKUP("other",bug_conf_sheet!$A:$H,5,FALSE))</f>
        <v>0</v>
      </c>
      <c r="Q667" s="38">
        <f>IFERROR(VLOOKUP($F667,bug_conf_sheet!$A:$H,6,FALSE),VLOOKUP("other",bug_conf_sheet!$A:$H,6,FALSE))</f>
        <v>0</v>
      </c>
      <c r="R667" s="38">
        <f>IFERROR(VLOOKUP($F667,bug_conf_sheet!$A:$H,7,FALSE),VLOOKUP("other",bug_conf_sheet!$A:$H,7,FALSE))</f>
        <v>0</v>
      </c>
      <c r="S667" s="38">
        <f>IFERROR(VLOOKUP($F667,bug_conf_sheet!$A:$H,8,FALSE),VLOOKUP("other",bug_conf_sheet!$A:$H,8,FALSE))</f>
        <v>1</v>
      </c>
    </row>
    <row r="668" spans="1:19" ht="21" hidden="1" customHeight="1">
      <c r="A668" s="7" t="str">
        <f t="shared" si="61"/>
        <v>1885388</v>
      </c>
      <c r="B668" s="2" t="str">
        <f t="shared" si="60"/>
        <v>1885</v>
      </c>
      <c r="C668" s="8" t="str">
        <f t="shared" si="62"/>
        <v>5PremiumS4</v>
      </c>
      <c r="D668" s="8" t="str">
        <f t="shared" si="59"/>
        <v>5PremiumS4</v>
      </c>
      <c r="E668" s="10">
        <v>5</v>
      </c>
      <c r="F668" s="6">
        <v>388</v>
      </c>
      <c r="G668" s="8" t="str">
        <f>VLOOKUP(F668,[1]characters!$A:$C,3,FALSE)</f>
        <v>神円の恋姫 スフィンクス</v>
      </c>
      <c r="H668" s="8" t="str">
        <f>VLOOKUP(F668,[1]characters!$A:$J,10,FALSE)</f>
        <v>PremiumS</v>
      </c>
      <c r="I668" s="8">
        <f>VLOOKUP(F668,[1]characters!$A:$I,9,FALSE)</f>
        <v>4</v>
      </c>
      <c r="J668" s="8" t="str">
        <f>VLOOKUP(F668,[1]characters!$A:$H,8,FALSE)</f>
        <v>yellow</v>
      </c>
      <c r="K668" s="8" t="str">
        <f>VLOOKUP(F668,[1]characters!$A:$K,11,FALSE)</f>
        <v>heal</v>
      </c>
      <c r="L668" s="8" t="str">
        <f>VLOOKUP(F668,[1]characters!$A:$M,13,FALSE)</f>
        <v>animal</v>
      </c>
      <c r="M668" s="16">
        <f>VLOOKUP(D668,gacha_188_base!A:B,2,FALSE)</f>
        <v>14805</v>
      </c>
      <c r="N668" s="38">
        <f>IFERROR(VLOOKUP($F668,bug_conf_sheet!$A:$H,3,FALSE),VLOOKUP("other",bug_conf_sheet!$A:$H,3,FALSE))</f>
        <v>1</v>
      </c>
      <c r="O668" s="38">
        <f>IFERROR(VLOOKUP($F668,bug_conf_sheet!$A:$H,4,FALSE),VLOOKUP("other",bug_conf_sheet!$A:$H,4,FALSE))</f>
        <v>0</v>
      </c>
      <c r="P668" s="38">
        <f>IFERROR(VLOOKUP($F668,bug_conf_sheet!$A:$H,5,FALSE),VLOOKUP("other",bug_conf_sheet!$A:$H,5,FALSE))</f>
        <v>0</v>
      </c>
      <c r="Q668" s="38">
        <f>IFERROR(VLOOKUP($F668,bug_conf_sheet!$A:$H,6,FALSE),VLOOKUP("other",bug_conf_sheet!$A:$H,6,FALSE))</f>
        <v>0</v>
      </c>
      <c r="R668" s="38">
        <f>IFERROR(VLOOKUP($F668,bug_conf_sheet!$A:$H,7,FALSE),VLOOKUP("other",bug_conf_sheet!$A:$H,7,FALSE))</f>
        <v>0</v>
      </c>
      <c r="S668" s="38">
        <f>IFERROR(VLOOKUP($F668,bug_conf_sheet!$A:$H,8,FALSE),VLOOKUP("other",bug_conf_sheet!$A:$H,8,FALSE))</f>
        <v>1</v>
      </c>
    </row>
    <row r="669" spans="1:19" ht="21" customHeight="1">
      <c r="A669" s="7" t="str">
        <f t="shared" si="61"/>
        <v>1885389</v>
      </c>
      <c r="B669" s="2" t="str">
        <f t="shared" si="60"/>
        <v>1885</v>
      </c>
      <c r="C669" s="8" t="str">
        <f t="shared" si="62"/>
        <v>5PremiumS5</v>
      </c>
      <c r="D669" s="8" t="str">
        <f t="shared" si="59"/>
        <v>5PremiumS5</v>
      </c>
      <c r="E669" s="10">
        <v>5</v>
      </c>
      <c r="F669" s="6">
        <v>389</v>
      </c>
      <c r="G669" s="8" t="str">
        <f>VLOOKUP(F669,[1]characters!$A:$C,3,FALSE)</f>
        <v>操神の愛姫 スフィンクス</v>
      </c>
      <c r="H669" s="8" t="str">
        <f>VLOOKUP(F669,[1]characters!$A:$J,10,FALSE)</f>
        <v>PremiumS</v>
      </c>
      <c r="I669" s="8">
        <f>VLOOKUP(F669,[1]characters!$A:$I,9,FALSE)</f>
        <v>5</v>
      </c>
      <c r="J669" s="8" t="str">
        <f>VLOOKUP(F669,[1]characters!$A:$H,8,FALSE)</f>
        <v>yellow</v>
      </c>
      <c r="K669" s="8" t="str">
        <f>VLOOKUP(F669,[1]characters!$A:$K,11,FALSE)</f>
        <v>heal</v>
      </c>
      <c r="L669" s="8" t="str">
        <f>VLOOKUP(F669,[1]characters!$A:$M,13,FALSE)</f>
        <v>animal</v>
      </c>
      <c r="M669" s="16">
        <f>VLOOKUP(D669,gacha_188_base!A:B,2,FALSE)</f>
        <v>945</v>
      </c>
      <c r="N669" s="38">
        <f>IFERROR(VLOOKUP($F669,bug_conf_sheet!$A:$H,3,FALSE),VLOOKUP("other",bug_conf_sheet!$A:$H,3,FALSE))</f>
        <v>1</v>
      </c>
      <c r="O669" s="38">
        <f>IFERROR(VLOOKUP($F669,bug_conf_sheet!$A:$H,4,FALSE),VLOOKUP("other",bug_conf_sheet!$A:$H,4,FALSE))</f>
        <v>0</v>
      </c>
      <c r="P669" s="38">
        <f>IFERROR(VLOOKUP($F669,bug_conf_sheet!$A:$H,5,FALSE),VLOOKUP("other",bug_conf_sheet!$A:$H,5,FALSE))</f>
        <v>0</v>
      </c>
      <c r="Q669" s="38">
        <f>IFERROR(VLOOKUP($F669,bug_conf_sheet!$A:$H,6,FALSE),VLOOKUP("other",bug_conf_sheet!$A:$H,6,FALSE))</f>
        <v>0</v>
      </c>
      <c r="R669" s="38">
        <f>IFERROR(VLOOKUP($F669,bug_conf_sheet!$A:$H,7,FALSE),VLOOKUP("other",bug_conf_sheet!$A:$H,7,FALSE))</f>
        <v>0</v>
      </c>
      <c r="S669" s="38">
        <f>IFERROR(VLOOKUP($F669,bug_conf_sheet!$A:$H,8,FALSE),VLOOKUP("other",bug_conf_sheet!$A:$H,8,FALSE))</f>
        <v>1</v>
      </c>
    </row>
    <row r="670" spans="1:19" ht="21" hidden="1" customHeight="1">
      <c r="A670" s="7" t="str">
        <f t="shared" si="61"/>
        <v>1885390</v>
      </c>
      <c r="B670" s="2" t="str">
        <f t="shared" si="60"/>
        <v>1885</v>
      </c>
      <c r="C670" s="8" t="str">
        <f t="shared" si="62"/>
        <v>5PremiumSS4</v>
      </c>
      <c r="D670" s="8" t="str">
        <f t="shared" si="59"/>
        <v>5PremiumSS4</v>
      </c>
      <c r="E670" s="10">
        <v>5</v>
      </c>
      <c r="F670" s="6">
        <v>390</v>
      </c>
      <c r="G670" s="8" t="str">
        <f>VLOOKUP(F670,[1]characters!$A:$C,3,FALSE)</f>
        <v>華環の旅客 親指姫</v>
      </c>
      <c r="H670" s="8" t="str">
        <f>VLOOKUP(F670,[1]characters!$A:$J,10,FALSE)</f>
        <v>PremiumSS</v>
      </c>
      <c r="I670" s="8">
        <f>VLOOKUP(F670,[1]characters!$A:$I,9,FALSE)</f>
        <v>4</v>
      </c>
      <c r="J670" s="8" t="str">
        <f>VLOOKUP(F670,[1]characters!$A:$H,8,FALSE)</f>
        <v>red</v>
      </c>
      <c r="K670" s="8" t="str">
        <f>VLOOKUP(F670,[1]characters!$A:$K,11,FALSE)</f>
        <v>heal</v>
      </c>
      <c r="L670" s="8" t="str">
        <f>VLOOKUP(F670,[1]characters!$A:$M,13,FALSE)</f>
        <v>human</v>
      </c>
      <c r="M670" s="16">
        <f>VLOOKUP(D670,gacha_188_base!A:B,2,FALSE)</f>
        <v>1709</v>
      </c>
      <c r="N670" s="38">
        <f>IFERROR(VLOOKUP($F670,bug_conf_sheet!$A:$H,3,FALSE),VLOOKUP("other",bug_conf_sheet!$A:$H,3,FALSE))</f>
        <v>1</v>
      </c>
      <c r="O670" s="38">
        <f>IFERROR(VLOOKUP($F670,bug_conf_sheet!$A:$H,4,FALSE),VLOOKUP("other",bug_conf_sheet!$A:$H,4,FALSE))</f>
        <v>0</v>
      </c>
      <c r="P670" s="38">
        <f>IFERROR(VLOOKUP($F670,bug_conf_sheet!$A:$H,5,FALSE),VLOOKUP("other",bug_conf_sheet!$A:$H,5,FALSE))</f>
        <v>0</v>
      </c>
      <c r="Q670" s="38">
        <f>IFERROR(VLOOKUP($F670,bug_conf_sheet!$A:$H,6,FALSE),VLOOKUP("other",bug_conf_sheet!$A:$H,6,FALSE))</f>
        <v>0</v>
      </c>
      <c r="R670" s="38">
        <f>IFERROR(VLOOKUP($F670,bug_conf_sheet!$A:$H,7,FALSE),VLOOKUP("other",bug_conf_sheet!$A:$H,7,FALSE))</f>
        <v>0</v>
      </c>
      <c r="S670" s="38">
        <f>IFERROR(VLOOKUP($F670,bug_conf_sheet!$A:$H,8,FALSE),VLOOKUP("other",bug_conf_sheet!$A:$H,8,FALSE))</f>
        <v>1</v>
      </c>
    </row>
    <row r="671" spans="1:19" ht="21" customHeight="1">
      <c r="A671" s="7" t="str">
        <f t="shared" si="61"/>
        <v>1885391</v>
      </c>
      <c r="B671" s="2" t="str">
        <f t="shared" si="60"/>
        <v>1885</v>
      </c>
      <c r="C671" s="8" t="str">
        <f t="shared" si="62"/>
        <v>5PremiumSS5</v>
      </c>
      <c r="D671" s="8" t="str">
        <f t="shared" si="59"/>
        <v>5PremiumSS5</v>
      </c>
      <c r="E671" s="10">
        <v>5</v>
      </c>
      <c r="F671" s="6">
        <v>391</v>
      </c>
      <c r="G671" s="8" t="str">
        <f>VLOOKUP(F671,[1]characters!$A:$C,3,FALSE)</f>
        <v>燕翼の旅人 親指姫</v>
      </c>
      <c r="H671" s="8" t="str">
        <f>VLOOKUP(F671,[1]characters!$A:$J,10,FALSE)</f>
        <v>PremiumSS</v>
      </c>
      <c r="I671" s="8">
        <f>VLOOKUP(F671,[1]characters!$A:$I,9,FALSE)</f>
        <v>5</v>
      </c>
      <c r="J671" s="8" t="str">
        <f>VLOOKUP(F671,[1]characters!$A:$H,8,FALSE)</f>
        <v>red</v>
      </c>
      <c r="K671" s="8" t="str">
        <f>VLOOKUP(F671,[1]characters!$A:$K,11,FALSE)</f>
        <v>heal</v>
      </c>
      <c r="L671" s="8" t="str">
        <f>VLOOKUP(F671,[1]characters!$A:$M,13,FALSE)</f>
        <v>human</v>
      </c>
      <c r="M671" s="16">
        <f>VLOOKUP(D671,gacha_188_base!A:B,2,FALSE)</f>
        <v>109</v>
      </c>
      <c r="N671" s="38">
        <f>IFERROR(VLOOKUP($F671,bug_conf_sheet!$A:$H,3,FALSE),VLOOKUP("other",bug_conf_sheet!$A:$H,3,FALSE))</f>
        <v>1</v>
      </c>
      <c r="O671" s="38">
        <f>IFERROR(VLOOKUP($F671,bug_conf_sheet!$A:$H,4,FALSE),VLOOKUP("other",bug_conf_sheet!$A:$H,4,FALSE))</f>
        <v>0</v>
      </c>
      <c r="P671" s="38">
        <f>IFERROR(VLOOKUP($F671,bug_conf_sheet!$A:$H,5,FALSE),VLOOKUP("other",bug_conf_sheet!$A:$H,5,FALSE))</f>
        <v>0</v>
      </c>
      <c r="Q671" s="38">
        <f>IFERROR(VLOOKUP($F671,bug_conf_sheet!$A:$H,6,FALSE),VLOOKUP("other",bug_conf_sheet!$A:$H,6,FALSE))</f>
        <v>0</v>
      </c>
      <c r="R671" s="38">
        <f>IFERROR(VLOOKUP($F671,bug_conf_sheet!$A:$H,7,FALSE),VLOOKUP("other",bug_conf_sheet!$A:$H,7,FALSE))</f>
        <v>0</v>
      </c>
      <c r="S671" s="38">
        <f>IFERROR(VLOOKUP($F671,bug_conf_sheet!$A:$H,8,FALSE),VLOOKUP("other",bug_conf_sheet!$A:$H,8,FALSE))</f>
        <v>1</v>
      </c>
    </row>
    <row r="672" spans="1:19" ht="21" hidden="1" customHeight="1">
      <c r="A672" s="7" t="str">
        <f t="shared" si="61"/>
        <v>1885393</v>
      </c>
      <c r="B672" s="2" t="str">
        <f t="shared" si="60"/>
        <v>1885</v>
      </c>
      <c r="C672" s="8" t="str">
        <f t="shared" si="62"/>
        <v>5PremiumS4</v>
      </c>
      <c r="D672" s="8" t="str">
        <f t="shared" si="59"/>
        <v>5PremiumS4</v>
      </c>
      <c r="E672" s="10">
        <v>5</v>
      </c>
      <c r="F672" s="6">
        <v>393</v>
      </c>
      <c r="G672" s="8" t="str">
        <f>VLOOKUP(F672,[1]characters!$A:$C,3,FALSE)</f>
        <v>影縫い ピーターパン</v>
      </c>
      <c r="H672" s="8" t="str">
        <f>VLOOKUP(F672,[1]characters!$A:$J,10,FALSE)</f>
        <v>PremiumS</v>
      </c>
      <c r="I672" s="8">
        <f>VLOOKUP(F672,[1]characters!$A:$I,9,FALSE)</f>
        <v>4</v>
      </c>
      <c r="J672" s="8" t="str">
        <f>VLOOKUP(F672,[1]characters!$A:$H,8,FALSE)</f>
        <v>green</v>
      </c>
      <c r="K672" s="8" t="str">
        <f>VLOOKUP(F672,[1]characters!$A:$K,11,FALSE)</f>
        <v>attack</v>
      </c>
      <c r="L672" s="8" t="str">
        <f>VLOOKUP(F672,[1]characters!$A:$M,13,FALSE)</f>
        <v>human</v>
      </c>
      <c r="M672" s="16">
        <f>VLOOKUP(D672,gacha_188_base!A:B,2,FALSE)</f>
        <v>14805</v>
      </c>
      <c r="N672" s="38">
        <f>IFERROR(VLOOKUP($F672,bug_conf_sheet!$A:$H,3,FALSE),VLOOKUP("other",bug_conf_sheet!$A:$H,3,FALSE))</f>
        <v>1</v>
      </c>
      <c r="O672" s="38">
        <f>IFERROR(VLOOKUP($F672,bug_conf_sheet!$A:$H,4,FALSE),VLOOKUP("other",bug_conf_sheet!$A:$H,4,FALSE))</f>
        <v>0</v>
      </c>
      <c r="P672" s="38">
        <f>IFERROR(VLOOKUP($F672,bug_conf_sheet!$A:$H,5,FALSE),VLOOKUP("other",bug_conf_sheet!$A:$H,5,FALSE))</f>
        <v>0</v>
      </c>
      <c r="Q672" s="38">
        <f>IFERROR(VLOOKUP($F672,bug_conf_sheet!$A:$H,6,FALSE),VLOOKUP("other",bug_conf_sheet!$A:$H,6,FALSE))</f>
        <v>0</v>
      </c>
      <c r="R672" s="38">
        <f>IFERROR(VLOOKUP($F672,bug_conf_sheet!$A:$H,7,FALSE),VLOOKUP("other",bug_conf_sheet!$A:$H,7,FALSE))</f>
        <v>0</v>
      </c>
      <c r="S672" s="38">
        <f>IFERROR(VLOOKUP($F672,bug_conf_sheet!$A:$H,8,FALSE),VLOOKUP("other",bug_conf_sheet!$A:$H,8,FALSE))</f>
        <v>1</v>
      </c>
    </row>
    <row r="673" spans="1:19" ht="21" customHeight="1">
      <c r="A673" s="7" t="str">
        <f t="shared" si="61"/>
        <v>1885394</v>
      </c>
      <c r="B673" s="2" t="str">
        <f t="shared" si="60"/>
        <v>1885</v>
      </c>
      <c r="C673" s="8" t="str">
        <f t="shared" si="62"/>
        <v>5PremiumS5</v>
      </c>
      <c r="D673" s="8" t="str">
        <f t="shared" si="59"/>
        <v>5PremiumS5</v>
      </c>
      <c r="E673" s="10">
        <v>5</v>
      </c>
      <c r="F673" s="6">
        <v>394</v>
      </c>
      <c r="G673" s="8" t="str">
        <f>VLOOKUP(F673,[1]characters!$A:$C,3,FALSE)</f>
        <v>影求の悪童 ピーターパン</v>
      </c>
      <c r="H673" s="8" t="str">
        <f>VLOOKUP(F673,[1]characters!$A:$J,10,FALSE)</f>
        <v>PremiumS</v>
      </c>
      <c r="I673" s="8">
        <f>VLOOKUP(F673,[1]characters!$A:$I,9,FALSE)</f>
        <v>5</v>
      </c>
      <c r="J673" s="8" t="str">
        <f>VLOOKUP(F673,[1]characters!$A:$H,8,FALSE)</f>
        <v>green</v>
      </c>
      <c r="K673" s="8" t="str">
        <f>VLOOKUP(F673,[1]characters!$A:$K,11,FALSE)</f>
        <v>attack</v>
      </c>
      <c r="L673" s="8" t="str">
        <f>VLOOKUP(F673,[1]characters!$A:$M,13,FALSE)</f>
        <v>human</v>
      </c>
      <c r="M673" s="16">
        <f>VLOOKUP(D673,gacha_188_base!A:B,2,FALSE)</f>
        <v>945</v>
      </c>
      <c r="N673" s="38">
        <f>IFERROR(VLOOKUP($F673,bug_conf_sheet!$A:$H,3,FALSE),VLOOKUP("other",bug_conf_sheet!$A:$H,3,FALSE))</f>
        <v>1</v>
      </c>
      <c r="O673" s="38">
        <f>IFERROR(VLOOKUP($F673,bug_conf_sheet!$A:$H,4,FALSE),VLOOKUP("other",bug_conf_sheet!$A:$H,4,FALSE))</f>
        <v>0</v>
      </c>
      <c r="P673" s="38">
        <f>IFERROR(VLOOKUP($F673,bug_conf_sheet!$A:$H,5,FALSE),VLOOKUP("other",bug_conf_sheet!$A:$H,5,FALSE))</f>
        <v>0</v>
      </c>
      <c r="Q673" s="38">
        <f>IFERROR(VLOOKUP($F673,bug_conf_sheet!$A:$H,6,FALSE),VLOOKUP("other",bug_conf_sheet!$A:$H,6,FALSE))</f>
        <v>0</v>
      </c>
      <c r="R673" s="38">
        <f>IFERROR(VLOOKUP($F673,bug_conf_sheet!$A:$H,7,FALSE),VLOOKUP("other",bug_conf_sheet!$A:$H,7,FALSE))</f>
        <v>0</v>
      </c>
      <c r="S673" s="38">
        <f>IFERROR(VLOOKUP($F673,bug_conf_sheet!$A:$H,8,FALSE),VLOOKUP("other",bug_conf_sheet!$A:$H,8,FALSE))</f>
        <v>1</v>
      </c>
    </row>
    <row r="674" spans="1:19" ht="21" hidden="1" customHeight="1">
      <c r="A674" s="7" t="str">
        <f t="shared" si="61"/>
        <v>1885396</v>
      </c>
      <c r="B674" s="2" t="str">
        <f t="shared" si="60"/>
        <v>1885</v>
      </c>
      <c r="C674" s="8" t="str">
        <f t="shared" si="62"/>
        <v>5PremiumS4</v>
      </c>
      <c r="D674" s="8" t="str">
        <f t="shared" si="59"/>
        <v>5PremiumS4</v>
      </c>
      <c r="E674" s="10">
        <v>5</v>
      </c>
      <c r="F674" s="6">
        <v>396</v>
      </c>
      <c r="G674" s="8" t="str">
        <f>VLOOKUP(F674,[1]characters!$A:$C,3,FALSE)</f>
        <v>竜宮の水雷 乙姫</v>
      </c>
      <c r="H674" s="8" t="str">
        <f>VLOOKUP(F674,[1]characters!$A:$J,10,FALSE)</f>
        <v>PremiumS</v>
      </c>
      <c r="I674" s="8">
        <f>VLOOKUP(F674,[1]characters!$A:$I,9,FALSE)</f>
        <v>4</v>
      </c>
      <c r="J674" s="8" t="str">
        <f>VLOOKUP(F674,[1]characters!$A:$H,8,FALSE)</f>
        <v>blue</v>
      </c>
      <c r="K674" s="8" t="str">
        <f>VLOOKUP(F674,[1]characters!$A:$K,11,FALSE)</f>
        <v>hp</v>
      </c>
      <c r="L674" s="8" t="str">
        <f>VLOOKUP(F674,[1]characters!$A:$M,13,FALSE)</f>
        <v>human</v>
      </c>
      <c r="M674" s="16">
        <f>VLOOKUP(D674,gacha_188_base!A:B,2,FALSE)</f>
        <v>14805</v>
      </c>
      <c r="N674" s="38">
        <f>IFERROR(VLOOKUP($F674,bug_conf_sheet!$A:$H,3,FALSE),VLOOKUP("other",bug_conf_sheet!$A:$H,3,FALSE))</f>
        <v>1</v>
      </c>
      <c r="O674" s="38">
        <f>IFERROR(VLOOKUP($F674,bug_conf_sheet!$A:$H,4,FALSE),VLOOKUP("other",bug_conf_sheet!$A:$H,4,FALSE))</f>
        <v>0</v>
      </c>
      <c r="P674" s="38">
        <f>IFERROR(VLOOKUP($F674,bug_conf_sheet!$A:$H,5,FALSE),VLOOKUP("other",bug_conf_sheet!$A:$H,5,FALSE))</f>
        <v>0</v>
      </c>
      <c r="Q674" s="38">
        <f>IFERROR(VLOOKUP($F674,bug_conf_sheet!$A:$H,6,FALSE),VLOOKUP("other",bug_conf_sheet!$A:$H,6,FALSE))</f>
        <v>0</v>
      </c>
      <c r="R674" s="38">
        <f>IFERROR(VLOOKUP($F674,bug_conf_sheet!$A:$H,7,FALSE),VLOOKUP("other",bug_conf_sheet!$A:$H,7,FALSE))</f>
        <v>0</v>
      </c>
      <c r="S674" s="38">
        <f>IFERROR(VLOOKUP($F674,bug_conf_sheet!$A:$H,8,FALSE),VLOOKUP("other",bug_conf_sheet!$A:$H,8,FALSE))</f>
        <v>1</v>
      </c>
    </row>
    <row r="675" spans="1:19" ht="21" customHeight="1">
      <c r="A675" s="7" t="str">
        <f t="shared" si="61"/>
        <v>1885397</v>
      </c>
      <c r="B675" s="2" t="str">
        <f t="shared" si="60"/>
        <v>1885</v>
      </c>
      <c r="C675" s="8" t="str">
        <f t="shared" si="62"/>
        <v>5PremiumS5</v>
      </c>
      <c r="D675" s="8" t="str">
        <f t="shared" si="59"/>
        <v>5PremiumS5</v>
      </c>
      <c r="E675" s="10">
        <v>5</v>
      </c>
      <c r="F675" s="6">
        <v>397</v>
      </c>
      <c r="G675" s="8" t="str">
        <f>VLOOKUP(F675,[1]characters!$A:$C,3,FALSE)</f>
        <v>禁断の追箱 乙姫</v>
      </c>
      <c r="H675" s="8" t="str">
        <f>VLOOKUP(F675,[1]characters!$A:$J,10,FALSE)</f>
        <v>PremiumS</v>
      </c>
      <c r="I675" s="8">
        <f>VLOOKUP(F675,[1]characters!$A:$I,9,FALSE)</f>
        <v>5</v>
      </c>
      <c r="J675" s="8" t="str">
        <f>VLOOKUP(F675,[1]characters!$A:$H,8,FALSE)</f>
        <v>blue</v>
      </c>
      <c r="K675" s="8" t="str">
        <f>VLOOKUP(F675,[1]characters!$A:$K,11,FALSE)</f>
        <v>hp</v>
      </c>
      <c r="L675" s="8" t="str">
        <f>VLOOKUP(F675,[1]characters!$A:$M,13,FALSE)</f>
        <v>human</v>
      </c>
      <c r="M675" s="16">
        <f>VLOOKUP(D675,gacha_188_base!A:B,2,FALSE)</f>
        <v>945</v>
      </c>
      <c r="N675" s="38">
        <f>IFERROR(VLOOKUP($F675,bug_conf_sheet!$A:$H,3,FALSE),VLOOKUP("other",bug_conf_sheet!$A:$H,3,FALSE))</f>
        <v>1</v>
      </c>
      <c r="O675" s="38">
        <f>IFERROR(VLOOKUP($F675,bug_conf_sheet!$A:$H,4,FALSE),VLOOKUP("other",bug_conf_sheet!$A:$H,4,FALSE))</f>
        <v>0</v>
      </c>
      <c r="P675" s="38">
        <f>IFERROR(VLOOKUP($F675,bug_conf_sheet!$A:$H,5,FALSE),VLOOKUP("other",bug_conf_sheet!$A:$H,5,FALSE))</f>
        <v>0</v>
      </c>
      <c r="Q675" s="38">
        <f>IFERROR(VLOOKUP($F675,bug_conf_sheet!$A:$H,6,FALSE),VLOOKUP("other",bug_conf_sheet!$A:$H,6,FALSE))</f>
        <v>0</v>
      </c>
      <c r="R675" s="38">
        <f>IFERROR(VLOOKUP($F675,bug_conf_sheet!$A:$H,7,FALSE),VLOOKUP("other",bug_conf_sheet!$A:$H,7,FALSE))</f>
        <v>0</v>
      </c>
      <c r="S675" s="38">
        <f>IFERROR(VLOOKUP($F675,bug_conf_sheet!$A:$H,8,FALSE),VLOOKUP("other",bug_conf_sheet!$A:$H,8,FALSE))</f>
        <v>1</v>
      </c>
    </row>
    <row r="676" spans="1:19" ht="21" hidden="1" customHeight="1">
      <c r="A676" s="7" t="str">
        <f t="shared" si="61"/>
        <v>1885398</v>
      </c>
      <c r="B676" s="2" t="str">
        <f t="shared" si="60"/>
        <v>1885</v>
      </c>
      <c r="C676" s="8" t="str">
        <f t="shared" si="62"/>
        <v>5PremiumSS4</v>
      </c>
      <c r="D676" s="8" t="str">
        <f t="shared" si="59"/>
        <v>5PremiumSS4</v>
      </c>
      <c r="E676" s="10">
        <v>5</v>
      </c>
      <c r="F676" s="6">
        <v>398</v>
      </c>
      <c r="G676" s="8" t="str">
        <f>VLOOKUP(F676,[1]characters!$A:$C,3,FALSE)</f>
        <v>ヘンゼル＆グレーテル</v>
      </c>
      <c r="H676" s="8" t="str">
        <f>VLOOKUP(F676,[1]characters!$A:$J,10,FALSE)</f>
        <v>PremiumSS</v>
      </c>
      <c r="I676" s="8">
        <f>VLOOKUP(F676,[1]characters!$A:$I,9,FALSE)</f>
        <v>4</v>
      </c>
      <c r="J676" s="8" t="str">
        <f>VLOOKUP(F676,[1]characters!$A:$H,8,FALSE)</f>
        <v>yellow</v>
      </c>
      <c r="K676" s="8" t="str">
        <f>VLOOKUP(F676,[1]characters!$A:$K,11,FALSE)</f>
        <v>balance</v>
      </c>
      <c r="L676" s="8" t="str">
        <f>VLOOKUP(F676,[1]characters!$A:$M,13,FALSE)</f>
        <v>human</v>
      </c>
      <c r="M676" s="16">
        <f>VLOOKUP(D676,gacha_188_base!A:B,2,FALSE)</f>
        <v>1709</v>
      </c>
      <c r="N676" s="38">
        <f>IFERROR(VLOOKUP($F676,bug_conf_sheet!$A:$H,3,FALSE),VLOOKUP("other",bug_conf_sheet!$A:$H,3,FALSE))</f>
        <v>1</v>
      </c>
      <c r="O676" s="38">
        <f>IFERROR(VLOOKUP($F676,bug_conf_sheet!$A:$H,4,FALSE),VLOOKUP("other",bug_conf_sheet!$A:$H,4,FALSE))</f>
        <v>0</v>
      </c>
      <c r="P676" s="38">
        <f>IFERROR(VLOOKUP($F676,bug_conf_sheet!$A:$H,5,FALSE),VLOOKUP("other",bug_conf_sheet!$A:$H,5,FALSE))</f>
        <v>0</v>
      </c>
      <c r="Q676" s="38">
        <f>IFERROR(VLOOKUP($F676,bug_conf_sheet!$A:$H,6,FALSE),VLOOKUP("other",bug_conf_sheet!$A:$H,6,FALSE))</f>
        <v>0</v>
      </c>
      <c r="R676" s="38">
        <f>IFERROR(VLOOKUP($F676,bug_conf_sheet!$A:$H,7,FALSE),VLOOKUP("other",bug_conf_sheet!$A:$H,7,FALSE))</f>
        <v>0</v>
      </c>
      <c r="S676" s="38">
        <f>IFERROR(VLOOKUP($F676,bug_conf_sheet!$A:$H,8,FALSE),VLOOKUP("other",bug_conf_sheet!$A:$H,8,FALSE))</f>
        <v>1</v>
      </c>
    </row>
    <row r="677" spans="1:19" ht="21" customHeight="1">
      <c r="A677" s="7" t="str">
        <f t="shared" si="61"/>
        <v>1885399</v>
      </c>
      <c r="B677" s="2" t="str">
        <f t="shared" si="60"/>
        <v>1885</v>
      </c>
      <c r="C677" s="8" t="str">
        <f t="shared" si="62"/>
        <v>5PremiumSS5</v>
      </c>
      <c r="D677" s="8" t="str">
        <f t="shared" si="59"/>
        <v>5PremiumSS5</v>
      </c>
      <c r="E677" s="10">
        <v>5</v>
      </c>
      <c r="F677" s="6">
        <v>399</v>
      </c>
      <c r="G677" s="8" t="str">
        <f>VLOOKUP(F677,[1]characters!$A:$C,3,FALSE)</f>
        <v>信愛の兄妹 ヘンゼル＆グレーテル</v>
      </c>
      <c r="H677" s="8" t="str">
        <f>VLOOKUP(F677,[1]characters!$A:$J,10,FALSE)</f>
        <v>PremiumSS</v>
      </c>
      <c r="I677" s="8">
        <f>VLOOKUP(F677,[1]characters!$A:$I,9,FALSE)</f>
        <v>5</v>
      </c>
      <c r="J677" s="8" t="str">
        <f>VLOOKUP(F677,[1]characters!$A:$H,8,FALSE)</f>
        <v>yellow</v>
      </c>
      <c r="K677" s="8" t="str">
        <f>VLOOKUP(F677,[1]characters!$A:$K,11,FALSE)</f>
        <v>balance</v>
      </c>
      <c r="L677" s="8" t="str">
        <f>VLOOKUP(F677,[1]characters!$A:$M,13,FALSE)</f>
        <v>human</v>
      </c>
      <c r="M677" s="16">
        <f>VLOOKUP(D677,gacha_188_base!A:B,2,FALSE)</f>
        <v>109</v>
      </c>
      <c r="N677" s="38">
        <f>IFERROR(VLOOKUP($F677,bug_conf_sheet!$A:$H,3,FALSE),VLOOKUP("other",bug_conf_sheet!$A:$H,3,FALSE))</f>
        <v>1</v>
      </c>
      <c r="O677" s="38">
        <f>IFERROR(VLOOKUP($F677,bug_conf_sheet!$A:$H,4,FALSE),VLOOKUP("other",bug_conf_sheet!$A:$H,4,FALSE))</f>
        <v>0</v>
      </c>
      <c r="P677" s="38">
        <f>IFERROR(VLOOKUP($F677,bug_conf_sheet!$A:$H,5,FALSE),VLOOKUP("other",bug_conf_sheet!$A:$H,5,FALSE))</f>
        <v>0</v>
      </c>
      <c r="Q677" s="38">
        <f>IFERROR(VLOOKUP($F677,bug_conf_sheet!$A:$H,6,FALSE),VLOOKUP("other",bug_conf_sheet!$A:$H,6,FALSE))</f>
        <v>0</v>
      </c>
      <c r="R677" s="38">
        <f>IFERROR(VLOOKUP($F677,bug_conf_sheet!$A:$H,7,FALSE),VLOOKUP("other",bug_conf_sheet!$A:$H,7,FALSE))</f>
        <v>0</v>
      </c>
      <c r="S677" s="38">
        <f>IFERROR(VLOOKUP($F677,bug_conf_sheet!$A:$H,8,FALSE),VLOOKUP("other",bug_conf_sheet!$A:$H,8,FALSE))</f>
        <v>1</v>
      </c>
    </row>
    <row r="678" spans="1:19" ht="21" hidden="1" customHeight="1">
      <c r="A678" s="7" t="str">
        <f t="shared" si="61"/>
        <v>1885401</v>
      </c>
      <c r="B678" s="2" t="str">
        <f t="shared" si="60"/>
        <v>1885</v>
      </c>
      <c r="C678" s="8" t="str">
        <f t="shared" si="62"/>
        <v>5PremiumS4</v>
      </c>
      <c r="D678" s="8" t="str">
        <f t="shared" si="59"/>
        <v>5PremiumS4</v>
      </c>
      <c r="E678" s="10">
        <v>5</v>
      </c>
      <c r="F678" s="6">
        <v>401</v>
      </c>
      <c r="G678" s="8" t="str">
        <f>VLOOKUP(F678,[1]characters!$A:$C,3,FALSE)</f>
        <v>紅銀の孤狼 フェンリル</v>
      </c>
      <c r="H678" s="8" t="str">
        <f>VLOOKUP(F678,[1]characters!$A:$J,10,FALSE)</f>
        <v>PremiumS</v>
      </c>
      <c r="I678" s="8">
        <f>VLOOKUP(F678,[1]characters!$A:$I,9,FALSE)</f>
        <v>4</v>
      </c>
      <c r="J678" s="8" t="str">
        <f>VLOOKUP(F678,[1]characters!$A:$H,8,FALSE)</f>
        <v>red</v>
      </c>
      <c r="K678" s="8" t="str">
        <f>VLOOKUP(F678,[1]characters!$A:$K,11,FALSE)</f>
        <v>attack</v>
      </c>
      <c r="L678" s="8" t="str">
        <f>VLOOKUP(F678,[1]characters!$A:$M,13,FALSE)</f>
        <v>animal</v>
      </c>
      <c r="M678" s="16">
        <f>VLOOKUP(D678,gacha_188_base!A:B,2,FALSE)</f>
        <v>14805</v>
      </c>
      <c r="N678" s="38">
        <f>IFERROR(VLOOKUP($F678,bug_conf_sheet!$A:$H,3,FALSE),VLOOKUP("other",bug_conf_sheet!$A:$H,3,FALSE))</f>
        <v>1</v>
      </c>
      <c r="O678" s="38">
        <f>IFERROR(VLOOKUP($F678,bug_conf_sheet!$A:$H,4,FALSE),VLOOKUP("other",bug_conf_sheet!$A:$H,4,FALSE))</f>
        <v>0</v>
      </c>
      <c r="P678" s="38">
        <f>IFERROR(VLOOKUP($F678,bug_conf_sheet!$A:$H,5,FALSE),VLOOKUP("other",bug_conf_sheet!$A:$H,5,FALSE))</f>
        <v>0</v>
      </c>
      <c r="Q678" s="38">
        <f>IFERROR(VLOOKUP($F678,bug_conf_sheet!$A:$H,6,FALSE),VLOOKUP("other",bug_conf_sheet!$A:$H,6,FALSE))</f>
        <v>0</v>
      </c>
      <c r="R678" s="38">
        <f>IFERROR(VLOOKUP($F678,bug_conf_sheet!$A:$H,7,FALSE),VLOOKUP("other",bug_conf_sheet!$A:$H,7,FALSE))</f>
        <v>0</v>
      </c>
      <c r="S678" s="38">
        <f>IFERROR(VLOOKUP($F678,bug_conf_sheet!$A:$H,8,FALSE),VLOOKUP("other",bug_conf_sheet!$A:$H,8,FALSE))</f>
        <v>1</v>
      </c>
    </row>
    <row r="679" spans="1:19" ht="21" customHeight="1">
      <c r="A679" s="7" t="str">
        <f t="shared" si="61"/>
        <v>1885402</v>
      </c>
      <c r="B679" s="2" t="str">
        <f t="shared" si="60"/>
        <v>1885</v>
      </c>
      <c r="C679" s="8" t="str">
        <f t="shared" si="62"/>
        <v>5PremiumS5</v>
      </c>
      <c r="D679" s="8" t="str">
        <f t="shared" si="59"/>
        <v>5PremiumS5</v>
      </c>
      <c r="E679" s="10">
        <v>5</v>
      </c>
      <c r="F679" s="6">
        <v>402</v>
      </c>
      <c r="G679" s="8" t="str">
        <f>VLOOKUP(F679,[1]characters!$A:$C,3,FALSE)</f>
        <v>天災の神狼 フェンリル</v>
      </c>
      <c r="H679" s="8" t="str">
        <f>VLOOKUP(F679,[1]characters!$A:$J,10,FALSE)</f>
        <v>PremiumS</v>
      </c>
      <c r="I679" s="8">
        <f>VLOOKUP(F679,[1]characters!$A:$I,9,FALSE)</f>
        <v>5</v>
      </c>
      <c r="J679" s="8" t="str">
        <f>VLOOKUP(F679,[1]characters!$A:$H,8,FALSE)</f>
        <v>red</v>
      </c>
      <c r="K679" s="8" t="str">
        <f>VLOOKUP(F679,[1]characters!$A:$K,11,FALSE)</f>
        <v>attack</v>
      </c>
      <c r="L679" s="8" t="str">
        <f>VLOOKUP(F679,[1]characters!$A:$M,13,FALSE)</f>
        <v>animal</v>
      </c>
      <c r="M679" s="16">
        <f>VLOOKUP(D679,gacha_188_base!A:B,2,FALSE)</f>
        <v>945</v>
      </c>
      <c r="N679" s="38">
        <f>IFERROR(VLOOKUP($F679,bug_conf_sheet!$A:$H,3,FALSE),VLOOKUP("other",bug_conf_sheet!$A:$H,3,FALSE))</f>
        <v>1</v>
      </c>
      <c r="O679" s="38">
        <f>IFERROR(VLOOKUP($F679,bug_conf_sheet!$A:$H,4,FALSE),VLOOKUP("other",bug_conf_sheet!$A:$H,4,FALSE))</f>
        <v>0</v>
      </c>
      <c r="P679" s="38">
        <f>IFERROR(VLOOKUP($F679,bug_conf_sheet!$A:$H,5,FALSE),VLOOKUP("other",bug_conf_sheet!$A:$H,5,FALSE))</f>
        <v>0</v>
      </c>
      <c r="Q679" s="38">
        <f>IFERROR(VLOOKUP($F679,bug_conf_sheet!$A:$H,6,FALSE),VLOOKUP("other",bug_conf_sheet!$A:$H,6,FALSE))</f>
        <v>0</v>
      </c>
      <c r="R679" s="38">
        <f>IFERROR(VLOOKUP($F679,bug_conf_sheet!$A:$H,7,FALSE),VLOOKUP("other",bug_conf_sheet!$A:$H,7,FALSE))</f>
        <v>0</v>
      </c>
      <c r="S679" s="38">
        <f>IFERROR(VLOOKUP($F679,bug_conf_sheet!$A:$H,8,FALSE),VLOOKUP("other",bug_conf_sheet!$A:$H,8,FALSE))</f>
        <v>1</v>
      </c>
    </row>
    <row r="680" spans="1:19" ht="21" hidden="1" customHeight="1">
      <c r="A680" s="7" t="str">
        <f t="shared" si="61"/>
        <v>1885403</v>
      </c>
      <c r="B680" s="2" t="str">
        <f t="shared" si="60"/>
        <v>1885</v>
      </c>
      <c r="C680" s="8" t="str">
        <f t="shared" si="62"/>
        <v>5PremiumSS4</v>
      </c>
      <c r="D680" s="8" t="str">
        <f t="shared" si="59"/>
        <v>5PremiumSS4</v>
      </c>
      <c r="E680" s="10">
        <v>5</v>
      </c>
      <c r="F680" s="6">
        <v>403</v>
      </c>
      <c r="G680" s="8" t="str">
        <f>VLOOKUP(F680,[1]characters!$A:$C,3,FALSE)</f>
        <v>静撃の翠眼 八咫烏</v>
      </c>
      <c r="H680" s="8" t="str">
        <f>VLOOKUP(F680,[1]characters!$A:$J,10,FALSE)</f>
        <v>PremiumSS</v>
      </c>
      <c r="I680" s="8">
        <f>VLOOKUP(F680,[1]characters!$A:$I,9,FALSE)</f>
        <v>4</v>
      </c>
      <c r="J680" s="8" t="str">
        <f>VLOOKUP(F680,[1]characters!$A:$H,8,FALSE)</f>
        <v>green</v>
      </c>
      <c r="K680" s="8" t="str">
        <f>VLOOKUP(F680,[1]characters!$A:$K,11,FALSE)</f>
        <v>balance</v>
      </c>
      <c r="L680" s="8" t="str">
        <f>VLOOKUP(F680,[1]characters!$A:$M,13,FALSE)</f>
        <v>animal</v>
      </c>
      <c r="M680" s="16">
        <f>VLOOKUP(D680,gacha_188_base!A:B,2,FALSE)</f>
        <v>1709</v>
      </c>
      <c r="N680" s="38">
        <f>IFERROR(VLOOKUP($F680,bug_conf_sheet!$A:$H,3,FALSE),VLOOKUP("other",bug_conf_sheet!$A:$H,3,FALSE))</f>
        <v>1</v>
      </c>
      <c r="O680" s="38">
        <f>IFERROR(VLOOKUP($F680,bug_conf_sheet!$A:$H,4,FALSE),VLOOKUP("other",bug_conf_sheet!$A:$H,4,FALSE))</f>
        <v>0</v>
      </c>
      <c r="P680" s="38">
        <f>IFERROR(VLOOKUP($F680,bug_conf_sheet!$A:$H,5,FALSE),VLOOKUP("other",bug_conf_sheet!$A:$H,5,FALSE))</f>
        <v>0</v>
      </c>
      <c r="Q680" s="38">
        <f>IFERROR(VLOOKUP($F680,bug_conf_sheet!$A:$H,6,FALSE),VLOOKUP("other",bug_conf_sheet!$A:$H,6,FALSE))</f>
        <v>0</v>
      </c>
      <c r="R680" s="38">
        <f>IFERROR(VLOOKUP($F680,bug_conf_sheet!$A:$H,7,FALSE),VLOOKUP("other",bug_conf_sheet!$A:$H,7,FALSE))</f>
        <v>0</v>
      </c>
      <c r="S680" s="38">
        <f>IFERROR(VLOOKUP($F680,bug_conf_sheet!$A:$H,8,FALSE),VLOOKUP("other",bug_conf_sheet!$A:$H,8,FALSE))</f>
        <v>1</v>
      </c>
    </row>
    <row r="681" spans="1:19" ht="21" customHeight="1">
      <c r="A681" s="7" t="str">
        <f t="shared" si="61"/>
        <v>1885404</v>
      </c>
      <c r="B681" s="2" t="str">
        <f t="shared" si="60"/>
        <v>1885</v>
      </c>
      <c r="C681" s="8" t="str">
        <f t="shared" si="62"/>
        <v>5PremiumSS5</v>
      </c>
      <c r="D681" s="8" t="str">
        <f t="shared" si="59"/>
        <v>5PremiumSS5</v>
      </c>
      <c r="E681" s="10">
        <v>5</v>
      </c>
      <c r="F681" s="6">
        <v>404</v>
      </c>
      <c r="G681" s="8" t="str">
        <f>VLOOKUP(F681,[1]characters!$A:$C,3,FALSE)</f>
        <v>空襲の神眼 八咫烏</v>
      </c>
      <c r="H681" s="8" t="str">
        <f>VLOOKUP(F681,[1]characters!$A:$J,10,FALSE)</f>
        <v>PremiumSS</v>
      </c>
      <c r="I681" s="8">
        <f>VLOOKUP(F681,[1]characters!$A:$I,9,FALSE)</f>
        <v>5</v>
      </c>
      <c r="J681" s="8" t="str">
        <f>VLOOKUP(F681,[1]characters!$A:$H,8,FALSE)</f>
        <v>green</v>
      </c>
      <c r="K681" s="8" t="str">
        <f>VLOOKUP(F681,[1]characters!$A:$K,11,FALSE)</f>
        <v>balance</v>
      </c>
      <c r="L681" s="8" t="str">
        <f>VLOOKUP(F681,[1]characters!$A:$M,13,FALSE)</f>
        <v>animal</v>
      </c>
      <c r="M681" s="16">
        <f>VLOOKUP(D681,gacha_188_base!A:B,2,FALSE)</f>
        <v>109</v>
      </c>
      <c r="N681" s="38">
        <f>IFERROR(VLOOKUP($F681,bug_conf_sheet!$A:$H,3,FALSE),VLOOKUP("other",bug_conf_sheet!$A:$H,3,FALSE))</f>
        <v>1</v>
      </c>
      <c r="O681" s="38">
        <f>IFERROR(VLOOKUP($F681,bug_conf_sheet!$A:$H,4,FALSE),VLOOKUP("other",bug_conf_sheet!$A:$H,4,FALSE))</f>
        <v>0</v>
      </c>
      <c r="P681" s="38">
        <f>IFERROR(VLOOKUP($F681,bug_conf_sheet!$A:$H,5,FALSE),VLOOKUP("other",bug_conf_sheet!$A:$H,5,FALSE))</f>
        <v>0</v>
      </c>
      <c r="Q681" s="38">
        <f>IFERROR(VLOOKUP($F681,bug_conf_sheet!$A:$H,6,FALSE),VLOOKUP("other",bug_conf_sheet!$A:$H,6,FALSE))</f>
        <v>0</v>
      </c>
      <c r="R681" s="38">
        <f>IFERROR(VLOOKUP($F681,bug_conf_sheet!$A:$H,7,FALSE),VLOOKUP("other",bug_conf_sheet!$A:$H,7,FALSE))</f>
        <v>0</v>
      </c>
      <c r="S681" s="38">
        <f>IFERROR(VLOOKUP($F681,bug_conf_sheet!$A:$H,8,FALSE),VLOOKUP("other",bug_conf_sheet!$A:$H,8,FALSE))</f>
        <v>1</v>
      </c>
    </row>
    <row r="682" spans="1:19" ht="21" hidden="1" customHeight="1">
      <c r="A682" s="7" t="str">
        <f t="shared" si="61"/>
        <v>1885406</v>
      </c>
      <c r="B682" s="2" t="str">
        <f t="shared" si="60"/>
        <v>1885</v>
      </c>
      <c r="C682" s="8" t="str">
        <f t="shared" si="62"/>
        <v>5PremiumS4</v>
      </c>
      <c r="D682" s="8" t="str">
        <f t="shared" si="59"/>
        <v>5PremiumS4</v>
      </c>
      <c r="E682" s="10">
        <v>5</v>
      </c>
      <c r="F682" s="6">
        <v>406</v>
      </c>
      <c r="G682" s="8" t="str">
        <f>VLOOKUP(F682,[1]characters!$A:$C,3,FALSE)</f>
        <v>美笑の蒼蛇 エキドナ</v>
      </c>
      <c r="H682" s="8" t="str">
        <f>VLOOKUP(F682,[1]characters!$A:$J,10,FALSE)</f>
        <v>PremiumS</v>
      </c>
      <c r="I682" s="8">
        <f>VLOOKUP(F682,[1]characters!$A:$I,9,FALSE)</f>
        <v>4</v>
      </c>
      <c r="J682" s="8" t="str">
        <f>VLOOKUP(F682,[1]characters!$A:$H,8,FALSE)</f>
        <v>blue</v>
      </c>
      <c r="K682" s="8" t="str">
        <f>VLOOKUP(F682,[1]characters!$A:$K,11,FALSE)</f>
        <v>technical</v>
      </c>
      <c r="L682" s="8" t="str">
        <f>VLOOKUP(F682,[1]characters!$A:$M,13,FALSE)</f>
        <v>animal</v>
      </c>
      <c r="M682" s="16">
        <f>VLOOKUP(D682,gacha_188_base!A:B,2,FALSE)</f>
        <v>14805</v>
      </c>
      <c r="N682" s="38">
        <f>IFERROR(VLOOKUP($F682,bug_conf_sheet!$A:$H,3,FALSE),VLOOKUP("other",bug_conf_sheet!$A:$H,3,FALSE))</f>
        <v>1</v>
      </c>
      <c r="O682" s="38">
        <f>IFERROR(VLOOKUP($F682,bug_conf_sheet!$A:$H,4,FALSE),VLOOKUP("other",bug_conf_sheet!$A:$H,4,FALSE))</f>
        <v>0</v>
      </c>
      <c r="P682" s="38">
        <f>IFERROR(VLOOKUP($F682,bug_conf_sheet!$A:$H,5,FALSE),VLOOKUP("other",bug_conf_sheet!$A:$H,5,FALSE))</f>
        <v>0</v>
      </c>
      <c r="Q682" s="38">
        <f>IFERROR(VLOOKUP($F682,bug_conf_sheet!$A:$H,6,FALSE),VLOOKUP("other",bug_conf_sheet!$A:$H,6,FALSE))</f>
        <v>0</v>
      </c>
      <c r="R682" s="38">
        <f>IFERROR(VLOOKUP($F682,bug_conf_sheet!$A:$H,7,FALSE),VLOOKUP("other",bug_conf_sheet!$A:$H,7,FALSE))</f>
        <v>0</v>
      </c>
      <c r="S682" s="38">
        <f>IFERROR(VLOOKUP($F682,bug_conf_sheet!$A:$H,8,FALSE),VLOOKUP("other",bug_conf_sheet!$A:$H,8,FALSE))</f>
        <v>1</v>
      </c>
    </row>
    <row r="683" spans="1:19" ht="21" customHeight="1">
      <c r="A683" s="7" t="str">
        <f t="shared" si="61"/>
        <v>1885407</v>
      </c>
      <c r="B683" s="2" t="str">
        <f t="shared" si="60"/>
        <v>1885</v>
      </c>
      <c r="C683" s="8" t="str">
        <f t="shared" si="62"/>
        <v>5PremiumS5</v>
      </c>
      <c r="D683" s="8" t="str">
        <f t="shared" si="59"/>
        <v>5PremiumS5</v>
      </c>
      <c r="E683" s="10">
        <v>5</v>
      </c>
      <c r="F683" s="6">
        <v>407</v>
      </c>
      <c r="G683" s="8" t="str">
        <f>VLOOKUP(F683,[1]characters!$A:$C,3,FALSE)</f>
        <v>蠱惑の飛刀 エキドナ</v>
      </c>
      <c r="H683" s="8" t="str">
        <f>VLOOKUP(F683,[1]characters!$A:$J,10,FALSE)</f>
        <v>PremiumS</v>
      </c>
      <c r="I683" s="8">
        <f>VLOOKUP(F683,[1]characters!$A:$I,9,FALSE)</f>
        <v>5</v>
      </c>
      <c r="J683" s="8" t="str">
        <f>VLOOKUP(F683,[1]characters!$A:$H,8,FALSE)</f>
        <v>blue</v>
      </c>
      <c r="K683" s="8" t="str">
        <f>VLOOKUP(F683,[1]characters!$A:$K,11,FALSE)</f>
        <v>technical</v>
      </c>
      <c r="L683" s="8" t="str">
        <f>VLOOKUP(F683,[1]characters!$A:$M,13,FALSE)</f>
        <v>animal</v>
      </c>
      <c r="M683" s="16">
        <f>VLOOKUP(D683,gacha_188_base!A:B,2,FALSE)</f>
        <v>945</v>
      </c>
      <c r="N683" s="38">
        <f>IFERROR(VLOOKUP($F683,bug_conf_sheet!$A:$H,3,FALSE),VLOOKUP("other",bug_conf_sheet!$A:$H,3,FALSE))</f>
        <v>1</v>
      </c>
      <c r="O683" s="38">
        <f>IFERROR(VLOOKUP($F683,bug_conf_sheet!$A:$H,4,FALSE),VLOOKUP("other",bug_conf_sheet!$A:$H,4,FALSE))</f>
        <v>0</v>
      </c>
      <c r="P683" s="38">
        <f>IFERROR(VLOOKUP($F683,bug_conf_sheet!$A:$H,5,FALSE),VLOOKUP("other",bug_conf_sheet!$A:$H,5,FALSE))</f>
        <v>0</v>
      </c>
      <c r="Q683" s="38">
        <f>IFERROR(VLOOKUP($F683,bug_conf_sheet!$A:$H,6,FALSE),VLOOKUP("other",bug_conf_sheet!$A:$H,6,FALSE))</f>
        <v>0</v>
      </c>
      <c r="R683" s="38">
        <f>IFERROR(VLOOKUP($F683,bug_conf_sheet!$A:$H,7,FALSE),VLOOKUP("other",bug_conf_sheet!$A:$H,7,FALSE))</f>
        <v>0</v>
      </c>
      <c r="S683" s="38">
        <f>IFERROR(VLOOKUP($F683,bug_conf_sheet!$A:$H,8,FALSE),VLOOKUP("other",bug_conf_sheet!$A:$H,8,FALSE))</f>
        <v>1</v>
      </c>
    </row>
    <row r="684" spans="1:19" ht="21" hidden="1" customHeight="1">
      <c r="A684" s="7" t="str">
        <f t="shared" si="61"/>
        <v>1885408</v>
      </c>
      <c r="B684" s="2" t="str">
        <f t="shared" si="60"/>
        <v>1885</v>
      </c>
      <c r="C684" s="8" t="str">
        <f t="shared" si="62"/>
        <v>5PremiumSS4</v>
      </c>
      <c r="D684" s="8" t="str">
        <f t="shared" si="59"/>
        <v>5PremiumSS4</v>
      </c>
      <c r="E684" s="10">
        <v>5</v>
      </c>
      <c r="F684" s="6">
        <v>408</v>
      </c>
      <c r="G684" s="8" t="str">
        <f>VLOOKUP(F684,[1]characters!$A:$C,3,FALSE)</f>
        <v>皇魔 アスタロト</v>
      </c>
      <c r="H684" s="8" t="str">
        <f>VLOOKUP(F684,[1]characters!$A:$J,10,FALSE)</f>
        <v>PremiumSS</v>
      </c>
      <c r="I684" s="8">
        <f>VLOOKUP(F684,[1]characters!$A:$I,9,FALSE)</f>
        <v>4</v>
      </c>
      <c r="J684" s="8" t="str">
        <f>VLOOKUP(F684,[1]characters!$A:$H,8,FALSE)</f>
        <v>yellow</v>
      </c>
      <c r="K684" s="8" t="str">
        <f>VLOOKUP(F684,[1]characters!$A:$K,11,FALSE)</f>
        <v>attack</v>
      </c>
      <c r="L684" s="8" t="str">
        <f>VLOOKUP(F684,[1]characters!$A:$M,13,FALSE)</f>
        <v>god</v>
      </c>
      <c r="M684" s="16">
        <f>VLOOKUP(D684,gacha_188_base!A:B,2,FALSE)</f>
        <v>1709</v>
      </c>
      <c r="N684" s="38">
        <f>IFERROR(VLOOKUP($F684,bug_conf_sheet!$A:$H,3,FALSE),VLOOKUP("other",bug_conf_sheet!$A:$H,3,FALSE))</f>
        <v>1</v>
      </c>
      <c r="O684" s="38">
        <f>IFERROR(VLOOKUP($F684,bug_conf_sheet!$A:$H,4,FALSE),VLOOKUP("other",bug_conf_sheet!$A:$H,4,FALSE))</f>
        <v>0</v>
      </c>
      <c r="P684" s="38">
        <f>IFERROR(VLOOKUP($F684,bug_conf_sheet!$A:$H,5,FALSE),VLOOKUP("other",bug_conf_sheet!$A:$H,5,FALSE))</f>
        <v>0</v>
      </c>
      <c r="Q684" s="38">
        <f>IFERROR(VLOOKUP($F684,bug_conf_sheet!$A:$H,6,FALSE),VLOOKUP("other",bug_conf_sheet!$A:$H,6,FALSE))</f>
        <v>0</v>
      </c>
      <c r="R684" s="38">
        <f>IFERROR(VLOOKUP($F684,bug_conf_sheet!$A:$H,7,FALSE),VLOOKUP("other",bug_conf_sheet!$A:$H,7,FALSE))</f>
        <v>0</v>
      </c>
      <c r="S684" s="38">
        <f>IFERROR(VLOOKUP($F684,bug_conf_sheet!$A:$H,8,FALSE),VLOOKUP("other",bug_conf_sheet!$A:$H,8,FALSE))</f>
        <v>1</v>
      </c>
    </row>
    <row r="685" spans="1:19" ht="21" customHeight="1">
      <c r="A685" s="7" t="str">
        <f t="shared" si="61"/>
        <v>1885409</v>
      </c>
      <c r="B685" s="2" t="str">
        <f t="shared" si="60"/>
        <v>1885</v>
      </c>
      <c r="C685" s="8" t="str">
        <f t="shared" si="62"/>
        <v>5PremiumSS5</v>
      </c>
      <c r="D685" s="8" t="str">
        <f t="shared" si="59"/>
        <v>5PremiumSS5</v>
      </c>
      <c r="E685" s="10">
        <v>5</v>
      </c>
      <c r="F685" s="6">
        <v>409</v>
      </c>
      <c r="G685" s="8" t="str">
        <f>VLOOKUP(F685,[1]characters!$A:$C,3,FALSE)</f>
        <v>天眼の皇貴魔 アスタロト</v>
      </c>
      <c r="H685" s="8" t="str">
        <f>VLOOKUP(F685,[1]characters!$A:$J,10,FALSE)</f>
        <v>PremiumSS</v>
      </c>
      <c r="I685" s="8">
        <f>VLOOKUP(F685,[1]characters!$A:$I,9,FALSE)</f>
        <v>5</v>
      </c>
      <c r="J685" s="8" t="str">
        <f>VLOOKUP(F685,[1]characters!$A:$H,8,FALSE)</f>
        <v>yellow</v>
      </c>
      <c r="K685" s="8" t="str">
        <f>VLOOKUP(F685,[1]characters!$A:$K,11,FALSE)</f>
        <v>attack</v>
      </c>
      <c r="L685" s="8" t="str">
        <f>VLOOKUP(F685,[1]characters!$A:$M,13,FALSE)</f>
        <v>god</v>
      </c>
      <c r="M685" s="16">
        <f>VLOOKUP(D685,gacha_188_base!A:B,2,FALSE)</f>
        <v>109</v>
      </c>
      <c r="N685" s="38">
        <f>IFERROR(VLOOKUP($F685,bug_conf_sheet!$A:$H,3,FALSE),VLOOKUP("other",bug_conf_sheet!$A:$H,3,FALSE))</f>
        <v>1</v>
      </c>
      <c r="O685" s="38">
        <f>IFERROR(VLOOKUP($F685,bug_conf_sheet!$A:$H,4,FALSE),VLOOKUP("other",bug_conf_sheet!$A:$H,4,FALSE))</f>
        <v>0</v>
      </c>
      <c r="P685" s="38">
        <f>IFERROR(VLOOKUP($F685,bug_conf_sheet!$A:$H,5,FALSE),VLOOKUP("other",bug_conf_sheet!$A:$H,5,FALSE))</f>
        <v>0</v>
      </c>
      <c r="Q685" s="38">
        <f>IFERROR(VLOOKUP($F685,bug_conf_sheet!$A:$H,6,FALSE),VLOOKUP("other",bug_conf_sheet!$A:$H,6,FALSE))</f>
        <v>0</v>
      </c>
      <c r="R685" s="38">
        <f>IFERROR(VLOOKUP($F685,bug_conf_sheet!$A:$H,7,FALSE),VLOOKUP("other",bug_conf_sheet!$A:$H,7,FALSE))</f>
        <v>0</v>
      </c>
      <c r="S685" s="38">
        <f>IFERROR(VLOOKUP($F685,bug_conf_sheet!$A:$H,8,FALSE),VLOOKUP("other",bug_conf_sheet!$A:$H,8,FALSE))</f>
        <v>1</v>
      </c>
    </row>
    <row r="686" spans="1:19" ht="21" hidden="1" customHeight="1">
      <c r="A686" s="7" t="str">
        <f t="shared" si="61"/>
        <v>1885434</v>
      </c>
      <c r="B686" s="2" t="str">
        <f t="shared" si="60"/>
        <v>1885</v>
      </c>
      <c r="C686" s="8" t="str">
        <f t="shared" si="62"/>
        <v>5PremiumSS4</v>
      </c>
      <c r="D686" s="8" t="str">
        <f t="shared" si="59"/>
        <v>5PremiumSS4</v>
      </c>
      <c r="E686" s="10">
        <v>5</v>
      </c>
      <c r="F686" s="6">
        <v>434</v>
      </c>
      <c r="G686" s="8" t="str">
        <f>VLOOKUP(F686,[1]characters!$A:$C,3,FALSE)</f>
        <v>D.R.T.H.</v>
      </c>
      <c r="H686" s="8" t="str">
        <f>VLOOKUP(F686,[1]characters!$A:$J,10,FALSE)</f>
        <v>PremiumSS</v>
      </c>
      <c r="I686" s="8">
        <f>VLOOKUP(F686,[1]characters!$A:$I,9,FALSE)</f>
        <v>4</v>
      </c>
      <c r="J686" s="8" t="str">
        <f>VLOOKUP(F686,[1]characters!$A:$H,8,FALSE)</f>
        <v>red</v>
      </c>
      <c r="K686" s="8" t="str">
        <f>VLOOKUP(F686,[1]characters!$A:$K,11,FALSE)</f>
        <v>balance</v>
      </c>
      <c r="L686" s="8" t="str">
        <f>VLOOKUP(F686,[1]characters!$A:$M,13,FALSE)</f>
        <v>human</v>
      </c>
      <c r="M686" s="16">
        <f>VLOOKUP(D686,gacha_188_base!A:B,2,FALSE)</f>
        <v>1709</v>
      </c>
      <c r="N686" s="38">
        <f>IFERROR(VLOOKUP($F686,bug_conf_sheet!$A:$H,3,FALSE),VLOOKUP("other",bug_conf_sheet!$A:$H,3,FALSE))</f>
        <v>1</v>
      </c>
      <c r="O686" s="38">
        <f>IFERROR(VLOOKUP($F686,bug_conf_sheet!$A:$H,4,FALSE),VLOOKUP("other",bug_conf_sheet!$A:$H,4,FALSE))</f>
        <v>0</v>
      </c>
      <c r="P686" s="38">
        <f>IFERROR(VLOOKUP($F686,bug_conf_sheet!$A:$H,5,FALSE),VLOOKUP("other",bug_conf_sheet!$A:$H,5,FALSE))</f>
        <v>0</v>
      </c>
      <c r="Q686" s="38">
        <f>IFERROR(VLOOKUP($F686,bug_conf_sheet!$A:$H,6,FALSE),VLOOKUP("other",bug_conf_sheet!$A:$H,6,FALSE))</f>
        <v>0</v>
      </c>
      <c r="R686" s="38">
        <f>IFERROR(VLOOKUP($F686,bug_conf_sheet!$A:$H,7,FALSE),VLOOKUP("other",bug_conf_sheet!$A:$H,7,FALSE))</f>
        <v>0</v>
      </c>
      <c r="S686" s="38">
        <f>IFERROR(VLOOKUP($F686,bug_conf_sheet!$A:$H,8,FALSE),VLOOKUP("other",bug_conf_sheet!$A:$H,8,FALSE))</f>
        <v>1</v>
      </c>
    </row>
    <row r="687" spans="1:19" ht="21" customHeight="1">
      <c r="A687" s="7" t="str">
        <f t="shared" si="61"/>
        <v>1885435</v>
      </c>
      <c r="B687" s="2" t="str">
        <f t="shared" si="60"/>
        <v>1885</v>
      </c>
      <c r="C687" s="8" t="str">
        <f t="shared" si="62"/>
        <v>5PremiumSS5</v>
      </c>
      <c r="D687" s="8" t="str">
        <f t="shared" si="59"/>
        <v>5PremiumSS5</v>
      </c>
      <c r="E687" s="10">
        <v>5</v>
      </c>
      <c r="F687" s="6">
        <v>435</v>
      </c>
      <c r="G687" s="8" t="str">
        <f>VLOOKUP(F687,[1]characters!$A:$C,3,FALSE)</f>
        <v>曝弾の密偵 D.R.T.H.</v>
      </c>
      <c r="H687" s="8" t="str">
        <f>VLOOKUP(F687,[1]characters!$A:$J,10,FALSE)</f>
        <v>PremiumSS</v>
      </c>
      <c r="I687" s="8">
        <f>VLOOKUP(F687,[1]characters!$A:$I,9,FALSE)</f>
        <v>5</v>
      </c>
      <c r="J687" s="8" t="str">
        <f>VLOOKUP(F687,[1]characters!$A:$H,8,FALSE)</f>
        <v>red</v>
      </c>
      <c r="K687" s="8" t="str">
        <f>VLOOKUP(F687,[1]characters!$A:$K,11,FALSE)</f>
        <v>balance</v>
      </c>
      <c r="L687" s="8" t="str">
        <f>VLOOKUP(F687,[1]characters!$A:$M,13,FALSE)</f>
        <v>human</v>
      </c>
      <c r="M687" s="16">
        <f>VLOOKUP(D687,gacha_188_base!A:B,2,FALSE)</f>
        <v>109</v>
      </c>
      <c r="N687" s="38">
        <f>IFERROR(VLOOKUP($F687,bug_conf_sheet!$A:$H,3,FALSE),VLOOKUP("other",bug_conf_sheet!$A:$H,3,FALSE))</f>
        <v>1</v>
      </c>
      <c r="O687" s="38">
        <f>IFERROR(VLOOKUP($F687,bug_conf_sheet!$A:$H,4,FALSE),VLOOKUP("other",bug_conf_sheet!$A:$H,4,FALSE))</f>
        <v>0</v>
      </c>
      <c r="P687" s="38">
        <f>IFERROR(VLOOKUP($F687,bug_conf_sheet!$A:$H,5,FALSE),VLOOKUP("other",bug_conf_sheet!$A:$H,5,FALSE))</f>
        <v>0</v>
      </c>
      <c r="Q687" s="38">
        <f>IFERROR(VLOOKUP($F687,bug_conf_sheet!$A:$H,6,FALSE),VLOOKUP("other",bug_conf_sheet!$A:$H,6,FALSE))</f>
        <v>0</v>
      </c>
      <c r="R687" s="38">
        <f>IFERROR(VLOOKUP($F687,bug_conf_sheet!$A:$H,7,FALSE),VLOOKUP("other",bug_conf_sheet!$A:$H,7,FALSE))</f>
        <v>0</v>
      </c>
      <c r="S687" s="38">
        <f>IFERROR(VLOOKUP($F687,bug_conf_sheet!$A:$H,8,FALSE),VLOOKUP("other",bug_conf_sheet!$A:$H,8,FALSE))</f>
        <v>1</v>
      </c>
    </row>
    <row r="688" spans="1:19" ht="21" hidden="1" customHeight="1">
      <c r="A688" s="7" t="str">
        <f t="shared" si="61"/>
        <v>1885437</v>
      </c>
      <c r="B688" s="2" t="str">
        <f t="shared" si="60"/>
        <v>1885</v>
      </c>
      <c r="C688" s="8" t="str">
        <f t="shared" si="62"/>
        <v>5PremiumS4</v>
      </c>
      <c r="D688" s="8" t="str">
        <f t="shared" si="59"/>
        <v>5PremiumS4</v>
      </c>
      <c r="E688" s="10">
        <v>5</v>
      </c>
      <c r="F688" s="6">
        <v>437</v>
      </c>
      <c r="G688" s="8" t="str">
        <f>VLOOKUP(F688,[1]characters!$A:$C,3,FALSE)</f>
        <v>忘却者 カカシ</v>
      </c>
      <c r="H688" s="8" t="str">
        <f>VLOOKUP(F688,[1]characters!$A:$J,10,FALSE)</f>
        <v>PremiumS</v>
      </c>
      <c r="I688" s="8">
        <f>VLOOKUP(F688,[1]characters!$A:$I,9,FALSE)</f>
        <v>4</v>
      </c>
      <c r="J688" s="8" t="str">
        <f>VLOOKUP(F688,[1]characters!$A:$H,8,FALSE)</f>
        <v>green</v>
      </c>
      <c r="K688" s="8" t="str">
        <f>VLOOKUP(F688,[1]characters!$A:$K,11,FALSE)</f>
        <v>technical</v>
      </c>
      <c r="L688" s="8" t="str">
        <f>VLOOKUP(F688,[1]characters!$A:$M,13,FALSE)</f>
        <v>human</v>
      </c>
      <c r="M688" s="16">
        <f>VLOOKUP(D688,gacha_188_base!A:B,2,FALSE)</f>
        <v>14805</v>
      </c>
      <c r="N688" s="38">
        <f>IFERROR(VLOOKUP($F688,bug_conf_sheet!$A:$H,3,FALSE),VLOOKUP("other",bug_conf_sheet!$A:$H,3,FALSE))</f>
        <v>1</v>
      </c>
      <c r="O688" s="38">
        <f>IFERROR(VLOOKUP($F688,bug_conf_sheet!$A:$H,4,FALSE),VLOOKUP("other",bug_conf_sheet!$A:$H,4,FALSE))</f>
        <v>0</v>
      </c>
      <c r="P688" s="38">
        <f>IFERROR(VLOOKUP($F688,bug_conf_sheet!$A:$H,5,FALSE),VLOOKUP("other",bug_conf_sheet!$A:$H,5,FALSE))</f>
        <v>0</v>
      </c>
      <c r="Q688" s="38">
        <f>IFERROR(VLOOKUP($F688,bug_conf_sheet!$A:$H,6,FALSE),VLOOKUP("other",bug_conf_sheet!$A:$H,6,FALSE))</f>
        <v>0</v>
      </c>
      <c r="R688" s="38">
        <f>IFERROR(VLOOKUP($F688,bug_conf_sheet!$A:$H,7,FALSE),VLOOKUP("other",bug_conf_sheet!$A:$H,7,FALSE))</f>
        <v>0</v>
      </c>
      <c r="S688" s="38">
        <f>IFERROR(VLOOKUP($F688,bug_conf_sheet!$A:$H,8,FALSE),VLOOKUP("other",bug_conf_sheet!$A:$H,8,FALSE))</f>
        <v>1</v>
      </c>
    </row>
    <row r="689" spans="1:19" ht="21" customHeight="1">
      <c r="A689" s="7" t="str">
        <f t="shared" si="61"/>
        <v>1885438</v>
      </c>
      <c r="B689" s="2" t="str">
        <f t="shared" si="60"/>
        <v>1885</v>
      </c>
      <c r="C689" s="8" t="str">
        <f t="shared" si="62"/>
        <v>5PremiumS5</v>
      </c>
      <c r="D689" s="8" t="str">
        <f t="shared" si="59"/>
        <v>5PremiumS5</v>
      </c>
      <c r="E689" s="10">
        <v>5</v>
      </c>
      <c r="F689" s="6">
        <v>438</v>
      </c>
      <c r="G689" s="8" t="str">
        <f>VLOOKUP(F689,[1]characters!$A:$C,3,FALSE)</f>
        <v>記憶の奪還 カカシ</v>
      </c>
      <c r="H689" s="8" t="str">
        <f>VLOOKUP(F689,[1]characters!$A:$J,10,FALSE)</f>
        <v>PremiumS</v>
      </c>
      <c r="I689" s="8">
        <f>VLOOKUP(F689,[1]characters!$A:$I,9,FALSE)</f>
        <v>5</v>
      </c>
      <c r="J689" s="8" t="str">
        <f>VLOOKUP(F689,[1]characters!$A:$H,8,FALSE)</f>
        <v>green</v>
      </c>
      <c r="K689" s="8" t="str">
        <f>VLOOKUP(F689,[1]characters!$A:$K,11,FALSE)</f>
        <v>technical</v>
      </c>
      <c r="L689" s="8" t="str">
        <f>VLOOKUP(F689,[1]characters!$A:$M,13,FALSE)</f>
        <v>human</v>
      </c>
      <c r="M689" s="16">
        <f>VLOOKUP(D689,gacha_188_base!A:B,2,FALSE)</f>
        <v>945</v>
      </c>
      <c r="N689" s="38">
        <f>IFERROR(VLOOKUP($F689,bug_conf_sheet!$A:$H,3,FALSE),VLOOKUP("other",bug_conf_sheet!$A:$H,3,FALSE))</f>
        <v>1</v>
      </c>
      <c r="O689" s="38">
        <f>IFERROR(VLOOKUP($F689,bug_conf_sheet!$A:$H,4,FALSE),VLOOKUP("other",bug_conf_sheet!$A:$H,4,FALSE))</f>
        <v>0</v>
      </c>
      <c r="P689" s="38">
        <f>IFERROR(VLOOKUP($F689,bug_conf_sheet!$A:$H,5,FALSE),VLOOKUP("other",bug_conf_sheet!$A:$H,5,FALSE))</f>
        <v>0</v>
      </c>
      <c r="Q689" s="38">
        <f>IFERROR(VLOOKUP($F689,bug_conf_sheet!$A:$H,6,FALSE),VLOOKUP("other",bug_conf_sheet!$A:$H,6,FALSE))</f>
        <v>0</v>
      </c>
      <c r="R689" s="38">
        <f>IFERROR(VLOOKUP($F689,bug_conf_sheet!$A:$H,7,FALSE),VLOOKUP("other",bug_conf_sheet!$A:$H,7,FALSE))</f>
        <v>0</v>
      </c>
      <c r="S689" s="38">
        <f>IFERROR(VLOOKUP($F689,bug_conf_sheet!$A:$H,8,FALSE),VLOOKUP("other",bug_conf_sheet!$A:$H,8,FALSE))</f>
        <v>1</v>
      </c>
    </row>
    <row r="690" spans="1:19" ht="21" hidden="1" customHeight="1">
      <c r="A690" s="7" t="str">
        <f t="shared" si="61"/>
        <v>1885440</v>
      </c>
      <c r="B690" s="2" t="str">
        <f t="shared" si="60"/>
        <v>1885</v>
      </c>
      <c r="C690" s="8" t="str">
        <f t="shared" si="62"/>
        <v>5PremiumS4</v>
      </c>
      <c r="D690" s="8" t="str">
        <f t="shared" si="59"/>
        <v>5PremiumS4</v>
      </c>
      <c r="E690" s="10">
        <v>5</v>
      </c>
      <c r="F690" s="6">
        <v>440</v>
      </c>
      <c r="G690" s="8" t="str">
        <f>VLOOKUP(F690,[1]characters!$A:$C,3,FALSE)</f>
        <v>改良型 ブリキロガー</v>
      </c>
      <c r="H690" s="8" t="str">
        <f>VLOOKUP(F690,[1]characters!$A:$J,10,FALSE)</f>
        <v>PremiumS</v>
      </c>
      <c r="I690" s="8">
        <f>VLOOKUP(F690,[1]characters!$A:$I,9,FALSE)</f>
        <v>4</v>
      </c>
      <c r="J690" s="8" t="str">
        <f>VLOOKUP(F690,[1]characters!$A:$H,8,FALSE)</f>
        <v>blue</v>
      </c>
      <c r="K690" s="8" t="str">
        <f>VLOOKUP(F690,[1]characters!$A:$K,11,FALSE)</f>
        <v>attack</v>
      </c>
      <c r="L690" s="8" t="str">
        <f>VLOOKUP(F690,[1]characters!$A:$M,13,FALSE)</f>
        <v>machine</v>
      </c>
      <c r="M690" s="16">
        <f>VLOOKUP(D690,gacha_188_base!A:B,2,FALSE)</f>
        <v>14805</v>
      </c>
      <c r="N690" s="38">
        <f>IFERROR(VLOOKUP($F690,bug_conf_sheet!$A:$H,3,FALSE),VLOOKUP("other",bug_conf_sheet!$A:$H,3,FALSE))</f>
        <v>1</v>
      </c>
      <c r="O690" s="38">
        <f>IFERROR(VLOOKUP($F690,bug_conf_sheet!$A:$H,4,FALSE),VLOOKUP("other",bug_conf_sheet!$A:$H,4,FALSE))</f>
        <v>0</v>
      </c>
      <c r="P690" s="38">
        <f>IFERROR(VLOOKUP($F690,bug_conf_sheet!$A:$H,5,FALSE),VLOOKUP("other",bug_conf_sheet!$A:$H,5,FALSE))</f>
        <v>0</v>
      </c>
      <c r="Q690" s="38">
        <f>IFERROR(VLOOKUP($F690,bug_conf_sheet!$A:$H,6,FALSE),VLOOKUP("other",bug_conf_sheet!$A:$H,6,FALSE))</f>
        <v>0</v>
      </c>
      <c r="R690" s="38">
        <f>IFERROR(VLOOKUP($F690,bug_conf_sheet!$A:$H,7,FALSE),VLOOKUP("other",bug_conf_sheet!$A:$H,7,FALSE))</f>
        <v>0</v>
      </c>
      <c r="S690" s="38">
        <f>IFERROR(VLOOKUP($F690,bug_conf_sheet!$A:$H,8,FALSE),VLOOKUP("other",bug_conf_sheet!$A:$H,8,FALSE))</f>
        <v>1</v>
      </c>
    </row>
    <row r="691" spans="1:19" ht="21" customHeight="1">
      <c r="A691" s="7" t="str">
        <f t="shared" si="61"/>
        <v>1885441</v>
      </c>
      <c r="B691" s="2" t="str">
        <f t="shared" si="60"/>
        <v>1885</v>
      </c>
      <c r="C691" s="8" t="str">
        <f t="shared" si="62"/>
        <v>5PremiumS5</v>
      </c>
      <c r="D691" s="8" t="str">
        <f t="shared" si="59"/>
        <v>5PremiumS5</v>
      </c>
      <c r="E691" s="10">
        <v>5</v>
      </c>
      <c r="F691" s="6">
        <v>441</v>
      </c>
      <c r="G691" s="8" t="str">
        <f>VLOOKUP(F691,[1]characters!$A:$C,3,FALSE)</f>
        <v>求心の錻装 ブリキロガー</v>
      </c>
      <c r="H691" s="8" t="str">
        <f>VLOOKUP(F691,[1]characters!$A:$J,10,FALSE)</f>
        <v>PremiumS</v>
      </c>
      <c r="I691" s="8">
        <f>VLOOKUP(F691,[1]characters!$A:$I,9,FALSE)</f>
        <v>5</v>
      </c>
      <c r="J691" s="8" t="str">
        <f>VLOOKUP(F691,[1]characters!$A:$H,8,FALSE)</f>
        <v>blue</v>
      </c>
      <c r="K691" s="8" t="str">
        <f>VLOOKUP(F691,[1]characters!$A:$K,11,FALSE)</f>
        <v>attack</v>
      </c>
      <c r="L691" s="8" t="str">
        <f>VLOOKUP(F691,[1]characters!$A:$M,13,FALSE)</f>
        <v>machine</v>
      </c>
      <c r="M691" s="16">
        <f>VLOOKUP(D691,gacha_188_base!A:B,2,FALSE)</f>
        <v>945</v>
      </c>
      <c r="N691" s="38">
        <f>IFERROR(VLOOKUP($F691,bug_conf_sheet!$A:$H,3,FALSE),VLOOKUP("other",bug_conf_sheet!$A:$H,3,FALSE))</f>
        <v>1</v>
      </c>
      <c r="O691" s="38">
        <f>IFERROR(VLOOKUP($F691,bug_conf_sheet!$A:$H,4,FALSE),VLOOKUP("other",bug_conf_sheet!$A:$H,4,FALSE))</f>
        <v>0</v>
      </c>
      <c r="P691" s="38">
        <f>IFERROR(VLOOKUP($F691,bug_conf_sheet!$A:$H,5,FALSE),VLOOKUP("other",bug_conf_sheet!$A:$H,5,FALSE))</f>
        <v>0</v>
      </c>
      <c r="Q691" s="38">
        <f>IFERROR(VLOOKUP($F691,bug_conf_sheet!$A:$H,6,FALSE),VLOOKUP("other",bug_conf_sheet!$A:$H,6,FALSE))</f>
        <v>0</v>
      </c>
      <c r="R691" s="38">
        <f>IFERROR(VLOOKUP($F691,bug_conf_sheet!$A:$H,7,FALSE),VLOOKUP("other",bug_conf_sheet!$A:$H,7,FALSE))</f>
        <v>0</v>
      </c>
      <c r="S691" s="38">
        <f>IFERROR(VLOOKUP($F691,bug_conf_sheet!$A:$H,8,FALSE),VLOOKUP("other",bug_conf_sheet!$A:$H,8,FALSE))</f>
        <v>1</v>
      </c>
    </row>
    <row r="692" spans="1:19" ht="21" hidden="1" customHeight="1">
      <c r="A692" s="7" t="str">
        <f t="shared" si="61"/>
        <v>1885442</v>
      </c>
      <c r="B692" s="2" t="str">
        <f t="shared" si="60"/>
        <v>1885</v>
      </c>
      <c r="C692" s="8" t="str">
        <f t="shared" si="62"/>
        <v>5PremiumSS4</v>
      </c>
      <c r="D692" s="8" t="str">
        <f t="shared" si="59"/>
        <v>5PremiumSS4</v>
      </c>
      <c r="E692" s="10">
        <v>5</v>
      </c>
      <c r="F692" s="6">
        <v>442</v>
      </c>
      <c r="G692" s="8" t="str">
        <f>VLOOKUP(F692,[1]characters!$A:$C,3,FALSE)</f>
        <v>ブレイブリー・ライオン</v>
      </c>
      <c r="H692" s="8" t="str">
        <f>VLOOKUP(F692,[1]characters!$A:$J,10,FALSE)</f>
        <v>PremiumSS</v>
      </c>
      <c r="I692" s="8">
        <f>VLOOKUP(F692,[1]characters!$A:$I,9,FALSE)</f>
        <v>4</v>
      </c>
      <c r="J692" s="8" t="str">
        <f>VLOOKUP(F692,[1]characters!$A:$H,8,FALSE)</f>
        <v>yellow</v>
      </c>
      <c r="K692" s="8" t="str">
        <f>VLOOKUP(F692,[1]characters!$A:$K,11,FALSE)</f>
        <v>hp</v>
      </c>
      <c r="L692" s="8" t="str">
        <f>VLOOKUP(F692,[1]characters!$A:$M,13,FALSE)</f>
        <v>animal</v>
      </c>
      <c r="M692" s="16">
        <f>VLOOKUP(D692,gacha_188_base!A:B,2,FALSE)</f>
        <v>1709</v>
      </c>
      <c r="N692" s="38">
        <f>IFERROR(VLOOKUP($F692,bug_conf_sheet!$A:$H,3,FALSE),VLOOKUP("other",bug_conf_sheet!$A:$H,3,FALSE))</f>
        <v>1</v>
      </c>
      <c r="O692" s="38">
        <f>IFERROR(VLOOKUP($F692,bug_conf_sheet!$A:$H,4,FALSE),VLOOKUP("other",bug_conf_sheet!$A:$H,4,FALSE))</f>
        <v>0</v>
      </c>
      <c r="P692" s="38">
        <f>IFERROR(VLOOKUP($F692,bug_conf_sheet!$A:$H,5,FALSE),VLOOKUP("other",bug_conf_sheet!$A:$H,5,FALSE))</f>
        <v>0</v>
      </c>
      <c r="Q692" s="38">
        <f>IFERROR(VLOOKUP($F692,bug_conf_sheet!$A:$H,6,FALSE),VLOOKUP("other",bug_conf_sheet!$A:$H,6,FALSE))</f>
        <v>0</v>
      </c>
      <c r="R692" s="38">
        <f>IFERROR(VLOOKUP($F692,bug_conf_sheet!$A:$H,7,FALSE),VLOOKUP("other",bug_conf_sheet!$A:$H,7,FALSE))</f>
        <v>0</v>
      </c>
      <c r="S692" s="38">
        <f>IFERROR(VLOOKUP($F692,bug_conf_sheet!$A:$H,8,FALSE),VLOOKUP("other",bug_conf_sheet!$A:$H,8,FALSE))</f>
        <v>1</v>
      </c>
    </row>
    <row r="693" spans="1:19" ht="21" customHeight="1">
      <c r="A693" s="7" t="str">
        <f t="shared" si="61"/>
        <v>1885443</v>
      </c>
      <c r="B693" s="2" t="str">
        <f t="shared" si="60"/>
        <v>1885</v>
      </c>
      <c r="C693" s="8" t="str">
        <f t="shared" si="62"/>
        <v>5PremiumSS5</v>
      </c>
      <c r="D693" s="8" t="str">
        <f t="shared" si="59"/>
        <v>5PremiumSS5</v>
      </c>
      <c r="E693" s="10">
        <v>5</v>
      </c>
      <c r="F693" s="6">
        <v>443</v>
      </c>
      <c r="G693" s="8" t="str">
        <f>VLOOKUP(F693,[1]characters!$A:$C,3,FALSE)</f>
        <v>勇機結集 ブレイブリー・ライオン</v>
      </c>
      <c r="H693" s="8" t="str">
        <f>VLOOKUP(F693,[1]characters!$A:$J,10,FALSE)</f>
        <v>PremiumSS</v>
      </c>
      <c r="I693" s="8">
        <f>VLOOKUP(F693,[1]characters!$A:$I,9,FALSE)</f>
        <v>5</v>
      </c>
      <c r="J693" s="8" t="str">
        <f>VLOOKUP(F693,[1]characters!$A:$H,8,FALSE)</f>
        <v>yellow</v>
      </c>
      <c r="K693" s="8" t="str">
        <f>VLOOKUP(F693,[1]characters!$A:$K,11,FALSE)</f>
        <v>hp</v>
      </c>
      <c r="L693" s="8" t="str">
        <f>VLOOKUP(F693,[1]characters!$A:$M,13,FALSE)</f>
        <v>animal</v>
      </c>
      <c r="M693" s="16">
        <f>VLOOKUP(D693,gacha_188_base!A:B,2,FALSE)</f>
        <v>109</v>
      </c>
      <c r="N693" s="38">
        <f>IFERROR(VLOOKUP($F693,bug_conf_sheet!$A:$H,3,FALSE),VLOOKUP("other",bug_conf_sheet!$A:$H,3,FALSE))</f>
        <v>1</v>
      </c>
      <c r="O693" s="38">
        <f>IFERROR(VLOOKUP($F693,bug_conf_sheet!$A:$H,4,FALSE),VLOOKUP("other",bug_conf_sheet!$A:$H,4,FALSE))</f>
        <v>0</v>
      </c>
      <c r="P693" s="38">
        <f>IFERROR(VLOOKUP($F693,bug_conf_sheet!$A:$H,5,FALSE),VLOOKUP("other",bug_conf_sheet!$A:$H,5,FALSE))</f>
        <v>0</v>
      </c>
      <c r="Q693" s="38">
        <f>IFERROR(VLOOKUP($F693,bug_conf_sheet!$A:$H,6,FALSE),VLOOKUP("other",bug_conf_sheet!$A:$H,6,FALSE))</f>
        <v>0</v>
      </c>
      <c r="R693" s="38">
        <f>IFERROR(VLOOKUP($F693,bug_conf_sheet!$A:$H,7,FALSE),VLOOKUP("other",bug_conf_sheet!$A:$H,7,FALSE))</f>
        <v>0</v>
      </c>
      <c r="S693" s="38">
        <f>IFERROR(VLOOKUP($F693,bug_conf_sheet!$A:$H,8,FALSE),VLOOKUP("other",bug_conf_sheet!$A:$H,8,FALSE))</f>
        <v>1</v>
      </c>
    </row>
    <row r="694" spans="1:19" ht="21" hidden="1" customHeight="1">
      <c r="A694" s="7" t="str">
        <f t="shared" si="61"/>
        <v>1885463</v>
      </c>
      <c r="B694" s="2" t="str">
        <f t="shared" si="60"/>
        <v>1885</v>
      </c>
      <c r="C694" s="8" t="str">
        <f t="shared" si="62"/>
        <v>5PremiumS4</v>
      </c>
      <c r="D694" s="8" t="str">
        <f t="shared" si="59"/>
        <v>5PremiumS4</v>
      </c>
      <c r="E694" s="10">
        <v>5</v>
      </c>
      <c r="F694" s="9">
        <v>463</v>
      </c>
      <c r="G694" s="8" t="str">
        <f>VLOOKUP(F694,[1]characters!$A:$C,3,FALSE)</f>
        <v>燻銀 ガウェイン</v>
      </c>
      <c r="H694" s="8" t="str">
        <f>VLOOKUP(F694,[1]characters!$A:$J,10,FALSE)</f>
        <v>PremiumS</v>
      </c>
      <c r="I694" s="8">
        <f>VLOOKUP(F694,[1]characters!$A:$I,9,FALSE)</f>
        <v>4</v>
      </c>
      <c r="J694" s="8" t="str">
        <f>VLOOKUP(F694,[1]characters!$A:$H,8,FALSE)</f>
        <v>red</v>
      </c>
      <c r="K694" s="8" t="str">
        <f>VLOOKUP(F694,[1]characters!$A:$K,11,FALSE)</f>
        <v>hp</v>
      </c>
      <c r="L694" s="8" t="str">
        <f>VLOOKUP(F694,[1]characters!$A:$M,13,FALSE)</f>
        <v>human</v>
      </c>
      <c r="M694" s="16">
        <f>VLOOKUP(D694,gacha_188_base!A:B,2,FALSE)</f>
        <v>14805</v>
      </c>
      <c r="N694" s="38">
        <f>IFERROR(VLOOKUP($F694,bug_conf_sheet!$A:$H,3,FALSE),VLOOKUP("other",bug_conf_sheet!$A:$H,3,FALSE))</f>
        <v>1</v>
      </c>
      <c r="O694" s="38">
        <f>IFERROR(VLOOKUP($F694,bug_conf_sheet!$A:$H,4,FALSE),VLOOKUP("other",bug_conf_sheet!$A:$H,4,FALSE))</f>
        <v>0</v>
      </c>
      <c r="P694" s="38">
        <f>IFERROR(VLOOKUP($F694,bug_conf_sheet!$A:$H,5,FALSE),VLOOKUP("other",bug_conf_sheet!$A:$H,5,FALSE))</f>
        <v>0</v>
      </c>
      <c r="Q694" s="38">
        <f>IFERROR(VLOOKUP($F694,bug_conf_sheet!$A:$H,6,FALSE),VLOOKUP("other",bug_conf_sheet!$A:$H,6,FALSE))</f>
        <v>0</v>
      </c>
      <c r="R694" s="38">
        <f>IFERROR(VLOOKUP($F694,bug_conf_sheet!$A:$H,7,FALSE),VLOOKUP("other",bug_conf_sheet!$A:$H,7,FALSE))</f>
        <v>0</v>
      </c>
      <c r="S694" s="38">
        <f>IFERROR(VLOOKUP($F694,bug_conf_sheet!$A:$H,8,FALSE),VLOOKUP("other",bug_conf_sheet!$A:$H,8,FALSE))</f>
        <v>1</v>
      </c>
    </row>
    <row r="695" spans="1:19" ht="21" customHeight="1">
      <c r="A695" s="7" t="str">
        <f t="shared" si="61"/>
        <v>1885464</v>
      </c>
      <c r="B695" s="2" t="str">
        <f t="shared" si="60"/>
        <v>1885</v>
      </c>
      <c r="C695" s="8" t="str">
        <f t="shared" si="62"/>
        <v>5PremiumS5</v>
      </c>
      <c r="D695" s="8" t="str">
        <f t="shared" si="59"/>
        <v>5PremiumS5</v>
      </c>
      <c r="E695" s="10">
        <v>5</v>
      </c>
      <c r="F695" s="9">
        <v>464</v>
      </c>
      <c r="G695" s="8" t="str">
        <f>VLOOKUP(F695,[1]characters!$A:$C,3,FALSE)</f>
        <v>円熟の弾導 ガウェイン</v>
      </c>
      <c r="H695" s="8" t="str">
        <f>VLOOKUP(F695,[1]characters!$A:$J,10,FALSE)</f>
        <v>PremiumS</v>
      </c>
      <c r="I695" s="8">
        <f>VLOOKUP(F695,[1]characters!$A:$I,9,FALSE)</f>
        <v>5</v>
      </c>
      <c r="J695" s="8" t="str">
        <f>VLOOKUP(F695,[1]characters!$A:$H,8,FALSE)</f>
        <v>red</v>
      </c>
      <c r="K695" s="8" t="str">
        <f>VLOOKUP(F695,[1]characters!$A:$K,11,FALSE)</f>
        <v>hp</v>
      </c>
      <c r="L695" s="8" t="str">
        <f>VLOOKUP(F695,[1]characters!$A:$M,13,FALSE)</f>
        <v>human</v>
      </c>
      <c r="M695" s="16">
        <f>VLOOKUP(D695,gacha_188_base!A:B,2,FALSE)</f>
        <v>945</v>
      </c>
      <c r="N695" s="38">
        <f>IFERROR(VLOOKUP($F695,bug_conf_sheet!$A:$H,3,FALSE),VLOOKUP("other",bug_conf_sheet!$A:$H,3,FALSE))</f>
        <v>1</v>
      </c>
      <c r="O695" s="38">
        <f>IFERROR(VLOOKUP($F695,bug_conf_sheet!$A:$H,4,FALSE),VLOOKUP("other",bug_conf_sheet!$A:$H,4,FALSE))</f>
        <v>0</v>
      </c>
      <c r="P695" s="38">
        <f>IFERROR(VLOOKUP($F695,bug_conf_sheet!$A:$H,5,FALSE),VLOOKUP("other",bug_conf_sheet!$A:$H,5,FALSE))</f>
        <v>0</v>
      </c>
      <c r="Q695" s="38">
        <f>IFERROR(VLOOKUP($F695,bug_conf_sheet!$A:$H,6,FALSE),VLOOKUP("other",bug_conf_sheet!$A:$H,6,FALSE))</f>
        <v>0</v>
      </c>
      <c r="R695" s="38">
        <f>IFERROR(VLOOKUP($F695,bug_conf_sheet!$A:$H,7,FALSE),VLOOKUP("other",bug_conf_sheet!$A:$H,7,FALSE))</f>
        <v>0</v>
      </c>
      <c r="S695" s="38">
        <f>IFERROR(VLOOKUP($F695,bug_conf_sheet!$A:$H,8,FALSE),VLOOKUP("other",bug_conf_sheet!$A:$H,8,FALSE))</f>
        <v>1</v>
      </c>
    </row>
    <row r="696" spans="1:19" ht="21" hidden="1" customHeight="1">
      <c r="A696" s="7" t="str">
        <f t="shared" si="61"/>
        <v>1885465</v>
      </c>
      <c r="B696" s="2" t="str">
        <f t="shared" si="60"/>
        <v>1885</v>
      </c>
      <c r="C696" s="8" t="str">
        <f t="shared" si="62"/>
        <v>5PremiumSS4</v>
      </c>
      <c r="D696" s="8" t="str">
        <f t="shared" si="59"/>
        <v>5PremiumSS4</v>
      </c>
      <c r="E696" s="10">
        <v>5</v>
      </c>
      <c r="F696" s="9">
        <v>465</v>
      </c>
      <c r="G696" s="8" t="str">
        <f>VLOOKUP(F696,[1]characters!$A:$C,3,FALSE)</f>
        <v>真撃 ランスロット</v>
      </c>
      <c r="H696" s="8" t="str">
        <f>VLOOKUP(F696,[1]characters!$A:$J,10,FALSE)</f>
        <v>PremiumSS</v>
      </c>
      <c r="I696" s="8">
        <f>VLOOKUP(F696,[1]characters!$A:$I,9,FALSE)</f>
        <v>4</v>
      </c>
      <c r="J696" s="8" t="str">
        <f>VLOOKUP(F696,[1]characters!$A:$H,8,FALSE)</f>
        <v>green</v>
      </c>
      <c r="K696" s="8" t="str">
        <f>VLOOKUP(F696,[1]characters!$A:$K,11,FALSE)</f>
        <v>balance</v>
      </c>
      <c r="L696" s="8" t="str">
        <f>VLOOKUP(F696,[1]characters!$A:$M,13,FALSE)</f>
        <v>human</v>
      </c>
      <c r="M696" s="16">
        <f>VLOOKUP(D696,gacha_188_base!A:B,2,FALSE)</f>
        <v>1709</v>
      </c>
      <c r="N696" s="38">
        <f>IFERROR(VLOOKUP($F696,bug_conf_sheet!$A:$H,3,FALSE),VLOOKUP("other",bug_conf_sheet!$A:$H,3,FALSE))</f>
        <v>1</v>
      </c>
      <c r="O696" s="38">
        <f>IFERROR(VLOOKUP($F696,bug_conf_sheet!$A:$H,4,FALSE),VLOOKUP("other",bug_conf_sheet!$A:$H,4,FALSE))</f>
        <v>0</v>
      </c>
      <c r="P696" s="38">
        <f>IFERROR(VLOOKUP($F696,bug_conf_sheet!$A:$H,5,FALSE),VLOOKUP("other",bug_conf_sheet!$A:$H,5,FALSE))</f>
        <v>0</v>
      </c>
      <c r="Q696" s="38">
        <f>IFERROR(VLOOKUP($F696,bug_conf_sheet!$A:$H,6,FALSE),VLOOKUP("other",bug_conf_sheet!$A:$H,6,FALSE))</f>
        <v>0</v>
      </c>
      <c r="R696" s="38">
        <f>IFERROR(VLOOKUP($F696,bug_conf_sheet!$A:$H,7,FALSE),VLOOKUP("other",bug_conf_sheet!$A:$H,7,FALSE))</f>
        <v>0</v>
      </c>
      <c r="S696" s="38">
        <f>IFERROR(VLOOKUP($F696,bug_conf_sheet!$A:$H,8,FALSE),VLOOKUP("other",bug_conf_sheet!$A:$H,8,FALSE))</f>
        <v>1</v>
      </c>
    </row>
    <row r="697" spans="1:19" s="11" customFormat="1" ht="21" customHeight="1" thickBot="1">
      <c r="A697" s="7" t="str">
        <f t="shared" si="61"/>
        <v>1885466</v>
      </c>
      <c r="B697" s="2" t="str">
        <f t="shared" si="60"/>
        <v>1885</v>
      </c>
      <c r="C697" s="8" t="str">
        <f t="shared" si="62"/>
        <v>5PremiumSS5</v>
      </c>
      <c r="D697" s="8" t="str">
        <f t="shared" si="59"/>
        <v>5PremiumSS5</v>
      </c>
      <c r="E697" s="10">
        <v>5</v>
      </c>
      <c r="F697" s="6">
        <v>466</v>
      </c>
      <c r="G697" s="8" t="str">
        <f>VLOOKUP(F697,[1]characters!$A:$C,3,FALSE)</f>
        <v>真断の勇覇 ランスロット</v>
      </c>
      <c r="H697" s="8" t="str">
        <f>VLOOKUP(F697,[1]characters!$A:$J,10,FALSE)</f>
        <v>PremiumSS</v>
      </c>
      <c r="I697" s="8">
        <f>VLOOKUP(F697,[1]characters!$A:$I,9,FALSE)</f>
        <v>5</v>
      </c>
      <c r="J697" s="8" t="str">
        <f>VLOOKUP(F697,[1]characters!$A:$H,8,FALSE)</f>
        <v>green</v>
      </c>
      <c r="K697" s="8" t="str">
        <f>VLOOKUP(F697,[1]characters!$A:$K,11,FALSE)</f>
        <v>balance</v>
      </c>
      <c r="L697" s="8" t="str">
        <f>VLOOKUP(F697,[1]characters!$A:$M,13,FALSE)</f>
        <v>human</v>
      </c>
      <c r="M697" s="16">
        <f>VLOOKUP(D697,gacha_188_base!A:B,2,FALSE)</f>
        <v>109</v>
      </c>
      <c r="N697" s="38">
        <f>IFERROR(VLOOKUP($F697,bug_conf_sheet!$A:$H,3,FALSE),VLOOKUP("other",bug_conf_sheet!$A:$H,3,FALSE))</f>
        <v>1</v>
      </c>
      <c r="O697" s="38">
        <f>IFERROR(VLOOKUP($F697,bug_conf_sheet!$A:$H,4,FALSE),VLOOKUP("other",bug_conf_sheet!$A:$H,4,FALSE))</f>
        <v>0</v>
      </c>
      <c r="P697" s="38">
        <f>IFERROR(VLOOKUP($F697,bug_conf_sheet!$A:$H,5,FALSE),VLOOKUP("other",bug_conf_sheet!$A:$H,5,FALSE))</f>
        <v>0</v>
      </c>
      <c r="Q697" s="38">
        <f>IFERROR(VLOOKUP($F697,bug_conf_sheet!$A:$H,6,FALSE),VLOOKUP("other",bug_conf_sheet!$A:$H,6,FALSE))</f>
        <v>0</v>
      </c>
      <c r="R697" s="38">
        <f>IFERROR(VLOOKUP($F697,bug_conf_sheet!$A:$H,7,FALSE),VLOOKUP("other",bug_conf_sheet!$A:$H,7,FALSE))</f>
        <v>0</v>
      </c>
      <c r="S697" s="38">
        <f>IFERROR(VLOOKUP($F697,bug_conf_sheet!$A:$H,8,FALSE),VLOOKUP("other",bug_conf_sheet!$A:$H,8,FALSE))</f>
        <v>1</v>
      </c>
    </row>
    <row r="698" spans="1:19" ht="21" hidden="1" customHeight="1">
      <c r="A698" s="7" t="str">
        <f t="shared" si="61"/>
        <v>1885467</v>
      </c>
      <c r="B698" s="2" t="str">
        <f t="shared" si="60"/>
        <v>1885</v>
      </c>
      <c r="C698" s="8" t="str">
        <f t="shared" si="62"/>
        <v>5PremiumSS4</v>
      </c>
      <c r="D698" s="8" t="str">
        <f t="shared" ref="D698:D733" si="63">E698&amp;H698&amp;I698</f>
        <v>5PremiumSS4</v>
      </c>
      <c r="E698" s="10">
        <v>5</v>
      </c>
      <c r="F698" s="6">
        <v>467</v>
      </c>
      <c r="G698" s="8" t="str">
        <f>VLOOKUP(F698,[1]characters!$A:$C,3,FALSE)</f>
        <v>報復 モルドレッド</v>
      </c>
      <c r="H698" s="8" t="str">
        <f>VLOOKUP(F698,[1]characters!$A:$J,10,FALSE)</f>
        <v>PremiumSS</v>
      </c>
      <c r="I698" s="8">
        <f>VLOOKUP(F698,[1]characters!$A:$I,9,FALSE)</f>
        <v>4</v>
      </c>
      <c r="J698" s="8" t="str">
        <f>VLOOKUP(F698,[1]characters!$A:$H,8,FALSE)</f>
        <v>blue</v>
      </c>
      <c r="K698" s="8" t="str">
        <f>VLOOKUP(F698,[1]characters!$A:$K,11,FALSE)</f>
        <v>technical</v>
      </c>
      <c r="L698" s="8" t="str">
        <f>VLOOKUP(F698,[1]characters!$A:$M,13,FALSE)</f>
        <v>human</v>
      </c>
      <c r="M698" s="16">
        <f>VLOOKUP(D698,gacha_188_base!A:B,2,FALSE)</f>
        <v>1709</v>
      </c>
      <c r="N698" s="38">
        <f>IFERROR(VLOOKUP($F698,bug_conf_sheet!$A:$H,3,FALSE),VLOOKUP("other",bug_conf_sheet!$A:$H,3,FALSE))</f>
        <v>1</v>
      </c>
      <c r="O698" s="38">
        <f>IFERROR(VLOOKUP($F698,bug_conf_sheet!$A:$H,4,FALSE),VLOOKUP("other",bug_conf_sheet!$A:$H,4,FALSE))</f>
        <v>0</v>
      </c>
      <c r="P698" s="38">
        <f>IFERROR(VLOOKUP($F698,bug_conf_sheet!$A:$H,5,FALSE),VLOOKUP("other",bug_conf_sheet!$A:$H,5,FALSE))</f>
        <v>0</v>
      </c>
      <c r="Q698" s="38">
        <f>IFERROR(VLOOKUP($F698,bug_conf_sheet!$A:$H,6,FALSE),VLOOKUP("other",bug_conf_sheet!$A:$H,6,FALSE))</f>
        <v>0</v>
      </c>
      <c r="R698" s="38">
        <f>IFERROR(VLOOKUP($F698,bug_conf_sheet!$A:$H,7,FALSE),VLOOKUP("other",bug_conf_sheet!$A:$H,7,FALSE))</f>
        <v>0</v>
      </c>
      <c r="S698" s="38">
        <f>IFERROR(VLOOKUP($F698,bug_conf_sheet!$A:$H,8,FALSE),VLOOKUP("other",bug_conf_sheet!$A:$H,8,FALSE))</f>
        <v>1</v>
      </c>
    </row>
    <row r="699" spans="1:19" ht="21" customHeight="1">
      <c r="A699" s="7" t="str">
        <f t="shared" si="61"/>
        <v>1885468</v>
      </c>
      <c r="B699" s="2" t="str">
        <f t="shared" si="60"/>
        <v>1885</v>
      </c>
      <c r="C699" s="8" t="str">
        <f t="shared" si="62"/>
        <v>5PremiumSS5</v>
      </c>
      <c r="D699" s="8" t="str">
        <f t="shared" si="63"/>
        <v>5PremiumSS5</v>
      </c>
      <c r="E699" s="10">
        <v>5</v>
      </c>
      <c r="F699" s="6">
        <v>468</v>
      </c>
      <c r="G699" s="8" t="str">
        <f>VLOOKUP(F699,[1]characters!$A:$C,3,FALSE)</f>
        <v>憎愛の尖鋒 モルドレッド</v>
      </c>
      <c r="H699" s="8" t="str">
        <f>VLOOKUP(F699,[1]characters!$A:$J,10,FALSE)</f>
        <v>PremiumSS</v>
      </c>
      <c r="I699" s="8">
        <f>VLOOKUP(F699,[1]characters!$A:$I,9,FALSE)</f>
        <v>5</v>
      </c>
      <c r="J699" s="8" t="str">
        <f>VLOOKUP(F699,[1]characters!$A:$H,8,FALSE)</f>
        <v>blue</v>
      </c>
      <c r="K699" s="8" t="str">
        <f>VLOOKUP(F699,[1]characters!$A:$K,11,FALSE)</f>
        <v>technical</v>
      </c>
      <c r="L699" s="8" t="str">
        <f>VLOOKUP(F699,[1]characters!$A:$M,13,FALSE)</f>
        <v>human</v>
      </c>
      <c r="M699" s="16">
        <f>VLOOKUP(D699,gacha_188_base!A:B,2,FALSE)</f>
        <v>109</v>
      </c>
      <c r="N699" s="38">
        <f>IFERROR(VLOOKUP($F699,bug_conf_sheet!$A:$H,3,FALSE),VLOOKUP("other",bug_conf_sheet!$A:$H,3,FALSE))</f>
        <v>1</v>
      </c>
      <c r="O699" s="38">
        <f>IFERROR(VLOOKUP($F699,bug_conf_sheet!$A:$H,4,FALSE),VLOOKUP("other",bug_conf_sheet!$A:$H,4,FALSE))</f>
        <v>0</v>
      </c>
      <c r="P699" s="38">
        <f>IFERROR(VLOOKUP($F699,bug_conf_sheet!$A:$H,5,FALSE),VLOOKUP("other",bug_conf_sheet!$A:$H,5,FALSE))</f>
        <v>0</v>
      </c>
      <c r="Q699" s="38">
        <f>IFERROR(VLOOKUP($F699,bug_conf_sheet!$A:$H,6,FALSE),VLOOKUP("other",bug_conf_sheet!$A:$H,6,FALSE))</f>
        <v>0</v>
      </c>
      <c r="R699" s="38">
        <f>IFERROR(VLOOKUP($F699,bug_conf_sheet!$A:$H,7,FALSE),VLOOKUP("other",bug_conf_sheet!$A:$H,7,FALSE))</f>
        <v>0</v>
      </c>
      <c r="S699" s="38">
        <f>IFERROR(VLOOKUP($F699,bug_conf_sheet!$A:$H,8,FALSE),VLOOKUP("other",bug_conf_sheet!$A:$H,8,FALSE))</f>
        <v>1</v>
      </c>
    </row>
    <row r="700" spans="1:19" ht="21" hidden="1" customHeight="1">
      <c r="A700" s="7" t="str">
        <f t="shared" si="61"/>
        <v>1885470</v>
      </c>
      <c r="B700" s="2" t="str">
        <f t="shared" si="60"/>
        <v>1885</v>
      </c>
      <c r="C700" s="8" t="str">
        <f t="shared" si="62"/>
        <v>5PremiumS4</v>
      </c>
      <c r="D700" s="8" t="str">
        <f t="shared" si="63"/>
        <v>5PremiumS4</v>
      </c>
      <c r="E700" s="10">
        <v>5</v>
      </c>
      <c r="F700" s="6">
        <v>470</v>
      </c>
      <c r="G700" s="8" t="str">
        <f>VLOOKUP(F700,[1]characters!$A:$C,3,FALSE)</f>
        <v>純心 トリスタン</v>
      </c>
      <c r="H700" s="8" t="str">
        <f>VLOOKUP(F700,[1]characters!$A:$J,10,FALSE)</f>
        <v>PremiumS</v>
      </c>
      <c r="I700" s="8">
        <f>VLOOKUP(F700,[1]characters!$A:$I,9,FALSE)</f>
        <v>4</v>
      </c>
      <c r="J700" s="8" t="str">
        <f>VLOOKUP(F700,[1]characters!$A:$H,8,FALSE)</f>
        <v>yellow</v>
      </c>
      <c r="K700" s="8" t="str">
        <f>VLOOKUP(F700,[1]characters!$A:$K,11,FALSE)</f>
        <v>attack</v>
      </c>
      <c r="L700" s="8" t="str">
        <f>VLOOKUP(F700,[1]characters!$A:$M,13,FALSE)</f>
        <v>human</v>
      </c>
      <c r="M700" s="16">
        <f>VLOOKUP(D700,gacha_188_base!A:B,2,FALSE)</f>
        <v>14805</v>
      </c>
      <c r="N700" s="38">
        <f>IFERROR(VLOOKUP($F700,bug_conf_sheet!$A:$H,3,FALSE),VLOOKUP("other",bug_conf_sheet!$A:$H,3,FALSE))</f>
        <v>1</v>
      </c>
      <c r="O700" s="38">
        <f>IFERROR(VLOOKUP($F700,bug_conf_sheet!$A:$H,4,FALSE),VLOOKUP("other",bug_conf_sheet!$A:$H,4,FALSE))</f>
        <v>0</v>
      </c>
      <c r="P700" s="38">
        <f>IFERROR(VLOOKUP($F700,bug_conf_sheet!$A:$H,5,FALSE),VLOOKUP("other",bug_conf_sheet!$A:$H,5,FALSE))</f>
        <v>0</v>
      </c>
      <c r="Q700" s="38">
        <f>IFERROR(VLOOKUP($F700,bug_conf_sheet!$A:$H,6,FALSE),VLOOKUP("other",bug_conf_sheet!$A:$H,6,FALSE))</f>
        <v>0</v>
      </c>
      <c r="R700" s="38">
        <f>IFERROR(VLOOKUP($F700,bug_conf_sheet!$A:$H,7,FALSE),VLOOKUP("other",bug_conf_sheet!$A:$H,7,FALSE))</f>
        <v>0</v>
      </c>
      <c r="S700" s="38">
        <f>IFERROR(VLOOKUP($F700,bug_conf_sheet!$A:$H,8,FALSE),VLOOKUP("other",bug_conf_sheet!$A:$H,8,FALSE))</f>
        <v>1</v>
      </c>
    </row>
    <row r="701" spans="1:19" ht="21" customHeight="1">
      <c r="A701" s="7" t="str">
        <f t="shared" si="61"/>
        <v>1885471</v>
      </c>
      <c r="B701" s="2" t="str">
        <f t="shared" si="60"/>
        <v>1885</v>
      </c>
      <c r="C701" s="8" t="str">
        <f t="shared" si="62"/>
        <v>5PremiumS5</v>
      </c>
      <c r="D701" s="8" t="str">
        <f t="shared" si="63"/>
        <v>5PremiumS5</v>
      </c>
      <c r="E701" s="10">
        <v>5</v>
      </c>
      <c r="F701" s="6">
        <v>471</v>
      </c>
      <c r="G701" s="8" t="str">
        <f>VLOOKUP(F701,[1]characters!$A:$C,3,FALSE)</f>
        <v>不可避の爆激 トリスタン</v>
      </c>
      <c r="H701" s="8" t="str">
        <f>VLOOKUP(F701,[1]characters!$A:$J,10,FALSE)</f>
        <v>PremiumS</v>
      </c>
      <c r="I701" s="8">
        <f>VLOOKUP(F701,[1]characters!$A:$I,9,FALSE)</f>
        <v>5</v>
      </c>
      <c r="J701" s="8" t="str">
        <f>VLOOKUP(F701,[1]characters!$A:$H,8,FALSE)</f>
        <v>yellow</v>
      </c>
      <c r="K701" s="8" t="str">
        <f>VLOOKUP(F701,[1]characters!$A:$K,11,FALSE)</f>
        <v>attack</v>
      </c>
      <c r="L701" s="8" t="str">
        <f>VLOOKUP(F701,[1]characters!$A:$M,13,FALSE)</f>
        <v>human</v>
      </c>
      <c r="M701" s="16">
        <f>VLOOKUP(D701,gacha_188_base!A:B,2,FALSE)</f>
        <v>945</v>
      </c>
      <c r="N701" s="38">
        <f>IFERROR(VLOOKUP($F701,bug_conf_sheet!$A:$H,3,FALSE),VLOOKUP("other",bug_conf_sheet!$A:$H,3,FALSE))</f>
        <v>1</v>
      </c>
      <c r="O701" s="38">
        <f>IFERROR(VLOOKUP($F701,bug_conf_sheet!$A:$H,4,FALSE),VLOOKUP("other",bug_conf_sheet!$A:$H,4,FALSE))</f>
        <v>0</v>
      </c>
      <c r="P701" s="38">
        <f>IFERROR(VLOOKUP($F701,bug_conf_sheet!$A:$H,5,FALSE),VLOOKUP("other",bug_conf_sheet!$A:$H,5,FALSE))</f>
        <v>0</v>
      </c>
      <c r="Q701" s="38">
        <f>IFERROR(VLOOKUP($F701,bug_conf_sheet!$A:$H,6,FALSE),VLOOKUP("other",bug_conf_sheet!$A:$H,6,FALSE))</f>
        <v>0</v>
      </c>
      <c r="R701" s="38">
        <f>IFERROR(VLOOKUP($F701,bug_conf_sheet!$A:$H,7,FALSE),VLOOKUP("other",bug_conf_sheet!$A:$H,7,FALSE))</f>
        <v>0</v>
      </c>
      <c r="S701" s="38">
        <f>IFERROR(VLOOKUP($F701,bug_conf_sheet!$A:$H,8,FALSE),VLOOKUP("other",bug_conf_sheet!$A:$H,8,FALSE))</f>
        <v>1</v>
      </c>
    </row>
    <row r="702" spans="1:19" ht="21" hidden="1" customHeight="1">
      <c r="A702" s="7" t="str">
        <f t="shared" si="61"/>
        <v>1885474</v>
      </c>
      <c r="B702" s="2" t="str">
        <f t="shared" si="60"/>
        <v>1885</v>
      </c>
      <c r="C702" s="8" t="str">
        <f t="shared" si="62"/>
        <v>5PremiumSS4</v>
      </c>
      <c r="D702" s="8" t="str">
        <f t="shared" si="63"/>
        <v>5PremiumSS4</v>
      </c>
      <c r="E702" s="10">
        <v>5</v>
      </c>
      <c r="F702" s="6">
        <v>474</v>
      </c>
      <c r="G702" s="8" t="str">
        <f>VLOOKUP(F702,[1]characters!$A:$C,3,FALSE)</f>
        <v>キング・ドライグ</v>
      </c>
      <c r="H702" s="8" t="str">
        <f>VLOOKUP(F702,[1]characters!$A:$J,10,FALSE)</f>
        <v>PremiumSS</v>
      </c>
      <c r="I702" s="8">
        <f>VLOOKUP(F702,[1]characters!$A:$I,9,FALSE)</f>
        <v>4</v>
      </c>
      <c r="J702" s="8" t="str">
        <f>VLOOKUP(F702,[1]characters!$A:$H,8,FALSE)</f>
        <v>red</v>
      </c>
      <c r="K702" s="8" t="str">
        <f>VLOOKUP(F702,[1]characters!$A:$K,11,FALSE)</f>
        <v>attack</v>
      </c>
      <c r="L702" s="8" t="str">
        <f>VLOOKUP(F702,[1]characters!$A:$M,13,FALSE)</f>
        <v>dragon</v>
      </c>
      <c r="M702" s="16">
        <f>VLOOKUP(D702,gacha_188_base!A:B,2,FALSE)</f>
        <v>1709</v>
      </c>
      <c r="N702" s="38">
        <f>IFERROR(VLOOKUP($F702,bug_conf_sheet!$A:$H,3,FALSE),VLOOKUP("other",bug_conf_sheet!$A:$H,3,FALSE))</f>
        <v>1</v>
      </c>
      <c r="O702" s="38">
        <f>IFERROR(VLOOKUP($F702,bug_conf_sheet!$A:$H,4,FALSE),VLOOKUP("other",bug_conf_sheet!$A:$H,4,FALSE))</f>
        <v>0</v>
      </c>
      <c r="P702" s="38">
        <f>IFERROR(VLOOKUP($F702,bug_conf_sheet!$A:$H,5,FALSE),VLOOKUP("other",bug_conf_sheet!$A:$H,5,FALSE))</f>
        <v>0</v>
      </c>
      <c r="Q702" s="38">
        <f>IFERROR(VLOOKUP($F702,bug_conf_sheet!$A:$H,6,FALSE),VLOOKUP("other",bug_conf_sheet!$A:$H,6,FALSE))</f>
        <v>0</v>
      </c>
      <c r="R702" s="38">
        <f>IFERROR(VLOOKUP($F702,bug_conf_sheet!$A:$H,7,FALSE),VLOOKUP("other",bug_conf_sheet!$A:$H,7,FALSE))</f>
        <v>0</v>
      </c>
      <c r="S702" s="38">
        <f>IFERROR(VLOOKUP($F702,bug_conf_sheet!$A:$H,8,FALSE),VLOOKUP("other",bug_conf_sheet!$A:$H,8,FALSE))</f>
        <v>1</v>
      </c>
    </row>
    <row r="703" spans="1:19" ht="21" customHeight="1">
      <c r="A703" s="7" t="str">
        <f t="shared" si="61"/>
        <v>1885475</v>
      </c>
      <c r="B703" s="2" t="str">
        <f t="shared" si="60"/>
        <v>1885</v>
      </c>
      <c r="C703" s="8" t="str">
        <f t="shared" si="62"/>
        <v>5PremiumSS5</v>
      </c>
      <c r="D703" s="8" t="str">
        <f t="shared" si="63"/>
        <v>5PremiumSS5</v>
      </c>
      <c r="E703" s="10">
        <v>5</v>
      </c>
      <c r="F703" s="6">
        <v>475</v>
      </c>
      <c r="G703" s="8" t="str">
        <f>VLOOKUP(F703,[1]characters!$A:$C,3,FALSE)</f>
        <v>緋王 キング・ドライグ</v>
      </c>
      <c r="H703" s="8" t="str">
        <f>VLOOKUP(F703,[1]characters!$A:$J,10,FALSE)</f>
        <v>PremiumSS</v>
      </c>
      <c r="I703" s="8">
        <f>VLOOKUP(F703,[1]characters!$A:$I,9,FALSE)</f>
        <v>5</v>
      </c>
      <c r="J703" s="8" t="str">
        <f>VLOOKUP(F703,[1]characters!$A:$H,8,FALSE)</f>
        <v>red</v>
      </c>
      <c r="K703" s="8" t="str">
        <f>VLOOKUP(F703,[1]characters!$A:$K,11,FALSE)</f>
        <v>attack</v>
      </c>
      <c r="L703" s="8" t="str">
        <f>VLOOKUP(F703,[1]characters!$A:$M,13,FALSE)</f>
        <v>dragon</v>
      </c>
      <c r="M703" s="16">
        <f>VLOOKUP(D703,gacha_188_base!A:B,2,FALSE)</f>
        <v>109</v>
      </c>
      <c r="N703" s="38">
        <f>IFERROR(VLOOKUP($F703,bug_conf_sheet!$A:$H,3,FALSE),VLOOKUP("other",bug_conf_sheet!$A:$H,3,FALSE))</f>
        <v>1</v>
      </c>
      <c r="O703" s="38">
        <f>IFERROR(VLOOKUP($F703,bug_conf_sheet!$A:$H,4,FALSE),VLOOKUP("other",bug_conf_sheet!$A:$H,4,FALSE))</f>
        <v>0</v>
      </c>
      <c r="P703" s="38">
        <f>IFERROR(VLOOKUP($F703,bug_conf_sheet!$A:$H,5,FALSE),VLOOKUP("other",bug_conf_sheet!$A:$H,5,FALSE))</f>
        <v>0</v>
      </c>
      <c r="Q703" s="38">
        <f>IFERROR(VLOOKUP($F703,bug_conf_sheet!$A:$H,6,FALSE),VLOOKUP("other",bug_conf_sheet!$A:$H,6,FALSE))</f>
        <v>0</v>
      </c>
      <c r="R703" s="38">
        <f>IFERROR(VLOOKUP($F703,bug_conf_sheet!$A:$H,7,FALSE),VLOOKUP("other",bug_conf_sheet!$A:$H,7,FALSE))</f>
        <v>0</v>
      </c>
      <c r="S703" s="38">
        <f>IFERROR(VLOOKUP($F703,bug_conf_sheet!$A:$H,8,FALSE),VLOOKUP("other",bug_conf_sheet!$A:$H,8,FALSE))</f>
        <v>1</v>
      </c>
    </row>
    <row r="704" spans="1:19" ht="21" hidden="1" customHeight="1">
      <c r="A704" s="7" t="str">
        <f t="shared" si="61"/>
        <v>1885477</v>
      </c>
      <c r="B704" s="2" t="str">
        <f t="shared" si="60"/>
        <v>1885</v>
      </c>
      <c r="C704" s="8" t="str">
        <f t="shared" si="62"/>
        <v>5PremiumS4</v>
      </c>
      <c r="D704" s="8" t="str">
        <f t="shared" si="63"/>
        <v>5PremiumS4</v>
      </c>
      <c r="E704" s="10">
        <v>5</v>
      </c>
      <c r="F704" s="6">
        <v>477</v>
      </c>
      <c r="G704" s="8" t="str">
        <f>VLOOKUP(F704,[1]characters!$A:$C,3,FALSE)</f>
        <v>愛羽妖精 ファータ</v>
      </c>
      <c r="H704" s="8" t="str">
        <f>VLOOKUP(F704,[1]characters!$A:$J,10,FALSE)</f>
        <v>PremiumS</v>
      </c>
      <c r="I704" s="8">
        <f>VLOOKUP(F704,[1]characters!$A:$I,9,FALSE)</f>
        <v>4</v>
      </c>
      <c r="J704" s="8" t="str">
        <f>VLOOKUP(F704,[1]characters!$A:$H,8,FALSE)</f>
        <v>green</v>
      </c>
      <c r="K704" s="8" t="str">
        <f>VLOOKUP(F704,[1]characters!$A:$K,11,FALSE)</f>
        <v>heal</v>
      </c>
      <c r="L704" s="8" t="str">
        <f>VLOOKUP(F704,[1]characters!$A:$M,13,FALSE)</f>
        <v>unknown</v>
      </c>
      <c r="M704" s="16">
        <f>VLOOKUP(D704,gacha_188_base!A:B,2,FALSE)</f>
        <v>14805</v>
      </c>
      <c r="N704" s="38">
        <f>IFERROR(VLOOKUP($F704,bug_conf_sheet!$A:$H,3,FALSE),VLOOKUP("other",bug_conf_sheet!$A:$H,3,FALSE))</f>
        <v>1</v>
      </c>
      <c r="O704" s="38">
        <f>IFERROR(VLOOKUP($F704,bug_conf_sheet!$A:$H,4,FALSE),VLOOKUP("other",bug_conf_sheet!$A:$H,4,FALSE))</f>
        <v>0</v>
      </c>
      <c r="P704" s="38">
        <f>IFERROR(VLOOKUP($F704,bug_conf_sheet!$A:$H,5,FALSE),VLOOKUP("other",bug_conf_sheet!$A:$H,5,FALSE))</f>
        <v>0</v>
      </c>
      <c r="Q704" s="38">
        <f>IFERROR(VLOOKUP($F704,bug_conf_sheet!$A:$H,6,FALSE),VLOOKUP("other",bug_conf_sheet!$A:$H,6,FALSE))</f>
        <v>0</v>
      </c>
      <c r="R704" s="38">
        <f>IFERROR(VLOOKUP($F704,bug_conf_sheet!$A:$H,7,FALSE),VLOOKUP("other",bug_conf_sheet!$A:$H,7,FALSE))</f>
        <v>0</v>
      </c>
      <c r="S704" s="38">
        <f>IFERROR(VLOOKUP($F704,bug_conf_sheet!$A:$H,8,FALSE),VLOOKUP("other",bug_conf_sheet!$A:$H,8,FALSE))</f>
        <v>1</v>
      </c>
    </row>
    <row r="705" spans="1:19" ht="21" customHeight="1">
      <c r="A705" s="7" t="str">
        <f t="shared" si="61"/>
        <v>1885478</v>
      </c>
      <c r="B705" s="2" t="str">
        <f t="shared" si="60"/>
        <v>1885</v>
      </c>
      <c r="C705" s="8" t="str">
        <f t="shared" si="62"/>
        <v>5PremiumS5</v>
      </c>
      <c r="D705" s="8" t="str">
        <f t="shared" si="63"/>
        <v>5PremiumS5</v>
      </c>
      <c r="E705" s="10">
        <v>5</v>
      </c>
      <c r="F705" s="6">
        <v>478</v>
      </c>
      <c r="G705" s="8" t="str">
        <f>VLOOKUP(F705,[1]characters!$A:$C,3,FALSE)</f>
        <v>時計仕掛けの愛羽妖精 ファータ</v>
      </c>
      <c r="H705" s="8" t="str">
        <f>VLOOKUP(F705,[1]characters!$A:$J,10,FALSE)</f>
        <v>PremiumS</v>
      </c>
      <c r="I705" s="8">
        <f>VLOOKUP(F705,[1]characters!$A:$I,9,FALSE)</f>
        <v>5</v>
      </c>
      <c r="J705" s="8" t="str">
        <f>VLOOKUP(F705,[1]characters!$A:$H,8,FALSE)</f>
        <v>green</v>
      </c>
      <c r="K705" s="8" t="str">
        <f>VLOOKUP(F705,[1]characters!$A:$K,11,FALSE)</f>
        <v>heal</v>
      </c>
      <c r="L705" s="8" t="str">
        <f>VLOOKUP(F705,[1]characters!$A:$M,13,FALSE)</f>
        <v>unknown</v>
      </c>
      <c r="M705" s="16">
        <f>VLOOKUP(D705,gacha_188_base!A:B,2,FALSE)</f>
        <v>945</v>
      </c>
      <c r="N705" s="38">
        <f>IFERROR(VLOOKUP($F705,bug_conf_sheet!$A:$H,3,FALSE),VLOOKUP("other",bug_conf_sheet!$A:$H,3,FALSE))</f>
        <v>1</v>
      </c>
      <c r="O705" s="38">
        <f>IFERROR(VLOOKUP($F705,bug_conf_sheet!$A:$H,4,FALSE),VLOOKUP("other",bug_conf_sheet!$A:$H,4,FALSE))</f>
        <v>0</v>
      </c>
      <c r="P705" s="38">
        <f>IFERROR(VLOOKUP($F705,bug_conf_sheet!$A:$H,5,FALSE),VLOOKUP("other",bug_conf_sheet!$A:$H,5,FALSE))</f>
        <v>0</v>
      </c>
      <c r="Q705" s="38">
        <f>IFERROR(VLOOKUP($F705,bug_conf_sheet!$A:$H,6,FALSE),VLOOKUP("other",bug_conf_sheet!$A:$H,6,FALSE))</f>
        <v>0</v>
      </c>
      <c r="R705" s="38">
        <f>IFERROR(VLOOKUP($F705,bug_conf_sheet!$A:$H,7,FALSE),VLOOKUP("other",bug_conf_sheet!$A:$H,7,FALSE))</f>
        <v>0</v>
      </c>
      <c r="S705" s="38">
        <f>IFERROR(VLOOKUP($F705,bug_conf_sheet!$A:$H,8,FALSE),VLOOKUP("other",bug_conf_sheet!$A:$H,8,FALSE))</f>
        <v>1</v>
      </c>
    </row>
    <row r="706" spans="1:19" ht="21" hidden="1" customHeight="1">
      <c r="A706" s="7" t="str">
        <f t="shared" si="61"/>
        <v>1885479</v>
      </c>
      <c r="B706" s="2" t="str">
        <f t="shared" si="60"/>
        <v>1885</v>
      </c>
      <c r="C706" s="8" t="str">
        <f t="shared" si="62"/>
        <v>5PremiumSS4</v>
      </c>
      <c r="D706" s="8" t="str">
        <f t="shared" si="63"/>
        <v>5PremiumSS4</v>
      </c>
      <c r="E706" s="10">
        <v>5</v>
      </c>
      <c r="F706" s="6">
        <v>479</v>
      </c>
      <c r="G706" s="8" t="str">
        <f>VLOOKUP(F706,[1]characters!$A:$C,3,FALSE)</f>
        <v>フール</v>
      </c>
      <c r="H706" s="8" t="str">
        <f>VLOOKUP(F706,[1]characters!$A:$J,10,FALSE)</f>
        <v>PremiumSS</v>
      </c>
      <c r="I706" s="8">
        <f>VLOOKUP(F706,[1]characters!$A:$I,9,FALSE)</f>
        <v>4</v>
      </c>
      <c r="J706" s="8" t="str">
        <f>VLOOKUP(F706,[1]characters!$A:$H,8,FALSE)</f>
        <v>blue</v>
      </c>
      <c r="K706" s="8" t="str">
        <f>VLOOKUP(F706,[1]characters!$A:$K,11,FALSE)</f>
        <v>technical</v>
      </c>
      <c r="L706" s="8" t="str">
        <f>VLOOKUP(F706,[1]characters!$A:$M,13,FALSE)</f>
        <v>god</v>
      </c>
      <c r="M706" s="16">
        <f>VLOOKUP(D706,gacha_188_base!A:B,2,FALSE)</f>
        <v>1709</v>
      </c>
      <c r="N706" s="38">
        <f>IFERROR(VLOOKUP($F706,bug_conf_sheet!$A:$H,3,FALSE),VLOOKUP("other",bug_conf_sheet!$A:$H,3,FALSE))</f>
        <v>1</v>
      </c>
      <c r="O706" s="38">
        <f>IFERROR(VLOOKUP($F706,bug_conf_sheet!$A:$H,4,FALSE),VLOOKUP("other",bug_conf_sheet!$A:$H,4,FALSE))</f>
        <v>0</v>
      </c>
      <c r="P706" s="38">
        <f>IFERROR(VLOOKUP($F706,bug_conf_sheet!$A:$H,5,FALSE),VLOOKUP("other",bug_conf_sheet!$A:$H,5,FALSE))</f>
        <v>0</v>
      </c>
      <c r="Q706" s="38">
        <f>IFERROR(VLOOKUP($F706,bug_conf_sheet!$A:$H,6,FALSE),VLOOKUP("other",bug_conf_sheet!$A:$H,6,FALSE))</f>
        <v>0</v>
      </c>
      <c r="R706" s="38">
        <f>IFERROR(VLOOKUP($F706,bug_conf_sheet!$A:$H,7,FALSE),VLOOKUP("other",bug_conf_sheet!$A:$H,7,FALSE))</f>
        <v>0</v>
      </c>
      <c r="S706" s="38">
        <f>IFERROR(VLOOKUP($F706,bug_conf_sheet!$A:$H,8,FALSE),VLOOKUP("other",bug_conf_sheet!$A:$H,8,FALSE))</f>
        <v>1</v>
      </c>
    </row>
    <row r="707" spans="1:19" ht="21" customHeight="1">
      <c r="A707" s="7" t="str">
        <f t="shared" si="61"/>
        <v>1885480</v>
      </c>
      <c r="B707" s="2" t="str">
        <f t="shared" ref="B707:B770" si="64">188&amp;E707</f>
        <v>1885</v>
      </c>
      <c r="C707" s="8" t="str">
        <f t="shared" si="62"/>
        <v>5PremiumSS5</v>
      </c>
      <c r="D707" s="8" t="str">
        <f t="shared" si="63"/>
        <v>5PremiumSS5</v>
      </c>
      <c r="E707" s="10">
        <v>5</v>
      </c>
      <c r="F707" s="6">
        <v>480</v>
      </c>
      <c r="G707" s="8" t="str">
        <f>VLOOKUP(F707,[1]characters!$A:$C,3,FALSE)</f>
        <v>夢幻の愚者フール</v>
      </c>
      <c r="H707" s="8" t="str">
        <f>VLOOKUP(F707,[1]characters!$A:$J,10,FALSE)</f>
        <v>PremiumSS</v>
      </c>
      <c r="I707" s="8">
        <f>VLOOKUP(F707,[1]characters!$A:$I,9,FALSE)</f>
        <v>5</v>
      </c>
      <c r="J707" s="8" t="str">
        <f>VLOOKUP(F707,[1]characters!$A:$H,8,FALSE)</f>
        <v>blue</v>
      </c>
      <c r="K707" s="8" t="str">
        <f>VLOOKUP(F707,[1]characters!$A:$K,11,FALSE)</f>
        <v>technical</v>
      </c>
      <c r="L707" s="8" t="str">
        <f>VLOOKUP(F707,[1]characters!$A:$M,13,FALSE)</f>
        <v>god</v>
      </c>
      <c r="M707" s="16">
        <f>VLOOKUP(D707,gacha_188_base!A:B,2,FALSE)</f>
        <v>109</v>
      </c>
      <c r="N707" s="38">
        <f>IFERROR(VLOOKUP($F707,bug_conf_sheet!$A:$H,3,FALSE),VLOOKUP("other",bug_conf_sheet!$A:$H,3,FALSE))</f>
        <v>1</v>
      </c>
      <c r="O707" s="38">
        <f>IFERROR(VLOOKUP($F707,bug_conf_sheet!$A:$H,4,FALSE),VLOOKUP("other",bug_conf_sheet!$A:$H,4,FALSE))</f>
        <v>0</v>
      </c>
      <c r="P707" s="38">
        <f>IFERROR(VLOOKUP($F707,bug_conf_sheet!$A:$H,5,FALSE),VLOOKUP("other",bug_conf_sheet!$A:$H,5,FALSE))</f>
        <v>0</v>
      </c>
      <c r="Q707" s="38">
        <f>IFERROR(VLOOKUP($F707,bug_conf_sheet!$A:$H,6,FALSE),VLOOKUP("other",bug_conf_sheet!$A:$H,6,FALSE))</f>
        <v>0</v>
      </c>
      <c r="R707" s="38">
        <f>IFERROR(VLOOKUP($F707,bug_conf_sheet!$A:$H,7,FALSE),VLOOKUP("other",bug_conf_sheet!$A:$H,7,FALSE))</f>
        <v>0</v>
      </c>
      <c r="S707" s="38">
        <f>IFERROR(VLOOKUP($F707,bug_conf_sheet!$A:$H,8,FALSE),VLOOKUP("other",bug_conf_sheet!$A:$H,8,FALSE))</f>
        <v>1</v>
      </c>
    </row>
    <row r="708" spans="1:19" ht="21" hidden="1" customHeight="1">
      <c r="A708" s="7" t="str">
        <f t="shared" si="61"/>
        <v>1885482</v>
      </c>
      <c r="B708" s="2" t="str">
        <f t="shared" si="64"/>
        <v>1885</v>
      </c>
      <c r="C708" s="8" t="str">
        <f t="shared" si="62"/>
        <v>5PremiumS4</v>
      </c>
      <c r="D708" s="8" t="str">
        <f t="shared" si="63"/>
        <v>5PremiumS4</v>
      </c>
      <c r="E708" s="10">
        <v>5</v>
      </c>
      <c r="F708" s="6">
        <v>482</v>
      </c>
      <c r="G708" s="8" t="str">
        <f>VLOOKUP(F708,[1]characters!$A:$C,3,FALSE)</f>
        <v>魁僧 沢庵宗彭</v>
      </c>
      <c r="H708" s="8" t="str">
        <f>VLOOKUP(F708,[1]characters!$A:$J,10,FALSE)</f>
        <v>PremiumS</v>
      </c>
      <c r="I708" s="8">
        <f>VLOOKUP(F708,[1]characters!$A:$I,9,FALSE)</f>
        <v>4</v>
      </c>
      <c r="J708" s="8" t="str">
        <f>VLOOKUP(F708,[1]characters!$A:$H,8,FALSE)</f>
        <v>yellow</v>
      </c>
      <c r="K708" s="8" t="str">
        <f>VLOOKUP(F708,[1]characters!$A:$K,11,FALSE)</f>
        <v>hp</v>
      </c>
      <c r="L708" s="8" t="str">
        <f>VLOOKUP(F708,[1]characters!$A:$M,13,FALSE)</f>
        <v>human</v>
      </c>
      <c r="M708" s="16">
        <f>VLOOKUP(D708,gacha_188_base!A:B,2,FALSE)</f>
        <v>14805</v>
      </c>
      <c r="N708" s="38">
        <f>IFERROR(VLOOKUP($F708,bug_conf_sheet!$A:$H,3,FALSE),VLOOKUP("other",bug_conf_sheet!$A:$H,3,FALSE))</f>
        <v>1</v>
      </c>
      <c r="O708" s="38">
        <f>IFERROR(VLOOKUP($F708,bug_conf_sheet!$A:$H,4,FALSE),VLOOKUP("other",bug_conf_sheet!$A:$H,4,FALSE))</f>
        <v>0</v>
      </c>
      <c r="P708" s="38">
        <f>IFERROR(VLOOKUP($F708,bug_conf_sheet!$A:$H,5,FALSE),VLOOKUP("other",bug_conf_sheet!$A:$H,5,FALSE))</f>
        <v>0</v>
      </c>
      <c r="Q708" s="38">
        <f>IFERROR(VLOOKUP($F708,bug_conf_sheet!$A:$H,6,FALSE),VLOOKUP("other",bug_conf_sheet!$A:$H,6,FALSE))</f>
        <v>0</v>
      </c>
      <c r="R708" s="38">
        <f>IFERROR(VLOOKUP($F708,bug_conf_sheet!$A:$H,7,FALSE),VLOOKUP("other",bug_conf_sheet!$A:$H,7,FALSE))</f>
        <v>0</v>
      </c>
      <c r="S708" s="38">
        <f>IFERROR(VLOOKUP($F708,bug_conf_sheet!$A:$H,8,FALSE),VLOOKUP("other",bug_conf_sheet!$A:$H,8,FALSE))</f>
        <v>1</v>
      </c>
    </row>
    <row r="709" spans="1:19" ht="21" customHeight="1">
      <c r="A709" s="7" t="str">
        <f t="shared" si="61"/>
        <v>1885483</v>
      </c>
      <c r="B709" s="2" t="str">
        <f t="shared" si="64"/>
        <v>1885</v>
      </c>
      <c r="C709" s="8" t="str">
        <f t="shared" si="62"/>
        <v>5PremiumS5</v>
      </c>
      <c r="D709" s="8" t="str">
        <f t="shared" si="63"/>
        <v>5PremiumS5</v>
      </c>
      <c r="E709" s="10">
        <v>5</v>
      </c>
      <c r="F709" s="6">
        <v>483</v>
      </c>
      <c r="G709" s="8" t="str">
        <f>VLOOKUP(F709,[1]characters!$A:$C,3,FALSE)</f>
        <v xml:space="preserve">命経死遂 沢庵宗彭 </v>
      </c>
      <c r="H709" s="8" t="str">
        <f>VLOOKUP(F709,[1]characters!$A:$J,10,FALSE)</f>
        <v>PremiumS</v>
      </c>
      <c r="I709" s="8">
        <f>VLOOKUP(F709,[1]characters!$A:$I,9,FALSE)</f>
        <v>5</v>
      </c>
      <c r="J709" s="8" t="str">
        <f>VLOOKUP(F709,[1]characters!$A:$H,8,FALSE)</f>
        <v>yellow</v>
      </c>
      <c r="K709" s="8" t="str">
        <f>VLOOKUP(F709,[1]characters!$A:$K,11,FALSE)</f>
        <v>hp</v>
      </c>
      <c r="L709" s="8" t="str">
        <f>VLOOKUP(F709,[1]characters!$A:$M,13,FALSE)</f>
        <v>human</v>
      </c>
      <c r="M709" s="16">
        <f>VLOOKUP(D709,gacha_188_base!A:B,2,FALSE)</f>
        <v>945</v>
      </c>
      <c r="N709" s="38">
        <f>IFERROR(VLOOKUP($F709,bug_conf_sheet!$A:$H,3,FALSE),VLOOKUP("other",bug_conf_sheet!$A:$H,3,FALSE))</f>
        <v>1</v>
      </c>
      <c r="O709" s="38">
        <f>IFERROR(VLOOKUP($F709,bug_conf_sheet!$A:$H,4,FALSE),VLOOKUP("other",bug_conf_sheet!$A:$H,4,FALSE))</f>
        <v>0</v>
      </c>
      <c r="P709" s="38">
        <f>IFERROR(VLOOKUP($F709,bug_conf_sheet!$A:$H,5,FALSE),VLOOKUP("other",bug_conf_sheet!$A:$H,5,FALSE))</f>
        <v>0</v>
      </c>
      <c r="Q709" s="38">
        <f>IFERROR(VLOOKUP($F709,bug_conf_sheet!$A:$H,6,FALSE),VLOOKUP("other",bug_conf_sheet!$A:$H,6,FALSE))</f>
        <v>0</v>
      </c>
      <c r="R709" s="38">
        <f>IFERROR(VLOOKUP($F709,bug_conf_sheet!$A:$H,7,FALSE),VLOOKUP("other",bug_conf_sheet!$A:$H,7,FALSE))</f>
        <v>0</v>
      </c>
      <c r="S709" s="38">
        <f>IFERROR(VLOOKUP($F709,bug_conf_sheet!$A:$H,8,FALSE),VLOOKUP("other",bug_conf_sheet!$A:$H,8,FALSE))</f>
        <v>1</v>
      </c>
    </row>
    <row r="710" spans="1:19" ht="21" hidden="1" customHeight="1">
      <c r="A710" s="7" t="str">
        <f t="shared" si="61"/>
        <v>1885492</v>
      </c>
      <c r="B710" s="2" t="str">
        <f t="shared" si="64"/>
        <v>1885</v>
      </c>
      <c r="C710" s="8" t="str">
        <f t="shared" si="62"/>
        <v>5PremiumSS4</v>
      </c>
      <c r="D710" s="8" t="str">
        <f t="shared" si="63"/>
        <v>5PremiumSS4</v>
      </c>
      <c r="E710" s="10">
        <v>5</v>
      </c>
      <c r="F710" s="6">
        <v>492</v>
      </c>
      <c r="G710" s="8" t="str">
        <f>VLOOKUP(F710,[1]characters!$A:$C,3,FALSE)</f>
        <v>ブートレグ・ペロー</v>
      </c>
      <c r="H710" s="8" t="str">
        <f>VLOOKUP(F710,[1]characters!$A:$J,10,FALSE)</f>
        <v>PremiumSS</v>
      </c>
      <c r="I710" s="8">
        <f>VLOOKUP(F710,[1]characters!$A:$I,9,FALSE)</f>
        <v>4</v>
      </c>
      <c r="J710" s="8" t="str">
        <f>VLOOKUP(F710,[1]characters!$A:$H,8,FALSE)</f>
        <v>red</v>
      </c>
      <c r="K710" s="8" t="str">
        <f>VLOOKUP(F710,[1]characters!$A:$K,11,FALSE)</f>
        <v>hp</v>
      </c>
      <c r="L710" s="8" t="str">
        <f>VLOOKUP(F710,[1]characters!$A:$M,13,FALSE)</f>
        <v>animal</v>
      </c>
      <c r="M710" s="16">
        <f>VLOOKUP(D710,gacha_188_base!A:B,2,FALSE)</f>
        <v>1709</v>
      </c>
      <c r="N710" s="38">
        <f>IFERROR(VLOOKUP($F710,bug_conf_sheet!$A:$H,3,FALSE),VLOOKUP("other",bug_conf_sheet!$A:$H,3,FALSE))</f>
        <v>1</v>
      </c>
      <c r="O710" s="38">
        <f>IFERROR(VLOOKUP($F710,bug_conf_sheet!$A:$H,4,FALSE),VLOOKUP("other",bug_conf_sheet!$A:$H,4,FALSE))</f>
        <v>0</v>
      </c>
      <c r="P710" s="38">
        <f>IFERROR(VLOOKUP($F710,bug_conf_sheet!$A:$H,5,FALSE),VLOOKUP("other",bug_conf_sheet!$A:$H,5,FALSE))</f>
        <v>0</v>
      </c>
      <c r="Q710" s="38">
        <f>IFERROR(VLOOKUP($F710,bug_conf_sheet!$A:$H,6,FALSE),VLOOKUP("other",bug_conf_sheet!$A:$H,6,FALSE))</f>
        <v>0</v>
      </c>
      <c r="R710" s="38">
        <f>IFERROR(VLOOKUP($F710,bug_conf_sheet!$A:$H,7,FALSE),VLOOKUP("other",bug_conf_sheet!$A:$H,7,FALSE))</f>
        <v>0</v>
      </c>
      <c r="S710" s="38">
        <f>IFERROR(VLOOKUP($F710,bug_conf_sheet!$A:$H,8,FALSE),VLOOKUP("other",bug_conf_sheet!$A:$H,8,FALSE))</f>
        <v>1</v>
      </c>
    </row>
    <row r="711" spans="1:19" ht="21" customHeight="1">
      <c r="A711" s="7" t="str">
        <f t="shared" si="61"/>
        <v>1885493</v>
      </c>
      <c r="B711" s="2" t="str">
        <f t="shared" si="64"/>
        <v>1885</v>
      </c>
      <c r="C711" s="8" t="str">
        <f t="shared" si="62"/>
        <v>5PremiumSS5</v>
      </c>
      <c r="D711" s="8" t="str">
        <f t="shared" si="63"/>
        <v>5PremiumSS5</v>
      </c>
      <c r="E711" s="10">
        <v>5</v>
      </c>
      <c r="F711" s="6">
        <v>493</v>
      </c>
      <c r="G711" s="8" t="str">
        <f>VLOOKUP(F711,[1]characters!$A:$C,3,FALSE)</f>
        <v>跋扈の機脚 ブートレグ・ペロー</v>
      </c>
      <c r="H711" s="8" t="str">
        <f>VLOOKUP(F711,[1]characters!$A:$J,10,FALSE)</f>
        <v>PremiumSS</v>
      </c>
      <c r="I711" s="8">
        <f>VLOOKUP(F711,[1]characters!$A:$I,9,FALSE)</f>
        <v>5</v>
      </c>
      <c r="J711" s="8" t="str">
        <f>VLOOKUP(F711,[1]characters!$A:$H,8,FALSE)</f>
        <v>red</v>
      </c>
      <c r="K711" s="8" t="str">
        <f>VLOOKUP(F711,[1]characters!$A:$K,11,FALSE)</f>
        <v>hp</v>
      </c>
      <c r="L711" s="8" t="str">
        <f>VLOOKUP(F711,[1]characters!$A:$M,13,FALSE)</f>
        <v>animal</v>
      </c>
      <c r="M711" s="16">
        <f>VLOOKUP(D711,gacha_188_base!A:B,2,FALSE)</f>
        <v>109</v>
      </c>
      <c r="N711" s="38">
        <f>IFERROR(VLOOKUP($F711,bug_conf_sheet!$A:$H,3,FALSE),VLOOKUP("other",bug_conf_sheet!$A:$H,3,FALSE))</f>
        <v>1</v>
      </c>
      <c r="O711" s="38">
        <f>IFERROR(VLOOKUP($F711,bug_conf_sheet!$A:$H,4,FALSE),VLOOKUP("other",bug_conf_sheet!$A:$H,4,FALSE))</f>
        <v>0</v>
      </c>
      <c r="P711" s="38">
        <f>IFERROR(VLOOKUP($F711,bug_conf_sheet!$A:$H,5,FALSE),VLOOKUP("other",bug_conf_sheet!$A:$H,5,FALSE))</f>
        <v>0</v>
      </c>
      <c r="Q711" s="38">
        <f>IFERROR(VLOOKUP($F711,bug_conf_sheet!$A:$H,6,FALSE),VLOOKUP("other",bug_conf_sheet!$A:$H,6,FALSE))</f>
        <v>0</v>
      </c>
      <c r="R711" s="38">
        <f>IFERROR(VLOOKUP($F711,bug_conf_sheet!$A:$H,7,FALSE),VLOOKUP("other",bug_conf_sheet!$A:$H,7,FALSE))</f>
        <v>0</v>
      </c>
      <c r="S711" s="38">
        <f>IFERROR(VLOOKUP($F711,bug_conf_sheet!$A:$H,8,FALSE),VLOOKUP("other",bug_conf_sheet!$A:$H,8,FALSE))</f>
        <v>1</v>
      </c>
    </row>
    <row r="712" spans="1:19" ht="21" hidden="1" customHeight="1">
      <c r="A712" s="7" t="str">
        <f t="shared" si="61"/>
        <v>1885494</v>
      </c>
      <c r="B712" s="2" t="str">
        <f t="shared" si="64"/>
        <v>1885</v>
      </c>
      <c r="C712" s="8" t="str">
        <f t="shared" si="62"/>
        <v>5PremiumSS4</v>
      </c>
      <c r="D712" s="8" t="str">
        <f t="shared" si="63"/>
        <v>5PremiumSS4</v>
      </c>
      <c r="E712" s="10">
        <v>5</v>
      </c>
      <c r="F712" s="6">
        <v>494</v>
      </c>
      <c r="G712" s="8" t="str">
        <f>VLOOKUP(F712,[1]characters!$A:$C,3,FALSE)</f>
        <v>ハーメルン</v>
      </c>
      <c r="H712" s="8" t="str">
        <f>VLOOKUP(F712,[1]characters!$A:$J,10,FALSE)</f>
        <v>PremiumSS</v>
      </c>
      <c r="I712" s="8">
        <f>VLOOKUP(F712,[1]characters!$A:$I,9,FALSE)</f>
        <v>4</v>
      </c>
      <c r="J712" s="8" t="str">
        <f>VLOOKUP(F712,[1]characters!$A:$H,8,FALSE)</f>
        <v>green</v>
      </c>
      <c r="K712" s="8" t="str">
        <f>VLOOKUP(F712,[1]characters!$A:$K,11,FALSE)</f>
        <v>technical</v>
      </c>
      <c r="L712" s="8" t="str">
        <f>VLOOKUP(F712,[1]characters!$A:$M,13,FALSE)</f>
        <v>human</v>
      </c>
      <c r="M712" s="16">
        <f>VLOOKUP(D712,gacha_188_base!A:B,2,FALSE)</f>
        <v>1709</v>
      </c>
      <c r="N712" s="38">
        <f>IFERROR(VLOOKUP($F712,bug_conf_sheet!$A:$H,3,FALSE),VLOOKUP("other",bug_conf_sheet!$A:$H,3,FALSE))</f>
        <v>1</v>
      </c>
      <c r="O712" s="38">
        <f>IFERROR(VLOOKUP($F712,bug_conf_sheet!$A:$H,4,FALSE),VLOOKUP("other",bug_conf_sheet!$A:$H,4,FALSE))</f>
        <v>0</v>
      </c>
      <c r="P712" s="38">
        <f>IFERROR(VLOOKUP($F712,bug_conf_sheet!$A:$H,5,FALSE),VLOOKUP("other",bug_conf_sheet!$A:$H,5,FALSE))</f>
        <v>0</v>
      </c>
      <c r="Q712" s="38">
        <f>IFERROR(VLOOKUP($F712,bug_conf_sheet!$A:$H,6,FALSE),VLOOKUP("other",bug_conf_sheet!$A:$H,6,FALSE))</f>
        <v>0</v>
      </c>
      <c r="R712" s="38">
        <f>IFERROR(VLOOKUP($F712,bug_conf_sheet!$A:$H,7,FALSE),VLOOKUP("other",bug_conf_sheet!$A:$H,7,FALSE))</f>
        <v>0</v>
      </c>
      <c r="S712" s="38">
        <f>IFERROR(VLOOKUP($F712,bug_conf_sheet!$A:$H,8,FALSE),VLOOKUP("other",bug_conf_sheet!$A:$H,8,FALSE))</f>
        <v>1</v>
      </c>
    </row>
    <row r="713" spans="1:19" ht="21" customHeight="1">
      <c r="A713" s="7" t="str">
        <f t="shared" si="61"/>
        <v>1885495</v>
      </c>
      <c r="B713" s="2" t="str">
        <f t="shared" si="64"/>
        <v>1885</v>
      </c>
      <c r="C713" s="8" t="str">
        <f t="shared" si="62"/>
        <v>5PremiumSS5</v>
      </c>
      <c r="D713" s="8" t="str">
        <f t="shared" si="63"/>
        <v>5PremiumSS5</v>
      </c>
      <c r="E713" s="10">
        <v>5</v>
      </c>
      <c r="F713" s="6">
        <v>495</v>
      </c>
      <c r="G713" s="8" t="str">
        <f>VLOOKUP(F713,[1]characters!$A:$C,3,FALSE)</f>
        <v>鼠災呼ぶ笛音 ハーメルン</v>
      </c>
      <c r="H713" s="8" t="str">
        <f>VLOOKUP(F713,[1]characters!$A:$J,10,FALSE)</f>
        <v>PremiumSS</v>
      </c>
      <c r="I713" s="8">
        <f>VLOOKUP(F713,[1]characters!$A:$I,9,FALSE)</f>
        <v>5</v>
      </c>
      <c r="J713" s="8" t="str">
        <f>VLOOKUP(F713,[1]characters!$A:$H,8,FALSE)</f>
        <v>green</v>
      </c>
      <c r="K713" s="8" t="str">
        <f>VLOOKUP(F713,[1]characters!$A:$K,11,FALSE)</f>
        <v>technical</v>
      </c>
      <c r="L713" s="8" t="str">
        <f>VLOOKUP(F713,[1]characters!$A:$M,13,FALSE)</f>
        <v>human</v>
      </c>
      <c r="M713" s="16">
        <f>VLOOKUP(D713,gacha_188_base!A:B,2,FALSE)</f>
        <v>109</v>
      </c>
      <c r="N713" s="38">
        <f>IFERROR(VLOOKUP($F713,bug_conf_sheet!$A:$H,3,FALSE),VLOOKUP("other",bug_conf_sheet!$A:$H,3,FALSE))</f>
        <v>1</v>
      </c>
      <c r="O713" s="38">
        <f>IFERROR(VLOOKUP($F713,bug_conf_sheet!$A:$H,4,FALSE),VLOOKUP("other",bug_conf_sheet!$A:$H,4,FALSE))</f>
        <v>0</v>
      </c>
      <c r="P713" s="38">
        <f>IFERROR(VLOOKUP($F713,bug_conf_sheet!$A:$H,5,FALSE),VLOOKUP("other",bug_conf_sheet!$A:$H,5,FALSE))</f>
        <v>0</v>
      </c>
      <c r="Q713" s="38">
        <f>IFERROR(VLOOKUP($F713,bug_conf_sheet!$A:$H,6,FALSE),VLOOKUP("other",bug_conf_sheet!$A:$H,6,FALSE))</f>
        <v>0</v>
      </c>
      <c r="R713" s="38">
        <f>IFERROR(VLOOKUP($F713,bug_conf_sheet!$A:$H,7,FALSE),VLOOKUP("other",bug_conf_sheet!$A:$H,7,FALSE))</f>
        <v>0</v>
      </c>
      <c r="S713" s="38">
        <f>IFERROR(VLOOKUP($F713,bug_conf_sheet!$A:$H,8,FALSE),VLOOKUP("other",bug_conf_sheet!$A:$H,8,FALSE))</f>
        <v>1</v>
      </c>
    </row>
    <row r="714" spans="1:19" ht="21" hidden="1" customHeight="1">
      <c r="A714" s="7" t="str">
        <f t="shared" ref="A714:A777" si="65">B714&amp;F714</f>
        <v>1885497</v>
      </c>
      <c r="B714" s="2" t="str">
        <f t="shared" si="64"/>
        <v>1885</v>
      </c>
      <c r="C714" s="8" t="str">
        <f t="shared" ref="C714:C777" si="66">E714&amp;H714&amp;I714</f>
        <v>5PremiumS4</v>
      </c>
      <c r="D714" s="8" t="str">
        <f t="shared" si="63"/>
        <v>5PremiumS4</v>
      </c>
      <c r="E714" s="10">
        <v>5</v>
      </c>
      <c r="F714" s="6">
        <v>497</v>
      </c>
      <c r="G714" s="8" t="str">
        <f>VLOOKUP(F714,[1]characters!$A:$C,3,FALSE)</f>
        <v>偏愛の野獣 エスタブ</v>
      </c>
      <c r="H714" s="8" t="str">
        <f>VLOOKUP(F714,[1]characters!$A:$J,10,FALSE)</f>
        <v>PremiumS</v>
      </c>
      <c r="I714" s="8">
        <f>VLOOKUP(F714,[1]characters!$A:$I,9,FALSE)</f>
        <v>4</v>
      </c>
      <c r="J714" s="8" t="str">
        <f>VLOOKUP(F714,[1]characters!$A:$H,8,FALSE)</f>
        <v>blue</v>
      </c>
      <c r="K714" s="8" t="str">
        <f>VLOOKUP(F714,[1]characters!$A:$K,11,FALSE)</f>
        <v>attack</v>
      </c>
      <c r="L714" s="8" t="str">
        <f>VLOOKUP(F714,[1]characters!$A:$M,13,FALSE)</f>
        <v>human</v>
      </c>
      <c r="M714" s="16">
        <f>VLOOKUP(D714,gacha_188_base!A:B,2,FALSE)</f>
        <v>14805</v>
      </c>
      <c r="N714" s="38">
        <f>IFERROR(VLOOKUP($F714,bug_conf_sheet!$A:$H,3,FALSE),VLOOKUP("other",bug_conf_sheet!$A:$H,3,FALSE))</f>
        <v>1</v>
      </c>
      <c r="O714" s="38">
        <f>IFERROR(VLOOKUP($F714,bug_conf_sheet!$A:$H,4,FALSE),VLOOKUP("other",bug_conf_sheet!$A:$H,4,FALSE))</f>
        <v>0</v>
      </c>
      <c r="P714" s="38">
        <f>IFERROR(VLOOKUP($F714,bug_conf_sheet!$A:$H,5,FALSE),VLOOKUP("other",bug_conf_sheet!$A:$H,5,FALSE))</f>
        <v>0</v>
      </c>
      <c r="Q714" s="38">
        <f>IFERROR(VLOOKUP($F714,bug_conf_sheet!$A:$H,6,FALSE),VLOOKUP("other",bug_conf_sheet!$A:$H,6,FALSE))</f>
        <v>0</v>
      </c>
      <c r="R714" s="38">
        <f>IFERROR(VLOOKUP($F714,bug_conf_sheet!$A:$H,7,FALSE),VLOOKUP("other",bug_conf_sheet!$A:$H,7,FALSE))</f>
        <v>0</v>
      </c>
      <c r="S714" s="38">
        <f>IFERROR(VLOOKUP($F714,bug_conf_sheet!$A:$H,8,FALSE),VLOOKUP("other",bug_conf_sheet!$A:$H,8,FALSE))</f>
        <v>1</v>
      </c>
    </row>
    <row r="715" spans="1:19" ht="21" customHeight="1">
      <c r="A715" s="7" t="str">
        <f t="shared" si="65"/>
        <v>1885498</v>
      </c>
      <c r="B715" s="2" t="str">
        <f t="shared" si="64"/>
        <v>1885</v>
      </c>
      <c r="C715" s="8" t="str">
        <f t="shared" si="66"/>
        <v>5PremiumS5</v>
      </c>
      <c r="D715" s="8" t="str">
        <f t="shared" si="63"/>
        <v>5PremiumS5</v>
      </c>
      <c r="E715" s="10">
        <v>5</v>
      </c>
      <c r="F715" s="6">
        <v>498</v>
      </c>
      <c r="G715" s="8" t="str">
        <f>VLOOKUP(F715,[1]characters!$A:$C,3,FALSE)</f>
        <v>自愛の高魔 エスタブ</v>
      </c>
      <c r="H715" s="8" t="str">
        <f>VLOOKUP(F715,[1]characters!$A:$J,10,FALSE)</f>
        <v>PremiumS</v>
      </c>
      <c r="I715" s="8">
        <f>VLOOKUP(F715,[1]characters!$A:$I,9,FALSE)</f>
        <v>5</v>
      </c>
      <c r="J715" s="8" t="str">
        <f>VLOOKUP(F715,[1]characters!$A:$H,8,FALSE)</f>
        <v>blue</v>
      </c>
      <c r="K715" s="8" t="str">
        <f>VLOOKUP(F715,[1]characters!$A:$K,11,FALSE)</f>
        <v>attack</v>
      </c>
      <c r="L715" s="8" t="str">
        <f>VLOOKUP(F715,[1]characters!$A:$M,13,FALSE)</f>
        <v>human</v>
      </c>
      <c r="M715" s="16">
        <f>VLOOKUP(D715,gacha_188_base!A:B,2,FALSE)</f>
        <v>945</v>
      </c>
      <c r="N715" s="38">
        <f>IFERROR(VLOOKUP($F715,bug_conf_sheet!$A:$H,3,FALSE),VLOOKUP("other",bug_conf_sheet!$A:$H,3,FALSE))</f>
        <v>1</v>
      </c>
      <c r="O715" s="38">
        <f>IFERROR(VLOOKUP($F715,bug_conf_sheet!$A:$H,4,FALSE),VLOOKUP("other",bug_conf_sheet!$A:$H,4,FALSE))</f>
        <v>0</v>
      </c>
      <c r="P715" s="38">
        <f>IFERROR(VLOOKUP($F715,bug_conf_sheet!$A:$H,5,FALSE),VLOOKUP("other",bug_conf_sheet!$A:$H,5,FALSE))</f>
        <v>0</v>
      </c>
      <c r="Q715" s="38">
        <f>IFERROR(VLOOKUP($F715,bug_conf_sheet!$A:$H,6,FALSE),VLOOKUP("other",bug_conf_sheet!$A:$H,6,FALSE))</f>
        <v>0</v>
      </c>
      <c r="R715" s="38">
        <f>IFERROR(VLOOKUP($F715,bug_conf_sheet!$A:$H,7,FALSE),VLOOKUP("other",bug_conf_sheet!$A:$H,7,FALSE))</f>
        <v>0</v>
      </c>
      <c r="S715" s="38">
        <f>IFERROR(VLOOKUP($F715,bug_conf_sheet!$A:$H,8,FALSE),VLOOKUP("other",bug_conf_sheet!$A:$H,8,FALSE))</f>
        <v>1</v>
      </c>
    </row>
    <row r="716" spans="1:19" ht="21" hidden="1" customHeight="1">
      <c r="A716" s="7" t="str">
        <f t="shared" si="65"/>
        <v>1885499</v>
      </c>
      <c r="B716" s="2" t="str">
        <f t="shared" si="64"/>
        <v>1885</v>
      </c>
      <c r="C716" s="8" t="str">
        <f t="shared" si="66"/>
        <v>5PremiumSS4</v>
      </c>
      <c r="D716" s="8" t="str">
        <f t="shared" si="63"/>
        <v>5PremiumSS4</v>
      </c>
      <c r="E716" s="10">
        <v>5</v>
      </c>
      <c r="F716" s="6">
        <v>499</v>
      </c>
      <c r="G716" s="8" t="str">
        <f>VLOOKUP(F716,[1]characters!$A:$C,3,FALSE)</f>
        <v>ラプンツェル</v>
      </c>
      <c r="H716" s="8" t="str">
        <f>VLOOKUP(F716,[1]characters!$A:$J,10,FALSE)</f>
        <v>PremiumSS</v>
      </c>
      <c r="I716" s="8">
        <f>VLOOKUP(F716,[1]characters!$A:$I,9,FALSE)</f>
        <v>4</v>
      </c>
      <c r="J716" s="8" t="str">
        <f>VLOOKUP(F716,[1]characters!$A:$H,8,FALSE)</f>
        <v>yellow</v>
      </c>
      <c r="K716" s="8" t="str">
        <f>VLOOKUP(F716,[1]characters!$A:$K,11,FALSE)</f>
        <v>balance</v>
      </c>
      <c r="L716" s="8" t="str">
        <f>VLOOKUP(F716,[1]characters!$A:$M,13,FALSE)</f>
        <v>human</v>
      </c>
      <c r="M716" s="16">
        <f>VLOOKUP(D716,gacha_188_base!A:B,2,FALSE)</f>
        <v>1709</v>
      </c>
      <c r="N716" s="38">
        <f>IFERROR(VLOOKUP($F716,bug_conf_sheet!$A:$H,3,FALSE),VLOOKUP("other",bug_conf_sheet!$A:$H,3,FALSE))</f>
        <v>1</v>
      </c>
      <c r="O716" s="38">
        <f>IFERROR(VLOOKUP($F716,bug_conf_sheet!$A:$H,4,FALSE),VLOOKUP("other",bug_conf_sheet!$A:$H,4,FALSE))</f>
        <v>0</v>
      </c>
      <c r="P716" s="38">
        <f>IFERROR(VLOOKUP($F716,bug_conf_sheet!$A:$H,5,FALSE),VLOOKUP("other",bug_conf_sheet!$A:$H,5,FALSE))</f>
        <v>0</v>
      </c>
      <c r="Q716" s="38">
        <f>IFERROR(VLOOKUP($F716,bug_conf_sheet!$A:$H,6,FALSE),VLOOKUP("other",bug_conf_sheet!$A:$H,6,FALSE))</f>
        <v>0</v>
      </c>
      <c r="R716" s="38">
        <f>IFERROR(VLOOKUP($F716,bug_conf_sheet!$A:$H,7,FALSE),VLOOKUP("other",bug_conf_sheet!$A:$H,7,FALSE))</f>
        <v>0</v>
      </c>
      <c r="S716" s="38">
        <f>IFERROR(VLOOKUP($F716,bug_conf_sheet!$A:$H,8,FALSE),VLOOKUP("other",bug_conf_sheet!$A:$H,8,FALSE))</f>
        <v>1</v>
      </c>
    </row>
    <row r="717" spans="1:19" ht="21" customHeight="1">
      <c r="A717" s="7" t="str">
        <f t="shared" si="65"/>
        <v>1885500</v>
      </c>
      <c r="B717" s="2" t="str">
        <f t="shared" si="64"/>
        <v>1885</v>
      </c>
      <c r="C717" s="8" t="str">
        <f t="shared" si="66"/>
        <v>5PremiumSS5</v>
      </c>
      <c r="D717" s="8" t="str">
        <f t="shared" si="63"/>
        <v>5PremiumSS5</v>
      </c>
      <c r="E717" s="10">
        <v>5</v>
      </c>
      <c r="F717" s="6">
        <v>500</v>
      </c>
      <c r="G717" s="8" t="str">
        <f>VLOOKUP(F717,[1]characters!$A:$C,3,FALSE)</f>
        <v>脈動の禁髪 ラプンツェル</v>
      </c>
      <c r="H717" s="8" t="str">
        <f>VLOOKUP(F717,[1]characters!$A:$J,10,FALSE)</f>
        <v>PremiumSS</v>
      </c>
      <c r="I717" s="8">
        <f>VLOOKUP(F717,[1]characters!$A:$I,9,FALSE)</f>
        <v>5</v>
      </c>
      <c r="J717" s="8" t="str">
        <f>VLOOKUP(F717,[1]characters!$A:$H,8,FALSE)</f>
        <v>yellow</v>
      </c>
      <c r="K717" s="8" t="str">
        <f>VLOOKUP(F717,[1]characters!$A:$K,11,FALSE)</f>
        <v>balance</v>
      </c>
      <c r="L717" s="8" t="str">
        <f>VLOOKUP(F717,[1]characters!$A:$M,13,FALSE)</f>
        <v>human</v>
      </c>
      <c r="M717" s="16">
        <f>VLOOKUP(D717,gacha_188_base!A:B,2,FALSE)</f>
        <v>109</v>
      </c>
      <c r="N717" s="38">
        <f>IFERROR(VLOOKUP($F717,bug_conf_sheet!$A:$H,3,FALSE),VLOOKUP("other",bug_conf_sheet!$A:$H,3,FALSE))</f>
        <v>1</v>
      </c>
      <c r="O717" s="38">
        <f>IFERROR(VLOOKUP($F717,bug_conf_sheet!$A:$H,4,FALSE),VLOOKUP("other",bug_conf_sheet!$A:$H,4,FALSE))</f>
        <v>0</v>
      </c>
      <c r="P717" s="38">
        <f>IFERROR(VLOOKUP($F717,bug_conf_sheet!$A:$H,5,FALSE),VLOOKUP("other",bug_conf_sheet!$A:$H,5,FALSE))</f>
        <v>0</v>
      </c>
      <c r="Q717" s="38">
        <f>IFERROR(VLOOKUP($F717,bug_conf_sheet!$A:$H,6,FALSE),VLOOKUP("other",bug_conf_sheet!$A:$H,6,FALSE))</f>
        <v>0</v>
      </c>
      <c r="R717" s="38">
        <f>IFERROR(VLOOKUP($F717,bug_conf_sheet!$A:$H,7,FALSE),VLOOKUP("other",bug_conf_sheet!$A:$H,7,FALSE))</f>
        <v>0</v>
      </c>
      <c r="S717" s="38">
        <f>IFERROR(VLOOKUP($F717,bug_conf_sheet!$A:$H,8,FALSE),VLOOKUP("other",bug_conf_sheet!$A:$H,8,FALSE))</f>
        <v>1</v>
      </c>
    </row>
    <row r="718" spans="1:19" ht="21" hidden="1" customHeight="1">
      <c r="A718" s="7" t="str">
        <f t="shared" si="65"/>
        <v>1885586</v>
      </c>
      <c r="B718" s="2" t="str">
        <f t="shared" si="64"/>
        <v>1885</v>
      </c>
      <c r="C718" s="8" t="str">
        <f t="shared" si="66"/>
        <v>5PremiumSS4</v>
      </c>
      <c r="D718" s="8" t="str">
        <f t="shared" si="63"/>
        <v>5PremiumSS4</v>
      </c>
      <c r="E718" s="10">
        <v>5</v>
      </c>
      <c r="F718" s="6">
        <v>586</v>
      </c>
      <c r="G718" s="8" t="str">
        <f>VLOOKUP(F718,[1]characters!$A:$C,3,FALSE)</f>
        <v>ユミル</v>
      </c>
      <c r="H718" s="8" t="str">
        <f>VLOOKUP(F718,[1]characters!$A:$J,10,FALSE)</f>
        <v>PremiumSS</v>
      </c>
      <c r="I718" s="8">
        <f>VLOOKUP(F718,[1]characters!$A:$I,9,FALSE)</f>
        <v>4</v>
      </c>
      <c r="J718" s="8" t="str">
        <f>VLOOKUP(F718,[1]characters!$A:$H,8,FALSE)</f>
        <v>red</v>
      </c>
      <c r="K718" s="8" t="str">
        <f>VLOOKUP(F718,[1]characters!$A:$K,11,FALSE)</f>
        <v>hp</v>
      </c>
      <c r="L718" s="8" t="str">
        <f>VLOOKUP(F718,[1]characters!$A:$M,13,FALSE)</f>
        <v>machine</v>
      </c>
      <c r="M718" s="16">
        <f>VLOOKUP(D718,gacha_188_base!A:B,2,FALSE)</f>
        <v>1709</v>
      </c>
      <c r="N718" s="38">
        <f>IFERROR(VLOOKUP($F718,bug_conf_sheet!$A:$H,3,FALSE),VLOOKUP("other",bug_conf_sheet!$A:$H,3,FALSE))</f>
        <v>1</v>
      </c>
      <c r="O718" s="38">
        <f>IFERROR(VLOOKUP($F718,bug_conf_sheet!$A:$H,4,FALSE),VLOOKUP("other",bug_conf_sheet!$A:$H,4,FALSE))</f>
        <v>0</v>
      </c>
      <c r="P718" s="38">
        <f>IFERROR(VLOOKUP($F718,bug_conf_sheet!$A:$H,5,FALSE),VLOOKUP("other",bug_conf_sheet!$A:$H,5,FALSE))</f>
        <v>0</v>
      </c>
      <c r="Q718" s="38">
        <f>IFERROR(VLOOKUP($F718,bug_conf_sheet!$A:$H,6,FALSE),VLOOKUP("other",bug_conf_sheet!$A:$H,6,FALSE))</f>
        <v>0</v>
      </c>
      <c r="R718" s="38">
        <f>IFERROR(VLOOKUP($F718,bug_conf_sheet!$A:$H,7,FALSE),VLOOKUP("other",bug_conf_sheet!$A:$H,7,FALSE))</f>
        <v>0</v>
      </c>
      <c r="S718" s="38">
        <f>IFERROR(VLOOKUP($F718,bug_conf_sheet!$A:$H,8,FALSE),VLOOKUP("other",bug_conf_sheet!$A:$H,8,FALSE))</f>
        <v>1</v>
      </c>
    </row>
    <row r="719" spans="1:19" ht="21" customHeight="1">
      <c r="A719" s="7" t="str">
        <f t="shared" si="65"/>
        <v>1885587</v>
      </c>
      <c r="B719" s="2" t="str">
        <f t="shared" si="64"/>
        <v>1885</v>
      </c>
      <c r="C719" s="8" t="str">
        <f t="shared" si="66"/>
        <v>5PremiumSS5</v>
      </c>
      <c r="D719" s="8" t="str">
        <f t="shared" si="63"/>
        <v>5PremiumSS5</v>
      </c>
      <c r="E719" s="10">
        <v>5</v>
      </c>
      <c r="F719" s="6">
        <v>587</v>
      </c>
      <c r="G719" s="8" t="str">
        <f>VLOOKUP(F719,[1]characters!$A:$C,3,FALSE)</f>
        <v>原初の煉鋼巨刃 ユミル</v>
      </c>
      <c r="H719" s="8" t="str">
        <f>VLOOKUP(F719,[1]characters!$A:$J,10,FALSE)</f>
        <v>PremiumSS</v>
      </c>
      <c r="I719" s="8">
        <f>VLOOKUP(F719,[1]characters!$A:$I,9,FALSE)</f>
        <v>5</v>
      </c>
      <c r="J719" s="8" t="str">
        <f>VLOOKUP(F719,[1]characters!$A:$H,8,FALSE)</f>
        <v>red</v>
      </c>
      <c r="K719" s="8" t="str">
        <f>VLOOKUP(F719,[1]characters!$A:$K,11,FALSE)</f>
        <v>hp</v>
      </c>
      <c r="L719" s="8" t="str">
        <f>VLOOKUP(F719,[1]characters!$A:$M,13,FALSE)</f>
        <v>machine</v>
      </c>
      <c r="M719" s="16">
        <f>VLOOKUP(D719,gacha_188_base!A:B,2,FALSE)</f>
        <v>109</v>
      </c>
      <c r="N719" s="38">
        <f>IFERROR(VLOOKUP($F719,bug_conf_sheet!$A:$H,3,FALSE),VLOOKUP("other",bug_conf_sheet!$A:$H,3,FALSE))</f>
        <v>1</v>
      </c>
      <c r="O719" s="38">
        <f>IFERROR(VLOOKUP($F719,bug_conf_sheet!$A:$H,4,FALSE),VLOOKUP("other",bug_conf_sheet!$A:$H,4,FALSE))</f>
        <v>0</v>
      </c>
      <c r="P719" s="38">
        <f>IFERROR(VLOOKUP($F719,bug_conf_sheet!$A:$H,5,FALSE),VLOOKUP("other",bug_conf_sheet!$A:$H,5,FALSE))</f>
        <v>0</v>
      </c>
      <c r="Q719" s="38">
        <f>IFERROR(VLOOKUP($F719,bug_conf_sheet!$A:$H,6,FALSE),VLOOKUP("other",bug_conf_sheet!$A:$H,6,FALSE))</f>
        <v>0</v>
      </c>
      <c r="R719" s="38">
        <f>IFERROR(VLOOKUP($F719,bug_conf_sheet!$A:$H,7,FALSE),VLOOKUP("other",bug_conf_sheet!$A:$H,7,FALSE))</f>
        <v>0</v>
      </c>
      <c r="S719" s="38">
        <f>IFERROR(VLOOKUP($F719,bug_conf_sheet!$A:$H,8,FALSE),VLOOKUP("other",bug_conf_sheet!$A:$H,8,FALSE))</f>
        <v>1</v>
      </c>
    </row>
    <row r="720" spans="1:19" ht="21" hidden="1" customHeight="1">
      <c r="A720" s="7" t="str">
        <f t="shared" si="65"/>
        <v>1885589</v>
      </c>
      <c r="B720" s="2" t="str">
        <f t="shared" si="64"/>
        <v>1885</v>
      </c>
      <c r="C720" s="8" t="str">
        <f t="shared" si="66"/>
        <v>5PremiumS4</v>
      </c>
      <c r="D720" s="8" t="str">
        <f t="shared" si="63"/>
        <v>5PremiumS4</v>
      </c>
      <c r="E720" s="10">
        <v>5</v>
      </c>
      <c r="F720" s="6">
        <v>589</v>
      </c>
      <c r="G720" s="8" t="str">
        <f>VLOOKUP(F720,[1]characters!$A:$C,3,FALSE)</f>
        <v>不幸の円環 ニーベルゲン</v>
      </c>
      <c r="H720" s="8" t="str">
        <f>VLOOKUP(F720,[1]characters!$A:$J,10,FALSE)</f>
        <v>PremiumS</v>
      </c>
      <c r="I720" s="8">
        <f>VLOOKUP(F720,[1]characters!$A:$I,9,FALSE)</f>
        <v>4</v>
      </c>
      <c r="J720" s="8" t="str">
        <f>VLOOKUP(F720,[1]characters!$A:$H,8,FALSE)</f>
        <v>green</v>
      </c>
      <c r="K720" s="8" t="str">
        <f>VLOOKUP(F720,[1]characters!$A:$K,11,FALSE)</f>
        <v>balance</v>
      </c>
      <c r="L720" s="8" t="str">
        <f>VLOOKUP(F720,[1]characters!$A:$M,13,FALSE)</f>
        <v>unknown</v>
      </c>
      <c r="M720" s="16">
        <f>VLOOKUP(D720,gacha_188_base!A:B,2,FALSE)</f>
        <v>14805</v>
      </c>
      <c r="N720" s="38">
        <f>IFERROR(VLOOKUP($F720,bug_conf_sheet!$A:$H,3,FALSE),VLOOKUP("other",bug_conf_sheet!$A:$H,3,FALSE))</f>
        <v>1</v>
      </c>
      <c r="O720" s="38">
        <f>IFERROR(VLOOKUP($F720,bug_conf_sheet!$A:$H,4,FALSE),VLOOKUP("other",bug_conf_sheet!$A:$H,4,FALSE))</f>
        <v>0</v>
      </c>
      <c r="P720" s="38">
        <f>IFERROR(VLOOKUP($F720,bug_conf_sheet!$A:$H,5,FALSE),VLOOKUP("other",bug_conf_sheet!$A:$H,5,FALSE))</f>
        <v>0</v>
      </c>
      <c r="Q720" s="38">
        <f>IFERROR(VLOOKUP($F720,bug_conf_sheet!$A:$H,6,FALSE),VLOOKUP("other",bug_conf_sheet!$A:$H,6,FALSE))</f>
        <v>0</v>
      </c>
      <c r="R720" s="38">
        <f>IFERROR(VLOOKUP($F720,bug_conf_sheet!$A:$H,7,FALSE),VLOOKUP("other",bug_conf_sheet!$A:$H,7,FALSE))</f>
        <v>0</v>
      </c>
      <c r="S720" s="38">
        <f>IFERROR(VLOOKUP($F720,bug_conf_sheet!$A:$H,8,FALSE),VLOOKUP("other",bug_conf_sheet!$A:$H,8,FALSE))</f>
        <v>1</v>
      </c>
    </row>
    <row r="721" spans="1:19" ht="21" customHeight="1">
      <c r="A721" s="7" t="str">
        <f t="shared" si="65"/>
        <v>1885590</v>
      </c>
      <c r="B721" s="2" t="str">
        <f t="shared" si="64"/>
        <v>1885</v>
      </c>
      <c r="C721" s="8" t="str">
        <f t="shared" si="66"/>
        <v>5PremiumS5</v>
      </c>
      <c r="D721" s="8" t="str">
        <f t="shared" si="63"/>
        <v>5PremiumS5</v>
      </c>
      <c r="E721" s="10">
        <v>5</v>
      </c>
      <c r="F721" s="6">
        <v>590</v>
      </c>
      <c r="G721" s="8" t="str">
        <f>VLOOKUP(F721,[1]characters!$A:$C,3,FALSE)</f>
        <v>永遠を廻る呪い ニーベルゲン</v>
      </c>
      <c r="H721" s="8" t="str">
        <f>VLOOKUP(F721,[1]characters!$A:$J,10,FALSE)</f>
        <v>PremiumS</v>
      </c>
      <c r="I721" s="8">
        <f>VLOOKUP(F721,[1]characters!$A:$I,9,FALSE)</f>
        <v>5</v>
      </c>
      <c r="J721" s="8" t="str">
        <f>VLOOKUP(F721,[1]characters!$A:$H,8,FALSE)</f>
        <v>green</v>
      </c>
      <c r="K721" s="8" t="str">
        <f>VLOOKUP(F721,[1]characters!$A:$K,11,FALSE)</f>
        <v>balance</v>
      </c>
      <c r="L721" s="8" t="str">
        <f>VLOOKUP(F721,[1]characters!$A:$M,13,FALSE)</f>
        <v>unknown</v>
      </c>
      <c r="M721" s="16">
        <f>VLOOKUP(D721,gacha_188_base!A:B,2,FALSE)</f>
        <v>945</v>
      </c>
      <c r="N721" s="38">
        <f>IFERROR(VLOOKUP($F721,bug_conf_sheet!$A:$H,3,FALSE),VLOOKUP("other",bug_conf_sheet!$A:$H,3,FALSE))</f>
        <v>1</v>
      </c>
      <c r="O721" s="38">
        <f>IFERROR(VLOOKUP($F721,bug_conf_sheet!$A:$H,4,FALSE),VLOOKUP("other",bug_conf_sheet!$A:$H,4,FALSE))</f>
        <v>0</v>
      </c>
      <c r="P721" s="38">
        <f>IFERROR(VLOOKUP($F721,bug_conf_sheet!$A:$H,5,FALSE),VLOOKUP("other",bug_conf_sheet!$A:$H,5,FALSE))</f>
        <v>0</v>
      </c>
      <c r="Q721" s="38">
        <f>IFERROR(VLOOKUP($F721,bug_conf_sheet!$A:$H,6,FALSE),VLOOKUP("other",bug_conf_sheet!$A:$H,6,FALSE))</f>
        <v>0</v>
      </c>
      <c r="R721" s="38">
        <f>IFERROR(VLOOKUP($F721,bug_conf_sheet!$A:$H,7,FALSE),VLOOKUP("other",bug_conf_sheet!$A:$H,7,FALSE))</f>
        <v>0</v>
      </c>
      <c r="S721" s="38">
        <f>IFERROR(VLOOKUP($F721,bug_conf_sheet!$A:$H,8,FALSE),VLOOKUP("other",bug_conf_sheet!$A:$H,8,FALSE))</f>
        <v>1</v>
      </c>
    </row>
    <row r="722" spans="1:19" ht="21" hidden="1" customHeight="1">
      <c r="A722" s="7" t="str">
        <f t="shared" si="65"/>
        <v>1885592</v>
      </c>
      <c r="B722" s="2" t="str">
        <f t="shared" si="64"/>
        <v>1885</v>
      </c>
      <c r="C722" s="8" t="str">
        <f t="shared" si="66"/>
        <v>5PremiumS4</v>
      </c>
      <c r="D722" s="8" t="str">
        <f t="shared" si="63"/>
        <v>5PremiumS4</v>
      </c>
      <c r="E722" s="10">
        <v>5</v>
      </c>
      <c r="F722" s="6">
        <v>592</v>
      </c>
      <c r="G722" s="8" t="str">
        <f>VLOOKUP(F722,[1]characters!$A:$C,3,FALSE)</f>
        <v>財宝への執着 ファフニール</v>
      </c>
      <c r="H722" s="8" t="str">
        <f>VLOOKUP(F722,[1]characters!$A:$J,10,FALSE)</f>
        <v>PremiumS</v>
      </c>
      <c r="I722" s="8">
        <f>VLOOKUP(F722,[1]characters!$A:$I,9,FALSE)</f>
        <v>4</v>
      </c>
      <c r="J722" s="8" t="str">
        <f>VLOOKUP(F722,[1]characters!$A:$H,8,FALSE)</f>
        <v>blue</v>
      </c>
      <c r="K722" s="8" t="str">
        <f>VLOOKUP(F722,[1]characters!$A:$K,11,FALSE)</f>
        <v>technical</v>
      </c>
      <c r="L722" s="8" t="str">
        <f>VLOOKUP(F722,[1]characters!$A:$M,13,FALSE)</f>
        <v>dragon</v>
      </c>
      <c r="M722" s="16">
        <f>VLOOKUP(D722,gacha_188_base!A:B,2,FALSE)</f>
        <v>14805</v>
      </c>
      <c r="N722" s="38">
        <f>IFERROR(VLOOKUP($F722,bug_conf_sheet!$A:$H,3,FALSE),VLOOKUP("other",bug_conf_sheet!$A:$H,3,FALSE))</f>
        <v>1</v>
      </c>
      <c r="O722" s="38">
        <f>IFERROR(VLOOKUP($F722,bug_conf_sheet!$A:$H,4,FALSE),VLOOKUP("other",bug_conf_sheet!$A:$H,4,FALSE))</f>
        <v>0</v>
      </c>
      <c r="P722" s="38">
        <f>IFERROR(VLOOKUP($F722,bug_conf_sheet!$A:$H,5,FALSE),VLOOKUP("other",bug_conf_sheet!$A:$H,5,FALSE))</f>
        <v>0</v>
      </c>
      <c r="Q722" s="38">
        <f>IFERROR(VLOOKUP($F722,bug_conf_sheet!$A:$H,6,FALSE),VLOOKUP("other",bug_conf_sheet!$A:$H,6,FALSE))</f>
        <v>0</v>
      </c>
      <c r="R722" s="38">
        <f>IFERROR(VLOOKUP($F722,bug_conf_sheet!$A:$H,7,FALSE),VLOOKUP("other",bug_conf_sheet!$A:$H,7,FALSE))</f>
        <v>0</v>
      </c>
      <c r="S722" s="38">
        <f>IFERROR(VLOOKUP($F722,bug_conf_sheet!$A:$H,8,FALSE),VLOOKUP("other",bug_conf_sheet!$A:$H,8,FALSE))</f>
        <v>1</v>
      </c>
    </row>
    <row r="723" spans="1:19" ht="21" customHeight="1">
      <c r="A723" s="7" t="str">
        <f t="shared" si="65"/>
        <v>1885593</v>
      </c>
      <c r="B723" s="2" t="str">
        <f t="shared" si="64"/>
        <v>1885</v>
      </c>
      <c r="C723" s="8" t="str">
        <f t="shared" si="66"/>
        <v>5PremiumS5</v>
      </c>
      <c r="D723" s="8" t="str">
        <f t="shared" si="63"/>
        <v>5PremiumS5</v>
      </c>
      <c r="E723" s="10">
        <v>5</v>
      </c>
      <c r="F723" s="6">
        <v>593</v>
      </c>
      <c r="G723" s="8" t="str">
        <f>VLOOKUP(F723,[1]characters!$A:$C,3,FALSE)</f>
        <v>妄執する邪毒龍 ファフニール</v>
      </c>
      <c r="H723" s="8" t="str">
        <f>VLOOKUP(F723,[1]characters!$A:$J,10,FALSE)</f>
        <v>PremiumS</v>
      </c>
      <c r="I723" s="8">
        <f>VLOOKUP(F723,[1]characters!$A:$I,9,FALSE)</f>
        <v>5</v>
      </c>
      <c r="J723" s="8" t="str">
        <f>VLOOKUP(F723,[1]characters!$A:$H,8,FALSE)</f>
        <v>blue</v>
      </c>
      <c r="K723" s="8" t="str">
        <f>VLOOKUP(F723,[1]characters!$A:$K,11,FALSE)</f>
        <v>technical</v>
      </c>
      <c r="L723" s="8" t="str">
        <f>VLOOKUP(F723,[1]characters!$A:$M,13,FALSE)</f>
        <v>dragon</v>
      </c>
      <c r="M723" s="16">
        <f>VLOOKUP(D723,gacha_188_base!A:B,2,FALSE)</f>
        <v>945</v>
      </c>
      <c r="N723" s="38">
        <f>IFERROR(VLOOKUP($F723,bug_conf_sheet!$A:$H,3,FALSE),VLOOKUP("other",bug_conf_sheet!$A:$H,3,FALSE))</f>
        <v>1</v>
      </c>
      <c r="O723" s="38">
        <f>IFERROR(VLOOKUP($F723,bug_conf_sheet!$A:$H,4,FALSE),VLOOKUP("other",bug_conf_sheet!$A:$H,4,FALSE))</f>
        <v>0</v>
      </c>
      <c r="P723" s="38">
        <f>IFERROR(VLOOKUP($F723,bug_conf_sheet!$A:$H,5,FALSE),VLOOKUP("other",bug_conf_sheet!$A:$H,5,FALSE))</f>
        <v>0</v>
      </c>
      <c r="Q723" s="38">
        <f>IFERROR(VLOOKUP($F723,bug_conf_sheet!$A:$H,6,FALSE),VLOOKUP("other",bug_conf_sheet!$A:$H,6,FALSE))</f>
        <v>0</v>
      </c>
      <c r="R723" s="38">
        <f>IFERROR(VLOOKUP($F723,bug_conf_sheet!$A:$H,7,FALSE),VLOOKUP("other",bug_conf_sheet!$A:$H,7,FALSE))</f>
        <v>0</v>
      </c>
      <c r="S723" s="38">
        <f>IFERROR(VLOOKUP($F723,bug_conf_sheet!$A:$H,8,FALSE),VLOOKUP("other",bug_conf_sheet!$A:$H,8,FALSE))</f>
        <v>1</v>
      </c>
    </row>
    <row r="724" spans="1:19" ht="21" hidden="1" customHeight="1">
      <c r="A724" s="7" t="str">
        <f t="shared" si="65"/>
        <v>1885594</v>
      </c>
      <c r="B724" s="2" t="str">
        <f t="shared" si="64"/>
        <v>1885</v>
      </c>
      <c r="C724" s="8" t="str">
        <f t="shared" si="66"/>
        <v>5PremiumSS4</v>
      </c>
      <c r="D724" s="8" t="str">
        <f t="shared" si="63"/>
        <v>5PremiumSS4</v>
      </c>
      <c r="E724" s="10">
        <v>5</v>
      </c>
      <c r="F724" s="6">
        <v>594</v>
      </c>
      <c r="G724" s="8" t="str">
        <f>VLOOKUP(F724,[1]characters!$A:$C,3,FALSE)</f>
        <v>アルフヘイム</v>
      </c>
      <c r="H724" s="8" t="str">
        <f>VLOOKUP(F724,[1]characters!$A:$J,10,FALSE)</f>
        <v>PremiumSS</v>
      </c>
      <c r="I724" s="8">
        <f>VLOOKUP(F724,[1]characters!$A:$I,9,FALSE)</f>
        <v>4</v>
      </c>
      <c r="J724" s="8" t="str">
        <f>VLOOKUP(F724,[1]characters!$A:$H,8,FALSE)</f>
        <v>yellow</v>
      </c>
      <c r="K724" s="8" t="str">
        <f>VLOOKUP(F724,[1]characters!$A:$K,11,FALSE)</f>
        <v>attack</v>
      </c>
      <c r="L724" s="8" t="str">
        <f>VLOOKUP(F724,[1]characters!$A:$M,13,FALSE)</f>
        <v>dragon</v>
      </c>
      <c r="M724" s="16">
        <f>VLOOKUP(D724,gacha_188_base!A:B,2,FALSE)</f>
        <v>1709</v>
      </c>
      <c r="N724" s="38">
        <f>IFERROR(VLOOKUP($F724,bug_conf_sheet!$A:$H,3,FALSE),VLOOKUP("other",bug_conf_sheet!$A:$H,3,FALSE))</f>
        <v>1</v>
      </c>
      <c r="O724" s="38">
        <f>IFERROR(VLOOKUP($F724,bug_conf_sheet!$A:$H,4,FALSE),VLOOKUP("other",bug_conf_sheet!$A:$H,4,FALSE))</f>
        <v>0</v>
      </c>
      <c r="P724" s="38">
        <f>IFERROR(VLOOKUP($F724,bug_conf_sheet!$A:$H,5,FALSE),VLOOKUP("other",bug_conf_sheet!$A:$H,5,FALSE))</f>
        <v>0</v>
      </c>
      <c r="Q724" s="38">
        <f>IFERROR(VLOOKUP($F724,bug_conf_sheet!$A:$H,6,FALSE),VLOOKUP("other",bug_conf_sheet!$A:$H,6,FALSE))</f>
        <v>0</v>
      </c>
      <c r="R724" s="38">
        <f>IFERROR(VLOOKUP($F724,bug_conf_sheet!$A:$H,7,FALSE),VLOOKUP("other",bug_conf_sheet!$A:$H,7,FALSE))</f>
        <v>0</v>
      </c>
      <c r="S724" s="38">
        <f>IFERROR(VLOOKUP($F724,bug_conf_sheet!$A:$H,8,FALSE),VLOOKUP("other",bug_conf_sheet!$A:$H,8,FALSE))</f>
        <v>1</v>
      </c>
    </row>
    <row r="725" spans="1:19" ht="21" customHeight="1">
      <c r="A725" s="7" t="str">
        <f t="shared" si="65"/>
        <v>1885595</v>
      </c>
      <c r="B725" s="2" t="str">
        <f t="shared" si="64"/>
        <v>1885</v>
      </c>
      <c r="C725" s="8" t="str">
        <f t="shared" si="66"/>
        <v>5PremiumSS5</v>
      </c>
      <c r="D725" s="8" t="str">
        <f t="shared" si="63"/>
        <v>5PremiumSS5</v>
      </c>
      <c r="E725" s="10">
        <v>5</v>
      </c>
      <c r="F725" s="6">
        <v>595</v>
      </c>
      <c r="G725" s="8" t="str">
        <f>VLOOKUP(F725,[1]characters!$A:$C,3,FALSE)</f>
        <v>光華なる神域 アルフヘイム</v>
      </c>
      <c r="H725" s="8" t="str">
        <f>VLOOKUP(F725,[1]characters!$A:$J,10,FALSE)</f>
        <v>PremiumSS</v>
      </c>
      <c r="I725" s="8">
        <f>VLOOKUP(F725,[1]characters!$A:$I,9,FALSE)</f>
        <v>5</v>
      </c>
      <c r="J725" s="8" t="str">
        <f>VLOOKUP(F725,[1]characters!$A:$H,8,FALSE)</f>
        <v>yellow</v>
      </c>
      <c r="K725" s="8" t="str">
        <f>VLOOKUP(F725,[1]characters!$A:$K,11,FALSE)</f>
        <v>attack</v>
      </c>
      <c r="L725" s="8" t="str">
        <f>VLOOKUP(F725,[1]characters!$A:$M,13,FALSE)</f>
        <v>dragon</v>
      </c>
      <c r="M725" s="16">
        <f>VLOOKUP(D725,gacha_188_base!A:B,2,FALSE)</f>
        <v>109</v>
      </c>
      <c r="N725" s="38">
        <f>IFERROR(VLOOKUP($F725,bug_conf_sheet!$A:$H,3,FALSE),VLOOKUP("other",bug_conf_sheet!$A:$H,3,FALSE))</f>
        <v>1</v>
      </c>
      <c r="O725" s="38">
        <f>IFERROR(VLOOKUP($F725,bug_conf_sheet!$A:$H,4,FALSE),VLOOKUP("other",bug_conf_sheet!$A:$H,4,FALSE))</f>
        <v>0</v>
      </c>
      <c r="P725" s="38">
        <f>IFERROR(VLOOKUP($F725,bug_conf_sheet!$A:$H,5,FALSE),VLOOKUP("other",bug_conf_sheet!$A:$H,5,FALSE))</f>
        <v>0</v>
      </c>
      <c r="Q725" s="38">
        <f>IFERROR(VLOOKUP($F725,bug_conf_sheet!$A:$H,6,FALSE),VLOOKUP("other",bug_conf_sheet!$A:$H,6,FALSE))</f>
        <v>0</v>
      </c>
      <c r="R725" s="38">
        <f>IFERROR(VLOOKUP($F725,bug_conf_sheet!$A:$H,7,FALSE),VLOOKUP("other",bug_conf_sheet!$A:$H,7,FALSE))</f>
        <v>0</v>
      </c>
      <c r="S725" s="38">
        <f>IFERROR(VLOOKUP($F725,bug_conf_sheet!$A:$H,8,FALSE),VLOOKUP("other",bug_conf_sheet!$A:$H,8,FALSE))</f>
        <v>1</v>
      </c>
    </row>
    <row r="726" spans="1:19" ht="21" hidden="1" customHeight="1">
      <c r="A726" s="7" t="str">
        <f t="shared" si="65"/>
        <v>1885597</v>
      </c>
      <c r="B726" s="2" t="str">
        <f t="shared" si="64"/>
        <v>1885</v>
      </c>
      <c r="C726" s="8" t="str">
        <f t="shared" si="66"/>
        <v>5PremiumS4</v>
      </c>
      <c r="D726" s="8" t="str">
        <f t="shared" si="63"/>
        <v>5PremiumS4</v>
      </c>
      <c r="E726" s="10">
        <v>5</v>
      </c>
      <c r="F726" s="6">
        <v>597</v>
      </c>
      <c r="G726" s="8" t="str">
        <f>VLOOKUP(F726,[1]characters!$A:$C,3,FALSE)</f>
        <v>灼熱の魂 ムスペルヘイム</v>
      </c>
      <c r="H726" s="8" t="str">
        <f>VLOOKUP(F726,[1]characters!$A:$J,10,FALSE)</f>
        <v>PremiumS</v>
      </c>
      <c r="I726" s="8">
        <f>VLOOKUP(F726,[1]characters!$A:$I,9,FALSE)</f>
        <v>4</v>
      </c>
      <c r="J726" s="8" t="str">
        <f>VLOOKUP(F726,[1]characters!$A:$H,8,FALSE)</f>
        <v>red</v>
      </c>
      <c r="K726" s="8" t="str">
        <f>VLOOKUP(F726,[1]characters!$A:$K,11,FALSE)</f>
        <v>balance</v>
      </c>
      <c r="L726" s="8" t="str">
        <f>VLOOKUP(F726,[1]characters!$A:$M,13,FALSE)</f>
        <v>human</v>
      </c>
      <c r="M726" s="16">
        <f>VLOOKUP(D726,gacha_188_base!A:B,2,FALSE)</f>
        <v>14805</v>
      </c>
      <c r="N726" s="38">
        <f>IFERROR(VLOOKUP($F726,bug_conf_sheet!$A:$H,3,FALSE),VLOOKUP("other",bug_conf_sheet!$A:$H,3,FALSE))</f>
        <v>1</v>
      </c>
      <c r="O726" s="38">
        <f>IFERROR(VLOOKUP($F726,bug_conf_sheet!$A:$H,4,FALSE),VLOOKUP("other",bug_conf_sheet!$A:$H,4,FALSE))</f>
        <v>0</v>
      </c>
      <c r="P726" s="38">
        <f>IFERROR(VLOOKUP($F726,bug_conf_sheet!$A:$H,5,FALSE),VLOOKUP("other",bug_conf_sheet!$A:$H,5,FALSE))</f>
        <v>0</v>
      </c>
      <c r="Q726" s="38">
        <f>IFERROR(VLOOKUP($F726,bug_conf_sheet!$A:$H,6,FALSE),VLOOKUP("other",bug_conf_sheet!$A:$H,6,FALSE))</f>
        <v>0</v>
      </c>
      <c r="R726" s="38">
        <f>IFERROR(VLOOKUP($F726,bug_conf_sheet!$A:$H,7,FALSE),VLOOKUP("other",bug_conf_sheet!$A:$H,7,FALSE))</f>
        <v>0</v>
      </c>
      <c r="S726" s="38">
        <f>IFERROR(VLOOKUP($F726,bug_conf_sheet!$A:$H,8,FALSE),VLOOKUP("other",bug_conf_sheet!$A:$H,8,FALSE))</f>
        <v>1</v>
      </c>
    </row>
    <row r="727" spans="1:19" ht="21" customHeight="1">
      <c r="A727" s="7" t="str">
        <f t="shared" si="65"/>
        <v>1885598</v>
      </c>
      <c r="B727" s="2" t="str">
        <f t="shared" si="64"/>
        <v>1885</v>
      </c>
      <c r="C727" s="8" t="str">
        <f t="shared" si="66"/>
        <v>5PremiumS5</v>
      </c>
      <c r="D727" s="8" t="str">
        <f t="shared" si="63"/>
        <v>5PremiumS5</v>
      </c>
      <c r="E727" s="10">
        <v>5</v>
      </c>
      <c r="F727" s="6">
        <v>598</v>
      </c>
      <c r="G727" s="8" t="str">
        <f>VLOOKUP(F727,[1]characters!$A:$C,3,FALSE)</f>
        <v>焼燃の情熱 ムスペルヘイム</v>
      </c>
      <c r="H727" s="8" t="str">
        <f>VLOOKUP(F727,[1]characters!$A:$J,10,FALSE)</f>
        <v>PremiumS</v>
      </c>
      <c r="I727" s="8">
        <f>VLOOKUP(F727,[1]characters!$A:$I,9,FALSE)</f>
        <v>5</v>
      </c>
      <c r="J727" s="8" t="str">
        <f>VLOOKUP(F727,[1]characters!$A:$H,8,FALSE)</f>
        <v>red</v>
      </c>
      <c r="K727" s="8" t="str">
        <f>VLOOKUP(F727,[1]characters!$A:$K,11,FALSE)</f>
        <v>balance</v>
      </c>
      <c r="L727" s="8" t="str">
        <f>VLOOKUP(F727,[1]characters!$A:$M,13,FALSE)</f>
        <v>human</v>
      </c>
      <c r="M727" s="16">
        <f>VLOOKUP(D727,gacha_188_base!A:B,2,FALSE)</f>
        <v>945</v>
      </c>
      <c r="N727" s="38">
        <f>IFERROR(VLOOKUP($F727,bug_conf_sheet!$A:$H,3,FALSE),VLOOKUP("other",bug_conf_sheet!$A:$H,3,FALSE))</f>
        <v>1</v>
      </c>
      <c r="O727" s="38">
        <f>IFERROR(VLOOKUP($F727,bug_conf_sheet!$A:$H,4,FALSE),VLOOKUP("other",bug_conf_sheet!$A:$H,4,FALSE))</f>
        <v>0</v>
      </c>
      <c r="P727" s="38">
        <f>IFERROR(VLOOKUP($F727,bug_conf_sheet!$A:$H,5,FALSE),VLOOKUP("other",bug_conf_sheet!$A:$H,5,FALSE))</f>
        <v>0</v>
      </c>
      <c r="Q727" s="38">
        <f>IFERROR(VLOOKUP($F727,bug_conf_sheet!$A:$H,6,FALSE),VLOOKUP("other",bug_conf_sheet!$A:$H,6,FALSE))</f>
        <v>0</v>
      </c>
      <c r="R727" s="38">
        <f>IFERROR(VLOOKUP($F727,bug_conf_sheet!$A:$H,7,FALSE),VLOOKUP("other",bug_conf_sheet!$A:$H,7,FALSE))</f>
        <v>0</v>
      </c>
      <c r="S727" s="38">
        <f>IFERROR(VLOOKUP($F727,bug_conf_sheet!$A:$H,8,FALSE),VLOOKUP("other",bug_conf_sheet!$A:$H,8,FALSE))</f>
        <v>1</v>
      </c>
    </row>
    <row r="728" spans="1:19" ht="21" hidden="1" customHeight="1">
      <c r="A728" s="7" t="str">
        <f t="shared" si="65"/>
        <v>1885600</v>
      </c>
      <c r="B728" s="2" t="str">
        <f t="shared" si="64"/>
        <v>1885</v>
      </c>
      <c r="C728" s="8" t="str">
        <f t="shared" si="66"/>
        <v>5PremiumS4</v>
      </c>
      <c r="D728" s="8" t="str">
        <f t="shared" si="63"/>
        <v>5PremiumS4</v>
      </c>
      <c r="E728" s="10">
        <v>5</v>
      </c>
      <c r="F728" s="6">
        <v>600</v>
      </c>
      <c r="G728" s="8" t="str">
        <f>VLOOKUP(F728,[1]characters!$A:$C,3,FALSE)</f>
        <v>界下に潜む蛇 ニーズヘッグ</v>
      </c>
      <c r="H728" s="8" t="str">
        <f>VLOOKUP(F728,[1]characters!$A:$J,10,FALSE)</f>
        <v>PremiumS</v>
      </c>
      <c r="I728" s="8">
        <f>VLOOKUP(F728,[1]characters!$A:$I,9,FALSE)</f>
        <v>4</v>
      </c>
      <c r="J728" s="8" t="str">
        <f>VLOOKUP(F728,[1]characters!$A:$H,8,FALSE)</f>
        <v>green</v>
      </c>
      <c r="K728" s="8" t="str">
        <f>VLOOKUP(F728,[1]characters!$A:$K,11,FALSE)</f>
        <v>attack</v>
      </c>
      <c r="L728" s="8" t="str">
        <f>VLOOKUP(F728,[1]characters!$A:$M,13,FALSE)</f>
        <v>dragon</v>
      </c>
      <c r="M728" s="16">
        <f>VLOOKUP(D728,gacha_188_base!A:B,2,FALSE)</f>
        <v>14805</v>
      </c>
      <c r="N728" s="38">
        <f>IFERROR(VLOOKUP($F728,bug_conf_sheet!$A:$H,3,FALSE),VLOOKUP("other",bug_conf_sheet!$A:$H,3,FALSE))</f>
        <v>1</v>
      </c>
      <c r="O728" s="38">
        <f>IFERROR(VLOOKUP($F728,bug_conf_sheet!$A:$H,4,FALSE),VLOOKUP("other",bug_conf_sheet!$A:$H,4,FALSE))</f>
        <v>0</v>
      </c>
      <c r="P728" s="38">
        <f>IFERROR(VLOOKUP($F728,bug_conf_sheet!$A:$H,5,FALSE),VLOOKUP("other",bug_conf_sheet!$A:$H,5,FALSE))</f>
        <v>0</v>
      </c>
      <c r="Q728" s="38">
        <f>IFERROR(VLOOKUP($F728,bug_conf_sheet!$A:$H,6,FALSE),VLOOKUP("other",bug_conf_sheet!$A:$H,6,FALSE))</f>
        <v>0</v>
      </c>
      <c r="R728" s="38">
        <f>IFERROR(VLOOKUP($F728,bug_conf_sheet!$A:$H,7,FALSE),VLOOKUP("other",bug_conf_sheet!$A:$H,7,FALSE))</f>
        <v>0</v>
      </c>
      <c r="S728" s="38">
        <f>IFERROR(VLOOKUP($F728,bug_conf_sheet!$A:$H,8,FALSE),VLOOKUP("other",bug_conf_sheet!$A:$H,8,FALSE))</f>
        <v>1</v>
      </c>
    </row>
    <row r="729" spans="1:19" ht="21" customHeight="1">
      <c r="A729" s="7" t="str">
        <f t="shared" si="65"/>
        <v>1885601</v>
      </c>
      <c r="B729" s="2" t="str">
        <f t="shared" si="64"/>
        <v>1885</v>
      </c>
      <c r="C729" s="8" t="str">
        <f t="shared" si="66"/>
        <v>5PremiumS5</v>
      </c>
      <c r="D729" s="8" t="str">
        <f t="shared" si="63"/>
        <v>5PremiumS5</v>
      </c>
      <c r="E729" s="10">
        <v>5</v>
      </c>
      <c r="F729" s="6">
        <v>601</v>
      </c>
      <c r="G729" s="8" t="str">
        <f>VLOOKUP(F729,[1]characters!$A:$C,3,FALSE)</f>
        <v>界根蝕む悪食 ニーズヘッグ</v>
      </c>
      <c r="H729" s="8" t="str">
        <f>VLOOKUP(F729,[1]characters!$A:$J,10,FALSE)</f>
        <v>PremiumS</v>
      </c>
      <c r="I729" s="8">
        <f>VLOOKUP(F729,[1]characters!$A:$I,9,FALSE)</f>
        <v>5</v>
      </c>
      <c r="J729" s="8" t="str">
        <f>VLOOKUP(F729,[1]characters!$A:$H,8,FALSE)</f>
        <v>green</v>
      </c>
      <c r="K729" s="8" t="str">
        <f>VLOOKUP(F729,[1]characters!$A:$K,11,FALSE)</f>
        <v>attack</v>
      </c>
      <c r="L729" s="8" t="str">
        <f>VLOOKUP(F729,[1]characters!$A:$M,13,FALSE)</f>
        <v>dragon</v>
      </c>
      <c r="M729" s="16">
        <f>VLOOKUP(D729,gacha_188_base!A:B,2,FALSE)</f>
        <v>945</v>
      </c>
      <c r="N729" s="38">
        <f>IFERROR(VLOOKUP($F729,bug_conf_sheet!$A:$H,3,FALSE),VLOOKUP("other",bug_conf_sheet!$A:$H,3,FALSE))</f>
        <v>1</v>
      </c>
      <c r="O729" s="38">
        <f>IFERROR(VLOOKUP($F729,bug_conf_sheet!$A:$H,4,FALSE),VLOOKUP("other",bug_conf_sheet!$A:$H,4,FALSE))</f>
        <v>0</v>
      </c>
      <c r="P729" s="38">
        <f>IFERROR(VLOOKUP($F729,bug_conf_sheet!$A:$H,5,FALSE),VLOOKUP("other",bug_conf_sheet!$A:$H,5,FALSE))</f>
        <v>0</v>
      </c>
      <c r="Q729" s="38">
        <f>IFERROR(VLOOKUP($F729,bug_conf_sheet!$A:$H,6,FALSE),VLOOKUP("other",bug_conf_sheet!$A:$H,6,FALSE))</f>
        <v>0</v>
      </c>
      <c r="R729" s="38">
        <f>IFERROR(VLOOKUP($F729,bug_conf_sheet!$A:$H,7,FALSE),VLOOKUP("other",bug_conf_sheet!$A:$H,7,FALSE))</f>
        <v>0</v>
      </c>
      <c r="S729" s="38">
        <f>IFERROR(VLOOKUP($F729,bug_conf_sheet!$A:$H,8,FALSE),VLOOKUP("other",bug_conf_sheet!$A:$H,8,FALSE))</f>
        <v>1</v>
      </c>
    </row>
    <row r="730" spans="1:19" ht="21" hidden="1" customHeight="1">
      <c r="A730" s="7" t="str">
        <f t="shared" si="65"/>
        <v>1885602</v>
      </c>
      <c r="B730" s="2" t="str">
        <f t="shared" si="64"/>
        <v>1885</v>
      </c>
      <c r="C730" s="8" t="str">
        <f t="shared" si="66"/>
        <v>5PremiumSS4</v>
      </c>
      <c r="D730" s="8" t="str">
        <f t="shared" si="63"/>
        <v>5PremiumSS4</v>
      </c>
      <c r="E730" s="10">
        <v>5</v>
      </c>
      <c r="F730" s="6">
        <v>602</v>
      </c>
      <c r="G730" s="8" t="str">
        <f>VLOOKUP(F730,[1]characters!$A:$C,3,FALSE)</f>
        <v>フレイヤ</v>
      </c>
      <c r="H730" s="8" t="str">
        <f>VLOOKUP(F730,[1]characters!$A:$J,10,FALSE)</f>
        <v>PremiumSS</v>
      </c>
      <c r="I730" s="8">
        <f>VLOOKUP(F730,[1]characters!$A:$I,9,FALSE)</f>
        <v>4</v>
      </c>
      <c r="J730" s="8" t="str">
        <f>VLOOKUP(F730,[1]characters!$A:$H,8,FALSE)</f>
        <v>blue</v>
      </c>
      <c r="K730" s="8" t="str">
        <f>VLOOKUP(F730,[1]characters!$A:$K,11,FALSE)</f>
        <v>heal</v>
      </c>
      <c r="L730" s="8" t="str">
        <f>VLOOKUP(F730,[1]characters!$A:$M,13,FALSE)</f>
        <v>animal</v>
      </c>
      <c r="M730" s="16">
        <f>VLOOKUP(D730,gacha_188_base!A:B,2,FALSE)</f>
        <v>1709</v>
      </c>
      <c r="N730" s="38">
        <f>IFERROR(VLOOKUP($F730,bug_conf_sheet!$A:$H,3,FALSE),VLOOKUP("other",bug_conf_sheet!$A:$H,3,FALSE))</f>
        <v>1</v>
      </c>
      <c r="O730" s="38">
        <f>IFERROR(VLOOKUP($F730,bug_conf_sheet!$A:$H,4,FALSE),VLOOKUP("other",bug_conf_sheet!$A:$H,4,FALSE))</f>
        <v>0</v>
      </c>
      <c r="P730" s="38">
        <f>IFERROR(VLOOKUP($F730,bug_conf_sheet!$A:$H,5,FALSE),VLOOKUP("other",bug_conf_sheet!$A:$H,5,FALSE))</f>
        <v>0</v>
      </c>
      <c r="Q730" s="38">
        <f>IFERROR(VLOOKUP($F730,bug_conf_sheet!$A:$H,6,FALSE),VLOOKUP("other",bug_conf_sheet!$A:$H,6,FALSE))</f>
        <v>0</v>
      </c>
      <c r="R730" s="38">
        <f>IFERROR(VLOOKUP($F730,bug_conf_sheet!$A:$H,7,FALSE),VLOOKUP("other",bug_conf_sheet!$A:$H,7,FALSE))</f>
        <v>0</v>
      </c>
      <c r="S730" s="38">
        <f>IFERROR(VLOOKUP($F730,bug_conf_sheet!$A:$H,8,FALSE),VLOOKUP("other",bug_conf_sheet!$A:$H,8,FALSE))</f>
        <v>1</v>
      </c>
    </row>
    <row r="731" spans="1:19" ht="21" customHeight="1">
      <c r="A731" s="7" t="str">
        <f t="shared" si="65"/>
        <v>1885603</v>
      </c>
      <c r="B731" s="2" t="str">
        <f t="shared" si="64"/>
        <v>1885</v>
      </c>
      <c r="C731" s="8" t="str">
        <f t="shared" si="66"/>
        <v>5PremiumSS5</v>
      </c>
      <c r="D731" s="8" t="str">
        <f t="shared" si="63"/>
        <v>5PremiumSS5</v>
      </c>
      <c r="E731" s="10">
        <v>5</v>
      </c>
      <c r="F731" s="6">
        <v>603</v>
      </c>
      <c r="G731" s="8" t="str">
        <f>VLOOKUP(F731,[1]characters!$A:$C,3,FALSE)</f>
        <v>掌愛の豊穣女神 フレイヤ</v>
      </c>
      <c r="H731" s="8" t="str">
        <f>VLOOKUP(F731,[1]characters!$A:$J,10,FALSE)</f>
        <v>PremiumSS</v>
      </c>
      <c r="I731" s="8">
        <f>VLOOKUP(F731,[1]characters!$A:$I,9,FALSE)</f>
        <v>5</v>
      </c>
      <c r="J731" s="8" t="str">
        <f>VLOOKUP(F731,[1]characters!$A:$H,8,FALSE)</f>
        <v>blue</v>
      </c>
      <c r="K731" s="8" t="str">
        <f>VLOOKUP(F731,[1]characters!$A:$K,11,FALSE)</f>
        <v>heal</v>
      </c>
      <c r="L731" s="8" t="str">
        <f>VLOOKUP(F731,[1]characters!$A:$M,13,FALSE)</f>
        <v>animal</v>
      </c>
      <c r="M731" s="16">
        <f>VLOOKUP(D731,gacha_188_base!A:B,2,FALSE)</f>
        <v>109</v>
      </c>
      <c r="N731" s="38">
        <f>IFERROR(VLOOKUP($F731,bug_conf_sheet!$A:$H,3,FALSE),VLOOKUP("other",bug_conf_sheet!$A:$H,3,FALSE))</f>
        <v>1</v>
      </c>
      <c r="O731" s="38">
        <f>IFERROR(VLOOKUP($F731,bug_conf_sheet!$A:$H,4,FALSE),VLOOKUP("other",bug_conf_sheet!$A:$H,4,FALSE))</f>
        <v>0</v>
      </c>
      <c r="P731" s="38">
        <f>IFERROR(VLOOKUP($F731,bug_conf_sheet!$A:$H,5,FALSE),VLOOKUP("other",bug_conf_sheet!$A:$H,5,FALSE))</f>
        <v>0</v>
      </c>
      <c r="Q731" s="38">
        <f>IFERROR(VLOOKUP($F731,bug_conf_sheet!$A:$H,6,FALSE),VLOOKUP("other",bug_conf_sheet!$A:$H,6,FALSE))</f>
        <v>0</v>
      </c>
      <c r="R731" s="38">
        <f>IFERROR(VLOOKUP($F731,bug_conf_sheet!$A:$H,7,FALSE),VLOOKUP("other",bug_conf_sheet!$A:$H,7,FALSE))</f>
        <v>0</v>
      </c>
      <c r="S731" s="38">
        <f>IFERROR(VLOOKUP($F731,bug_conf_sheet!$A:$H,8,FALSE),VLOOKUP("other",bug_conf_sheet!$A:$H,8,FALSE))</f>
        <v>1</v>
      </c>
    </row>
    <row r="732" spans="1:19" ht="21" hidden="1" customHeight="1">
      <c r="A732" s="7" t="str">
        <f t="shared" si="65"/>
        <v>1885605</v>
      </c>
      <c r="B732" s="2" t="str">
        <f t="shared" si="64"/>
        <v>1885</v>
      </c>
      <c r="C732" s="8" t="str">
        <f t="shared" si="66"/>
        <v>5PremiumS4</v>
      </c>
      <c r="D732" s="8" t="str">
        <f t="shared" si="63"/>
        <v>5PremiumS4</v>
      </c>
      <c r="E732" s="10">
        <v>5</v>
      </c>
      <c r="F732" s="6">
        <v>605</v>
      </c>
      <c r="G732" s="8" t="str">
        <f>VLOOKUP(F732,[1]characters!$A:$C,3,FALSE)</f>
        <v>祝福される光耀 バルドル</v>
      </c>
      <c r="H732" s="8" t="str">
        <f>VLOOKUP(F732,[1]characters!$A:$J,10,FALSE)</f>
        <v>PremiumS</v>
      </c>
      <c r="I732" s="8">
        <f>VLOOKUP(F732,[1]characters!$A:$I,9,FALSE)</f>
        <v>4</v>
      </c>
      <c r="J732" s="8" t="str">
        <f>VLOOKUP(F732,[1]characters!$A:$H,8,FALSE)</f>
        <v>yellow</v>
      </c>
      <c r="K732" s="8" t="str">
        <f>VLOOKUP(F732,[1]characters!$A:$K,11,FALSE)</f>
        <v>heal</v>
      </c>
      <c r="L732" s="8" t="str">
        <f>VLOOKUP(F732,[1]characters!$A:$M,13,FALSE)</f>
        <v>god</v>
      </c>
      <c r="M732" s="16">
        <f>VLOOKUP(D732,gacha_188_base!A:B,2,FALSE)</f>
        <v>14805</v>
      </c>
      <c r="N732" s="38">
        <f>IFERROR(VLOOKUP($F732,bug_conf_sheet!$A:$H,3,FALSE),VLOOKUP("other",bug_conf_sheet!$A:$H,3,FALSE))</f>
        <v>1</v>
      </c>
      <c r="O732" s="38">
        <f>IFERROR(VLOOKUP($F732,bug_conf_sheet!$A:$H,4,FALSE),VLOOKUP("other",bug_conf_sheet!$A:$H,4,FALSE))</f>
        <v>0</v>
      </c>
      <c r="P732" s="38">
        <f>IFERROR(VLOOKUP($F732,bug_conf_sheet!$A:$H,5,FALSE),VLOOKUP("other",bug_conf_sheet!$A:$H,5,FALSE))</f>
        <v>0</v>
      </c>
      <c r="Q732" s="38">
        <f>IFERROR(VLOOKUP($F732,bug_conf_sheet!$A:$H,6,FALSE),VLOOKUP("other",bug_conf_sheet!$A:$H,6,FALSE))</f>
        <v>0</v>
      </c>
      <c r="R732" s="38">
        <f>IFERROR(VLOOKUP($F732,bug_conf_sheet!$A:$H,7,FALSE),VLOOKUP("other",bug_conf_sheet!$A:$H,7,FALSE))</f>
        <v>0</v>
      </c>
      <c r="S732" s="38">
        <f>IFERROR(VLOOKUP($F732,bug_conf_sheet!$A:$H,8,FALSE),VLOOKUP("other",bug_conf_sheet!$A:$H,8,FALSE))</f>
        <v>1</v>
      </c>
    </row>
    <row r="733" spans="1:19" ht="21" customHeight="1">
      <c r="A733" s="7" t="str">
        <f t="shared" si="65"/>
        <v>1885606</v>
      </c>
      <c r="B733" s="2" t="str">
        <f t="shared" si="64"/>
        <v>1885</v>
      </c>
      <c r="C733" s="8" t="str">
        <f t="shared" si="66"/>
        <v>5PremiumS5</v>
      </c>
      <c r="D733" s="8" t="str">
        <f t="shared" si="63"/>
        <v>5PremiumS5</v>
      </c>
      <c r="E733" s="10">
        <v>5</v>
      </c>
      <c r="F733" s="6">
        <v>606</v>
      </c>
      <c r="G733" s="8" t="str">
        <f>VLOOKUP(F733,[1]characters!$A:$C,3,FALSE)</f>
        <v>冀望の光芒 バルドル</v>
      </c>
      <c r="H733" s="8" t="str">
        <f>VLOOKUP(F733,[1]characters!$A:$J,10,FALSE)</f>
        <v>PremiumS</v>
      </c>
      <c r="I733" s="8">
        <f>VLOOKUP(F733,[1]characters!$A:$I,9,FALSE)</f>
        <v>5</v>
      </c>
      <c r="J733" s="8" t="str">
        <f>VLOOKUP(F733,[1]characters!$A:$H,8,FALSE)</f>
        <v>yellow</v>
      </c>
      <c r="K733" s="8" t="str">
        <f>VLOOKUP(F733,[1]characters!$A:$K,11,FALSE)</f>
        <v>heal</v>
      </c>
      <c r="L733" s="8" t="str">
        <f>VLOOKUP(F733,[1]characters!$A:$M,13,FALSE)</f>
        <v>god</v>
      </c>
      <c r="M733" s="16">
        <f>VLOOKUP(D733,gacha_188_base!A:B,2,FALSE)</f>
        <v>945</v>
      </c>
      <c r="N733" s="38">
        <f>IFERROR(VLOOKUP($F733,bug_conf_sheet!$A:$H,3,FALSE),VLOOKUP("other",bug_conf_sheet!$A:$H,3,FALSE))</f>
        <v>1</v>
      </c>
      <c r="O733" s="38">
        <f>IFERROR(VLOOKUP($F733,bug_conf_sheet!$A:$H,4,FALSE),VLOOKUP("other",bug_conf_sheet!$A:$H,4,FALSE))</f>
        <v>0</v>
      </c>
      <c r="P733" s="38">
        <f>IFERROR(VLOOKUP($F733,bug_conf_sheet!$A:$H,5,FALSE),VLOOKUP("other",bug_conf_sheet!$A:$H,5,FALSE))</f>
        <v>0</v>
      </c>
      <c r="Q733" s="38">
        <f>IFERROR(VLOOKUP($F733,bug_conf_sheet!$A:$H,6,FALSE),VLOOKUP("other",bug_conf_sheet!$A:$H,6,FALSE))</f>
        <v>0</v>
      </c>
      <c r="R733" s="38">
        <f>IFERROR(VLOOKUP($F733,bug_conf_sheet!$A:$H,7,FALSE),VLOOKUP("other",bug_conf_sheet!$A:$H,7,FALSE))</f>
        <v>0</v>
      </c>
      <c r="S733" s="38">
        <f>IFERROR(VLOOKUP($F733,bug_conf_sheet!$A:$H,8,FALSE),VLOOKUP("other",bug_conf_sheet!$A:$H,8,FALSE))</f>
        <v>1</v>
      </c>
    </row>
    <row r="734" spans="1:19" ht="21" hidden="1" customHeight="1">
      <c r="A734" s="7" t="str">
        <f t="shared" si="65"/>
        <v>1885619</v>
      </c>
      <c r="B734" s="2" t="str">
        <f t="shared" si="64"/>
        <v>1885</v>
      </c>
      <c r="C734" s="8" t="str">
        <f t="shared" si="66"/>
        <v>5PremiumSS4</v>
      </c>
      <c r="D734" s="8" t="str">
        <f>E734&amp;H734&amp;I734&amp;"new"</f>
        <v>5PremiumSS4new</v>
      </c>
      <c r="E734" s="10">
        <v>5</v>
      </c>
      <c r="F734" s="6">
        <v>619</v>
      </c>
      <c r="G734" s="8" t="str">
        <f>VLOOKUP(F734,[1]characters!$A:$C,3,FALSE)</f>
        <v>メビウス</v>
      </c>
      <c r="H734" s="8" t="str">
        <f>VLOOKUP(F734,[1]characters!$A:$J,10,FALSE)</f>
        <v>PremiumSS</v>
      </c>
      <c r="I734" s="8">
        <f>VLOOKUP(F734,[1]characters!$A:$I,9,FALSE)</f>
        <v>4</v>
      </c>
      <c r="J734" s="8" t="str">
        <f>VLOOKUP(F734,[1]characters!$A:$H,8,FALSE)</f>
        <v>blue</v>
      </c>
      <c r="K734" s="8" t="str">
        <f>VLOOKUP(F734,[1]characters!$A:$K,11,FALSE)</f>
        <v>balance</v>
      </c>
      <c r="L734" s="8" t="str">
        <f>VLOOKUP(F734,[1]characters!$A:$M,13,FALSE)</f>
        <v>human</v>
      </c>
      <c r="M734" s="16">
        <f>VLOOKUP(D734,gacha_188_base!A:B,2,FALSE)</f>
        <v>14100</v>
      </c>
      <c r="N734" s="38">
        <f>IFERROR(VLOOKUP($F734,bug_conf_sheet!$A:$H,3,FALSE),VLOOKUP("other",bug_conf_sheet!$A:$H,3,FALSE))</f>
        <v>1</v>
      </c>
      <c r="O734" s="38">
        <f>IFERROR(VLOOKUP($F734,bug_conf_sheet!$A:$H,4,FALSE),VLOOKUP("other",bug_conf_sheet!$A:$H,4,FALSE))</f>
        <v>0</v>
      </c>
      <c r="P734" s="38">
        <f>IFERROR(VLOOKUP($F734,bug_conf_sheet!$A:$H,5,FALSE),VLOOKUP("other",bug_conf_sheet!$A:$H,5,FALSE))</f>
        <v>0</v>
      </c>
      <c r="Q734" s="38">
        <f>IFERROR(VLOOKUP($F734,bug_conf_sheet!$A:$H,6,FALSE),VLOOKUP("other",bug_conf_sheet!$A:$H,6,FALSE))</f>
        <v>0</v>
      </c>
      <c r="R734" s="38">
        <f>IFERROR(VLOOKUP($F734,bug_conf_sheet!$A:$H,7,FALSE),VLOOKUP("other",bug_conf_sheet!$A:$H,7,FALSE))</f>
        <v>0</v>
      </c>
      <c r="S734" s="38">
        <f>IFERROR(VLOOKUP($F734,bug_conf_sheet!$A:$H,8,FALSE),VLOOKUP("other",bug_conf_sheet!$A:$H,8,FALSE))</f>
        <v>1</v>
      </c>
    </row>
    <row r="735" spans="1:19" ht="21" customHeight="1">
      <c r="A735" s="7" t="str">
        <f t="shared" si="65"/>
        <v>1885620</v>
      </c>
      <c r="B735" s="2" t="str">
        <f t="shared" si="64"/>
        <v>1885</v>
      </c>
      <c r="C735" s="8" t="str">
        <f t="shared" si="66"/>
        <v>5PremiumSS5</v>
      </c>
      <c r="D735" s="8" t="str">
        <f>E735&amp;H735&amp;I735&amp;"new"</f>
        <v>5PremiumSS5new</v>
      </c>
      <c r="E735" s="10">
        <v>5</v>
      </c>
      <c r="F735" s="6">
        <v>620</v>
      </c>
      <c r="G735" s="8" t="str">
        <f>VLOOKUP(F735,[1]characters!$A:$C,3,FALSE)</f>
        <v>奇跡の調和 メビウス</v>
      </c>
      <c r="H735" s="8" t="str">
        <f>VLOOKUP(F735,[1]characters!$A:$J,10,FALSE)</f>
        <v>PremiumSS</v>
      </c>
      <c r="I735" s="8">
        <f>VLOOKUP(F735,[1]characters!$A:$I,9,FALSE)</f>
        <v>5</v>
      </c>
      <c r="J735" s="8" t="str">
        <f>VLOOKUP(F735,[1]characters!$A:$H,8,FALSE)</f>
        <v>blue</v>
      </c>
      <c r="K735" s="8" t="str">
        <f>VLOOKUP(F735,[1]characters!$A:$K,11,FALSE)</f>
        <v>balance</v>
      </c>
      <c r="L735" s="8" t="str">
        <f>VLOOKUP(F735,[1]characters!$A:$M,13,FALSE)</f>
        <v>human</v>
      </c>
      <c r="M735" s="16">
        <f>VLOOKUP(D735,gacha_188_base!A:B,2,FALSE)</f>
        <v>900</v>
      </c>
      <c r="N735" s="38">
        <f>IFERROR(VLOOKUP($F735,bug_conf_sheet!$A:$H,3,FALSE),VLOOKUP("other",bug_conf_sheet!$A:$H,3,FALSE))</f>
        <v>1</v>
      </c>
      <c r="O735" s="38">
        <f>IFERROR(VLOOKUP($F735,bug_conf_sheet!$A:$H,4,FALSE),VLOOKUP("other",bug_conf_sheet!$A:$H,4,FALSE))</f>
        <v>0</v>
      </c>
      <c r="P735" s="38">
        <f>IFERROR(VLOOKUP($F735,bug_conf_sheet!$A:$H,5,FALSE),VLOOKUP("other",bug_conf_sheet!$A:$H,5,FALSE))</f>
        <v>0</v>
      </c>
      <c r="Q735" s="38">
        <f>IFERROR(VLOOKUP($F735,bug_conf_sheet!$A:$H,6,FALSE),VLOOKUP("other",bug_conf_sheet!$A:$H,6,FALSE))</f>
        <v>0</v>
      </c>
      <c r="R735" s="38">
        <f>IFERROR(VLOOKUP($F735,bug_conf_sheet!$A:$H,7,FALSE),VLOOKUP("other",bug_conf_sheet!$A:$H,7,FALSE))</f>
        <v>0</v>
      </c>
      <c r="S735" s="38">
        <f>IFERROR(VLOOKUP($F735,bug_conf_sheet!$A:$H,8,FALSE),VLOOKUP("other",bug_conf_sheet!$A:$H,8,FALSE))</f>
        <v>1</v>
      </c>
    </row>
    <row r="736" spans="1:19" ht="21" hidden="1" customHeight="1">
      <c r="A736" s="7" t="str">
        <f t="shared" si="65"/>
        <v>1880127</v>
      </c>
      <c r="B736" s="2" t="str">
        <f t="shared" si="64"/>
        <v>1880</v>
      </c>
      <c r="C736" s="8" t="str">
        <f t="shared" si="66"/>
        <v>0PremiumW4</v>
      </c>
      <c r="D736" s="8" t="str">
        <f t="shared" ref="D736:D799" si="67">E736&amp;H736&amp;I736</f>
        <v>0PremiumW4</v>
      </c>
      <c r="E736" s="10">
        <v>0</v>
      </c>
      <c r="F736" s="6">
        <v>127</v>
      </c>
      <c r="G736" s="8" t="str">
        <f>VLOOKUP(F736,[1]characters!$A:$C,3,FALSE)</f>
        <v>狂喜の賢者 ユノ</v>
      </c>
      <c r="H736" s="8" t="str">
        <f>VLOOKUP(F736,[1]characters!$A:$J,10,FALSE)</f>
        <v>PremiumW</v>
      </c>
      <c r="I736" s="8">
        <f>VLOOKUP(F736,[1]characters!$A:$I,9,FALSE)</f>
        <v>4</v>
      </c>
      <c r="J736" s="8" t="str">
        <f>VLOOKUP(F736,[1]characters!$A:$H,8,FALSE)</f>
        <v>red</v>
      </c>
      <c r="K736" s="8" t="str">
        <f>VLOOKUP(F736,[1]characters!$A:$K,11,FALSE)</f>
        <v>attack</v>
      </c>
      <c r="L736" s="8" t="str">
        <f>VLOOKUP(F736,[1]characters!$A:$M,13,FALSE)</f>
        <v>human</v>
      </c>
      <c r="M736" s="16">
        <f>VLOOKUP(D736,gacha_188_base!A:B,2,FALSE)</f>
        <v>7792</v>
      </c>
      <c r="N736" s="38">
        <f>IFERROR(VLOOKUP($F736,bug_conf_sheet!$A:$H,3,FALSE),VLOOKUP("other",bug_conf_sheet!$A:$H,3,FALSE))</f>
        <v>1</v>
      </c>
      <c r="O736" s="38">
        <f>IFERROR(VLOOKUP($F736,bug_conf_sheet!$A:$H,4,FALSE),VLOOKUP("other",bug_conf_sheet!$A:$H,4,FALSE))</f>
        <v>0</v>
      </c>
      <c r="P736" s="38">
        <f>IFERROR(VLOOKUP($F736,bug_conf_sheet!$A:$H,5,FALSE),VLOOKUP("other",bug_conf_sheet!$A:$H,5,FALSE))</f>
        <v>0</v>
      </c>
      <c r="Q736" s="38">
        <f>IFERROR(VLOOKUP($F736,bug_conf_sheet!$A:$H,6,FALSE),VLOOKUP("other",bug_conf_sheet!$A:$H,6,FALSE))</f>
        <v>0</v>
      </c>
      <c r="R736" s="38">
        <f>IFERROR(VLOOKUP($F736,bug_conf_sheet!$A:$H,7,FALSE),VLOOKUP("other",bug_conf_sheet!$A:$H,7,FALSE))</f>
        <v>0</v>
      </c>
      <c r="S736" s="38">
        <f>IFERROR(VLOOKUP($F736,bug_conf_sheet!$A:$H,8,FALSE),VLOOKUP("other",bug_conf_sheet!$A:$H,8,FALSE))</f>
        <v>1</v>
      </c>
    </row>
    <row r="737" spans="1:19" ht="21" hidden="1" customHeight="1">
      <c r="A737" s="7" t="str">
        <f t="shared" si="65"/>
        <v>1880129</v>
      </c>
      <c r="B737" s="2" t="str">
        <f t="shared" si="64"/>
        <v>1880</v>
      </c>
      <c r="C737" s="8" t="str">
        <f t="shared" si="66"/>
        <v>0PremiumW4</v>
      </c>
      <c r="D737" s="8" t="str">
        <f t="shared" si="67"/>
        <v>0PremiumW4</v>
      </c>
      <c r="E737" s="10">
        <v>0</v>
      </c>
      <c r="F737" s="6">
        <v>129</v>
      </c>
      <c r="G737" s="8" t="str">
        <f>VLOOKUP(F737,[1]characters!$A:$C,3,FALSE)</f>
        <v>孤高の狼憑き アマラ</v>
      </c>
      <c r="H737" s="8" t="str">
        <f>VLOOKUP(F737,[1]characters!$A:$J,10,FALSE)</f>
        <v>PremiumW</v>
      </c>
      <c r="I737" s="8">
        <f>VLOOKUP(F737,[1]characters!$A:$I,9,FALSE)</f>
        <v>4</v>
      </c>
      <c r="J737" s="8" t="str">
        <f>VLOOKUP(F737,[1]characters!$A:$H,8,FALSE)</f>
        <v>green</v>
      </c>
      <c r="K737" s="8" t="str">
        <f>VLOOKUP(F737,[1]characters!$A:$K,11,FALSE)</f>
        <v>attack</v>
      </c>
      <c r="L737" s="8" t="str">
        <f>VLOOKUP(F737,[1]characters!$A:$M,13,FALSE)</f>
        <v>human</v>
      </c>
      <c r="M737" s="16">
        <f>VLOOKUP(D737,gacha_188_base!A:B,2,FALSE)</f>
        <v>7792</v>
      </c>
      <c r="N737" s="38">
        <f>IFERROR(VLOOKUP($F737,bug_conf_sheet!$A:$H,3,FALSE),VLOOKUP("other",bug_conf_sheet!$A:$H,3,FALSE))</f>
        <v>1</v>
      </c>
      <c r="O737" s="38">
        <f>IFERROR(VLOOKUP($F737,bug_conf_sheet!$A:$H,4,FALSE),VLOOKUP("other",bug_conf_sheet!$A:$H,4,FALSE))</f>
        <v>0</v>
      </c>
      <c r="P737" s="38">
        <f>IFERROR(VLOOKUP($F737,bug_conf_sheet!$A:$H,5,FALSE),VLOOKUP("other",bug_conf_sheet!$A:$H,5,FALSE))</f>
        <v>0</v>
      </c>
      <c r="Q737" s="38">
        <f>IFERROR(VLOOKUP($F737,bug_conf_sheet!$A:$H,6,FALSE),VLOOKUP("other",bug_conf_sheet!$A:$H,6,FALSE))</f>
        <v>0</v>
      </c>
      <c r="R737" s="38">
        <f>IFERROR(VLOOKUP($F737,bug_conf_sheet!$A:$H,7,FALSE),VLOOKUP("other",bug_conf_sheet!$A:$H,7,FALSE))</f>
        <v>0</v>
      </c>
      <c r="S737" s="38">
        <f>IFERROR(VLOOKUP($F737,bug_conf_sheet!$A:$H,8,FALSE),VLOOKUP("other",bug_conf_sheet!$A:$H,8,FALSE))</f>
        <v>1</v>
      </c>
    </row>
    <row r="738" spans="1:19" ht="21" hidden="1" customHeight="1">
      <c r="A738" s="7" t="str">
        <f t="shared" si="65"/>
        <v>1880131</v>
      </c>
      <c r="B738" s="2" t="str">
        <f t="shared" si="64"/>
        <v>1880</v>
      </c>
      <c r="C738" s="8" t="str">
        <f t="shared" si="66"/>
        <v>0PremiumW4</v>
      </c>
      <c r="D738" s="8" t="str">
        <f t="shared" si="67"/>
        <v>0PremiumW4</v>
      </c>
      <c r="E738" s="10">
        <v>0</v>
      </c>
      <c r="F738" s="6">
        <v>131</v>
      </c>
      <c r="G738" s="8" t="str">
        <f>VLOOKUP(F738,[1]characters!$A:$C,3,FALSE)</f>
        <v>月下の人狼 ローレンス</v>
      </c>
      <c r="H738" s="8" t="str">
        <f>VLOOKUP(F738,[1]characters!$A:$J,10,FALSE)</f>
        <v>PremiumW</v>
      </c>
      <c r="I738" s="8">
        <f>VLOOKUP(F738,[1]characters!$A:$I,9,FALSE)</f>
        <v>4</v>
      </c>
      <c r="J738" s="8" t="str">
        <f>VLOOKUP(F738,[1]characters!$A:$H,8,FALSE)</f>
        <v>blue</v>
      </c>
      <c r="K738" s="8" t="str">
        <f>VLOOKUP(F738,[1]characters!$A:$K,11,FALSE)</f>
        <v>attack</v>
      </c>
      <c r="L738" s="8" t="str">
        <f>VLOOKUP(F738,[1]characters!$A:$M,13,FALSE)</f>
        <v>animal</v>
      </c>
      <c r="M738" s="16">
        <f>VLOOKUP(D738,gacha_188_base!A:B,2,FALSE)</f>
        <v>7792</v>
      </c>
      <c r="N738" s="38">
        <f>IFERROR(VLOOKUP($F738,bug_conf_sheet!$A:$H,3,FALSE),VLOOKUP("other",bug_conf_sheet!$A:$H,3,FALSE))</f>
        <v>1</v>
      </c>
      <c r="O738" s="38">
        <f>IFERROR(VLOOKUP($F738,bug_conf_sheet!$A:$H,4,FALSE),VLOOKUP("other",bug_conf_sheet!$A:$H,4,FALSE))</f>
        <v>0</v>
      </c>
      <c r="P738" s="38">
        <f>IFERROR(VLOOKUP($F738,bug_conf_sheet!$A:$H,5,FALSE),VLOOKUP("other",bug_conf_sheet!$A:$H,5,FALSE))</f>
        <v>0</v>
      </c>
      <c r="Q738" s="38">
        <f>IFERROR(VLOOKUP($F738,bug_conf_sheet!$A:$H,6,FALSE),VLOOKUP("other",bug_conf_sheet!$A:$H,6,FALSE))</f>
        <v>0</v>
      </c>
      <c r="R738" s="38">
        <f>IFERROR(VLOOKUP($F738,bug_conf_sheet!$A:$H,7,FALSE),VLOOKUP("other",bug_conf_sheet!$A:$H,7,FALSE))</f>
        <v>0</v>
      </c>
      <c r="S738" s="38">
        <f>IFERROR(VLOOKUP($F738,bug_conf_sheet!$A:$H,8,FALSE),VLOOKUP("other",bug_conf_sheet!$A:$H,8,FALSE))</f>
        <v>1</v>
      </c>
    </row>
    <row r="739" spans="1:19" ht="21" hidden="1" customHeight="1">
      <c r="A739" s="7" t="str">
        <f t="shared" si="65"/>
        <v>1880133</v>
      </c>
      <c r="B739" s="2" t="str">
        <f t="shared" si="64"/>
        <v>1880</v>
      </c>
      <c r="C739" s="8" t="str">
        <f t="shared" si="66"/>
        <v>0PremiumW4</v>
      </c>
      <c r="D739" s="8" t="str">
        <f t="shared" si="67"/>
        <v>0PremiumW4</v>
      </c>
      <c r="E739" s="10">
        <v>0</v>
      </c>
      <c r="F739" s="6">
        <v>133</v>
      </c>
      <c r="G739" s="8" t="str">
        <f>VLOOKUP(F739,[1]characters!$A:$C,3,FALSE)</f>
        <v>迅雷の刀剣 ハヤト</v>
      </c>
      <c r="H739" s="8" t="str">
        <f>VLOOKUP(F739,[1]characters!$A:$J,10,FALSE)</f>
        <v>PremiumW</v>
      </c>
      <c r="I739" s="8">
        <f>VLOOKUP(F739,[1]characters!$A:$I,9,FALSE)</f>
        <v>4</v>
      </c>
      <c r="J739" s="8" t="str">
        <f>VLOOKUP(F739,[1]characters!$A:$H,8,FALSE)</f>
        <v>yellow</v>
      </c>
      <c r="K739" s="8" t="str">
        <f>VLOOKUP(F739,[1]characters!$A:$K,11,FALSE)</f>
        <v>attack</v>
      </c>
      <c r="L739" s="8" t="str">
        <f>VLOOKUP(F739,[1]characters!$A:$M,13,FALSE)</f>
        <v>human</v>
      </c>
      <c r="M739" s="16">
        <f>VLOOKUP(D739,gacha_188_base!A:B,2,FALSE)</f>
        <v>7792</v>
      </c>
      <c r="N739" s="38">
        <f>IFERROR(VLOOKUP($F739,bug_conf_sheet!$A:$H,3,FALSE),VLOOKUP("other",bug_conf_sheet!$A:$H,3,FALSE))</f>
        <v>1</v>
      </c>
      <c r="O739" s="38">
        <f>IFERROR(VLOOKUP($F739,bug_conf_sheet!$A:$H,4,FALSE),VLOOKUP("other",bug_conf_sheet!$A:$H,4,FALSE))</f>
        <v>0</v>
      </c>
      <c r="P739" s="38">
        <f>IFERROR(VLOOKUP($F739,bug_conf_sheet!$A:$H,5,FALSE),VLOOKUP("other",bug_conf_sheet!$A:$H,5,FALSE))</f>
        <v>0</v>
      </c>
      <c r="Q739" s="38">
        <f>IFERROR(VLOOKUP($F739,bug_conf_sheet!$A:$H,6,FALSE),VLOOKUP("other",bug_conf_sheet!$A:$H,6,FALSE))</f>
        <v>0</v>
      </c>
      <c r="R739" s="38">
        <f>IFERROR(VLOOKUP($F739,bug_conf_sheet!$A:$H,7,FALSE),VLOOKUP("other",bug_conf_sheet!$A:$H,7,FALSE))</f>
        <v>0</v>
      </c>
      <c r="S739" s="38">
        <f>IFERROR(VLOOKUP($F739,bug_conf_sheet!$A:$H,8,FALSE),VLOOKUP("other",bug_conf_sheet!$A:$H,8,FALSE))</f>
        <v>1</v>
      </c>
    </row>
    <row r="740" spans="1:19" ht="21" hidden="1" customHeight="1">
      <c r="A740" s="7" t="str">
        <f t="shared" si="65"/>
        <v>1880135</v>
      </c>
      <c r="B740" s="2" t="str">
        <f t="shared" si="64"/>
        <v>1880</v>
      </c>
      <c r="C740" s="8" t="str">
        <f t="shared" si="66"/>
        <v>0PremiumW4</v>
      </c>
      <c r="D740" s="8" t="str">
        <f t="shared" si="67"/>
        <v>0PremiumW4</v>
      </c>
      <c r="E740" s="10">
        <v>0</v>
      </c>
      <c r="F740" s="6">
        <v>135</v>
      </c>
      <c r="G740" s="8" t="str">
        <f>VLOOKUP(F740,[1]characters!$A:$C,3,FALSE)</f>
        <v>京の炎華夕霧</v>
      </c>
      <c r="H740" s="8" t="str">
        <f>VLOOKUP(F740,[1]characters!$A:$J,10,FALSE)</f>
        <v>PremiumW</v>
      </c>
      <c r="I740" s="8">
        <f>VLOOKUP(F740,[1]characters!$A:$I,9,FALSE)</f>
        <v>4</v>
      </c>
      <c r="J740" s="8" t="str">
        <f>VLOOKUP(F740,[1]characters!$A:$H,8,FALSE)</f>
        <v>red</v>
      </c>
      <c r="K740" s="8" t="str">
        <f>VLOOKUP(F740,[1]characters!$A:$K,11,FALSE)</f>
        <v>balance</v>
      </c>
      <c r="L740" s="8" t="str">
        <f>VLOOKUP(F740,[1]characters!$A:$M,13,FALSE)</f>
        <v>human</v>
      </c>
      <c r="M740" s="16">
        <f>VLOOKUP(D740,gacha_188_base!A:B,2,FALSE)</f>
        <v>7792</v>
      </c>
      <c r="N740" s="38">
        <f>IFERROR(VLOOKUP($F740,bug_conf_sheet!$A:$H,3,FALSE),VLOOKUP("other",bug_conf_sheet!$A:$H,3,FALSE))</f>
        <v>1</v>
      </c>
      <c r="O740" s="38">
        <f>IFERROR(VLOOKUP($F740,bug_conf_sheet!$A:$H,4,FALSE),VLOOKUP("other",bug_conf_sheet!$A:$H,4,FALSE))</f>
        <v>0</v>
      </c>
      <c r="P740" s="38">
        <f>IFERROR(VLOOKUP($F740,bug_conf_sheet!$A:$H,5,FALSE),VLOOKUP("other",bug_conf_sheet!$A:$H,5,FALSE))</f>
        <v>0</v>
      </c>
      <c r="Q740" s="38">
        <f>IFERROR(VLOOKUP($F740,bug_conf_sheet!$A:$H,6,FALSE),VLOOKUP("other",bug_conf_sheet!$A:$H,6,FALSE))</f>
        <v>0</v>
      </c>
      <c r="R740" s="38">
        <f>IFERROR(VLOOKUP($F740,bug_conf_sheet!$A:$H,7,FALSE),VLOOKUP("other",bug_conf_sheet!$A:$H,7,FALSE))</f>
        <v>0</v>
      </c>
      <c r="S740" s="38">
        <f>IFERROR(VLOOKUP($F740,bug_conf_sheet!$A:$H,8,FALSE),VLOOKUP("other",bug_conf_sheet!$A:$H,8,FALSE))</f>
        <v>1</v>
      </c>
    </row>
    <row r="741" spans="1:19" ht="21" hidden="1" customHeight="1">
      <c r="A741" s="7" t="str">
        <f t="shared" si="65"/>
        <v>1880137</v>
      </c>
      <c r="B741" s="2" t="str">
        <f t="shared" si="64"/>
        <v>1880</v>
      </c>
      <c r="C741" s="8" t="str">
        <f t="shared" si="66"/>
        <v>0PremiumW4</v>
      </c>
      <c r="D741" s="8" t="str">
        <f t="shared" si="67"/>
        <v>0PremiumW4</v>
      </c>
      <c r="E741" s="10">
        <v>0</v>
      </c>
      <c r="F741" s="9">
        <v>137</v>
      </c>
      <c r="G741" s="8" t="str">
        <f>VLOOKUP(F741,[1]characters!$A:$C,3,FALSE)</f>
        <v>清福の仕立屋 チハヤ</v>
      </c>
      <c r="H741" s="8" t="str">
        <f>VLOOKUP(F741,[1]characters!$A:$J,10,FALSE)</f>
        <v>PremiumW</v>
      </c>
      <c r="I741" s="8">
        <f>VLOOKUP(F741,[1]characters!$A:$I,9,FALSE)</f>
        <v>4</v>
      </c>
      <c r="J741" s="8" t="str">
        <f>VLOOKUP(F741,[1]characters!$A:$H,8,FALSE)</f>
        <v>green</v>
      </c>
      <c r="K741" s="8" t="str">
        <f>VLOOKUP(F741,[1]characters!$A:$K,11,FALSE)</f>
        <v>balance</v>
      </c>
      <c r="L741" s="8" t="str">
        <f>VLOOKUP(F741,[1]characters!$A:$M,13,FALSE)</f>
        <v>human</v>
      </c>
      <c r="M741" s="16">
        <f>VLOOKUP(D741,gacha_188_base!A:B,2,FALSE)</f>
        <v>7792</v>
      </c>
      <c r="N741" s="38">
        <f>IFERROR(VLOOKUP($F741,bug_conf_sheet!$A:$H,3,FALSE),VLOOKUP("other",bug_conf_sheet!$A:$H,3,FALSE))</f>
        <v>1</v>
      </c>
      <c r="O741" s="38">
        <f>IFERROR(VLOOKUP($F741,bug_conf_sheet!$A:$H,4,FALSE),VLOOKUP("other",bug_conf_sheet!$A:$H,4,FALSE))</f>
        <v>0</v>
      </c>
      <c r="P741" s="38">
        <f>IFERROR(VLOOKUP($F741,bug_conf_sheet!$A:$H,5,FALSE),VLOOKUP("other",bug_conf_sheet!$A:$H,5,FALSE))</f>
        <v>0</v>
      </c>
      <c r="Q741" s="38">
        <f>IFERROR(VLOOKUP($F741,bug_conf_sheet!$A:$H,6,FALSE),VLOOKUP("other",bug_conf_sheet!$A:$H,6,FALSE))</f>
        <v>0</v>
      </c>
      <c r="R741" s="38">
        <f>IFERROR(VLOOKUP($F741,bug_conf_sheet!$A:$H,7,FALSE),VLOOKUP("other",bug_conf_sheet!$A:$H,7,FALSE))</f>
        <v>0</v>
      </c>
      <c r="S741" s="38">
        <f>IFERROR(VLOOKUP($F741,bug_conf_sheet!$A:$H,8,FALSE),VLOOKUP("other",bug_conf_sheet!$A:$H,8,FALSE))</f>
        <v>1</v>
      </c>
    </row>
    <row r="742" spans="1:19" ht="21" hidden="1" customHeight="1">
      <c r="A742" s="7" t="str">
        <f t="shared" si="65"/>
        <v>1880139</v>
      </c>
      <c r="B742" s="2" t="str">
        <f t="shared" si="64"/>
        <v>1880</v>
      </c>
      <c r="C742" s="8" t="str">
        <f t="shared" si="66"/>
        <v>0PremiumW4</v>
      </c>
      <c r="D742" s="8" t="str">
        <f t="shared" si="67"/>
        <v>0PremiumW4</v>
      </c>
      <c r="E742" s="10">
        <v>0</v>
      </c>
      <c r="F742" s="6">
        <v>139</v>
      </c>
      <c r="G742" s="8" t="str">
        <f>VLOOKUP(F742,[1]characters!$A:$C,3,FALSE)</f>
        <v>蒼昇刃姫 トモエ</v>
      </c>
      <c r="H742" s="8" t="str">
        <f>VLOOKUP(F742,[1]characters!$A:$J,10,FALSE)</f>
        <v>PremiumW</v>
      </c>
      <c r="I742" s="8">
        <f>VLOOKUP(F742,[1]characters!$A:$I,9,FALSE)</f>
        <v>4</v>
      </c>
      <c r="J742" s="8" t="str">
        <f>VLOOKUP(F742,[1]characters!$A:$H,8,FALSE)</f>
        <v>blue</v>
      </c>
      <c r="K742" s="8" t="str">
        <f>VLOOKUP(F742,[1]characters!$A:$K,11,FALSE)</f>
        <v>balance</v>
      </c>
      <c r="L742" s="8" t="str">
        <f>VLOOKUP(F742,[1]characters!$A:$M,13,FALSE)</f>
        <v>human</v>
      </c>
      <c r="M742" s="16">
        <f>VLOOKUP(D742,gacha_188_base!A:B,2,FALSE)</f>
        <v>7792</v>
      </c>
      <c r="N742" s="38">
        <f>IFERROR(VLOOKUP($F742,bug_conf_sheet!$A:$H,3,FALSE),VLOOKUP("other",bug_conf_sheet!$A:$H,3,FALSE))</f>
        <v>1</v>
      </c>
      <c r="O742" s="38">
        <f>IFERROR(VLOOKUP($F742,bug_conf_sheet!$A:$H,4,FALSE),VLOOKUP("other",bug_conf_sheet!$A:$H,4,FALSE))</f>
        <v>0</v>
      </c>
      <c r="P742" s="38">
        <f>IFERROR(VLOOKUP($F742,bug_conf_sheet!$A:$H,5,FALSE),VLOOKUP("other",bug_conf_sheet!$A:$H,5,FALSE))</f>
        <v>0</v>
      </c>
      <c r="Q742" s="38">
        <f>IFERROR(VLOOKUP($F742,bug_conf_sheet!$A:$H,6,FALSE),VLOOKUP("other",bug_conf_sheet!$A:$H,6,FALSE))</f>
        <v>0</v>
      </c>
      <c r="R742" s="38">
        <f>IFERROR(VLOOKUP($F742,bug_conf_sheet!$A:$H,7,FALSE),VLOOKUP("other",bug_conf_sheet!$A:$H,7,FALSE))</f>
        <v>0</v>
      </c>
      <c r="S742" s="38">
        <f>IFERROR(VLOOKUP($F742,bug_conf_sheet!$A:$H,8,FALSE),VLOOKUP("other",bug_conf_sheet!$A:$H,8,FALSE))</f>
        <v>1</v>
      </c>
    </row>
    <row r="743" spans="1:19" ht="21" hidden="1" customHeight="1">
      <c r="A743" s="7" t="str">
        <f t="shared" si="65"/>
        <v>1880141</v>
      </c>
      <c r="B743" s="2" t="str">
        <f t="shared" si="64"/>
        <v>1880</v>
      </c>
      <c r="C743" s="8" t="str">
        <f t="shared" si="66"/>
        <v>0PremiumW4</v>
      </c>
      <c r="D743" s="8" t="str">
        <f t="shared" si="67"/>
        <v>0PremiumW4</v>
      </c>
      <c r="E743" s="10">
        <v>0</v>
      </c>
      <c r="F743" s="13">
        <v>141</v>
      </c>
      <c r="G743" s="8" t="str">
        <f>VLOOKUP(F743,[1]characters!$A:$C,3,FALSE)</f>
        <v>妖狐演舞 タマモ</v>
      </c>
      <c r="H743" s="8" t="str">
        <f>VLOOKUP(F743,[1]characters!$A:$J,10,FALSE)</f>
        <v>PremiumW</v>
      </c>
      <c r="I743" s="8">
        <f>VLOOKUP(F743,[1]characters!$A:$I,9,FALSE)</f>
        <v>4</v>
      </c>
      <c r="J743" s="8" t="str">
        <f>VLOOKUP(F743,[1]characters!$A:$H,8,FALSE)</f>
        <v>yellow</v>
      </c>
      <c r="K743" s="8" t="str">
        <f>VLOOKUP(F743,[1]characters!$A:$K,11,FALSE)</f>
        <v>balance</v>
      </c>
      <c r="L743" s="8" t="str">
        <f>VLOOKUP(F743,[1]characters!$A:$M,13,FALSE)</f>
        <v>animal</v>
      </c>
      <c r="M743" s="16">
        <f>VLOOKUP(D743,gacha_188_base!A:B,2,FALSE)</f>
        <v>7792</v>
      </c>
      <c r="N743" s="38">
        <f>IFERROR(VLOOKUP($F743,bug_conf_sheet!$A:$H,3,FALSE),VLOOKUP("other",bug_conf_sheet!$A:$H,3,FALSE))</f>
        <v>1</v>
      </c>
      <c r="O743" s="38">
        <f>IFERROR(VLOOKUP($F743,bug_conf_sheet!$A:$H,4,FALSE),VLOOKUP("other",bug_conf_sheet!$A:$H,4,FALSE))</f>
        <v>0</v>
      </c>
      <c r="P743" s="38">
        <f>IFERROR(VLOOKUP($F743,bug_conf_sheet!$A:$H,5,FALSE),VLOOKUP("other",bug_conf_sheet!$A:$H,5,FALSE))</f>
        <v>0</v>
      </c>
      <c r="Q743" s="38">
        <f>IFERROR(VLOOKUP($F743,bug_conf_sheet!$A:$H,6,FALSE),VLOOKUP("other",bug_conf_sheet!$A:$H,6,FALSE))</f>
        <v>0</v>
      </c>
      <c r="R743" s="38">
        <f>IFERROR(VLOOKUP($F743,bug_conf_sheet!$A:$H,7,FALSE),VLOOKUP("other",bug_conf_sheet!$A:$H,7,FALSE))</f>
        <v>0</v>
      </c>
      <c r="S743" s="38">
        <f>IFERROR(VLOOKUP($F743,bug_conf_sheet!$A:$H,8,FALSE),VLOOKUP("other",bug_conf_sheet!$A:$H,8,FALSE))</f>
        <v>1</v>
      </c>
    </row>
    <row r="744" spans="1:19" s="14" customFormat="1" ht="21" hidden="1" customHeight="1" thickBot="1">
      <c r="A744" s="7" t="str">
        <f t="shared" si="65"/>
        <v>1880143</v>
      </c>
      <c r="B744" s="2" t="str">
        <f t="shared" si="64"/>
        <v>1880</v>
      </c>
      <c r="C744" s="8" t="str">
        <f t="shared" si="66"/>
        <v>0PremiumW4</v>
      </c>
      <c r="D744" s="8" t="str">
        <f t="shared" si="67"/>
        <v>0PremiumW4</v>
      </c>
      <c r="E744" s="10">
        <v>0</v>
      </c>
      <c r="F744" s="6">
        <v>143</v>
      </c>
      <c r="G744" s="8" t="str">
        <f>VLOOKUP(F744,[1]characters!$A:$C,3,FALSE)</f>
        <v>深紅の死神 赤ずきん</v>
      </c>
      <c r="H744" s="8" t="str">
        <f>VLOOKUP(F744,[1]characters!$A:$J,10,FALSE)</f>
        <v>PremiumW</v>
      </c>
      <c r="I744" s="8">
        <f>VLOOKUP(F744,[1]characters!$A:$I,9,FALSE)</f>
        <v>4</v>
      </c>
      <c r="J744" s="8" t="str">
        <f>VLOOKUP(F744,[1]characters!$A:$H,8,FALSE)</f>
        <v>red</v>
      </c>
      <c r="K744" s="8" t="str">
        <f>VLOOKUP(F744,[1]characters!$A:$K,11,FALSE)</f>
        <v>balance</v>
      </c>
      <c r="L744" s="8" t="str">
        <f>VLOOKUP(F744,[1]characters!$A:$M,13,FALSE)</f>
        <v>human</v>
      </c>
      <c r="M744" s="16">
        <f>VLOOKUP(D744,gacha_188_base!A:B,2,FALSE)</f>
        <v>7792</v>
      </c>
      <c r="N744" s="38">
        <f>IFERROR(VLOOKUP($F744,bug_conf_sheet!$A:$H,3,FALSE),VLOOKUP("other",bug_conf_sheet!$A:$H,3,FALSE))</f>
        <v>1</v>
      </c>
      <c r="O744" s="38">
        <f>IFERROR(VLOOKUP($F744,bug_conf_sheet!$A:$H,4,FALSE),VLOOKUP("other",bug_conf_sheet!$A:$H,4,FALSE))</f>
        <v>0</v>
      </c>
      <c r="P744" s="38">
        <f>IFERROR(VLOOKUP($F744,bug_conf_sheet!$A:$H,5,FALSE),VLOOKUP("other",bug_conf_sheet!$A:$H,5,FALSE))</f>
        <v>0</v>
      </c>
      <c r="Q744" s="38">
        <f>IFERROR(VLOOKUP($F744,bug_conf_sheet!$A:$H,6,FALSE),VLOOKUP("other",bug_conf_sheet!$A:$H,6,FALSE))</f>
        <v>0</v>
      </c>
      <c r="R744" s="38">
        <f>IFERROR(VLOOKUP($F744,bug_conf_sheet!$A:$H,7,FALSE),VLOOKUP("other",bug_conf_sheet!$A:$H,7,FALSE))</f>
        <v>0</v>
      </c>
      <c r="S744" s="38">
        <f>IFERROR(VLOOKUP($F744,bug_conf_sheet!$A:$H,8,FALSE),VLOOKUP("other",bug_conf_sheet!$A:$H,8,FALSE))</f>
        <v>1</v>
      </c>
    </row>
    <row r="745" spans="1:19" ht="21" hidden="1" customHeight="1">
      <c r="A745" s="7" t="str">
        <f t="shared" si="65"/>
        <v>1880145</v>
      </c>
      <c r="B745" s="2" t="str">
        <f t="shared" si="64"/>
        <v>1880</v>
      </c>
      <c r="C745" s="8" t="str">
        <f t="shared" si="66"/>
        <v>0PremiumW4</v>
      </c>
      <c r="D745" s="8" t="str">
        <f t="shared" si="67"/>
        <v>0PremiumW4</v>
      </c>
      <c r="E745" s="10">
        <v>0</v>
      </c>
      <c r="F745" s="6">
        <v>145</v>
      </c>
      <c r="G745" s="8" t="str">
        <f>VLOOKUP(F745,[1]characters!$A:$C,3,FALSE)</f>
        <v>魔性妖艶 かぐや</v>
      </c>
      <c r="H745" s="8" t="str">
        <f>VLOOKUP(F745,[1]characters!$A:$J,10,FALSE)</f>
        <v>PremiumW</v>
      </c>
      <c r="I745" s="8">
        <f>VLOOKUP(F745,[1]characters!$A:$I,9,FALSE)</f>
        <v>4</v>
      </c>
      <c r="J745" s="8" t="str">
        <f>VLOOKUP(F745,[1]characters!$A:$H,8,FALSE)</f>
        <v>green</v>
      </c>
      <c r="K745" s="8" t="str">
        <f>VLOOKUP(F745,[1]characters!$A:$K,11,FALSE)</f>
        <v>hp</v>
      </c>
      <c r="L745" s="8" t="str">
        <f>VLOOKUP(F745,[1]characters!$A:$M,13,FALSE)</f>
        <v>human</v>
      </c>
      <c r="M745" s="16">
        <f>VLOOKUP(D745,gacha_188_base!A:B,2,FALSE)</f>
        <v>7792</v>
      </c>
      <c r="N745" s="38">
        <f>IFERROR(VLOOKUP($F745,bug_conf_sheet!$A:$H,3,FALSE),VLOOKUP("other",bug_conf_sheet!$A:$H,3,FALSE))</f>
        <v>1</v>
      </c>
      <c r="O745" s="38">
        <f>IFERROR(VLOOKUP($F745,bug_conf_sheet!$A:$H,4,FALSE),VLOOKUP("other",bug_conf_sheet!$A:$H,4,FALSE))</f>
        <v>0</v>
      </c>
      <c r="P745" s="38">
        <f>IFERROR(VLOOKUP($F745,bug_conf_sheet!$A:$H,5,FALSE),VLOOKUP("other",bug_conf_sheet!$A:$H,5,FALSE))</f>
        <v>0</v>
      </c>
      <c r="Q745" s="38">
        <f>IFERROR(VLOOKUP($F745,bug_conf_sheet!$A:$H,6,FALSE),VLOOKUP("other",bug_conf_sheet!$A:$H,6,FALSE))</f>
        <v>0</v>
      </c>
      <c r="R745" s="38">
        <f>IFERROR(VLOOKUP($F745,bug_conf_sheet!$A:$H,7,FALSE),VLOOKUP("other",bug_conf_sheet!$A:$H,7,FALSE))</f>
        <v>0</v>
      </c>
      <c r="S745" s="38">
        <f>IFERROR(VLOOKUP($F745,bug_conf_sheet!$A:$H,8,FALSE),VLOOKUP("other",bug_conf_sheet!$A:$H,8,FALSE))</f>
        <v>1</v>
      </c>
    </row>
    <row r="746" spans="1:19" ht="21" hidden="1" customHeight="1">
      <c r="A746" s="7" t="str">
        <f t="shared" si="65"/>
        <v>1880147</v>
      </c>
      <c r="B746" s="2" t="str">
        <f t="shared" si="64"/>
        <v>1880</v>
      </c>
      <c r="C746" s="8" t="str">
        <f t="shared" si="66"/>
        <v>0PremiumW4</v>
      </c>
      <c r="D746" s="8" t="str">
        <f t="shared" si="67"/>
        <v>0PremiumW4</v>
      </c>
      <c r="E746" s="10">
        <v>0</v>
      </c>
      <c r="F746" s="6">
        <v>147</v>
      </c>
      <c r="G746" s="8" t="str">
        <f>VLOOKUP(F746,[1]characters!$A:$C,3,FALSE)</f>
        <v>蒼き閃光 元マーメイド</v>
      </c>
      <c r="H746" s="8" t="str">
        <f>VLOOKUP(F746,[1]characters!$A:$J,10,FALSE)</f>
        <v>PremiumW</v>
      </c>
      <c r="I746" s="8">
        <f>VLOOKUP(F746,[1]characters!$A:$I,9,FALSE)</f>
        <v>4</v>
      </c>
      <c r="J746" s="8" t="str">
        <f>VLOOKUP(F746,[1]characters!$A:$H,8,FALSE)</f>
        <v>blue</v>
      </c>
      <c r="K746" s="8" t="str">
        <f>VLOOKUP(F746,[1]characters!$A:$K,11,FALSE)</f>
        <v>hp</v>
      </c>
      <c r="L746" s="8" t="str">
        <f>VLOOKUP(F746,[1]characters!$A:$M,13,FALSE)</f>
        <v>human</v>
      </c>
      <c r="M746" s="16">
        <f>VLOOKUP(D746,gacha_188_base!A:B,2,FALSE)</f>
        <v>7792</v>
      </c>
      <c r="N746" s="38">
        <f>IFERROR(VLOOKUP($F746,bug_conf_sheet!$A:$H,3,FALSE),VLOOKUP("other",bug_conf_sheet!$A:$H,3,FALSE))</f>
        <v>1</v>
      </c>
      <c r="O746" s="38">
        <f>IFERROR(VLOOKUP($F746,bug_conf_sheet!$A:$H,4,FALSE),VLOOKUP("other",bug_conf_sheet!$A:$H,4,FALSE))</f>
        <v>0</v>
      </c>
      <c r="P746" s="38">
        <f>IFERROR(VLOOKUP($F746,bug_conf_sheet!$A:$H,5,FALSE),VLOOKUP("other",bug_conf_sheet!$A:$H,5,FALSE))</f>
        <v>0</v>
      </c>
      <c r="Q746" s="38">
        <f>IFERROR(VLOOKUP($F746,bug_conf_sheet!$A:$H,6,FALSE),VLOOKUP("other",bug_conf_sheet!$A:$H,6,FALSE))</f>
        <v>0</v>
      </c>
      <c r="R746" s="38">
        <f>IFERROR(VLOOKUP($F746,bug_conf_sheet!$A:$H,7,FALSE),VLOOKUP("other",bug_conf_sheet!$A:$H,7,FALSE))</f>
        <v>0</v>
      </c>
      <c r="S746" s="38">
        <f>IFERROR(VLOOKUP($F746,bug_conf_sheet!$A:$H,8,FALSE),VLOOKUP("other",bug_conf_sheet!$A:$H,8,FALSE))</f>
        <v>1</v>
      </c>
    </row>
    <row r="747" spans="1:19" ht="21" hidden="1" customHeight="1">
      <c r="A747" s="7" t="str">
        <f t="shared" si="65"/>
        <v>1880149</v>
      </c>
      <c r="B747" s="2" t="str">
        <f t="shared" si="64"/>
        <v>1880</v>
      </c>
      <c r="C747" s="8" t="str">
        <f t="shared" si="66"/>
        <v>0PremiumW4</v>
      </c>
      <c r="D747" s="8" t="str">
        <f t="shared" si="67"/>
        <v>0PremiumW4</v>
      </c>
      <c r="E747" s="10">
        <v>0</v>
      </c>
      <c r="F747" s="6">
        <v>149</v>
      </c>
      <c r="G747" s="8" t="str">
        <f>VLOOKUP(F747,[1]characters!$A:$C,3,FALSE)</f>
        <v>雷撃蹴技を極めし者 シンデレラ</v>
      </c>
      <c r="H747" s="8" t="str">
        <f>VLOOKUP(F747,[1]characters!$A:$J,10,FALSE)</f>
        <v>PremiumW</v>
      </c>
      <c r="I747" s="8">
        <f>VLOOKUP(F747,[1]characters!$A:$I,9,FALSE)</f>
        <v>4</v>
      </c>
      <c r="J747" s="8" t="str">
        <f>VLOOKUP(F747,[1]characters!$A:$H,8,FALSE)</f>
        <v>yellow</v>
      </c>
      <c r="K747" s="8" t="str">
        <f>VLOOKUP(F747,[1]characters!$A:$K,11,FALSE)</f>
        <v>balance</v>
      </c>
      <c r="L747" s="8" t="str">
        <f>VLOOKUP(F747,[1]characters!$A:$M,13,FALSE)</f>
        <v>human</v>
      </c>
      <c r="M747" s="16">
        <f>VLOOKUP(D747,gacha_188_base!A:B,2,FALSE)</f>
        <v>7792</v>
      </c>
      <c r="N747" s="38">
        <f>IFERROR(VLOOKUP($F747,bug_conf_sheet!$A:$H,3,FALSE),VLOOKUP("other",bug_conf_sheet!$A:$H,3,FALSE))</f>
        <v>1</v>
      </c>
      <c r="O747" s="38">
        <f>IFERROR(VLOOKUP($F747,bug_conf_sheet!$A:$H,4,FALSE),VLOOKUP("other",bug_conf_sheet!$A:$H,4,FALSE))</f>
        <v>0</v>
      </c>
      <c r="P747" s="38">
        <f>IFERROR(VLOOKUP($F747,bug_conf_sheet!$A:$H,5,FALSE),VLOOKUP("other",bug_conf_sheet!$A:$H,5,FALSE))</f>
        <v>0</v>
      </c>
      <c r="Q747" s="38">
        <f>IFERROR(VLOOKUP($F747,bug_conf_sheet!$A:$H,6,FALSE),VLOOKUP("other",bug_conf_sheet!$A:$H,6,FALSE))</f>
        <v>0</v>
      </c>
      <c r="R747" s="38">
        <f>IFERROR(VLOOKUP($F747,bug_conf_sheet!$A:$H,7,FALSE),VLOOKUP("other",bug_conf_sheet!$A:$H,7,FALSE))</f>
        <v>0</v>
      </c>
      <c r="S747" s="38">
        <f>IFERROR(VLOOKUP($F747,bug_conf_sheet!$A:$H,8,FALSE),VLOOKUP("other",bug_conf_sheet!$A:$H,8,FALSE))</f>
        <v>1</v>
      </c>
    </row>
    <row r="748" spans="1:19" ht="21" hidden="1" customHeight="1">
      <c r="A748" s="7" t="str">
        <f t="shared" si="65"/>
        <v>1880151</v>
      </c>
      <c r="B748" s="2" t="str">
        <f t="shared" si="64"/>
        <v>1880</v>
      </c>
      <c r="C748" s="8" t="str">
        <f t="shared" si="66"/>
        <v>0PremiumW4</v>
      </c>
      <c r="D748" s="8" t="str">
        <f t="shared" si="67"/>
        <v>0PremiumW4</v>
      </c>
      <c r="E748" s="10">
        <v>0</v>
      </c>
      <c r="F748" s="6">
        <v>151</v>
      </c>
      <c r="G748" s="8" t="str">
        <f>VLOOKUP(F748,[1]characters!$A:$C,3,FALSE)</f>
        <v>毒煙の処刑人サキ</v>
      </c>
      <c r="H748" s="8" t="str">
        <f>VLOOKUP(F748,[1]characters!$A:$J,10,FALSE)</f>
        <v>PremiumW</v>
      </c>
      <c r="I748" s="8">
        <f>VLOOKUP(F748,[1]characters!$A:$I,9,FALSE)</f>
        <v>4</v>
      </c>
      <c r="J748" s="8" t="str">
        <f>VLOOKUP(F748,[1]characters!$A:$H,8,FALSE)</f>
        <v>red</v>
      </c>
      <c r="K748" s="8" t="str">
        <f>VLOOKUP(F748,[1]characters!$A:$K,11,FALSE)</f>
        <v>technical</v>
      </c>
      <c r="L748" s="8" t="str">
        <f>VLOOKUP(F748,[1]characters!$A:$M,13,FALSE)</f>
        <v>human</v>
      </c>
      <c r="M748" s="16">
        <f>VLOOKUP(D748,gacha_188_base!A:B,2,FALSE)</f>
        <v>7792</v>
      </c>
      <c r="N748" s="38">
        <f>IFERROR(VLOOKUP($F748,bug_conf_sheet!$A:$H,3,FALSE),VLOOKUP("other",bug_conf_sheet!$A:$H,3,FALSE))</f>
        <v>1</v>
      </c>
      <c r="O748" s="38">
        <f>IFERROR(VLOOKUP($F748,bug_conf_sheet!$A:$H,4,FALSE),VLOOKUP("other",bug_conf_sheet!$A:$H,4,FALSE))</f>
        <v>0</v>
      </c>
      <c r="P748" s="38">
        <f>IFERROR(VLOOKUP($F748,bug_conf_sheet!$A:$H,5,FALSE),VLOOKUP("other",bug_conf_sheet!$A:$H,5,FALSE))</f>
        <v>0</v>
      </c>
      <c r="Q748" s="38">
        <f>IFERROR(VLOOKUP($F748,bug_conf_sheet!$A:$H,6,FALSE),VLOOKUP("other",bug_conf_sheet!$A:$H,6,FALSE))</f>
        <v>0</v>
      </c>
      <c r="R748" s="38">
        <f>IFERROR(VLOOKUP($F748,bug_conf_sheet!$A:$H,7,FALSE),VLOOKUP("other",bug_conf_sheet!$A:$H,7,FALSE))</f>
        <v>0</v>
      </c>
      <c r="S748" s="38">
        <f>IFERROR(VLOOKUP($F748,bug_conf_sheet!$A:$H,8,FALSE),VLOOKUP("other",bug_conf_sheet!$A:$H,8,FALSE))</f>
        <v>1</v>
      </c>
    </row>
    <row r="749" spans="1:19" ht="21" hidden="1" customHeight="1">
      <c r="A749" s="7" t="str">
        <f t="shared" si="65"/>
        <v>1880153</v>
      </c>
      <c r="B749" s="2" t="str">
        <f t="shared" si="64"/>
        <v>1880</v>
      </c>
      <c r="C749" s="8" t="str">
        <f t="shared" si="66"/>
        <v>0PremiumW4</v>
      </c>
      <c r="D749" s="8" t="str">
        <f t="shared" si="67"/>
        <v>0PremiumW4</v>
      </c>
      <c r="E749" s="10">
        <v>0</v>
      </c>
      <c r="F749" s="6">
        <v>153</v>
      </c>
      <c r="G749" s="8" t="str">
        <f>VLOOKUP(F749,[1]characters!$A:$C,3,FALSE)</f>
        <v>拳聖ランラン</v>
      </c>
      <c r="H749" s="8" t="str">
        <f>VLOOKUP(F749,[1]characters!$A:$J,10,FALSE)</f>
        <v>PremiumW</v>
      </c>
      <c r="I749" s="8">
        <f>VLOOKUP(F749,[1]characters!$A:$I,9,FALSE)</f>
        <v>4</v>
      </c>
      <c r="J749" s="8" t="str">
        <f>VLOOKUP(F749,[1]characters!$A:$H,8,FALSE)</f>
        <v>green</v>
      </c>
      <c r="K749" s="8" t="str">
        <f>VLOOKUP(F749,[1]characters!$A:$K,11,FALSE)</f>
        <v>heal</v>
      </c>
      <c r="L749" s="8" t="str">
        <f>VLOOKUP(F749,[1]characters!$A:$M,13,FALSE)</f>
        <v>human</v>
      </c>
      <c r="M749" s="16">
        <f>VLOOKUP(D749,gacha_188_base!A:B,2,FALSE)</f>
        <v>7792</v>
      </c>
      <c r="N749" s="38">
        <f>IFERROR(VLOOKUP($F749,bug_conf_sheet!$A:$H,3,FALSE),VLOOKUP("other",bug_conf_sheet!$A:$H,3,FALSE))</f>
        <v>1</v>
      </c>
      <c r="O749" s="38">
        <f>IFERROR(VLOOKUP($F749,bug_conf_sheet!$A:$H,4,FALSE),VLOOKUP("other",bug_conf_sheet!$A:$H,4,FALSE))</f>
        <v>0</v>
      </c>
      <c r="P749" s="38">
        <f>IFERROR(VLOOKUP($F749,bug_conf_sheet!$A:$H,5,FALSE),VLOOKUP("other",bug_conf_sheet!$A:$H,5,FALSE))</f>
        <v>0</v>
      </c>
      <c r="Q749" s="38">
        <f>IFERROR(VLOOKUP($F749,bug_conf_sheet!$A:$H,6,FALSE),VLOOKUP("other",bug_conf_sheet!$A:$H,6,FALSE))</f>
        <v>0</v>
      </c>
      <c r="R749" s="38">
        <f>IFERROR(VLOOKUP($F749,bug_conf_sheet!$A:$H,7,FALSE),VLOOKUP("other",bug_conf_sheet!$A:$H,7,FALSE))</f>
        <v>0</v>
      </c>
      <c r="S749" s="38">
        <f>IFERROR(VLOOKUP($F749,bug_conf_sheet!$A:$H,8,FALSE),VLOOKUP("other",bug_conf_sheet!$A:$H,8,FALSE))</f>
        <v>1</v>
      </c>
    </row>
    <row r="750" spans="1:19" ht="21" hidden="1" customHeight="1">
      <c r="A750" s="7" t="str">
        <f t="shared" si="65"/>
        <v>1880155</v>
      </c>
      <c r="B750" s="2" t="str">
        <f t="shared" si="64"/>
        <v>1880</v>
      </c>
      <c r="C750" s="8" t="str">
        <f t="shared" si="66"/>
        <v>0PremiumW4</v>
      </c>
      <c r="D750" s="8" t="str">
        <f t="shared" si="67"/>
        <v>0PremiumW4</v>
      </c>
      <c r="E750" s="10">
        <v>0</v>
      </c>
      <c r="F750" s="6">
        <v>155</v>
      </c>
      <c r="G750" s="8" t="str">
        <f>VLOOKUP(F750,[1]characters!$A:$C,3,FALSE)</f>
        <v>隻眼の掃除屋 ハンナ</v>
      </c>
      <c r="H750" s="8" t="str">
        <f>VLOOKUP(F750,[1]characters!$A:$J,10,FALSE)</f>
        <v>PremiumW</v>
      </c>
      <c r="I750" s="8">
        <f>VLOOKUP(F750,[1]characters!$A:$I,9,FALSE)</f>
        <v>4</v>
      </c>
      <c r="J750" s="8" t="str">
        <f>VLOOKUP(F750,[1]characters!$A:$H,8,FALSE)</f>
        <v>blue</v>
      </c>
      <c r="K750" s="8" t="str">
        <f>VLOOKUP(F750,[1]characters!$A:$K,11,FALSE)</f>
        <v>heal</v>
      </c>
      <c r="L750" s="8" t="str">
        <f>VLOOKUP(F750,[1]characters!$A:$M,13,FALSE)</f>
        <v>human</v>
      </c>
      <c r="M750" s="16">
        <f>VLOOKUP(D750,gacha_188_base!A:B,2,FALSE)</f>
        <v>7792</v>
      </c>
      <c r="N750" s="38">
        <f>IFERROR(VLOOKUP($F750,bug_conf_sheet!$A:$H,3,FALSE),VLOOKUP("other",bug_conf_sheet!$A:$H,3,FALSE))</f>
        <v>1</v>
      </c>
      <c r="O750" s="38">
        <f>IFERROR(VLOOKUP($F750,bug_conf_sheet!$A:$H,4,FALSE),VLOOKUP("other",bug_conf_sheet!$A:$H,4,FALSE))</f>
        <v>0</v>
      </c>
      <c r="P750" s="38">
        <f>IFERROR(VLOOKUP($F750,bug_conf_sheet!$A:$H,5,FALSE),VLOOKUP("other",bug_conf_sheet!$A:$H,5,FALSE))</f>
        <v>0</v>
      </c>
      <c r="Q750" s="38">
        <f>IFERROR(VLOOKUP($F750,bug_conf_sheet!$A:$H,6,FALSE),VLOOKUP("other",bug_conf_sheet!$A:$H,6,FALSE))</f>
        <v>0</v>
      </c>
      <c r="R750" s="38">
        <f>IFERROR(VLOOKUP($F750,bug_conf_sheet!$A:$H,7,FALSE),VLOOKUP("other",bug_conf_sheet!$A:$H,7,FALSE))</f>
        <v>0</v>
      </c>
      <c r="S750" s="38">
        <f>IFERROR(VLOOKUP($F750,bug_conf_sheet!$A:$H,8,FALSE),VLOOKUP("other",bug_conf_sheet!$A:$H,8,FALSE))</f>
        <v>1</v>
      </c>
    </row>
    <row r="751" spans="1:19" ht="21" hidden="1" customHeight="1">
      <c r="A751" s="7" t="str">
        <f t="shared" si="65"/>
        <v>1880157</v>
      </c>
      <c r="B751" s="2" t="str">
        <f t="shared" si="64"/>
        <v>1880</v>
      </c>
      <c r="C751" s="8" t="str">
        <f t="shared" si="66"/>
        <v>0PremiumW4</v>
      </c>
      <c r="D751" s="8" t="str">
        <f t="shared" si="67"/>
        <v>0PremiumW4</v>
      </c>
      <c r="E751" s="10">
        <v>0</v>
      </c>
      <c r="F751" s="6">
        <v>157</v>
      </c>
      <c r="G751" s="8" t="str">
        <f>VLOOKUP(F751,[1]characters!$A:$C,3,FALSE)</f>
        <v>雷光舞姫 エレナ</v>
      </c>
      <c r="H751" s="8" t="str">
        <f>VLOOKUP(F751,[1]characters!$A:$J,10,FALSE)</f>
        <v>PremiumW</v>
      </c>
      <c r="I751" s="8">
        <f>VLOOKUP(F751,[1]characters!$A:$I,9,FALSE)</f>
        <v>4</v>
      </c>
      <c r="J751" s="8" t="str">
        <f>VLOOKUP(F751,[1]characters!$A:$H,8,FALSE)</f>
        <v>yellow</v>
      </c>
      <c r="K751" s="8" t="str">
        <f>VLOOKUP(F751,[1]characters!$A:$K,11,FALSE)</f>
        <v>heal</v>
      </c>
      <c r="L751" s="8" t="str">
        <f>VLOOKUP(F751,[1]characters!$A:$M,13,FALSE)</f>
        <v>human</v>
      </c>
      <c r="M751" s="16">
        <f>VLOOKUP(D751,gacha_188_base!A:B,2,FALSE)</f>
        <v>7792</v>
      </c>
      <c r="N751" s="38">
        <f>IFERROR(VLOOKUP($F751,bug_conf_sheet!$A:$H,3,FALSE),VLOOKUP("other",bug_conf_sheet!$A:$H,3,FALSE))</f>
        <v>1</v>
      </c>
      <c r="O751" s="38">
        <f>IFERROR(VLOOKUP($F751,bug_conf_sheet!$A:$H,4,FALSE),VLOOKUP("other",bug_conf_sheet!$A:$H,4,FALSE))</f>
        <v>0</v>
      </c>
      <c r="P751" s="38">
        <f>IFERROR(VLOOKUP($F751,bug_conf_sheet!$A:$H,5,FALSE),VLOOKUP("other",bug_conf_sheet!$A:$H,5,FALSE))</f>
        <v>0</v>
      </c>
      <c r="Q751" s="38">
        <f>IFERROR(VLOOKUP($F751,bug_conf_sheet!$A:$H,6,FALSE),VLOOKUP("other",bug_conf_sheet!$A:$H,6,FALSE))</f>
        <v>0</v>
      </c>
      <c r="R751" s="38">
        <f>IFERROR(VLOOKUP($F751,bug_conf_sheet!$A:$H,7,FALSE),VLOOKUP("other",bug_conf_sheet!$A:$H,7,FALSE))</f>
        <v>0</v>
      </c>
      <c r="S751" s="38">
        <f>IFERROR(VLOOKUP($F751,bug_conf_sheet!$A:$H,8,FALSE),VLOOKUP("other",bug_conf_sheet!$A:$H,8,FALSE))</f>
        <v>1</v>
      </c>
    </row>
    <row r="752" spans="1:19" ht="21" hidden="1" customHeight="1">
      <c r="A752" s="7" t="str">
        <f t="shared" si="65"/>
        <v>1880159</v>
      </c>
      <c r="B752" s="2" t="str">
        <f t="shared" si="64"/>
        <v>1880</v>
      </c>
      <c r="C752" s="8" t="str">
        <f t="shared" si="66"/>
        <v>0PremiumW4</v>
      </c>
      <c r="D752" s="8" t="str">
        <f t="shared" si="67"/>
        <v>0PremiumW4</v>
      </c>
      <c r="E752" s="10">
        <v>0</v>
      </c>
      <c r="F752" s="6">
        <v>159</v>
      </c>
      <c r="G752" s="8" t="str">
        <f>VLOOKUP(F752,[1]characters!$A:$C,3,FALSE)</f>
        <v>邪を狩りし者 シャルロッテ</v>
      </c>
      <c r="H752" s="8" t="str">
        <f>VLOOKUP(F752,[1]characters!$A:$J,10,FALSE)</f>
        <v>PremiumW</v>
      </c>
      <c r="I752" s="8">
        <f>VLOOKUP(F752,[1]characters!$A:$I,9,FALSE)</f>
        <v>4</v>
      </c>
      <c r="J752" s="8" t="str">
        <f>VLOOKUP(F752,[1]characters!$A:$H,8,FALSE)</f>
        <v>red</v>
      </c>
      <c r="K752" s="8" t="str">
        <f>VLOOKUP(F752,[1]characters!$A:$K,11,FALSE)</f>
        <v>heal</v>
      </c>
      <c r="L752" s="8" t="str">
        <f>VLOOKUP(F752,[1]characters!$A:$M,13,FALSE)</f>
        <v>human</v>
      </c>
      <c r="M752" s="16">
        <f>VLOOKUP(D752,gacha_188_base!A:B,2,FALSE)</f>
        <v>7792</v>
      </c>
      <c r="N752" s="38">
        <f>IFERROR(VLOOKUP($F752,bug_conf_sheet!$A:$H,3,FALSE),VLOOKUP("other",bug_conf_sheet!$A:$H,3,FALSE))</f>
        <v>1</v>
      </c>
      <c r="O752" s="38">
        <f>IFERROR(VLOOKUP($F752,bug_conf_sheet!$A:$H,4,FALSE),VLOOKUP("other",bug_conf_sheet!$A:$H,4,FALSE))</f>
        <v>0</v>
      </c>
      <c r="P752" s="38">
        <f>IFERROR(VLOOKUP($F752,bug_conf_sheet!$A:$H,5,FALSE),VLOOKUP("other",bug_conf_sheet!$A:$H,5,FALSE))</f>
        <v>0</v>
      </c>
      <c r="Q752" s="38">
        <f>IFERROR(VLOOKUP($F752,bug_conf_sheet!$A:$H,6,FALSE),VLOOKUP("other",bug_conf_sheet!$A:$H,6,FALSE))</f>
        <v>0</v>
      </c>
      <c r="R752" s="38">
        <f>IFERROR(VLOOKUP($F752,bug_conf_sheet!$A:$H,7,FALSE),VLOOKUP("other",bug_conf_sheet!$A:$H,7,FALSE))</f>
        <v>0</v>
      </c>
      <c r="S752" s="38">
        <f>IFERROR(VLOOKUP($F752,bug_conf_sheet!$A:$H,8,FALSE),VLOOKUP("other",bug_conf_sheet!$A:$H,8,FALSE))</f>
        <v>1</v>
      </c>
    </row>
    <row r="753" spans="1:19" ht="21" hidden="1" customHeight="1">
      <c r="A753" s="7" t="str">
        <f t="shared" si="65"/>
        <v>1880161</v>
      </c>
      <c r="B753" s="2" t="str">
        <f t="shared" si="64"/>
        <v>1880</v>
      </c>
      <c r="C753" s="8" t="str">
        <f t="shared" si="66"/>
        <v>0PremiumW4</v>
      </c>
      <c r="D753" s="8" t="str">
        <f t="shared" si="67"/>
        <v>0PremiumW4</v>
      </c>
      <c r="E753" s="10">
        <v>0</v>
      </c>
      <c r="F753" s="6">
        <v>161</v>
      </c>
      <c r="G753" s="8" t="str">
        <f>VLOOKUP(F753,[1]characters!$A:$C,3,FALSE)</f>
        <v>咆哮の先導者 クリエ</v>
      </c>
      <c r="H753" s="8" t="str">
        <f>VLOOKUP(F753,[1]characters!$A:$J,10,FALSE)</f>
        <v>PremiumW</v>
      </c>
      <c r="I753" s="8">
        <f>VLOOKUP(F753,[1]characters!$A:$I,9,FALSE)</f>
        <v>4</v>
      </c>
      <c r="J753" s="8" t="str">
        <f>VLOOKUP(F753,[1]characters!$A:$H,8,FALSE)</f>
        <v>green</v>
      </c>
      <c r="K753" s="8" t="str">
        <f>VLOOKUP(F753,[1]characters!$A:$K,11,FALSE)</f>
        <v>balance</v>
      </c>
      <c r="L753" s="8" t="str">
        <f>VLOOKUP(F753,[1]characters!$A:$M,13,FALSE)</f>
        <v>human</v>
      </c>
      <c r="M753" s="16">
        <f>VLOOKUP(D753,gacha_188_base!A:B,2,FALSE)</f>
        <v>7792</v>
      </c>
      <c r="N753" s="38">
        <f>IFERROR(VLOOKUP($F753,bug_conf_sheet!$A:$H,3,FALSE),VLOOKUP("other",bug_conf_sheet!$A:$H,3,FALSE))</f>
        <v>1</v>
      </c>
      <c r="O753" s="38">
        <f>IFERROR(VLOOKUP($F753,bug_conf_sheet!$A:$H,4,FALSE),VLOOKUP("other",bug_conf_sheet!$A:$H,4,FALSE))</f>
        <v>0</v>
      </c>
      <c r="P753" s="38">
        <f>IFERROR(VLOOKUP($F753,bug_conf_sheet!$A:$H,5,FALSE),VLOOKUP("other",bug_conf_sheet!$A:$H,5,FALSE))</f>
        <v>0</v>
      </c>
      <c r="Q753" s="38">
        <f>IFERROR(VLOOKUP($F753,bug_conf_sheet!$A:$H,6,FALSE),VLOOKUP("other",bug_conf_sheet!$A:$H,6,FALSE))</f>
        <v>0</v>
      </c>
      <c r="R753" s="38">
        <f>IFERROR(VLOOKUP($F753,bug_conf_sheet!$A:$H,7,FALSE),VLOOKUP("other",bug_conf_sheet!$A:$H,7,FALSE))</f>
        <v>0</v>
      </c>
      <c r="S753" s="38">
        <f>IFERROR(VLOOKUP($F753,bug_conf_sheet!$A:$H,8,FALSE),VLOOKUP("other",bug_conf_sheet!$A:$H,8,FALSE))</f>
        <v>1</v>
      </c>
    </row>
    <row r="754" spans="1:19" ht="21" hidden="1" customHeight="1">
      <c r="A754" s="7" t="str">
        <f t="shared" si="65"/>
        <v>1880163</v>
      </c>
      <c r="B754" s="2" t="str">
        <f t="shared" si="64"/>
        <v>1880</v>
      </c>
      <c r="C754" s="8" t="str">
        <f t="shared" si="66"/>
        <v>0PremiumW4</v>
      </c>
      <c r="D754" s="8" t="str">
        <f t="shared" si="67"/>
        <v>0PremiumW4</v>
      </c>
      <c r="E754" s="10">
        <v>0</v>
      </c>
      <c r="F754" s="6">
        <v>163</v>
      </c>
      <c r="G754" s="8" t="str">
        <f>VLOOKUP(F754,[1]characters!$A:$C,3,FALSE)</f>
        <v>冷酷な狂嬢 クララ</v>
      </c>
      <c r="H754" s="8" t="str">
        <f>VLOOKUP(F754,[1]characters!$A:$J,10,FALSE)</f>
        <v>PremiumW</v>
      </c>
      <c r="I754" s="8">
        <f>VLOOKUP(F754,[1]characters!$A:$I,9,FALSE)</f>
        <v>4</v>
      </c>
      <c r="J754" s="8" t="str">
        <f>VLOOKUP(F754,[1]characters!$A:$H,8,FALSE)</f>
        <v>blue</v>
      </c>
      <c r="K754" s="8" t="str">
        <f>VLOOKUP(F754,[1]characters!$A:$K,11,FALSE)</f>
        <v>attack</v>
      </c>
      <c r="L754" s="8" t="str">
        <f>VLOOKUP(F754,[1]characters!$A:$M,13,FALSE)</f>
        <v>human</v>
      </c>
      <c r="M754" s="16">
        <f>VLOOKUP(D754,gacha_188_base!A:B,2,FALSE)</f>
        <v>7792</v>
      </c>
      <c r="N754" s="38">
        <f>IFERROR(VLOOKUP($F754,bug_conf_sheet!$A:$H,3,FALSE),VLOOKUP("other",bug_conf_sheet!$A:$H,3,FALSE))</f>
        <v>1</v>
      </c>
      <c r="O754" s="38">
        <f>IFERROR(VLOOKUP($F754,bug_conf_sheet!$A:$H,4,FALSE),VLOOKUP("other",bug_conf_sheet!$A:$H,4,FALSE))</f>
        <v>0</v>
      </c>
      <c r="P754" s="38">
        <f>IFERROR(VLOOKUP($F754,bug_conf_sheet!$A:$H,5,FALSE),VLOOKUP("other",bug_conf_sheet!$A:$H,5,FALSE))</f>
        <v>0</v>
      </c>
      <c r="Q754" s="38">
        <f>IFERROR(VLOOKUP($F754,bug_conf_sheet!$A:$H,6,FALSE),VLOOKUP("other",bug_conf_sheet!$A:$H,6,FALSE))</f>
        <v>0</v>
      </c>
      <c r="R754" s="38">
        <f>IFERROR(VLOOKUP($F754,bug_conf_sheet!$A:$H,7,FALSE),VLOOKUP("other",bug_conf_sheet!$A:$H,7,FALSE))</f>
        <v>0</v>
      </c>
      <c r="S754" s="38">
        <f>IFERROR(VLOOKUP($F754,bug_conf_sheet!$A:$H,8,FALSE),VLOOKUP("other",bug_conf_sheet!$A:$H,8,FALSE))</f>
        <v>1</v>
      </c>
    </row>
    <row r="755" spans="1:19" ht="21" hidden="1" customHeight="1">
      <c r="A755" s="7" t="str">
        <f t="shared" si="65"/>
        <v>1880165</v>
      </c>
      <c r="B755" s="2" t="str">
        <f t="shared" si="64"/>
        <v>1880</v>
      </c>
      <c r="C755" s="8" t="str">
        <f t="shared" si="66"/>
        <v>0PremiumW4</v>
      </c>
      <c r="D755" s="8" t="str">
        <f t="shared" si="67"/>
        <v>0PremiumW4</v>
      </c>
      <c r="E755" s="10">
        <v>0</v>
      </c>
      <c r="F755" s="6">
        <v>165</v>
      </c>
      <c r="G755" s="8" t="str">
        <f>VLOOKUP(F755,[1]characters!$A:$C,3,FALSE)</f>
        <v>イブとたったひとりのトモダチ</v>
      </c>
      <c r="H755" s="8" t="str">
        <f>VLOOKUP(F755,[1]characters!$A:$J,10,FALSE)</f>
        <v>PremiumW</v>
      </c>
      <c r="I755" s="8">
        <f>VLOOKUP(F755,[1]characters!$A:$I,9,FALSE)</f>
        <v>4</v>
      </c>
      <c r="J755" s="8" t="str">
        <f>VLOOKUP(F755,[1]characters!$A:$H,8,FALSE)</f>
        <v>yellow</v>
      </c>
      <c r="K755" s="8" t="str">
        <f>VLOOKUP(F755,[1]characters!$A:$K,11,FALSE)</f>
        <v>technical</v>
      </c>
      <c r="L755" s="8" t="str">
        <f>VLOOKUP(F755,[1]characters!$A:$M,13,FALSE)</f>
        <v>human</v>
      </c>
      <c r="M755" s="16">
        <f>VLOOKUP(D755,gacha_188_base!A:B,2,FALSE)</f>
        <v>7792</v>
      </c>
      <c r="N755" s="38">
        <f>IFERROR(VLOOKUP($F755,bug_conf_sheet!$A:$H,3,FALSE),VLOOKUP("other",bug_conf_sheet!$A:$H,3,FALSE))</f>
        <v>1</v>
      </c>
      <c r="O755" s="38">
        <f>IFERROR(VLOOKUP($F755,bug_conf_sheet!$A:$H,4,FALSE),VLOOKUP("other",bug_conf_sheet!$A:$H,4,FALSE))</f>
        <v>0</v>
      </c>
      <c r="P755" s="38">
        <f>IFERROR(VLOOKUP($F755,bug_conf_sheet!$A:$H,5,FALSE),VLOOKUP("other",bug_conf_sheet!$A:$H,5,FALSE))</f>
        <v>0</v>
      </c>
      <c r="Q755" s="38">
        <f>IFERROR(VLOOKUP($F755,bug_conf_sheet!$A:$H,6,FALSE),VLOOKUP("other",bug_conf_sheet!$A:$H,6,FALSE))</f>
        <v>0</v>
      </c>
      <c r="R755" s="38">
        <f>IFERROR(VLOOKUP($F755,bug_conf_sheet!$A:$H,7,FALSE),VLOOKUP("other",bug_conf_sheet!$A:$H,7,FALSE))</f>
        <v>0</v>
      </c>
      <c r="S755" s="38">
        <f>IFERROR(VLOOKUP($F755,bug_conf_sheet!$A:$H,8,FALSE),VLOOKUP("other",bug_conf_sheet!$A:$H,8,FALSE))</f>
        <v>1</v>
      </c>
    </row>
    <row r="756" spans="1:19" ht="21" hidden="1" customHeight="1">
      <c r="A756" s="7" t="str">
        <f t="shared" si="65"/>
        <v>1880167</v>
      </c>
      <c r="B756" s="2" t="str">
        <f t="shared" si="64"/>
        <v>1880</v>
      </c>
      <c r="C756" s="8" t="str">
        <f t="shared" si="66"/>
        <v>0PremiumN4</v>
      </c>
      <c r="D756" s="8" t="str">
        <f t="shared" si="67"/>
        <v>0PremiumN4</v>
      </c>
      <c r="E756" s="10">
        <v>0</v>
      </c>
      <c r="F756" s="6">
        <v>167</v>
      </c>
      <c r="G756" s="8" t="str">
        <f>VLOOKUP(F756,[1]characters!$A:$C,3,FALSE)</f>
        <v>逆徒 ベリアル</v>
      </c>
      <c r="H756" s="8" t="str">
        <f>VLOOKUP(F756,[1]characters!$A:$J,10,FALSE)</f>
        <v>PremiumN</v>
      </c>
      <c r="I756" s="8">
        <f>VLOOKUP(F756,[1]characters!$A:$I,9,FALSE)</f>
        <v>4</v>
      </c>
      <c r="J756" s="8" t="str">
        <f>VLOOKUP(F756,[1]characters!$A:$H,8,FALSE)</f>
        <v>red</v>
      </c>
      <c r="K756" s="8" t="str">
        <f>VLOOKUP(F756,[1]characters!$A:$K,11,FALSE)</f>
        <v>attack</v>
      </c>
      <c r="L756" s="8" t="str">
        <f>VLOOKUP(F756,[1]characters!$A:$M,13,FALSE)</f>
        <v>god</v>
      </c>
      <c r="M756" s="16">
        <f>VLOOKUP(D756,gacha_188_base!A:B,2,FALSE)</f>
        <v>14648</v>
      </c>
      <c r="N756" s="38">
        <f>IFERROR(VLOOKUP($F756,bug_conf_sheet!$A:$H,3,FALSE),VLOOKUP("other",bug_conf_sheet!$A:$H,3,FALSE))</f>
        <v>1</v>
      </c>
      <c r="O756" s="38">
        <f>IFERROR(VLOOKUP($F756,bug_conf_sheet!$A:$H,4,FALSE),VLOOKUP("other",bug_conf_sheet!$A:$H,4,FALSE))</f>
        <v>0</v>
      </c>
      <c r="P756" s="38">
        <f>IFERROR(VLOOKUP($F756,bug_conf_sheet!$A:$H,5,FALSE),VLOOKUP("other",bug_conf_sheet!$A:$H,5,FALSE))</f>
        <v>0</v>
      </c>
      <c r="Q756" s="38">
        <f>IFERROR(VLOOKUP($F756,bug_conf_sheet!$A:$H,6,FALSE),VLOOKUP("other",bug_conf_sheet!$A:$H,6,FALSE))</f>
        <v>0</v>
      </c>
      <c r="R756" s="38">
        <f>IFERROR(VLOOKUP($F756,bug_conf_sheet!$A:$H,7,FALSE),VLOOKUP("other",bug_conf_sheet!$A:$H,7,FALSE))</f>
        <v>0</v>
      </c>
      <c r="S756" s="38">
        <f>IFERROR(VLOOKUP($F756,bug_conf_sheet!$A:$H,8,FALSE),VLOOKUP("other",bug_conf_sheet!$A:$H,8,FALSE))</f>
        <v>1</v>
      </c>
    </row>
    <row r="757" spans="1:19" ht="21" customHeight="1">
      <c r="A757" s="7" t="str">
        <f t="shared" si="65"/>
        <v>1880168</v>
      </c>
      <c r="B757" s="2" t="str">
        <f t="shared" si="64"/>
        <v>1880</v>
      </c>
      <c r="C757" s="8" t="str">
        <f t="shared" si="66"/>
        <v>0PremiumN5</v>
      </c>
      <c r="D757" s="8" t="str">
        <f t="shared" si="67"/>
        <v>0PremiumN5</v>
      </c>
      <c r="E757" s="10">
        <v>0</v>
      </c>
      <c r="F757" s="6">
        <v>168</v>
      </c>
      <c r="G757" s="8" t="str">
        <f>VLOOKUP(F757,[1]characters!$A:$C,3,FALSE)</f>
        <v>猛進の大逆者 ベリアル</v>
      </c>
      <c r="H757" s="8" t="str">
        <f>VLOOKUP(F757,[1]characters!$A:$J,10,FALSE)</f>
        <v>PremiumN</v>
      </c>
      <c r="I757" s="8">
        <f>VLOOKUP(F757,[1]characters!$A:$I,9,FALSE)</f>
        <v>5</v>
      </c>
      <c r="J757" s="8" t="str">
        <f>VLOOKUP(F757,[1]characters!$A:$H,8,FALSE)</f>
        <v>red</v>
      </c>
      <c r="K757" s="8" t="str">
        <f>VLOOKUP(F757,[1]characters!$A:$K,11,FALSE)</f>
        <v>attack</v>
      </c>
      <c r="L757" s="8" t="str">
        <f>VLOOKUP(F757,[1]characters!$A:$M,13,FALSE)</f>
        <v>god</v>
      </c>
      <c r="M757" s="16">
        <f>VLOOKUP(D757,gacha_188_base!A:B,2,FALSE)</f>
        <v>935</v>
      </c>
      <c r="N757" s="38">
        <f>IFERROR(VLOOKUP($F757,bug_conf_sheet!$A:$H,3,FALSE),VLOOKUP("other",bug_conf_sheet!$A:$H,3,FALSE))</f>
        <v>1</v>
      </c>
      <c r="O757" s="38">
        <f>IFERROR(VLOOKUP($F757,bug_conf_sheet!$A:$H,4,FALSE),VLOOKUP("other",bug_conf_sheet!$A:$H,4,FALSE))</f>
        <v>0</v>
      </c>
      <c r="P757" s="38">
        <f>IFERROR(VLOOKUP($F757,bug_conf_sheet!$A:$H,5,FALSE),VLOOKUP("other",bug_conf_sheet!$A:$H,5,FALSE))</f>
        <v>0</v>
      </c>
      <c r="Q757" s="38">
        <f>IFERROR(VLOOKUP($F757,bug_conf_sheet!$A:$H,6,FALSE),VLOOKUP("other",bug_conf_sheet!$A:$H,6,FALSE))</f>
        <v>0</v>
      </c>
      <c r="R757" s="38">
        <f>IFERROR(VLOOKUP($F757,bug_conf_sheet!$A:$H,7,FALSE),VLOOKUP("other",bug_conf_sheet!$A:$H,7,FALSE))</f>
        <v>0</v>
      </c>
      <c r="S757" s="38">
        <f>IFERROR(VLOOKUP($F757,bug_conf_sheet!$A:$H,8,FALSE),VLOOKUP("other",bug_conf_sheet!$A:$H,8,FALSE))</f>
        <v>1</v>
      </c>
    </row>
    <row r="758" spans="1:19" ht="21" hidden="1" customHeight="1">
      <c r="A758" s="7" t="str">
        <f t="shared" si="65"/>
        <v>1880170</v>
      </c>
      <c r="B758" s="2" t="str">
        <f t="shared" si="64"/>
        <v>1880</v>
      </c>
      <c r="C758" s="8" t="str">
        <f t="shared" si="66"/>
        <v>0PremiumN4</v>
      </c>
      <c r="D758" s="8" t="str">
        <f t="shared" si="67"/>
        <v>0PremiumN4</v>
      </c>
      <c r="E758" s="10">
        <v>0</v>
      </c>
      <c r="F758" s="6">
        <v>170</v>
      </c>
      <c r="G758" s="8" t="str">
        <f>VLOOKUP(F758,[1]characters!$A:$C,3,FALSE)</f>
        <v>識徒 オセ</v>
      </c>
      <c r="H758" s="8" t="str">
        <f>VLOOKUP(F758,[1]characters!$A:$J,10,FALSE)</f>
        <v>PremiumN</v>
      </c>
      <c r="I758" s="8">
        <f>VLOOKUP(F758,[1]characters!$A:$I,9,FALSE)</f>
        <v>4</v>
      </c>
      <c r="J758" s="8" t="str">
        <f>VLOOKUP(F758,[1]characters!$A:$H,8,FALSE)</f>
        <v>green</v>
      </c>
      <c r="K758" s="8" t="str">
        <f>VLOOKUP(F758,[1]characters!$A:$K,11,FALSE)</f>
        <v>attack</v>
      </c>
      <c r="L758" s="8" t="str">
        <f>VLOOKUP(F758,[1]characters!$A:$M,13,FALSE)</f>
        <v>god</v>
      </c>
      <c r="M758" s="16">
        <f>VLOOKUP(D758,gacha_188_base!A:B,2,FALSE)</f>
        <v>14648</v>
      </c>
      <c r="N758" s="38">
        <f>IFERROR(VLOOKUP($F758,bug_conf_sheet!$A:$H,3,FALSE),VLOOKUP("other",bug_conf_sheet!$A:$H,3,FALSE))</f>
        <v>1</v>
      </c>
      <c r="O758" s="38">
        <f>IFERROR(VLOOKUP($F758,bug_conf_sheet!$A:$H,4,FALSE),VLOOKUP("other",bug_conf_sheet!$A:$H,4,FALSE))</f>
        <v>0</v>
      </c>
      <c r="P758" s="38">
        <f>IFERROR(VLOOKUP($F758,bug_conf_sheet!$A:$H,5,FALSE),VLOOKUP("other",bug_conf_sheet!$A:$H,5,FALSE))</f>
        <v>0</v>
      </c>
      <c r="Q758" s="38">
        <f>IFERROR(VLOOKUP($F758,bug_conf_sheet!$A:$H,6,FALSE),VLOOKUP("other",bug_conf_sheet!$A:$H,6,FALSE))</f>
        <v>0</v>
      </c>
      <c r="R758" s="38">
        <f>IFERROR(VLOOKUP($F758,bug_conf_sheet!$A:$H,7,FALSE),VLOOKUP("other",bug_conf_sheet!$A:$H,7,FALSE))</f>
        <v>0</v>
      </c>
      <c r="S758" s="38">
        <f>IFERROR(VLOOKUP($F758,bug_conf_sheet!$A:$H,8,FALSE),VLOOKUP("other",bug_conf_sheet!$A:$H,8,FALSE))</f>
        <v>1</v>
      </c>
    </row>
    <row r="759" spans="1:19" ht="21" customHeight="1">
      <c r="A759" s="7" t="str">
        <f t="shared" si="65"/>
        <v>1880171</v>
      </c>
      <c r="B759" s="2" t="str">
        <f t="shared" si="64"/>
        <v>1880</v>
      </c>
      <c r="C759" s="8" t="str">
        <f t="shared" si="66"/>
        <v>0PremiumN5</v>
      </c>
      <c r="D759" s="8" t="str">
        <f t="shared" si="67"/>
        <v>0PremiumN5</v>
      </c>
      <c r="E759" s="10">
        <v>0</v>
      </c>
      <c r="F759" s="6">
        <v>171</v>
      </c>
      <c r="G759" s="8" t="str">
        <f>VLOOKUP(F759,[1]characters!$A:$C,3,FALSE)</f>
        <v>精解の預知者 オセ</v>
      </c>
      <c r="H759" s="8" t="str">
        <f>VLOOKUP(F759,[1]characters!$A:$J,10,FALSE)</f>
        <v>PremiumN</v>
      </c>
      <c r="I759" s="8">
        <f>VLOOKUP(F759,[1]characters!$A:$I,9,FALSE)</f>
        <v>5</v>
      </c>
      <c r="J759" s="8" t="str">
        <f>VLOOKUP(F759,[1]characters!$A:$H,8,FALSE)</f>
        <v>green</v>
      </c>
      <c r="K759" s="8" t="str">
        <f>VLOOKUP(F759,[1]characters!$A:$K,11,FALSE)</f>
        <v>attack</v>
      </c>
      <c r="L759" s="8" t="str">
        <f>VLOOKUP(F759,[1]characters!$A:$M,13,FALSE)</f>
        <v>god</v>
      </c>
      <c r="M759" s="16">
        <f>VLOOKUP(D759,gacha_188_base!A:B,2,FALSE)</f>
        <v>935</v>
      </c>
      <c r="N759" s="38">
        <f>IFERROR(VLOOKUP($F759,bug_conf_sheet!$A:$H,3,FALSE),VLOOKUP("other",bug_conf_sheet!$A:$H,3,FALSE))</f>
        <v>1</v>
      </c>
      <c r="O759" s="38">
        <f>IFERROR(VLOOKUP($F759,bug_conf_sheet!$A:$H,4,FALSE),VLOOKUP("other",bug_conf_sheet!$A:$H,4,FALSE))</f>
        <v>0</v>
      </c>
      <c r="P759" s="38">
        <f>IFERROR(VLOOKUP($F759,bug_conf_sheet!$A:$H,5,FALSE),VLOOKUP("other",bug_conf_sheet!$A:$H,5,FALSE))</f>
        <v>0</v>
      </c>
      <c r="Q759" s="38">
        <f>IFERROR(VLOOKUP($F759,bug_conf_sheet!$A:$H,6,FALSE),VLOOKUP("other",bug_conf_sheet!$A:$H,6,FALSE))</f>
        <v>0</v>
      </c>
      <c r="R759" s="38">
        <f>IFERROR(VLOOKUP($F759,bug_conf_sheet!$A:$H,7,FALSE),VLOOKUP("other",bug_conf_sheet!$A:$H,7,FALSE))</f>
        <v>0</v>
      </c>
      <c r="S759" s="38">
        <f>IFERROR(VLOOKUP($F759,bug_conf_sheet!$A:$H,8,FALSE),VLOOKUP("other",bug_conf_sheet!$A:$H,8,FALSE))</f>
        <v>1</v>
      </c>
    </row>
    <row r="760" spans="1:19" ht="21" hidden="1" customHeight="1">
      <c r="A760" s="7" t="str">
        <f t="shared" si="65"/>
        <v>1880173</v>
      </c>
      <c r="B760" s="2" t="str">
        <f t="shared" si="64"/>
        <v>1880</v>
      </c>
      <c r="C760" s="8" t="str">
        <f t="shared" si="66"/>
        <v>0PremiumN4</v>
      </c>
      <c r="D760" s="8" t="str">
        <f t="shared" si="67"/>
        <v>0PremiumN4</v>
      </c>
      <c r="E760" s="10">
        <v>0</v>
      </c>
      <c r="F760" s="6">
        <v>173</v>
      </c>
      <c r="G760" s="8" t="str">
        <f>VLOOKUP(F760,[1]characters!$A:$C,3,FALSE)</f>
        <v>公爵 フォルネウス</v>
      </c>
      <c r="H760" s="8" t="str">
        <f>VLOOKUP(F760,[1]characters!$A:$J,10,FALSE)</f>
        <v>PremiumN</v>
      </c>
      <c r="I760" s="8">
        <f>VLOOKUP(F760,[1]characters!$A:$I,9,FALSE)</f>
        <v>4</v>
      </c>
      <c r="J760" s="8" t="str">
        <f>VLOOKUP(F760,[1]characters!$A:$H,8,FALSE)</f>
        <v>blue</v>
      </c>
      <c r="K760" s="8" t="str">
        <f>VLOOKUP(F760,[1]characters!$A:$K,11,FALSE)</f>
        <v>attack</v>
      </c>
      <c r="L760" s="8" t="str">
        <f>VLOOKUP(F760,[1]characters!$A:$M,13,FALSE)</f>
        <v>god</v>
      </c>
      <c r="M760" s="16">
        <f>VLOOKUP(D760,gacha_188_base!A:B,2,FALSE)</f>
        <v>14648</v>
      </c>
      <c r="N760" s="38">
        <f>IFERROR(VLOOKUP($F760,bug_conf_sheet!$A:$H,3,FALSE),VLOOKUP("other",bug_conf_sheet!$A:$H,3,FALSE))</f>
        <v>1</v>
      </c>
      <c r="O760" s="38">
        <f>IFERROR(VLOOKUP($F760,bug_conf_sheet!$A:$H,4,FALSE),VLOOKUP("other",bug_conf_sheet!$A:$H,4,FALSE))</f>
        <v>0</v>
      </c>
      <c r="P760" s="38">
        <f>IFERROR(VLOOKUP($F760,bug_conf_sheet!$A:$H,5,FALSE),VLOOKUP("other",bug_conf_sheet!$A:$H,5,FALSE))</f>
        <v>0</v>
      </c>
      <c r="Q760" s="38">
        <f>IFERROR(VLOOKUP($F760,bug_conf_sheet!$A:$H,6,FALSE),VLOOKUP("other",bug_conf_sheet!$A:$H,6,FALSE))</f>
        <v>0</v>
      </c>
      <c r="R760" s="38">
        <f>IFERROR(VLOOKUP($F760,bug_conf_sheet!$A:$H,7,FALSE),VLOOKUP("other",bug_conf_sheet!$A:$H,7,FALSE))</f>
        <v>0</v>
      </c>
      <c r="S760" s="38">
        <f>IFERROR(VLOOKUP($F760,bug_conf_sheet!$A:$H,8,FALSE),VLOOKUP("other",bug_conf_sheet!$A:$H,8,FALSE))</f>
        <v>1</v>
      </c>
    </row>
    <row r="761" spans="1:19" ht="21" customHeight="1">
      <c r="A761" s="7" t="str">
        <f t="shared" si="65"/>
        <v>1880174</v>
      </c>
      <c r="B761" s="2" t="str">
        <f t="shared" si="64"/>
        <v>1880</v>
      </c>
      <c r="C761" s="8" t="str">
        <f t="shared" si="66"/>
        <v>0PremiumN5</v>
      </c>
      <c r="D761" s="8" t="str">
        <f t="shared" si="67"/>
        <v>0PremiumN5</v>
      </c>
      <c r="E761" s="10">
        <v>0</v>
      </c>
      <c r="F761" s="6">
        <v>174</v>
      </c>
      <c r="G761" s="8" t="str">
        <f>VLOOKUP(F761,[1]characters!$A:$C,3,FALSE)</f>
        <v>偽愛の大公爵 フォルネウス</v>
      </c>
      <c r="H761" s="8" t="str">
        <f>VLOOKUP(F761,[1]characters!$A:$J,10,FALSE)</f>
        <v>PremiumN</v>
      </c>
      <c r="I761" s="8">
        <f>VLOOKUP(F761,[1]characters!$A:$I,9,FALSE)</f>
        <v>5</v>
      </c>
      <c r="J761" s="8" t="str">
        <f>VLOOKUP(F761,[1]characters!$A:$H,8,FALSE)</f>
        <v>blue</v>
      </c>
      <c r="K761" s="8" t="str">
        <f>VLOOKUP(F761,[1]characters!$A:$K,11,FALSE)</f>
        <v>attack</v>
      </c>
      <c r="L761" s="8" t="str">
        <f>VLOOKUP(F761,[1]characters!$A:$M,13,FALSE)</f>
        <v>god</v>
      </c>
      <c r="M761" s="16">
        <f>VLOOKUP(D761,gacha_188_base!A:B,2,FALSE)</f>
        <v>935</v>
      </c>
      <c r="N761" s="38">
        <f>IFERROR(VLOOKUP($F761,bug_conf_sheet!$A:$H,3,FALSE),VLOOKUP("other",bug_conf_sheet!$A:$H,3,FALSE))</f>
        <v>1</v>
      </c>
      <c r="O761" s="38">
        <f>IFERROR(VLOOKUP($F761,bug_conf_sheet!$A:$H,4,FALSE),VLOOKUP("other",bug_conf_sheet!$A:$H,4,FALSE))</f>
        <v>0</v>
      </c>
      <c r="P761" s="38">
        <f>IFERROR(VLOOKUP($F761,bug_conf_sheet!$A:$H,5,FALSE),VLOOKUP("other",bug_conf_sheet!$A:$H,5,FALSE))</f>
        <v>0</v>
      </c>
      <c r="Q761" s="38">
        <f>IFERROR(VLOOKUP($F761,bug_conf_sheet!$A:$H,6,FALSE),VLOOKUP("other",bug_conf_sheet!$A:$H,6,FALSE))</f>
        <v>0</v>
      </c>
      <c r="R761" s="38">
        <f>IFERROR(VLOOKUP($F761,bug_conf_sheet!$A:$H,7,FALSE),VLOOKUP("other",bug_conf_sheet!$A:$H,7,FALSE))</f>
        <v>0</v>
      </c>
      <c r="S761" s="38">
        <f>IFERROR(VLOOKUP($F761,bug_conf_sheet!$A:$H,8,FALSE),VLOOKUP("other",bug_conf_sheet!$A:$H,8,FALSE))</f>
        <v>1</v>
      </c>
    </row>
    <row r="762" spans="1:19" ht="21" hidden="1" customHeight="1">
      <c r="A762" s="7" t="str">
        <f t="shared" si="65"/>
        <v>1880176</v>
      </c>
      <c r="B762" s="2" t="str">
        <f t="shared" si="64"/>
        <v>1880</v>
      </c>
      <c r="C762" s="8" t="str">
        <f t="shared" si="66"/>
        <v>0PremiumN4</v>
      </c>
      <c r="D762" s="8" t="str">
        <f t="shared" si="67"/>
        <v>0PremiumN4</v>
      </c>
      <c r="E762" s="10">
        <v>0</v>
      </c>
      <c r="F762" s="6">
        <v>176</v>
      </c>
      <c r="G762" s="8" t="str">
        <f>VLOOKUP(F762,[1]characters!$A:$C,3,FALSE)</f>
        <v>異教徒 バフォメット</v>
      </c>
      <c r="H762" s="8" t="str">
        <f>VLOOKUP(F762,[1]characters!$A:$J,10,FALSE)</f>
        <v>PremiumN</v>
      </c>
      <c r="I762" s="8">
        <f>VLOOKUP(F762,[1]characters!$A:$I,9,FALSE)</f>
        <v>4</v>
      </c>
      <c r="J762" s="8" t="str">
        <f>VLOOKUP(F762,[1]characters!$A:$H,8,FALSE)</f>
        <v>yellow</v>
      </c>
      <c r="K762" s="8" t="str">
        <f>VLOOKUP(F762,[1]characters!$A:$K,11,FALSE)</f>
        <v>attack</v>
      </c>
      <c r="L762" s="8" t="str">
        <f>VLOOKUP(F762,[1]characters!$A:$M,13,FALSE)</f>
        <v>god</v>
      </c>
      <c r="M762" s="16">
        <f>VLOOKUP(D762,gacha_188_base!A:B,2,FALSE)</f>
        <v>14648</v>
      </c>
      <c r="N762" s="38">
        <f>IFERROR(VLOOKUP($F762,bug_conf_sheet!$A:$H,3,FALSE),VLOOKUP("other",bug_conf_sheet!$A:$H,3,FALSE))</f>
        <v>1</v>
      </c>
      <c r="O762" s="38">
        <f>IFERROR(VLOOKUP($F762,bug_conf_sheet!$A:$H,4,FALSE),VLOOKUP("other",bug_conf_sheet!$A:$H,4,FALSE))</f>
        <v>0</v>
      </c>
      <c r="P762" s="38">
        <f>IFERROR(VLOOKUP($F762,bug_conf_sheet!$A:$H,5,FALSE),VLOOKUP("other",bug_conf_sheet!$A:$H,5,FALSE))</f>
        <v>0</v>
      </c>
      <c r="Q762" s="38">
        <f>IFERROR(VLOOKUP($F762,bug_conf_sheet!$A:$H,6,FALSE),VLOOKUP("other",bug_conf_sheet!$A:$H,6,FALSE))</f>
        <v>0</v>
      </c>
      <c r="R762" s="38">
        <f>IFERROR(VLOOKUP($F762,bug_conf_sheet!$A:$H,7,FALSE),VLOOKUP("other",bug_conf_sheet!$A:$H,7,FALSE))</f>
        <v>0</v>
      </c>
      <c r="S762" s="38">
        <f>IFERROR(VLOOKUP($F762,bug_conf_sheet!$A:$H,8,FALSE),VLOOKUP("other",bug_conf_sheet!$A:$H,8,FALSE))</f>
        <v>1</v>
      </c>
    </row>
    <row r="763" spans="1:19" ht="21" customHeight="1">
      <c r="A763" s="7" t="str">
        <f t="shared" si="65"/>
        <v>1880177</v>
      </c>
      <c r="B763" s="2" t="str">
        <f t="shared" si="64"/>
        <v>1880</v>
      </c>
      <c r="C763" s="8" t="str">
        <f t="shared" si="66"/>
        <v>0PremiumN5</v>
      </c>
      <c r="D763" s="8" t="str">
        <f t="shared" si="67"/>
        <v>0PremiumN5</v>
      </c>
      <c r="E763" s="10">
        <v>0</v>
      </c>
      <c r="F763" s="6">
        <v>177</v>
      </c>
      <c r="G763" s="8" t="str">
        <f>VLOOKUP(F763,[1]characters!$A:$C,3,FALSE)</f>
        <v>黒魔の異端師 バフォメット</v>
      </c>
      <c r="H763" s="8" t="str">
        <f>VLOOKUP(F763,[1]characters!$A:$J,10,FALSE)</f>
        <v>PremiumN</v>
      </c>
      <c r="I763" s="8">
        <f>VLOOKUP(F763,[1]characters!$A:$I,9,FALSE)</f>
        <v>5</v>
      </c>
      <c r="J763" s="8" t="str">
        <f>VLOOKUP(F763,[1]characters!$A:$H,8,FALSE)</f>
        <v>yellow</v>
      </c>
      <c r="K763" s="8" t="str">
        <f>VLOOKUP(F763,[1]characters!$A:$K,11,FALSE)</f>
        <v>attack</v>
      </c>
      <c r="L763" s="8" t="str">
        <f>VLOOKUP(F763,[1]characters!$A:$M,13,FALSE)</f>
        <v>god</v>
      </c>
      <c r="M763" s="16">
        <f>VLOOKUP(D763,gacha_188_base!A:B,2,FALSE)</f>
        <v>935</v>
      </c>
      <c r="N763" s="38">
        <f>IFERROR(VLOOKUP($F763,bug_conf_sheet!$A:$H,3,FALSE),VLOOKUP("other",bug_conf_sheet!$A:$H,3,FALSE))</f>
        <v>1</v>
      </c>
      <c r="O763" s="38">
        <f>IFERROR(VLOOKUP($F763,bug_conf_sheet!$A:$H,4,FALSE),VLOOKUP("other",bug_conf_sheet!$A:$H,4,FALSE))</f>
        <v>0</v>
      </c>
      <c r="P763" s="38">
        <f>IFERROR(VLOOKUP($F763,bug_conf_sheet!$A:$H,5,FALSE),VLOOKUP("other",bug_conf_sheet!$A:$H,5,FALSE))</f>
        <v>0</v>
      </c>
      <c r="Q763" s="38">
        <f>IFERROR(VLOOKUP($F763,bug_conf_sheet!$A:$H,6,FALSE),VLOOKUP("other",bug_conf_sheet!$A:$H,6,FALSE))</f>
        <v>0</v>
      </c>
      <c r="R763" s="38">
        <f>IFERROR(VLOOKUP($F763,bug_conf_sheet!$A:$H,7,FALSE),VLOOKUP("other",bug_conf_sheet!$A:$H,7,FALSE))</f>
        <v>0</v>
      </c>
      <c r="S763" s="38">
        <f>IFERROR(VLOOKUP($F763,bug_conf_sheet!$A:$H,8,FALSE),VLOOKUP("other",bug_conf_sheet!$A:$H,8,FALSE))</f>
        <v>1</v>
      </c>
    </row>
    <row r="764" spans="1:19" ht="21" hidden="1" customHeight="1">
      <c r="A764" s="7" t="str">
        <f t="shared" si="65"/>
        <v>1880179</v>
      </c>
      <c r="B764" s="2" t="str">
        <f t="shared" si="64"/>
        <v>1880</v>
      </c>
      <c r="C764" s="8" t="str">
        <f t="shared" si="66"/>
        <v>0PremiumN4</v>
      </c>
      <c r="D764" s="8" t="str">
        <f t="shared" si="67"/>
        <v>0PremiumN4</v>
      </c>
      <c r="E764" s="10">
        <v>0</v>
      </c>
      <c r="F764" s="6">
        <v>179</v>
      </c>
      <c r="G764" s="8" t="str">
        <f>VLOOKUP(F764,[1]characters!$A:$C,3,FALSE)</f>
        <v>番犬 ケルベロス</v>
      </c>
      <c r="H764" s="8" t="str">
        <f>VLOOKUP(F764,[1]characters!$A:$J,10,FALSE)</f>
        <v>PremiumN</v>
      </c>
      <c r="I764" s="8">
        <f>VLOOKUP(F764,[1]characters!$A:$I,9,FALSE)</f>
        <v>4</v>
      </c>
      <c r="J764" s="8" t="str">
        <f>VLOOKUP(F764,[1]characters!$A:$H,8,FALSE)</f>
        <v>red</v>
      </c>
      <c r="K764" s="8" t="str">
        <f>VLOOKUP(F764,[1]characters!$A:$K,11,FALSE)</f>
        <v>balance</v>
      </c>
      <c r="L764" s="8" t="str">
        <f>VLOOKUP(F764,[1]characters!$A:$M,13,FALSE)</f>
        <v>animal</v>
      </c>
      <c r="M764" s="16">
        <f>VLOOKUP(D764,gacha_188_base!A:B,2,FALSE)</f>
        <v>14648</v>
      </c>
      <c r="N764" s="38">
        <f>IFERROR(VLOOKUP($F764,bug_conf_sheet!$A:$H,3,FALSE),VLOOKUP("other",bug_conf_sheet!$A:$H,3,FALSE))</f>
        <v>1</v>
      </c>
      <c r="O764" s="38">
        <f>IFERROR(VLOOKUP($F764,bug_conf_sheet!$A:$H,4,FALSE),VLOOKUP("other",bug_conf_sheet!$A:$H,4,FALSE))</f>
        <v>0</v>
      </c>
      <c r="P764" s="38">
        <f>IFERROR(VLOOKUP($F764,bug_conf_sheet!$A:$H,5,FALSE),VLOOKUP("other",bug_conf_sheet!$A:$H,5,FALSE))</f>
        <v>0</v>
      </c>
      <c r="Q764" s="38">
        <f>IFERROR(VLOOKUP($F764,bug_conf_sheet!$A:$H,6,FALSE),VLOOKUP("other",bug_conf_sheet!$A:$H,6,FALSE))</f>
        <v>0</v>
      </c>
      <c r="R764" s="38">
        <f>IFERROR(VLOOKUP($F764,bug_conf_sheet!$A:$H,7,FALSE),VLOOKUP("other",bug_conf_sheet!$A:$H,7,FALSE))</f>
        <v>0</v>
      </c>
      <c r="S764" s="38">
        <f>IFERROR(VLOOKUP($F764,bug_conf_sheet!$A:$H,8,FALSE),VLOOKUP("other",bug_conf_sheet!$A:$H,8,FALSE))</f>
        <v>1</v>
      </c>
    </row>
    <row r="765" spans="1:19" ht="21" customHeight="1">
      <c r="A765" s="7" t="str">
        <f t="shared" si="65"/>
        <v>1880180</v>
      </c>
      <c r="B765" s="2" t="str">
        <f t="shared" si="64"/>
        <v>1880</v>
      </c>
      <c r="C765" s="8" t="str">
        <f t="shared" si="66"/>
        <v>0PremiumN5</v>
      </c>
      <c r="D765" s="8" t="str">
        <f t="shared" si="67"/>
        <v>0PremiumN5</v>
      </c>
      <c r="E765" s="10">
        <v>0</v>
      </c>
      <c r="F765" s="6">
        <v>180</v>
      </c>
      <c r="G765" s="8" t="str">
        <f>VLOOKUP(F765,[1]characters!$A:$C,3,FALSE)</f>
        <v>地獄の大門番 ケルベロス</v>
      </c>
      <c r="H765" s="8" t="str">
        <f>VLOOKUP(F765,[1]characters!$A:$J,10,FALSE)</f>
        <v>PremiumN</v>
      </c>
      <c r="I765" s="8">
        <f>VLOOKUP(F765,[1]characters!$A:$I,9,FALSE)</f>
        <v>5</v>
      </c>
      <c r="J765" s="8" t="str">
        <f>VLOOKUP(F765,[1]characters!$A:$H,8,FALSE)</f>
        <v>red</v>
      </c>
      <c r="K765" s="8" t="str">
        <f>VLOOKUP(F765,[1]characters!$A:$K,11,FALSE)</f>
        <v>balance</v>
      </c>
      <c r="L765" s="8" t="str">
        <f>VLOOKUP(F765,[1]characters!$A:$M,13,FALSE)</f>
        <v>animal</v>
      </c>
      <c r="M765" s="16">
        <f>VLOOKUP(D765,gacha_188_base!A:B,2,FALSE)</f>
        <v>935</v>
      </c>
      <c r="N765" s="38">
        <f>IFERROR(VLOOKUP($F765,bug_conf_sheet!$A:$H,3,FALSE),VLOOKUP("other",bug_conf_sheet!$A:$H,3,FALSE))</f>
        <v>1</v>
      </c>
      <c r="O765" s="38">
        <f>IFERROR(VLOOKUP($F765,bug_conf_sheet!$A:$H,4,FALSE),VLOOKUP("other",bug_conf_sheet!$A:$H,4,FALSE))</f>
        <v>0</v>
      </c>
      <c r="P765" s="38">
        <f>IFERROR(VLOOKUP($F765,bug_conf_sheet!$A:$H,5,FALSE),VLOOKUP("other",bug_conf_sheet!$A:$H,5,FALSE))</f>
        <v>0</v>
      </c>
      <c r="Q765" s="38">
        <f>IFERROR(VLOOKUP($F765,bug_conf_sheet!$A:$H,6,FALSE),VLOOKUP("other",bug_conf_sheet!$A:$H,6,FALSE))</f>
        <v>0</v>
      </c>
      <c r="R765" s="38">
        <f>IFERROR(VLOOKUP($F765,bug_conf_sheet!$A:$H,7,FALSE),VLOOKUP("other",bug_conf_sheet!$A:$H,7,FALSE))</f>
        <v>0</v>
      </c>
      <c r="S765" s="38">
        <f>IFERROR(VLOOKUP($F765,bug_conf_sheet!$A:$H,8,FALSE),VLOOKUP("other",bug_conf_sheet!$A:$H,8,FALSE))</f>
        <v>1</v>
      </c>
    </row>
    <row r="766" spans="1:19" ht="21" hidden="1" customHeight="1">
      <c r="A766" s="7" t="str">
        <f t="shared" si="65"/>
        <v>1880182</v>
      </c>
      <c r="B766" s="2" t="str">
        <f t="shared" si="64"/>
        <v>1880</v>
      </c>
      <c r="C766" s="8" t="str">
        <f t="shared" si="66"/>
        <v>0PremiumN4</v>
      </c>
      <c r="D766" s="8" t="str">
        <f t="shared" si="67"/>
        <v>0PremiumN4</v>
      </c>
      <c r="E766" s="10">
        <v>0</v>
      </c>
      <c r="F766" s="6">
        <v>182</v>
      </c>
      <c r="G766" s="8" t="str">
        <f>VLOOKUP(F766,[1]characters!$A:$C,3,FALSE)</f>
        <v>放蕩者 ベヒモス</v>
      </c>
      <c r="H766" s="8" t="str">
        <f>VLOOKUP(F766,[1]characters!$A:$J,10,FALSE)</f>
        <v>PremiumN</v>
      </c>
      <c r="I766" s="8">
        <f>VLOOKUP(F766,[1]characters!$A:$I,9,FALSE)</f>
        <v>4</v>
      </c>
      <c r="J766" s="8" t="str">
        <f>VLOOKUP(F766,[1]characters!$A:$H,8,FALSE)</f>
        <v>green</v>
      </c>
      <c r="K766" s="8" t="str">
        <f>VLOOKUP(F766,[1]characters!$A:$K,11,FALSE)</f>
        <v>hp</v>
      </c>
      <c r="L766" s="8" t="str">
        <f>VLOOKUP(F766,[1]characters!$A:$M,13,FALSE)</f>
        <v>animal</v>
      </c>
      <c r="M766" s="16">
        <f>VLOOKUP(D766,gacha_188_base!A:B,2,FALSE)</f>
        <v>14648</v>
      </c>
      <c r="N766" s="38">
        <f>IFERROR(VLOOKUP($F766,bug_conf_sheet!$A:$H,3,FALSE),VLOOKUP("other",bug_conf_sheet!$A:$H,3,FALSE))</f>
        <v>1</v>
      </c>
      <c r="O766" s="38">
        <f>IFERROR(VLOOKUP($F766,bug_conf_sheet!$A:$H,4,FALSE),VLOOKUP("other",bug_conf_sheet!$A:$H,4,FALSE))</f>
        <v>0</v>
      </c>
      <c r="P766" s="38">
        <f>IFERROR(VLOOKUP($F766,bug_conf_sheet!$A:$H,5,FALSE),VLOOKUP("other",bug_conf_sheet!$A:$H,5,FALSE))</f>
        <v>0</v>
      </c>
      <c r="Q766" s="38">
        <f>IFERROR(VLOOKUP($F766,bug_conf_sheet!$A:$H,6,FALSE),VLOOKUP("other",bug_conf_sheet!$A:$H,6,FALSE))</f>
        <v>0</v>
      </c>
      <c r="R766" s="38">
        <f>IFERROR(VLOOKUP($F766,bug_conf_sheet!$A:$H,7,FALSE),VLOOKUP("other",bug_conf_sheet!$A:$H,7,FALSE))</f>
        <v>0</v>
      </c>
      <c r="S766" s="38">
        <f>IFERROR(VLOOKUP($F766,bug_conf_sheet!$A:$H,8,FALSE),VLOOKUP("other",bug_conf_sheet!$A:$H,8,FALSE))</f>
        <v>1</v>
      </c>
    </row>
    <row r="767" spans="1:19" ht="21" customHeight="1">
      <c r="A767" s="7" t="str">
        <f t="shared" si="65"/>
        <v>1880183</v>
      </c>
      <c r="B767" s="2" t="str">
        <f t="shared" si="64"/>
        <v>1880</v>
      </c>
      <c r="C767" s="8" t="str">
        <f t="shared" si="66"/>
        <v>0PremiumN5</v>
      </c>
      <c r="D767" s="8" t="str">
        <f t="shared" si="67"/>
        <v>0PremiumN5</v>
      </c>
      <c r="E767" s="10">
        <v>0</v>
      </c>
      <c r="F767" s="6">
        <v>183</v>
      </c>
      <c r="G767" s="8" t="str">
        <f>VLOOKUP(F767,[1]characters!$A:$C,3,FALSE)</f>
        <v>鈍重な彷徨者 ベヒモス</v>
      </c>
      <c r="H767" s="8" t="str">
        <f>VLOOKUP(F767,[1]characters!$A:$J,10,FALSE)</f>
        <v>PremiumN</v>
      </c>
      <c r="I767" s="8">
        <f>VLOOKUP(F767,[1]characters!$A:$I,9,FALSE)</f>
        <v>5</v>
      </c>
      <c r="J767" s="8" t="str">
        <f>VLOOKUP(F767,[1]characters!$A:$H,8,FALSE)</f>
        <v>green</v>
      </c>
      <c r="K767" s="8" t="str">
        <f>VLOOKUP(F767,[1]characters!$A:$K,11,FALSE)</f>
        <v>hp</v>
      </c>
      <c r="L767" s="8" t="str">
        <f>VLOOKUP(F767,[1]characters!$A:$M,13,FALSE)</f>
        <v>animal</v>
      </c>
      <c r="M767" s="16">
        <f>VLOOKUP(D767,gacha_188_base!A:B,2,FALSE)</f>
        <v>935</v>
      </c>
      <c r="N767" s="38">
        <f>IFERROR(VLOOKUP($F767,bug_conf_sheet!$A:$H,3,FALSE),VLOOKUP("other",bug_conf_sheet!$A:$H,3,FALSE))</f>
        <v>1</v>
      </c>
      <c r="O767" s="38">
        <f>IFERROR(VLOOKUP($F767,bug_conf_sheet!$A:$H,4,FALSE),VLOOKUP("other",bug_conf_sheet!$A:$H,4,FALSE))</f>
        <v>0</v>
      </c>
      <c r="P767" s="38">
        <f>IFERROR(VLOOKUP($F767,bug_conf_sheet!$A:$H,5,FALSE),VLOOKUP("other",bug_conf_sheet!$A:$H,5,FALSE))</f>
        <v>0</v>
      </c>
      <c r="Q767" s="38">
        <f>IFERROR(VLOOKUP($F767,bug_conf_sheet!$A:$H,6,FALSE),VLOOKUP("other",bug_conf_sheet!$A:$H,6,FALSE))</f>
        <v>0</v>
      </c>
      <c r="R767" s="38">
        <f>IFERROR(VLOOKUP($F767,bug_conf_sheet!$A:$H,7,FALSE),VLOOKUP("other",bug_conf_sheet!$A:$H,7,FALSE))</f>
        <v>0</v>
      </c>
      <c r="S767" s="38">
        <f>IFERROR(VLOOKUP($F767,bug_conf_sheet!$A:$H,8,FALSE),VLOOKUP("other",bug_conf_sheet!$A:$H,8,FALSE))</f>
        <v>1</v>
      </c>
    </row>
    <row r="768" spans="1:19" ht="21" hidden="1" customHeight="1">
      <c r="A768" s="7" t="str">
        <f t="shared" si="65"/>
        <v>1880185</v>
      </c>
      <c r="B768" s="2" t="str">
        <f t="shared" si="64"/>
        <v>1880</v>
      </c>
      <c r="C768" s="8" t="str">
        <f t="shared" si="66"/>
        <v>0PremiumN4</v>
      </c>
      <c r="D768" s="8" t="str">
        <f t="shared" si="67"/>
        <v>0PremiumN4</v>
      </c>
      <c r="E768" s="10">
        <v>0</v>
      </c>
      <c r="F768" s="6">
        <v>185</v>
      </c>
      <c r="G768" s="8" t="str">
        <f>VLOOKUP(F768,[1]characters!$A:$C,3,FALSE)</f>
        <v>海姫 クラーケン</v>
      </c>
      <c r="H768" s="8" t="str">
        <f>VLOOKUP(F768,[1]characters!$A:$J,10,FALSE)</f>
        <v>PremiumN</v>
      </c>
      <c r="I768" s="8">
        <f>VLOOKUP(F768,[1]characters!$A:$I,9,FALSE)</f>
        <v>4</v>
      </c>
      <c r="J768" s="8" t="str">
        <f>VLOOKUP(F768,[1]characters!$A:$H,8,FALSE)</f>
        <v>blue</v>
      </c>
      <c r="K768" s="8" t="str">
        <f>VLOOKUP(F768,[1]characters!$A:$K,11,FALSE)</f>
        <v>heal</v>
      </c>
      <c r="L768" s="8" t="str">
        <f>VLOOKUP(F768,[1]characters!$A:$M,13,FALSE)</f>
        <v>animal</v>
      </c>
      <c r="M768" s="16">
        <f>VLOOKUP(D768,gacha_188_base!A:B,2,FALSE)</f>
        <v>14648</v>
      </c>
      <c r="N768" s="38">
        <f>IFERROR(VLOOKUP($F768,bug_conf_sheet!$A:$H,3,FALSE),VLOOKUP("other",bug_conf_sheet!$A:$H,3,FALSE))</f>
        <v>1</v>
      </c>
      <c r="O768" s="38">
        <f>IFERROR(VLOOKUP($F768,bug_conf_sheet!$A:$H,4,FALSE),VLOOKUP("other",bug_conf_sheet!$A:$H,4,FALSE))</f>
        <v>0</v>
      </c>
      <c r="P768" s="38">
        <f>IFERROR(VLOOKUP($F768,bug_conf_sheet!$A:$H,5,FALSE),VLOOKUP("other",bug_conf_sheet!$A:$H,5,FALSE))</f>
        <v>0</v>
      </c>
      <c r="Q768" s="38">
        <f>IFERROR(VLOOKUP($F768,bug_conf_sheet!$A:$H,6,FALSE),VLOOKUP("other",bug_conf_sheet!$A:$H,6,FALSE))</f>
        <v>0</v>
      </c>
      <c r="R768" s="38">
        <f>IFERROR(VLOOKUP($F768,bug_conf_sheet!$A:$H,7,FALSE),VLOOKUP("other",bug_conf_sheet!$A:$H,7,FALSE))</f>
        <v>0</v>
      </c>
      <c r="S768" s="38">
        <f>IFERROR(VLOOKUP($F768,bug_conf_sheet!$A:$H,8,FALSE),VLOOKUP("other",bug_conf_sheet!$A:$H,8,FALSE))</f>
        <v>1</v>
      </c>
    </row>
    <row r="769" spans="1:19" ht="21" customHeight="1">
      <c r="A769" s="7" t="str">
        <f t="shared" si="65"/>
        <v>1880186</v>
      </c>
      <c r="B769" s="2" t="str">
        <f t="shared" si="64"/>
        <v>1880</v>
      </c>
      <c r="C769" s="8" t="str">
        <f t="shared" si="66"/>
        <v>0PremiumN5</v>
      </c>
      <c r="D769" s="8" t="str">
        <f t="shared" si="67"/>
        <v>0PremiumN5</v>
      </c>
      <c r="E769" s="10">
        <v>0</v>
      </c>
      <c r="F769" s="9">
        <v>186</v>
      </c>
      <c r="G769" s="8" t="str">
        <f>VLOOKUP(F769,[1]characters!$A:$C,3,FALSE)</f>
        <v>誇り高き多触姫・クラーケン</v>
      </c>
      <c r="H769" s="8" t="str">
        <f>VLOOKUP(F769,[1]characters!$A:$J,10,FALSE)</f>
        <v>PremiumN</v>
      </c>
      <c r="I769" s="8">
        <f>VLOOKUP(F769,[1]characters!$A:$I,9,FALSE)</f>
        <v>5</v>
      </c>
      <c r="J769" s="8" t="str">
        <f>VLOOKUP(F769,[1]characters!$A:$H,8,FALSE)</f>
        <v>blue</v>
      </c>
      <c r="K769" s="8" t="str">
        <f>VLOOKUP(F769,[1]characters!$A:$K,11,FALSE)</f>
        <v>heal</v>
      </c>
      <c r="L769" s="8" t="str">
        <f>VLOOKUP(F769,[1]characters!$A:$M,13,FALSE)</f>
        <v>animal</v>
      </c>
      <c r="M769" s="16">
        <f>VLOOKUP(D769,gacha_188_base!A:B,2,FALSE)</f>
        <v>935</v>
      </c>
      <c r="N769" s="38">
        <f>IFERROR(VLOOKUP($F769,bug_conf_sheet!$A:$H,3,FALSE),VLOOKUP("other",bug_conf_sheet!$A:$H,3,FALSE))</f>
        <v>1</v>
      </c>
      <c r="O769" s="38">
        <f>IFERROR(VLOOKUP($F769,bug_conf_sheet!$A:$H,4,FALSE),VLOOKUP("other",bug_conf_sheet!$A:$H,4,FALSE))</f>
        <v>0</v>
      </c>
      <c r="P769" s="38">
        <f>IFERROR(VLOOKUP($F769,bug_conf_sheet!$A:$H,5,FALSE),VLOOKUP("other",bug_conf_sheet!$A:$H,5,FALSE))</f>
        <v>0</v>
      </c>
      <c r="Q769" s="38">
        <f>IFERROR(VLOOKUP($F769,bug_conf_sheet!$A:$H,6,FALSE),VLOOKUP("other",bug_conf_sheet!$A:$H,6,FALSE))</f>
        <v>0</v>
      </c>
      <c r="R769" s="38">
        <f>IFERROR(VLOOKUP($F769,bug_conf_sheet!$A:$H,7,FALSE),VLOOKUP("other",bug_conf_sheet!$A:$H,7,FALSE))</f>
        <v>0</v>
      </c>
      <c r="S769" s="38">
        <f>IFERROR(VLOOKUP($F769,bug_conf_sheet!$A:$H,8,FALSE),VLOOKUP("other",bug_conf_sheet!$A:$H,8,FALSE))</f>
        <v>1</v>
      </c>
    </row>
    <row r="770" spans="1:19" ht="21" hidden="1" customHeight="1">
      <c r="A770" s="7" t="str">
        <f t="shared" si="65"/>
        <v>1880188</v>
      </c>
      <c r="B770" s="2" t="str">
        <f t="shared" si="64"/>
        <v>1880</v>
      </c>
      <c r="C770" s="8" t="str">
        <f t="shared" si="66"/>
        <v>0PremiumN4</v>
      </c>
      <c r="D770" s="8" t="str">
        <f t="shared" si="67"/>
        <v>0PremiumN4</v>
      </c>
      <c r="E770" s="10">
        <v>0</v>
      </c>
      <c r="F770" s="9">
        <v>188</v>
      </c>
      <c r="G770" s="8" t="str">
        <f>VLOOKUP(F770,[1]characters!$A:$C,3,FALSE)</f>
        <v>猛禽 ホルス</v>
      </c>
      <c r="H770" s="8" t="str">
        <f>VLOOKUP(F770,[1]characters!$A:$J,10,FALSE)</f>
        <v>PremiumN</v>
      </c>
      <c r="I770" s="8">
        <f>VLOOKUP(F770,[1]characters!$A:$I,9,FALSE)</f>
        <v>4</v>
      </c>
      <c r="J770" s="8" t="str">
        <f>VLOOKUP(F770,[1]characters!$A:$H,8,FALSE)</f>
        <v>yellow</v>
      </c>
      <c r="K770" s="8" t="str">
        <f>VLOOKUP(F770,[1]characters!$A:$K,11,FALSE)</f>
        <v>attack</v>
      </c>
      <c r="L770" s="8" t="str">
        <f>VLOOKUP(F770,[1]characters!$A:$M,13,FALSE)</f>
        <v>animal</v>
      </c>
      <c r="M770" s="16">
        <f>VLOOKUP(D770,gacha_188_base!A:B,2,FALSE)</f>
        <v>14648</v>
      </c>
      <c r="N770" s="38">
        <f>IFERROR(VLOOKUP($F770,bug_conf_sheet!$A:$H,3,FALSE),VLOOKUP("other",bug_conf_sheet!$A:$H,3,FALSE))</f>
        <v>1</v>
      </c>
      <c r="O770" s="38">
        <f>IFERROR(VLOOKUP($F770,bug_conf_sheet!$A:$H,4,FALSE),VLOOKUP("other",bug_conf_sheet!$A:$H,4,FALSE))</f>
        <v>0</v>
      </c>
      <c r="P770" s="38">
        <f>IFERROR(VLOOKUP($F770,bug_conf_sheet!$A:$H,5,FALSE),VLOOKUP("other",bug_conf_sheet!$A:$H,5,FALSE))</f>
        <v>0</v>
      </c>
      <c r="Q770" s="38">
        <f>IFERROR(VLOOKUP($F770,bug_conf_sheet!$A:$H,6,FALSE),VLOOKUP("other",bug_conf_sheet!$A:$H,6,FALSE))</f>
        <v>0</v>
      </c>
      <c r="R770" s="38">
        <f>IFERROR(VLOOKUP($F770,bug_conf_sheet!$A:$H,7,FALSE),VLOOKUP("other",bug_conf_sheet!$A:$H,7,FALSE))</f>
        <v>0</v>
      </c>
      <c r="S770" s="38">
        <f>IFERROR(VLOOKUP($F770,bug_conf_sheet!$A:$H,8,FALSE),VLOOKUP("other",bug_conf_sheet!$A:$H,8,FALSE))</f>
        <v>1</v>
      </c>
    </row>
    <row r="771" spans="1:19" ht="21" customHeight="1">
      <c r="A771" s="7" t="str">
        <f t="shared" si="65"/>
        <v>1880189</v>
      </c>
      <c r="B771" s="2" t="str">
        <f t="shared" ref="B771:B834" si="68">188&amp;E771</f>
        <v>1880</v>
      </c>
      <c r="C771" s="8" t="str">
        <f t="shared" si="66"/>
        <v>0PremiumN5</v>
      </c>
      <c r="D771" s="8" t="str">
        <f t="shared" si="67"/>
        <v>0PremiumN5</v>
      </c>
      <c r="E771" s="10">
        <v>0</v>
      </c>
      <c r="F771" s="9">
        <v>189</v>
      </c>
      <c r="G771" s="8" t="str">
        <f>VLOOKUP(F771,[1]characters!$A:$C,3,FALSE)</f>
        <v>迅雷の王禽 ホルス</v>
      </c>
      <c r="H771" s="8" t="str">
        <f>VLOOKUP(F771,[1]characters!$A:$J,10,FALSE)</f>
        <v>PremiumN</v>
      </c>
      <c r="I771" s="8">
        <f>VLOOKUP(F771,[1]characters!$A:$I,9,FALSE)</f>
        <v>5</v>
      </c>
      <c r="J771" s="8" t="str">
        <f>VLOOKUP(F771,[1]characters!$A:$H,8,FALSE)</f>
        <v>yellow</v>
      </c>
      <c r="K771" s="8" t="str">
        <f>VLOOKUP(F771,[1]characters!$A:$K,11,FALSE)</f>
        <v>attack</v>
      </c>
      <c r="L771" s="8" t="str">
        <f>VLOOKUP(F771,[1]characters!$A:$M,13,FALSE)</f>
        <v>animal</v>
      </c>
      <c r="M771" s="16">
        <f>VLOOKUP(D771,gacha_188_base!A:B,2,FALSE)</f>
        <v>935</v>
      </c>
      <c r="N771" s="38">
        <f>IFERROR(VLOOKUP($F771,bug_conf_sheet!$A:$H,3,FALSE),VLOOKUP("other",bug_conf_sheet!$A:$H,3,FALSE))</f>
        <v>1</v>
      </c>
      <c r="O771" s="38">
        <f>IFERROR(VLOOKUP($F771,bug_conf_sheet!$A:$H,4,FALSE),VLOOKUP("other",bug_conf_sheet!$A:$H,4,FALSE))</f>
        <v>0</v>
      </c>
      <c r="P771" s="38">
        <f>IFERROR(VLOOKUP($F771,bug_conf_sheet!$A:$H,5,FALSE),VLOOKUP("other",bug_conf_sheet!$A:$H,5,FALSE))</f>
        <v>0</v>
      </c>
      <c r="Q771" s="38">
        <f>IFERROR(VLOOKUP($F771,bug_conf_sheet!$A:$H,6,FALSE),VLOOKUP("other",bug_conf_sheet!$A:$H,6,FALSE))</f>
        <v>0</v>
      </c>
      <c r="R771" s="38">
        <f>IFERROR(VLOOKUP($F771,bug_conf_sheet!$A:$H,7,FALSE),VLOOKUP("other",bug_conf_sheet!$A:$H,7,FALSE))</f>
        <v>0</v>
      </c>
      <c r="S771" s="38">
        <f>IFERROR(VLOOKUP($F771,bug_conf_sheet!$A:$H,8,FALSE),VLOOKUP("other",bug_conf_sheet!$A:$H,8,FALSE))</f>
        <v>1</v>
      </c>
    </row>
    <row r="772" spans="1:19" ht="21" hidden="1" customHeight="1">
      <c r="A772" s="7" t="str">
        <f t="shared" si="65"/>
        <v>1880191</v>
      </c>
      <c r="B772" s="2" t="str">
        <f t="shared" si="68"/>
        <v>1880</v>
      </c>
      <c r="C772" s="8" t="str">
        <f t="shared" si="66"/>
        <v>0PremiumN4</v>
      </c>
      <c r="D772" s="8" t="str">
        <f t="shared" si="67"/>
        <v>0PremiumN4</v>
      </c>
      <c r="E772" s="10">
        <v>0</v>
      </c>
      <c r="F772" s="6">
        <v>191</v>
      </c>
      <c r="G772" s="8" t="str">
        <f>VLOOKUP(F772,[1]characters!$A:$C,3,FALSE)</f>
        <v>始祖 卑弥呼</v>
      </c>
      <c r="H772" s="8" t="str">
        <f>VLOOKUP(F772,[1]characters!$A:$J,10,FALSE)</f>
        <v>PremiumN</v>
      </c>
      <c r="I772" s="8">
        <f>VLOOKUP(F772,[1]characters!$A:$I,9,FALSE)</f>
        <v>4</v>
      </c>
      <c r="J772" s="8" t="str">
        <f>VLOOKUP(F772,[1]characters!$A:$H,8,FALSE)</f>
        <v>red</v>
      </c>
      <c r="K772" s="8" t="str">
        <f>VLOOKUP(F772,[1]characters!$A:$K,11,FALSE)</f>
        <v>balance</v>
      </c>
      <c r="L772" s="8" t="str">
        <f>VLOOKUP(F772,[1]characters!$A:$M,13,FALSE)</f>
        <v>human</v>
      </c>
      <c r="M772" s="16">
        <f>VLOOKUP(D772,gacha_188_base!A:B,2,FALSE)</f>
        <v>14648</v>
      </c>
      <c r="N772" s="38">
        <f>IFERROR(VLOOKUP($F772,bug_conf_sheet!$A:$H,3,FALSE),VLOOKUP("other",bug_conf_sheet!$A:$H,3,FALSE))</f>
        <v>1</v>
      </c>
      <c r="O772" s="38">
        <f>IFERROR(VLOOKUP($F772,bug_conf_sheet!$A:$H,4,FALSE),VLOOKUP("other",bug_conf_sheet!$A:$H,4,FALSE))</f>
        <v>0</v>
      </c>
      <c r="P772" s="38">
        <f>IFERROR(VLOOKUP($F772,bug_conf_sheet!$A:$H,5,FALSE),VLOOKUP("other",bug_conf_sheet!$A:$H,5,FALSE))</f>
        <v>0</v>
      </c>
      <c r="Q772" s="38">
        <f>IFERROR(VLOOKUP($F772,bug_conf_sheet!$A:$H,6,FALSE),VLOOKUP("other",bug_conf_sheet!$A:$H,6,FALSE))</f>
        <v>0</v>
      </c>
      <c r="R772" s="38">
        <f>IFERROR(VLOOKUP($F772,bug_conf_sheet!$A:$H,7,FALSE),VLOOKUP("other",bug_conf_sheet!$A:$H,7,FALSE))</f>
        <v>0</v>
      </c>
      <c r="S772" s="38">
        <f>IFERROR(VLOOKUP($F772,bug_conf_sheet!$A:$H,8,FALSE),VLOOKUP("other",bug_conf_sheet!$A:$H,8,FALSE))</f>
        <v>1</v>
      </c>
    </row>
    <row r="773" spans="1:19" ht="21" customHeight="1">
      <c r="A773" s="7" t="str">
        <f t="shared" si="65"/>
        <v>1880192</v>
      </c>
      <c r="B773" s="2" t="str">
        <f t="shared" si="68"/>
        <v>1880</v>
      </c>
      <c r="C773" s="8" t="str">
        <f t="shared" si="66"/>
        <v>0PremiumN5</v>
      </c>
      <c r="D773" s="8" t="str">
        <f t="shared" si="67"/>
        <v>0PremiumN5</v>
      </c>
      <c r="E773" s="10">
        <v>0</v>
      </c>
      <c r="F773" s="6">
        <v>192</v>
      </c>
      <c r="G773" s="8" t="str">
        <f>VLOOKUP(F773,[1]characters!$A:$C,3,FALSE)</f>
        <v>荘厳なる始祖帝 卑弥呼</v>
      </c>
      <c r="H773" s="8" t="str">
        <f>VLOOKUP(F773,[1]characters!$A:$J,10,FALSE)</f>
        <v>PremiumN</v>
      </c>
      <c r="I773" s="8">
        <f>VLOOKUP(F773,[1]characters!$A:$I,9,FALSE)</f>
        <v>5</v>
      </c>
      <c r="J773" s="8" t="str">
        <f>VLOOKUP(F773,[1]characters!$A:$H,8,FALSE)</f>
        <v>red</v>
      </c>
      <c r="K773" s="8" t="str">
        <f>VLOOKUP(F773,[1]characters!$A:$K,11,FALSE)</f>
        <v>balance</v>
      </c>
      <c r="L773" s="8" t="str">
        <f>VLOOKUP(F773,[1]characters!$A:$M,13,FALSE)</f>
        <v>human</v>
      </c>
      <c r="M773" s="16">
        <f>VLOOKUP(D773,gacha_188_base!A:B,2,FALSE)</f>
        <v>935</v>
      </c>
      <c r="N773" s="38">
        <f>IFERROR(VLOOKUP($F773,bug_conf_sheet!$A:$H,3,FALSE),VLOOKUP("other",bug_conf_sheet!$A:$H,3,FALSE))</f>
        <v>1</v>
      </c>
      <c r="O773" s="38">
        <f>IFERROR(VLOOKUP($F773,bug_conf_sheet!$A:$H,4,FALSE),VLOOKUP("other",bug_conf_sheet!$A:$H,4,FALSE))</f>
        <v>0</v>
      </c>
      <c r="P773" s="38">
        <f>IFERROR(VLOOKUP($F773,bug_conf_sheet!$A:$H,5,FALSE),VLOOKUP("other",bug_conf_sheet!$A:$H,5,FALSE))</f>
        <v>0</v>
      </c>
      <c r="Q773" s="38">
        <f>IFERROR(VLOOKUP($F773,bug_conf_sheet!$A:$H,6,FALSE),VLOOKUP("other",bug_conf_sheet!$A:$H,6,FALSE))</f>
        <v>0</v>
      </c>
      <c r="R773" s="38">
        <f>IFERROR(VLOOKUP($F773,bug_conf_sheet!$A:$H,7,FALSE),VLOOKUP("other",bug_conf_sheet!$A:$H,7,FALSE))</f>
        <v>0</v>
      </c>
      <c r="S773" s="38">
        <f>IFERROR(VLOOKUP($F773,bug_conf_sheet!$A:$H,8,FALSE),VLOOKUP("other",bug_conf_sheet!$A:$H,8,FALSE))</f>
        <v>1</v>
      </c>
    </row>
    <row r="774" spans="1:19" ht="21" hidden="1" customHeight="1">
      <c r="A774" s="7" t="str">
        <f t="shared" si="65"/>
        <v>1880194</v>
      </c>
      <c r="B774" s="2" t="str">
        <f t="shared" si="68"/>
        <v>1880</v>
      </c>
      <c r="C774" s="8" t="str">
        <f t="shared" si="66"/>
        <v>0PremiumN4</v>
      </c>
      <c r="D774" s="8" t="str">
        <f t="shared" si="67"/>
        <v>0PremiumN4</v>
      </c>
      <c r="E774" s="10">
        <v>0</v>
      </c>
      <c r="F774" s="12">
        <v>194</v>
      </c>
      <c r="G774" s="8" t="str">
        <f>VLOOKUP(F774,[1]characters!$A:$C,3,FALSE)</f>
        <v>スナイパー ロビンフッド</v>
      </c>
      <c r="H774" s="8" t="str">
        <f>VLOOKUP(F774,[1]characters!$A:$J,10,FALSE)</f>
        <v>PremiumN</v>
      </c>
      <c r="I774" s="8">
        <f>VLOOKUP(F774,[1]characters!$A:$I,9,FALSE)</f>
        <v>4</v>
      </c>
      <c r="J774" s="8" t="str">
        <f>VLOOKUP(F774,[1]characters!$A:$H,8,FALSE)</f>
        <v>green</v>
      </c>
      <c r="K774" s="8" t="str">
        <f>VLOOKUP(F774,[1]characters!$A:$K,11,FALSE)</f>
        <v>balance</v>
      </c>
      <c r="L774" s="8" t="str">
        <f>VLOOKUP(F774,[1]characters!$A:$M,13,FALSE)</f>
        <v>human</v>
      </c>
      <c r="M774" s="16">
        <f>VLOOKUP(D774,gacha_188_base!A:B,2,FALSE)</f>
        <v>14648</v>
      </c>
      <c r="N774" s="38">
        <f>IFERROR(VLOOKUP($F774,bug_conf_sheet!$A:$H,3,FALSE),VLOOKUP("other",bug_conf_sheet!$A:$H,3,FALSE))</f>
        <v>1</v>
      </c>
      <c r="O774" s="38">
        <f>IFERROR(VLOOKUP($F774,bug_conf_sheet!$A:$H,4,FALSE),VLOOKUP("other",bug_conf_sheet!$A:$H,4,FALSE))</f>
        <v>0</v>
      </c>
      <c r="P774" s="38">
        <f>IFERROR(VLOOKUP($F774,bug_conf_sheet!$A:$H,5,FALSE),VLOOKUP("other",bug_conf_sheet!$A:$H,5,FALSE))</f>
        <v>0</v>
      </c>
      <c r="Q774" s="38">
        <f>IFERROR(VLOOKUP($F774,bug_conf_sheet!$A:$H,6,FALSE),VLOOKUP("other",bug_conf_sheet!$A:$H,6,FALSE))</f>
        <v>0</v>
      </c>
      <c r="R774" s="38">
        <f>IFERROR(VLOOKUP($F774,bug_conf_sheet!$A:$H,7,FALSE),VLOOKUP("other",bug_conf_sheet!$A:$H,7,FALSE))</f>
        <v>0</v>
      </c>
      <c r="S774" s="38">
        <f>IFERROR(VLOOKUP($F774,bug_conf_sheet!$A:$H,8,FALSE),VLOOKUP("other",bug_conf_sheet!$A:$H,8,FALSE))</f>
        <v>1</v>
      </c>
    </row>
    <row r="775" spans="1:19" ht="21" customHeight="1">
      <c r="A775" s="7" t="str">
        <f t="shared" si="65"/>
        <v>1880195</v>
      </c>
      <c r="B775" s="2" t="str">
        <f t="shared" si="68"/>
        <v>1880</v>
      </c>
      <c r="C775" s="8" t="str">
        <f t="shared" si="66"/>
        <v>0PremiumN5</v>
      </c>
      <c r="D775" s="8" t="str">
        <f t="shared" si="67"/>
        <v>0PremiumN5</v>
      </c>
      <c r="E775" s="10">
        <v>0</v>
      </c>
      <c r="F775" s="6">
        <v>195</v>
      </c>
      <c r="G775" s="8" t="str">
        <f>VLOOKUP(F775,[1]characters!$A:$C,3,FALSE)</f>
        <v>グランドハンター ロビンフッド</v>
      </c>
      <c r="H775" s="8" t="str">
        <f>VLOOKUP(F775,[1]characters!$A:$J,10,FALSE)</f>
        <v>PremiumN</v>
      </c>
      <c r="I775" s="8">
        <f>VLOOKUP(F775,[1]characters!$A:$I,9,FALSE)</f>
        <v>5</v>
      </c>
      <c r="J775" s="8" t="str">
        <f>VLOOKUP(F775,[1]characters!$A:$H,8,FALSE)</f>
        <v>green</v>
      </c>
      <c r="K775" s="8" t="str">
        <f>VLOOKUP(F775,[1]characters!$A:$K,11,FALSE)</f>
        <v>balance</v>
      </c>
      <c r="L775" s="8" t="str">
        <f>VLOOKUP(F775,[1]characters!$A:$M,13,FALSE)</f>
        <v>human</v>
      </c>
      <c r="M775" s="16">
        <f>VLOOKUP(D775,gacha_188_base!A:B,2,FALSE)</f>
        <v>935</v>
      </c>
      <c r="N775" s="38">
        <f>IFERROR(VLOOKUP($F775,bug_conf_sheet!$A:$H,3,FALSE),VLOOKUP("other",bug_conf_sheet!$A:$H,3,FALSE))</f>
        <v>1</v>
      </c>
      <c r="O775" s="38">
        <f>IFERROR(VLOOKUP($F775,bug_conf_sheet!$A:$H,4,FALSE),VLOOKUP("other",bug_conf_sheet!$A:$H,4,FALSE))</f>
        <v>0</v>
      </c>
      <c r="P775" s="38">
        <f>IFERROR(VLOOKUP($F775,bug_conf_sheet!$A:$H,5,FALSE),VLOOKUP("other",bug_conf_sheet!$A:$H,5,FALSE))</f>
        <v>0</v>
      </c>
      <c r="Q775" s="38">
        <f>IFERROR(VLOOKUP($F775,bug_conf_sheet!$A:$H,6,FALSE),VLOOKUP("other",bug_conf_sheet!$A:$H,6,FALSE))</f>
        <v>0</v>
      </c>
      <c r="R775" s="38">
        <f>IFERROR(VLOOKUP($F775,bug_conf_sheet!$A:$H,7,FALSE),VLOOKUP("other",bug_conf_sheet!$A:$H,7,FALSE))</f>
        <v>0</v>
      </c>
      <c r="S775" s="38">
        <f>IFERROR(VLOOKUP($F775,bug_conf_sheet!$A:$H,8,FALSE),VLOOKUP("other",bug_conf_sheet!$A:$H,8,FALSE))</f>
        <v>1</v>
      </c>
    </row>
    <row r="776" spans="1:19" ht="21" hidden="1" customHeight="1">
      <c r="A776" s="7" t="str">
        <f t="shared" si="65"/>
        <v>1880197</v>
      </c>
      <c r="B776" s="2" t="str">
        <f t="shared" si="68"/>
        <v>1880</v>
      </c>
      <c r="C776" s="8" t="str">
        <f t="shared" si="66"/>
        <v>0PremiumN4</v>
      </c>
      <c r="D776" s="8" t="str">
        <f t="shared" si="67"/>
        <v>0PremiumN4</v>
      </c>
      <c r="E776" s="10">
        <v>0</v>
      </c>
      <c r="F776" s="13">
        <v>197</v>
      </c>
      <c r="G776" s="8" t="str">
        <f>VLOOKUP(F776,[1]characters!$A:$C,3,FALSE)</f>
        <v>鉄腕 アキレス</v>
      </c>
      <c r="H776" s="8" t="str">
        <f>VLOOKUP(F776,[1]characters!$A:$J,10,FALSE)</f>
        <v>PremiumN</v>
      </c>
      <c r="I776" s="8">
        <f>VLOOKUP(F776,[1]characters!$A:$I,9,FALSE)</f>
        <v>4</v>
      </c>
      <c r="J776" s="8" t="str">
        <f>VLOOKUP(F776,[1]characters!$A:$H,8,FALSE)</f>
        <v>yellow</v>
      </c>
      <c r="K776" s="8" t="str">
        <f>VLOOKUP(F776,[1]characters!$A:$K,11,FALSE)</f>
        <v>balance</v>
      </c>
      <c r="L776" s="8" t="str">
        <f>VLOOKUP(F776,[1]characters!$A:$M,13,FALSE)</f>
        <v>human</v>
      </c>
      <c r="M776" s="16">
        <f>VLOOKUP(D776,gacha_188_base!A:B,2,FALSE)</f>
        <v>14648</v>
      </c>
      <c r="N776" s="38">
        <f>IFERROR(VLOOKUP($F776,bug_conf_sheet!$A:$H,3,FALSE),VLOOKUP("other",bug_conf_sheet!$A:$H,3,FALSE))</f>
        <v>1</v>
      </c>
      <c r="O776" s="38">
        <f>IFERROR(VLOOKUP($F776,bug_conf_sheet!$A:$H,4,FALSE),VLOOKUP("other",bug_conf_sheet!$A:$H,4,FALSE))</f>
        <v>0</v>
      </c>
      <c r="P776" s="38">
        <f>IFERROR(VLOOKUP($F776,bug_conf_sheet!$A:$H,5,FALSE),VLOOKUP("other",bug_conf_sheet!$A:$H,5,FALSE))</f>
        <v>0</v>
      </c>
      <c r="Q776" s="38">
        <f>IFERROR(VLOOKUP($F776,bug_conf_sheet!$A:$H,6,FALSE),VLOOKUP("other",bug_conf_sheet!$A:$H,6,FALSE))</f>
        <v>0</v>
      </c>
      <c r="R776" s="38">
        <f>IFERROR(VLOOKUP($F776,bug_conf_sheet!$A:$H,7,FALSE),VLOOKUP("other",bug_conf_sheet!$A:$H,7,FALSE))</f>
        <v>0</v>
      </c>
      <c r="S776" s="38">
        <f>IFERROR(VLOOKUP($F776,bug_conf_sheet!$A:$H,8,FALSE),VLOOKUP("other",bug_conf_sheet!$A:$H,8,FALSE))</f>
        <v>1</v>
      </c>
    </row>
    <row r="777" spans="1:19" ht="21" customHeight="1">
      <c r="A777" s="7" t="str">
        <f t="shared" si="65"/>
        <v>1880198</v>
      </c>
      <c r="B777" s="2" t="str">
        <f t="shared" si="68"/>
        <v>1880</v>
      </c>
      <c r="C777" s="8" t="str">
        <f t="shared" si="66"/>
        <v>0PremiumN5</v>
      </c>
      <c r="D777" s="8" t="str">
        <f t="shared" si="67"/>
        <v>0PremiumN5</v>
      </c>
      <c r="E777" s="10">
        <v>0</v>
      </c>
      <c r="F777" s="6">
        <v>198</v>
      </c>
      <c r="G777" s="8" t="str">
        <f>VLOOKUP(F777,[1]characters!$A:$C,3,FALSE)</f>
        <v>砕骨の剛腕 アキレス</v>
      </c>
      <c r="H777" s="8" t="str">
        <f>VLOOKUP(F777,[1]characters!$A:$J,10,FALSE)</f>
        <v>PremiumN</v>
      </c>
      <c r="I777" s="8">
        <f>VLOOKUP(F777,[1]characters!$A:$I,9,FALSE)</f>
        <v>5</v>
      </c>
      <c r="J777" s="8" t="str">
        <f>VLOOKUP(F777,[1]characters!$A:$H,8,FALSE)</f>
        <v>yellow</v>
      </c>
      <c r="K777" s="8" t="str">
        <f>VLOOKUP(F777,[1]characters!$A:$K,11,FALSE)</f>
        <v>balance</v>
      </c>
      <c r="L777" s="8" t="str">
        <f>VLOOKUP(F777,[1]characters!$A:$M,13,FALSE)</f>
        <v>human</v>
      </c>
      <c r="M777" s="16">
        <f>VLOOKUP(D777,gacha_188_base!A:B,2,FALSE)</f>
        <v>935</v>
      </c>
      <c r="N777" s="38">
        <f>IFERROR(VLOOKUP($F777,bug_conf_sheet!$A:$H,3,FALSE),VLOOKUP("other",bug_conf_sheet!$A:$H,3,FALSE))</f>
        <v>1</v>
      </c>
      <c r="O777" s="38">
        <f>IFERROR(VLOOKUP($F777,bug_conf_sheet!$A:$H,4,FALSE),VLOOKUP("other",bug_conf_sheet!$A:$H,4,FALSE))</f>
        <v>0</v>
      </c>
      <c r="P777" s="38">
        <f>IFERROR(VLOOKUP($F777,bug_conf_sheet!$A:$H,5,FALSE),VLOOKUP("other",bug_conf_sheet!$A:$H,5,FALSE))</f>
        <v>0</v>
      </c>
      <c r="Q777" s="38">
        <f>IFERROR(VLOOKUP($F777,bug_conf_sheet!$A:$H,6,FALSE),VLOOKUP("other",bug_conf_sheet!$A:$H,6,FALSE))</f>
        <v>0</v>
      </c>
      <c r="R777" s="38">
        <f>IFERROR(VLOOKUP($F777,bug_conf_sheet!$A:$H,7,FALSE),VLOOKUP("other",bug_conf_sheet!$A:$H,7,FALSE))</f>
        <v>0</v>
      </c>
      <c r="S777" s="38">
        <f>IFERROR(VLOOKUP($F777,bug_conf_sheet!$A:$H,8,FALSE),VLOOKUP("other",bug_conf_sheet!$A:$H,8,FALSE))</f>
        <v>1</v>
      </c>
    </row>
    <row r="778" spans="1:19" ht="21" hidden="1" customHeight="1">
      <c r="A778" s="7" t="str">
        <f t="shared" ref="A778:A841" si="69">B778&amp;F778</f>
        <v>1880200</v>
      </c>
      <c r="B778" s="2" t="str">
        <f t="shared" si="68"/>
        <v>1880</v>
      </c>
      <c r="C778" s="8" t="str">
        <f t="shared" ref="C778:C841" si="70">E778&amp;H778&amp;I778</f>
        <v>0PremiumN4</v>
      </c>
      <c r="D778" s="8" t="str">
        <f t="shared" si="67"/>
        <v>0PremiumN4</v>
      </c>
      <c r="E778" s="10">
        <v>0</v>
      </c>
      <c r="F778" s="6">
        <v>200</v>
      </c>
      <c r="G778" s="8" t="str">
        <f>VLOOKUP(F778,[1]characters!$A:$C,3,FALSE)</f>
        <v>大剣士 ジークフリート</v>
      </c>
      <c r="H778" s="8" t="str">
        <f>VLOOKUP(F778,[1]characters!$A:$J,10,FALSE)</f>
        <v>PremiumN</v>
      </c>
      <c r="I778" s="8">
        <f>VLOOKUP(F778,[1]characters!$A:$I,9,FALSE)</f>
        <v>4</v>
      </c>
      <c r="J778" s="8" t="str">
        <f>VLOOKUP(F778,[1]characters!$A:$H,8,FALSE)</f>
        <v>blue</v>
      </c>
      <c r="K778" s="8" t="str">
        <f>VLOOKUP(F778,[1]characters!$A:$K,11,FALSE)</f>
        <v>balance</v>
      </c>
      <c r="L778" s="8" t="str">
        <f>VLOOKUP(F778,[1]characters!$A:$M,13,FALSE)</f>
        <v>human</v>
      </c>
      <c r="M778" s="16">
        <f>VLOOKUP(D778,gacha_188_base!A:B,2,FALSE)</f>
        <v>14648</v>
      </c>
      <c r="N778" s="38">
        <f>IFERROR(VLOOKUP($F778,bug_conf_sheet!$A:$H,3,FALSE),VLOOKUP("other",bug_conf_sheet!$A:$H,3,FALSE))</f>
        <v>1</v>
      </c>
      <c r="O778" s="38">
        <f>IFERROR(VLOOKUP($F778,bug_conf_sheet!$A:$H,4,FALSE),VLOOKUP("other",bug_conf_sheet!$A:$H,4,FALSE))</f>
        <v>0</v>
      </c>
      <c r="P778" s="38">
        <f>IFERROR(VLOOKUP($F778,bug_conf_sheet!$A:$H,5,FALSE),VLOOKUP("other",bug_conf_sheet!$A:$H,5,FALSE))</f>
        <v>0</v>
      </c>
      <c r="Q778" s="38">
        <f>IFERROR(VLOOKUP($F778,bug_conf_sheet!$A:$H,6,FALSE),VLOOKUP("other",bug_conf_sheet!$A:$H,6,FALSE))</f>
        <v>0</v>
      </c>
      <c r="R778" s="38">
        <f>IFERROR(VLOOKUP($F778,bug_conf_sheet!$A:$H,7,FALSE),VLOOKUP("other",bug_conf_sheet!$A:$H,7,FALSE))</f>
        <v>0</v>
      </c>
      <c r="S778" s="38">
        <f>IFERROR(VLOOKUP($F778,bug_conf_sheet!$A:$H,8,FALSE),VLOOKUP("other",bug_conf_sheet!$A:$H,8,FALSE))</f>
        <v>1</v>
      </c>
    </row>
    <row r="779" spans="1:19" ht="21" customHeight="1">
      <c r="A779" s="7" t="str">
        <f t="shared" si="69"/>
        <v>1880201</v>
      </c>
      <c r="B779" s="2" t="str">
        <f t="shared" si="68"/>
        <v>1880</v>
      </c>
      <c r="C779" s="8" t="str">
        <f t="shared" si="70"/>
        <v>0PremiumN5</v>
      </c>
      <c r="D779" s="8" t="str">
        <f t="shared" si="67"/>
        <v>0PremiumN5</v>
      </c>
      <c r="E779" s="10">
        <v>0</v>
      </c>
      <c r="F779" s="5">
        <v>201</v>
      </c>
      <c r="G779" s="8" t="str">
        <f>VLOOKUP(F779,[1]characters!$A:$C,3,FALSE)</f>
        <v>斬空の大破剣 ジークフリート</v>
      </c>
      <c r="H779" s="8" t="str">
        <f>VLOOKUP(F779,[1]characters!$A:$J,10,FALSE)</f>
        <v>PremiumN</v>
      </c>
      <c r="I779" s="8">
        <f>VLOOKUP(F779,[1]characters!$A:$I,9,FALSE)</f>
        <v>5</v>
      </c>
      <c r="J779" s="8" t="str">
        <f>VLOOKUP(F779,[1]characters!$A:$H,8,FALSE)</f>
        <v>blue</v>
      </c>
      <c r="K779" s="8" t="str">
        <f>VLOOKUP(F779,[1]characters!$A:$K,11,FALSE)</f>
        <v>balance</v>
      </c>
      <c r="L779" s="8" t="str">
        <f>VLOOKUP(F779,[1]characters!$A:$M,13,FALSE)</f>
        <v>human</v>
      </c>
      <c r="M779" s="16">
        <f>VLOOKUP(D779,gacha_188_base!A:B,2,FALSE)</f>
        <v>935</v>
      </c>
      <c r="N779" s="38">
        <f>IFERROR(VLOOKUP($F779,bug_conf_sheet!$A:$H,3,FALSE),VLOOKUP("other",bug_conf_sheet!$A:$H,3,FALSE))</f>
        <v>1</v>
      </c>
      <c r="O779" s="38">
        <f>IFERROR(VLOOKUP($F779,bug_conf_sheet!$A:$H,4,FALSE),VLOOKUP("other",bug_conf_sheet!$A:$H,4,FALSE))</f>
        <v>0</v>
      </c>
      <c r="P779" s="38">
        <f>IFERROR(VLOOKUP($F779,bug_conf_sheet!$A:$H,5,FALSE),VLOOKUP("other",bug_conf_sheet!$A:$H,5,FALSE))</f>
        <v>0</v>
      </c>
      <c r="Q779" s="38">
        <f>IFERROR(VLOOKUP($F779,bug_conf_sheet!$A:$H,6,FALSE),VLOOKUP("other",bug_conf_sheet!$A:$H,6,FALSE))</f>
        <v>0</v>
      </c>
      <c r="R779" s="38">
        <f>IFERROR(VLOOKUP($F779,bug_conf_sheet!$A:$H,7,FALSE),VLOOKUP("other",bug_conf_sheet!$A:$H,7,FALSE))</f>
        <v>0</v>
      </c>
      <c r="S779" s="38">
        <f>IFERROR(VLOOKUP($F779,bug_conf_sheet!$A:$H,8,FALSE),VLOOKUP("other",bug_conf_sheet!$A:$H,8,FALSE))</f>
        <v>1</v>
      </c>
    </row>
    <row r="780" spans="1:19" ht="21" hidden="1" customHeight="1">
      <c r="A780" s="7" t="str">
        <f t="shared" si="69"/>
        <v>1880203</v>
      </c>
      <c r="B780" s="2" t="str">
        <f t="shared" si="68"/>
        <v>1880</v>
      </c>
      <c r="C780" s="8" t="str">
        <f t="shared" si="70"/>
        <v>0PremiumN4</v>
      </c>
      <c r="D780" s="8" t="str">
        <f t="shared" si="67"/>
        <v>0PremiumN4</v>
      </c>
      <c r="E780" s="10">
        <v>0</v>
      </c>
      <c r="F780" s="5">
        <v>203</v>
      </c>
      <c r="G780" s="8" t="str">
        <f>VLOOKUP(F780,[1]characters!$A:$C,3,FALSE)</f>
        <v>焔神 プロメテウス</v>
      </c>
      <c r="H780" s="8" t="str">
        <f>VLOOKUP(F780,[1]characters!$A:$J,10,FALSE)</f>
        <v>PremiumN</v>
      </c>
      <c r="I780" s="8">
        <f>VLOOKUP(F780,[1]characters!$A:$I,9,FALSE)</f>
        <v>4</v>
      </c>
      <c r="J780" s="8" t="str">
        <f>VLOOKUP(F780,[1]characters!$A:$H,8,FALSE)</f>
        <v>red</v>
      </c>
      <c r="K780" s="8" t="str">
        <f>VLOOKUP(F780,[1]characters!$A:$K,11,FALSE)</f>
        <v>hp</v>
      </c>
      <c r="L780" s="8" t="str">
        <f>VLOOKUP(F780,[1]characters!$A:$M,13,FALSE)</f>
        <v>god</v>
      </c>
      <c r="M780" s="16">
        <f>VLOOKUP(D780,gacha_188_base!A:B,2,FALSE)</f>
        <v>14648</v>
      </c>
      <c r="N780" s="38">
        <f>IFERROR(VLOOKUP($F780,bug_conf_sheet!$A:$H,3,FALSE),VLOOKUP("other",bug_conf_sheet!$A:$H,3,FALSE))</f>
        <v>1</v>
      </c>
      <c r="O780" s="38">
        <f>IFERROR(VLOOKUP($F780,bug_conf_sheet!$A:$H,4,FALSE),VLOOKUP("other",bug_conf_sheet!$A:$H,4,FALSE))</f>
        <v>0</v>
      </c>
      <c r="P780" s="38">
        <f>IFERROR(VLOOKUP($F780,bug_conf_sheet!$A:$H,5,FALSE),VLOOKUP("other",bug_conf_sheet!$A:$H,5,FALSE))</f>
        <v>0</v>
      </c>
      <c r="Q780" s="38">
        <f>IFERROR(VLOOKUP($F780,bug_conf_sheet!$A:$H,6,FALSE),VLOOKUP("other",bug_conf_sheet!$A:$H,6,FALSE))</f>
        <v>0</v>
      </c>
      <c r="R780" s="38">
        <f>IFERROR(VLOOKUP($F780,bug_conf_sheet!$A:$H,7,FALSE),VLOOKUP("other",bug_conf_sheet!$A:$H,7,FALSE))</f>
        <v>0</v>
      </c>
      <c r="S780" s="38">
        <f>IFERROR(VLOOKUP($F780,bug_conf_sheet!$A:$H,8,FALSE),VLOOKUP("other",bug_conf_sheet!$A:$H,8,FALSE))</f>
        <v>1</v>
      </c>
    </row>
    <row r="781" spans="1:19" ht="21" customHeight="1">
      <c r="A781" s="7" t="str">
        <f t="shared" si="69"/>
        <v>1880204</v>
      </c>
      <c r="B781" s="2" t="str">
        <f t="shared" si="68"/>
        <v>1880</v>
      </c>
      <c r="C781" s="8" t="str">
        <f t="shared" si="70"/>
        <v>0PremiumN5</v>
      </c>
      <c r="D781" s="8" t="str">
        <f t="shared" si="67"/>
        <v>0PremiumN5</v>
      </c>
      <c r="E781" s="10">
        <v>0</v>
      </c>
      <c r="F781" s="5">
        <v>204</v>
      </c>
      <c r="G781" s="8" t="str">
        <f>VLOOKUP(F781,[1]characters!$A:$C,3,FALSE)</f>
        <v>慟哭の巨焔 プロメテウス</v>
      </c>
      <c r="H781" s="8" t="str">
        <f>VLOOKUP(F781,[1]characters!$A:$J,10,FALSE)</f>
        <v>PremiumN</v>
      </c>
      <c r="I781" s="8">
        <f>VLOOKUP(F781,[1]characters!$A:$I,9,FALSE)</f>
        <v>5</v>
      </c>
      <c r="J781" s="8" t="str">
        <f>VLOOKUP(F781,[1]characters!$A:$H,8,FALSE)</f>
        <v>red</v>
      </c>
      <c r="K781" s="8" t="str">
        <f>VLOOKUP(F781,[1]characters!$A:$K,11,FALSE)</f>
        <v>hp</v>
      </c>
      <c r="L781" s="8" t="str">
        <f>VLOOKUP(F781,[1]characters!$A:$M,13,FALSE)</f>
        <v>god</v>
      </c>
      <c r="M781" s="16">
        <f>VLOOKUP(D781,gacha_188_base!A:B,2,FALSE)</f>
        <v>935</v>
      </c>
      <c r="N781" s="38">
        <f>IFERROR(VLOOKUP($F781,bug_conf_sheet!$A:$H,3,FALSE),VLOOKUP("other",bug_conf_sheet!$A:$H,3,FALSE))</f>
        <v>1</v>
      </c>
      <c r="O781" s="38">
        <f>IFERROR(VLOOKUP($F781,bug_conf_sheet!$A:$H,4,FALSE),VLOOKUP("other",bug_conf_sheet!$A:$H,4,FALSE))</f>
        <v>0</v>
      </c>
      <c r="P781" s="38">
        <f>IFERROR(VLOOKUP($F781,bug_conf_sheet!$A:$H,5,FALSE),VLOOKUP("other",bug_conf_sheet!$A:$H,5,FALSE))</f>
        <v>0</v>
      </c>
      <c r="Q781" s="38">
        <f>IFERROR(VLOOKUP($F781,bug_conf_sheet!$A:$H,6,FALSE),VLOOKUP("other",bug_conf_sheet!$A:$H,6,FALSE))</f>
        <v>0</v>
      </c>
      <c r="R781" s="38">
        <f>IFERROR(VLOOKUP($F781,bug_conf_sheet!$A:$H,7,FALSE),VLOOKUP("other",bug_conf_sheet!$A:$H,7,FALSE))</f>
        <v>0</v>
      </c>
      <c r="S781" s="38">
        <f>IFERROR(VLOOKUP($F781,bug_conf_sheet!$A:$H,8,FALSE),VLOOKUP("other",bug_conf_sheet!$A:$H,8,FALSE))</f>
        <v>1</v>
      </c>
    </row>
    <row r="782" spans="1:19" ht="21" hidden="1" customHeight="1">
      <c r="A782" s="7" t="str">
        <f t="shared" si="69"/>
        <v>1880206</v>
      </c>
      <c r="B782" s="2" t="str">
        <f t="shared" si="68"/>
        <v>1880</v>
      </c>
      <c r="C782" s="8" t="str">
        <f t="shared" si="70"/>
        <v>0PremiumN4</v>
      </c>
      <c r="D782" s="8" t="str">
        <f t="shared" si="67"/>
        <v>0PremiumN4</v>
      </c>
      <c r="E782" s="10">
        <v>0</v>
      </c>
      <c r="F782" s="5">
        <v>206</v>
      </c>
      <c r="G782" s="8" t="str">
        <f>VLOOKUP(F782,[1]characters!$A:$C,3,FALSE)</f>
        <v>美神 アフロディーテ</v>
      </c>
      <c r="H782" s="8" t="str">
        <f>VLOOKUP(F782,[1]characters!$A:$J,10,FALSE)</f>
        <v>PremiumN</v>
      </c>
      <c r="I782" s="8">
        <f>VLOOKUP(F782,[1]characters!$A:$I,9,FALSE)</f>
        <v>4</v>
      </c>
      <c r="J782" s="8" t="str">
        <f>VLOOKUP(F782,[1]characters!$A:$H,8,FALSE)</f>
        <v>green</v>
      </c>
      <c r="K782" s="8" t="str">
        <f>VLOOKUP(F782,[1]characters!$A:$K,11,FALSE)</f>
        <v>hp</v>
      </c>
      <c r="L782" s="8" t="str">
        <f>VLOOKUP(F782,[1]characters!$A:$M,13,FALSE)</f>
        <v>god</v>
      </c>
      <c r="M782" s="16">
        <f>VLOOKUP(D782,gacha_188_base!A:B,2,FALSE)</f>
        <v>14648</v>
      </c>
      <c r="N782" s="38">
        <f>IFERROR(VLOOKUP($F782,bug_conf_sheet!$A:$H,3,FALSE),VLOOKUP("other",bug_conf_sheet!$A:$H,3,FALSE))</f>
        <v>1</v>
      </c>
      <c r="O782" s="38">
        <f>IFERROR(VLOOKUP($F782,bug_conf_sheet!$A:$H,4,FALSE),VLOOKUP("other",bug_conf_sheet!$A:$H,4,FALSE))</f>
        <v>0</v>
      </c>
      <c r="P782" s="38">
        <f>IFERROR(VLOOKUP($F782,bug_conf_sheet!$A:$H,5,FALSE),VLOOKUP("other",bug_conf_sheet!$A:$H,5,FALSE))</f>
        <v>0</v>
      </c>
      <c r="Q782" s="38">
        <f>IFERROR(VLOOKUP($F782,bug_conf_sheet!$A:$H,6,FALSE),VLOOKUP("other",bug_conf_sheet!$A:$H,6,FALSE))</f>
        <v>0</v>
      </c>
      <c r="R782" s="38">
        <f>IFERROR(VLOOKUP($F782,bug_conf_sheet!$A:$H,7,FALSE),VLOOKUP("other",bug_conf_sheet!$A:$H,7,FALSE))</f>
        <v>0</v>
      </c>
      <c r="S782" s="38">
        <f>IFERROR(VLOOKUP($F782,bug_conf_sheet!$A:$H,8,FALSE),VLOOKUP("other",bug_conf_sheet!$A:$H,8,FALSE))</f>
        <v>1</v>
      </c>
    </row>
    <row r="783" spans="1:19" ht="21" customHeight="1">
      <c r="A783" s="7" t="str">
        <f t="shared" si="69"/>
        <v>1880207</v>
      </c>
      <c r="B783" s="2" t="str">
        <f t="shared" si="68"/>
        <v>1880</v>
      </c>
      <c r="C783" s="8" t="str">
        <f t="shared" si="70"/>
        <v>0PremiumN5</v>
      </c>
      <c r="D783" s="8" t="str">
        <f t="shared" si="67"/>
        <v>0PremiumN5</v>
      </c>
      <c r="E783" s="10">
        <v>0</v>
      </c>
      <c r="F783" s="5">
        <v>207</v>
      </c>
      <c r="G783" s="8" t="str">
        <f>VLOOKUP(F783,[1]characters!$A:$C,3,FALSE)</f>
        <v>豊穣の麗神・アフロディーテ</v>
      </c>
      <c r="H783" s="8" t="str">
        <f>VLOOKUP(F783,[1]characters!$A:$J,10,FALSE)</f>
        <v>PremiumN</v>
      </c>
      <c r="I783" s="8">
        <f>VLOOKUP(F783,[1]characters!$A:$I,9,FALSE)</f>
        <v>5</v>
      </c>
      <c r="J783" s="8" t="str">
        <f>VLOOKUP(F783,[1]characters!$A:$H,8,FALSE)</f>
        <v>green</v>
      </c>
      <c r="K783" s="8" t="str">
        <f>VLOOKUP(F783,[1]characters!$A:$K,11,FALSE)</f>
        <v>hp</v>
      </c>
      <c r="L783" s="8" t="str">
        <f>VLOOKUP(F783,[1]characters!$A:$M,13,FALSE)</f>
        <v>god</v>
      </c>
      <c r="M783" s="16">
        <f>VLOOKUP(D783,gacha_188_base!A:B,2,FALSE)</f>
        <v>935</v>
      </c>
      <c r="N783" s="38">
        <f>IFERROR(VLOOKUP($F783,bug_conf_sheet!$A:$H,3,FALSE),VLOOKUP("other",bug_conf_sheet!$A:$H,3,FALSE))</f>
        <v>1</v>
      </c>
      <c r="O783" s="38">
        <f>IFERROR(VLOOKUP($F783,bug_conf_sheet!$A:$H,4,FALSE),VLOOKUP("other",bug_conf_sheet!$A:$H,4,FALSE))</f>
        <v>0</v>
      </c>
      <c r="P783" s="38">
        <f>IFERROR(VLOOKUP($F783,bug_conf_sheet!$A:$H,5,FALSE),VLOOKUP("other",bug_conf_sheet!$A:$H,5,FALSE))</f>
        <v>0</v>
      </c>
      <c r="Q783" s="38">
        <f>IFERROR(VLOOKUP($F783,bug_conf_sheet!$A:$H,6,FALSE),VLOOKUP("other",bug_conf_sheet!$A:$H,6,FALSE))</f>
        <v>0</v>
      </c>
      <c r="R783" s="38">
        <f>IFERROR(VLOOKUP($F783,bug_conf_sheet!$A:$H,7,FALSE),VLOOKUP("other",bug_conf_sheet!$A:$H,7,FALSE))</f>
        <v>0</v>
      </c>
      <c r="S783" s="38">
        <f>IFERROR(VLOOKUP($F783,bug_conf_sheet!$A:$H,8,FALSE),VLOOKUP("other",bug_conf_sheet!$A:$H,8,FALSE))</f>
        <v>1</v>
      </c>
    </row>
    <row r="784" spans="1:19" ht="21" hidden="1" customHeight="1">
      <c r="A784" s="7" t="str">
        <f t="shared" si="69"/>
        <v>1880209</v>
      </c>
      <c r="B784" s="2" t="str">
        <f t="shared" si="68"/>
        <v>1880</v>
      </c>
      <c r="C784" s="8" t="str">
        <f t="shared" si="70"/>
        <v>0PremiumN4</v>
      </c>
      <c r="D784" s="8" t="str">
        <f t="shared" si="67"/>
        <v>0PremiumN4</v>
      </c>
      <c r="E784" s="10">
        <v>0</v>
      </c>
      <c r="F784" s="5">
        <v>209</v>
      </c>
      <c r="G784" s="8" t="str">
        <f>VLOOKUP(F784,[1]characters!$A:$C,3,FALSE)</f>
        <v>孤神 テティス</v>
      </c>
      <c r="H784" s="8" t="str">
        <f>VLOOKUP(F784,[1]characters!$A:$J,10,FALSE)</f>
        <v>PremiumN</v>
      </c>
      <c r="I784" s="8">
        <f>VLOOKUP(F784,[1]characters!$A:$I,9,FALSE)</f>
        <v>4</v>
      </c>
      <c r="J784" s="8" t="str">
        <f>VLOOKUP(F784,[1]characters!$A:$H,8,FALSE)</f>
        <v>blue</v>
      </c>
      <c r="K784" s="8" t="str">
        <f>VLOOKUP(F784,[1]characters!$A:$K,11,FALSE)</f>
        <v>hp</v>
      </c>
      <c r="L784" s="8" t="str">
        <f>VLOOKUP(F784,[1]characters!$A:$M,13,FALSE)</f>
        <v>god</v>
      </c>
      <c r="M784" s="16">
        <f>VLOOKUP(D784,gacha_188_base!A:B,2,FALSE)</f>
        <v>14648</v>
      </c>
      <c r="N784" s="38">
        <f>IFERROR(VLOOKUP($F784,bug_conf_sheet!$A:$H,3,FALSE),VLOOKUP("other",bug_conf_sheet!$A:$H,3,FALSE))</f>
        <v>1</v>
      </c>
      <c r="O784" s="38">
        <f>IFERROR(VLOOKUP($F784,bug_conf_sheet!$A:$H,4,FALSE),VLOOKUP("other",bug_conf_sheet!$A:$H,4,FALSE))</f>
        <v>0</v>
      </c>
      <c r="P784" s="38">
        <f>IFERROR(VLOOKUP($F784,bug_conf_sheet!$A:$H,5,FALSE),VLOOKUP("other",bug_conf_sheet!$A:$H,5,FALSE))</f>
        <v>0</v>
      </c>
      <c r="Q784" s="38">
        <f>IFERROR(VLOOKUP($F784,bug_conf_sheet!$A:$H,6,FALSE),VLOOKUP("other",bug_conf_sheet!$A:$H,6,FALSE))</f>
        <v>0</v>
      </c>
      <c r="R784" s="38">
        <f>IFERROR(VLOOKUP($F784,bug_conf_sheet!$A:$H,7,FALSE),VLOOKUP("other",bug_conf_sheet!$A:$H,7,FALSE))</f>
        <v>0</v>
      </c>
      <c r="S784" s="38">
        <f>IFERROR(VLOOKUP($F784,bug_conf_sheet!$A:$H,8,FALSE),VLOOKUP("other",bug_conf_sheet!$A:$H,8,FALSE))</f>
        <v>1</v>
      </c>
    </row>
    <row r="785" spans="1:19" ht="21" customHeight="1">
      <c r="A785" s="7" t="str">
        <f t="shared" si="69"/>
        <v>1880210</v>
      </c>
      <c r="B785" s="2" t="str">
        <f t="shared" si="68"/>
        <v>1880</v>
      </c>
      <c r="C785" s="8" t="str">
        <f t="shared" si="70"/>
        <v>0PremiumN5</v>
      </c>
      <c r="D785" s="8" t="str">
        <f t="shared" si="67"/>
        <v>0PremiumN5</v>
      </c>
      <c r="E785" s="10">
        <v>0</v>
      </c>
      <c r="F785" s="5">
        <v>210</v>
      </c>
      <c r="G785" s="8" t="str">
        <f>VLOOKUP(F785,[1]characters!$A:$C,3,FALSE)</f>
        <v>海底の孤高神 テティス</v>
      </c>
      <c r="H785" s="8" t="str">
        <f>VLOOKUP(F785,[1]characters!$A:$J,10,FALSE)</f>
        <v>PremiumN</v>
      </c>
      <c r="I785" s="8">
        <f>VLOOKUP(F785,[1]characters!$A:$I,9,FALSE)</f>
        <v>5</v>
      </c>
      <c r="J785" s="8" t="str">
        <f>VLOOKUP(F785,[1]characters!$A:$H,8,FALSE)</f>
        <v>blue</v>
      </c>
      <c r="K785" s="8" t="str">
        <f>VLOOKUP(F785,[1]characters!$A:$K,11,FALSE)</f>
        <v>hp</v>
      </c>
      <c r="L785" s="8" t="str">
        <f>VLOOKUP(F785,[1]characters!$A:$M,13,FALSE)</f>
        <v>god</v>
      </c>
      <c r="M785" s="16">
        <f>VLOOKUP(D785,gacha_188_base!A:B,2,FALSE)</f>
        <v>935</v>
      </c>
      <c r="N785" s="38">
        <f>IFERROR(VLOOKUP($F785,bug_conf_sheet!$A:$H,3,FALSE),VLOOKUP("other",bug_conf_sheet!$A:$H,3,FALSE))</f>
        <v>1</v>
      </c>
      <c r="O785" s="38">
        <f>IFERROR(VLOOKUP($F785,bug_conf_sheet!$A:$H,4,FALSE),VLOOKUP("other",bug_conf_sheet!$A:$H,4,FALSE))</f>
        <v>0</v>
      </c>
      <c r="P785" s="38">
        <f>IFERROR(VLOOKUP($F785,bug_conf_sheet!$A:$H,5,FALSE),VLOOKUP("other",bug_conf_sheet!$A:$H,5,FALSE))</f>
        <v>0</v>
      </c>
      <c r="Q785" s="38">
        <f>IFERROR(VLOOKUP($F785,bug_conf_sheet!$A:$H,6,FALSE),VLOOKUP("other",bug_conf_sheet!$A:$H,6,FALSE))</f>
        <v>0</v>
      </c>
      <c r="R785" s="38">
        <f>IFERROR(VLOOKUP($F785,bug_conf_sheet!$A:$H,7,FALSE),VLOOKUP("other",bug_conf_sheet!$A:$H,7,FALSE))</f>
        <v>0</v>
      </c>
      <c r="S785" s="38">
        <f>IFERROR(VLOOKUP($F785,bug_conf_sheet!$A:$H,8,FALSE),VLOOKUP("other",bug_conf_sheet!$A:$H,8,FALSE))</f>
        <v>1</v>
      </c>
    </row>
    <row r="786" spans="1:19" ht="21" hidden="1" customHeight="1">
      <c r="A786" s="7" t="str">
        <f t="shared" si="69"/>
        <v>1880212</v>
      </c>
      <c r="B786" s="2" t="str">
        <f t="shared" si="68"/>
        <v>1880</v>
      </c>
      <c r="C786" s="8" t="str">
        <f t="shared" si="70"/>
        <v>0PremiumN4</v>
      </c>
      <c r="D786" s="8" t="str">
        <f t="shared" si="67"/>
        <v>0PremiumN4</v>
      </c>
      <c r="E786" s="10">
        <v>0</v>
      </c>
      <c r="F786" s="5">
        <v>212</v>
      </c>
      <c r="G786" s="8" t="str">
        <f>VLOOKUP(F786,[1]characters!$A:$C,3,FALSE)</f>
        <v>星神 アストライアー</v>
      </c>
      <c r="H786" s="8" t="str">
        <f>VLOOKUP(F786,[1]characters!$A:$J,10,FALSE)</f>
        <v>PremiumN</v>
      </c>
      <c r="I786" s="8">
        <f>VLOOKUP(F786,[1]characters!$A:$I,9,FALSE)</f>
        <v>4</v>
      </c>
      <c r="J786" s="8" t="str">
        <f>VLOOKUP(F786,[1]characters!$A:$H,8,FALSE)</f>
        <v>yellow</v>
      </c>
      <c r="K786" s="8" t="str">
        <f>VLOOKUP(F786,[1]characters!$A:$K,11,FALSE)</f>
        <v>balance</v>
      </c>
      <c r="L786" s="8" t="str">
        <f>VLOOKUP(F786,[1]characters!$A:$M,13,FALSE)</f>
        <v>god</v>
      </c>
      <c r="M786" s="16">
        <f>VLOOKUP(D786,gacha_188_base!A:B,2,FALSE)</f>
        <v>14648</v>
      </c>
      <c r="N786" s="38">
        <f>IFERROR(VLOOKUP($F786,bug_conf_sheet!$A:$H,3,FALSE),VLOOKUP("other",bug_conf_sheet!$A:$H,3,FALSE))</f>
        <v>1</v>
      </c>
      <c r="O786" s="38">
        <f>IFERROR(VLOOKUP($F786,bug_conf_sheet!$A:$H,4,FALSE),VLOOKUP("other",bug_conf_sheet!$A:$H,4,FALSE))</f>
        <v>0</v>
      </c>
      <c r="P786" s="38">
        <f>IFERROR(VLOOKUP($F786,bug_conf_sheet!$A:$H,5,FALSE),VLOOKUP("other",bug_conf_sheet!$A:$H,5,FALSE))</f>
        <v>0</v>
      </c>
      <c r="Q786" s="38">
        <f>IFERROR(VLOOKUP($F786,bug_conf_sheet!$A:$H,6,FALSE),VLOOKUP("other",bug_conf_sheet!$A:$H,6,FALSE))</f>
        <v>0</v>
      </c>
      <c r="R786" s="38">
        <f>IFERROR(VLOOKUP($F786,bug_conf_sheet!$A:$H,7,FALSE),VLOOKUP("other",bug_conf_sheet!$A:$H,7,FALSE))</f>
        <v>0</v>
      </c>
      <c r="S786" s="38">
        <f>IFERROR(VLOOKUP($F786,bug_conf_sheet!$A:$H,8,FALSE),VLOOKUP("other",bug_conf_sheet!$A:$H,8,FALSE))</f>
        <v>1</v>
      </c>
    </row>
    <row r="787" spans="1:19" ht="21" customHeight="1">
      <c r="A787" s="7" t="str">
        <f t="shared" si="69"/>
        <v>1880213</v>
      </c>
      <c r="B787" s="2" t="str">
        <f t="shared" si="68"/>
        <v>1880</v>
      </c>
      <c r="C787" s="8" t="str">
        <f t="shared" si="70"/>
        <v>0PremiumN5</v>
      </c>
      <c r="D787" s="8" t="str">
        <f t="shared" si="67"/>
        <v>0PremiumN5</v>
      </c>
      <c r="E787" s="10">
        <v>0</v>
      </c>
      <c r="F787" s="5">
        <v>213</v>
      </c>
      <c r="G787" s="8" t="str">
        <f>VLOOKUP(F787,[1]characters!$A:$C,3,FALSE)</f>
        <v>満天の星降神 アストライアー</v>
      </c>
      <c r="H787" s="8" t="str">
        <f>VLOOKUP(F787,[1]characters!$A:$J,10,FALSE)</f>
        <v>PremiumN</v>
      </c>
      <c r="I787" s="8">
        <f>VLOOKUP(F787,[1]characters!$A:$I,9,FALSE)</f>
        <v>5</v>
      </c>
      <c r="J787" s="8" t="str">
        <f>VLOOKUP(F787,[1]characters!$A:$H,8,FALSE)</f>
        <v>yellow</v>
      </c>
      <c r="K787" s="8" t="str">
        <f>VLOOKUP(F787,[1]characters!$A:$K,11,FALSE)</f>
        <v>balance</v>
      </c>
      <c r="L787" s="8" t="str">
        <f>VLOOKUP(F787,[1]characters!$A:$M,13,FALSE)</f>
        <v>god</v>
      </c>
      <c r="M787" s="16">
        <f>VLOOKUP(D787,gacha_188_base!A:B,2,FALSE)</f>
        <v>935</v>
      </c>
      <c r="N787" s="38">
        <f>IFERROR(VLOOKUP($F787,bug_conf_sheet!$A:$H,3,FALSE),VLOOKUP("other",bug_conf_sheet!$A:$H,3,FALSE))</f>
        <v>1</v>
      </c>
      <c r="O787" s="38">
        <f>IFERROR(VLOOKUP($F787,bug_conf_sheet!$A:$H,4,FALSE),VLOOKUP("other",bug_conf_sheet!$A:$H,4,FALSE))</f>
        <v>0</v>
      </c>
      <c r="P787" s="38">
        <f>IFERROR(VLOOKUP($F787,bug_conf_sheet!$A:$H,5,FALSE),VLOOKUP("other",bug_conf_sheet!$A:$H,5,FALSE))</f>
        <v>0</v>
      </c>
      <c r="Q787" s="38">
        <f>IFERROR(VLOOKUP($F787,bug_conf_sheet!$A:$H,6,FALSE),VLOOKUP("other",bug_conf_sheet!$A:$H,6,FALSE))</f>
        <v>0</v>
      </c>
      <c r="R787" s="38">
        <f>IFERROR(VLOOKUP($F787,bug_conf_sheet!$A:$H,7,FALSE),VLOOKUP("other",bug_conf_sheet!$A:$H,7,FALSE))</f>
        <v>0</v>
      </c>
      <c r="S787" s="38">
        <f>IFERROR(VLOOKUP($F787,bug_conf_sheet!$A:$H,8,FALSE),VLOOKUP("other",bug_conf_sheet!$A:$H,8,FALSE))</f>
        <v>1</v>
      </c>
    </row>
    <row r="788" spans="1:19" ht="21" hidden="1" customHeight="1">
      <c r="A788" s="7" t="str">
        <f t="shared" si="69"/>
        <v>1880215</v>
      </c>
      <c r="B788" s="2" t="str">
        <f t="shared" si="68"/>
        <v>1880</v>
      </c>
      <c r="C788" s="8" t="str">
        <f t="shared" si="70"/>
        <v>0PremiumN4</v>
      </c>
      <c r="D788" s="8" t="str">
        <f t="shared" si="67"/>
        <v>0PremiumN4</v>
      </c>
      <c r="E788" s="10">
        <v>0</v>
      </c>
      <c r="F788" s="5">
        <v>215</v>
      </c>
      <c r="G788" s="8" t="str">
        <f>VLOOKUP(F788,[1]characters!$A:$C,3,FALSE)</f>
        <v>死導者 アズラエル</v>
      </c>
      <c r="H788" s="8" t="str">
        <f>VLOOKUP(F788,[1]characters!$A:$J,10,FALSE)</f>
        <v>PremiumN</v>
      </c>
      <c r="I788" s="8">
        <f>VLOOKUP(F788,[1]characters!$A:$I,9,FALSE)</f>
        <v>4</v>
      </c>
      <c r="J788" s="8" t="str">
        <f>VLOOKUP(F788,[1]characters!$A:$H,8,FALSE)</f>
        <v>red</v>
      </c>
      <c r="K788" s="8" t="str">
        <f>VLOOKUP(F788,[1]characters!$A:$K,11,FALSE)</f>
        <v>balance</v>
      </c>
      <c r="L788" s="8" t="str">
        <f>VLOOKUP(F788,[1]characters!$A:$M,13,FALSE)</f>
        <v>god</v>
      </c>
      <c r="M788" s="16">
        <f>VLOOKUP(D788,gacha_188_base!A:B,2,FALSE)</f>
        <v>14648</v>
      </c>
      <c r="N788" s="38">
        <f>IFERROR(VLOOKUP($F788,bug_conf_sheet!$A:$H,3,FALSE),VLOOKUP("other",bug_conf_sheet!$A:$H,3,FALSE))</f>
        <v>1</v>
      </c>
      <c r="O788" s="38">
        <f>IFERROR(VLOOKUP($F788,bug_conf_sheet!$A:$H,4,FALSE),VLOOKUP("other",bug_conf_sheet!$A:$H,4,FALSE))</f>
        <v>0</v>
      </c>
      <c r="P788" s="38">
        <f>IFERROR(VLOOKUP($F788,bug_conf_sheet!$A:$H,5,FALSE),VLOOKUP("other",bug_conf_sheet!$A:$H,5,FALSE))</f>
        <v>0</v>
      </c>
      <c r="Q788" s="38">
        <f>IFERROR(VLOOKUP($F788,bug_conf_sheet!$A:$H,6,FALSE),VLOOKUP("other",bug_conf_sheet!$A:$H,6,FALSE))</f>
        <v>0</v>
      </c>
      <c r="R788" s="38">
        <f>IFERROR(VLOOKUP($F788,bug_conf_sheet!$A:$H,7,FALSE),VLOOKUP("other",bug_conf_sheet!$A:$H,7,FALSE))</f>
        <v>0</v>
      </c>
      <c r="S788" s="38">
        <f>IFERROR(VLOOKUP($F788,bug_conf_sheet!$A:$H,8,FALSE),VLOOKUP("other",bug_conf_sheet!$A:$H,8,FALSE))</f>
        <v>1</v>
      </c>
    </row>
    <row r="789" spans="1:19" ht="21" customHeight="1">
      <c r="A789" s="7" t="str">
        <f t="shared" si="69"/>
        <v>1880216</v>
      </c>
      <c r="B789" s="2" t="str">
        <f t="shared" si="68"/>
        <v>1880</v>
      </c>
      <c r="C789" s="8" t="str">
        <f t="shared" si="70"/>
        <v>0PremiumN5</v>
      </c>
      <c r="D789" s="8" t="str">
        <f t="shared" si="67"/>
        <v>0PremiumN5</v>
      </c>
      <c r="E789" s="10">
        <v>0</v>
      </c>
      <c r="F789" s="5">
        <v>216</v>
      </c>
      <c r="G789" s="8" t="str">
        <f>VLOOKUP(F789,[1]characters!$A:$C,3,FALSE)</f>
        <v>百読の死導司書 アズラエル</v>
      </c>
      <c r="H789" s="8" t="str">
        <f>VLOOKUP(F789,[1]characters!$A:$J,10,FALSE)</f>
        <v>PremiumN</v>
      </c>
      <c r="I789" s="8">
        <f>VLOOKUP(F789,[1]characters!$A:$I,9,FALSE)</f>
        <v>5</v>
      </c>
      <c r="J789" s="8" t="str">
        <f>VLOOKUP(F789,[1]characters!$A:$H,8,FALSE)</f>
        <v>red</v>
      </c>
      <c r="K789" s="8" t="str">
        <f>VLOOKUP(F789,[1]characters!$A:$K,11,FALSE)</f>
        <v>balance</v>
      </c>
      <c r="L789" s="8" t="str">
        <f>VLOOKUP(F789,[1]characters!$A:$M,13,FALSE)</f>
        <v>god</v>
      </c>
      <c r="M789" s="16">
        <f>VLOOKUP(D789,gacha_188_base!A:B,2,FALSE)</f>
        <v>935</v>
      </c>
      <c r="N789" s="38">
        <f>IFERROR(VLOOKUP($F789,bug_conf_sheet!$A:$H,3,FALSE),VLOOKUP("other",bug_conf_sheet!$A:$H,3,FALSE))</f>
        <v>1</v>
      </c>
      <c r="O789" s="38">
        <f>IFERROR(VLOOKUP($F789,bug_conf_sheet!$A:$H,4,FALSE),VLOOKUP("other",bug_conf_sheet!$A:$H,4,FALSE))</f>
        <v>0</v>
      </c>
      <c r="P789" s="38">
        <f>IFERROR(VLOOKUP($F789,bug_conf_sheet!$A:$H,5,FALSE),VLOOKUP("other",bug_conf_sheet!$A:$H,5,FALSE))</f>
        <v>0</v>
      </c>
      <c r="Q789" s="38">
        <f>IFERROR(VLOOKUP($F789,bug_conf_sheet!$A:$H,6,FALSE),VLOOKUP("other",bug_conf_sheet!$A:$H,6,FALSE))</f>
        <v>0</v>
      </c>
      <c r="R789" s="38">
        <f>IFERROR(VLOOKUP($F789,bug_conf_sheet!$A:$H,7,FALSE),VLOOKUP("other",bug_conf_sheet!$A:$H,7,FALSE))</f>
        <v>0</v>
      </c>
      <c r="S789" s="38">
        <f>IFERROR(VLOOKUP($F789,bug_conf_sheet!$A:$H,8,FALSE),VLOOKUP("other",bug_conf_sheet!$A:$H,8,FALSE))</f>
        <v>1</v>
      </c>
    </row>
    <row r="790" spans="1:19" ht="21" hidden="1" customHeight="1">
      <c r="A790" s="7" t="str">
        <f t="shared" si="69"/>
        <v>1880218</v>
      </c>
      <c r="B790" s="2" t="str">
        <f t="shared" si="68"/>
        <v>1880</v>
      </c>
      <c r="C790" s="8" t="str">
        <f t="shared" si="70"/>
        <v>0PremiumN4</v>
      </c>
      <c r="D790" s="8" t="str">
        <f t="shared" si="67"/>
        <v>0PremiumN4</v>
      </c>
      <c r="E790" s="10">
        <v>0</v>
      </c>
      <c r="F790" s="5">
        <v>218</v>
      </c>
      <c r="G790" s="8" t="str">
        <f>VLOOKUP(F790,[1]characters!$A:$C,3,FALSE)</f>
        <v>聖蛇 ケツァクアトル</v>
      </c>
      <c r="H790" s="8" t="str">
        <f>VLOOKUP(F790,[1]characters!$A:$J,10,FALSE)</f>
        <v>PremiumN</v>
      </c>
      <c r="I790" s="8">
        <f>VLOOKUP(F790,[1]characters!$A:$I,9,FALSE)</f>
        <v>4</v>
      </c>
      <c r="J790" s="8" t="str">
        <f>VLOOKUP(F790,[1]characters!$A:$H,8,FALSE)</f>
        <v>green</v>
      </c>
      <c r="K790" s="8" t="str">
        <f>VLOOKUP(F790,[1]characters!$A:$K,11,FALSE)</f>
        <v>hp</v>
      </c>
      <c r="L790" s="8" t="str">
        <f>VLOOKUP(F790,[1]characters!$A:$M,13,FALSE)</f>
        <v>dragon</v>
      </c>
      <c r="M790" s="16">
        <f>VLOOKUP(D790,gacha_188_base!A:B,2,FALSE)</f>
        <v>14648</v>
      </c>
      <c r="N790" s="38">
        <f>IFERROR(VLOOKUP($F790,bug_conf_sheet!$A:$H,3,FALSE),VLOOKUP("other",bug_conf_sheet!$A:$H,3,FALSE))</f>
        <v>1</v>
      </c>
      <c r="O790" s="38">
        <f>IFERROR(VLOOKUP($F790,bug_conf_sheet!$A:$H,4,FALSE),VLOOKUP("other",bug_conf_sheet!$A:$H,4,FALSE))</f>
        <v>0</v>
      </c>
      <c r="P790" s="38">
        <f>IFERROR(VLOOKUP($F790,bug_conf_sheet!$A:$H,5,FALSE),VLOOKUP("other",bug_conf_sheet!$A:$H,5,FALSE))</f>
        <v>0</v>
      </c>
      <c r="Q790" s="38">
        <f>IFERROR(VLOOKUP($F790,bug_conf_sheet!$A:$H,6,FALSE),VLOOKUP("other",bug_conf_sheet!$A:$H,6,FALSE))</f>
        <v>0</v>
      </c>
      <c r="R790" s="38">
        <f>IFERROR(VLOOKUP($F790,bug_conf_sheet!$A:$H,7,FALSE),VLOOKUP("other",bug_conf_sheet!$A:$H,7,FALSE))</f>
        <v>0</v>
      </c>
      <c r="S790" s="38">
        <f>IFERROR(VLOOKUP($F790,bug_conf_sheet!$A:$H,8,FALSE),VLOOKUP("other",bug_conf_sheet!$A:$H,8,FALSE))</f>
        <v>1</v>
      </c>
    </row>
    <row r="791" spans="1:19" ht="21" customHeight="1">
      <c r="A791" s="7" t="str">
        <f t="shared" si="69"/>
        <v>1880219</v>
      </c>
      <c r="B791" s="2" t="str">
        <f t="shared" si="68"/>
        <v>1880</v>
      </c>
      <c r="C791" s="8" t="str">
        <f t="shared" si="70"/>
        <v>0PremiumN5</v>
      </c>
      <c r="D791" s="8" t="str">
        <f t="shared" si="67"/>
        <v>0PremiumN5</v>
      </c>
      <c r="E791" s="10">
        <v>0</v>
      </c>
      <c r="F791" s="5">
        <v>219</v>
      </c>
      <c r="G791" s="8" t="str">
        <f>VLOOKUP(F791,[1]characters!$A:$C,3,FALSE)</f>
        <v>覇翼の聖蛇竜 ケツァクアトル</v>
      </c>
      <c r="H791" s="8" t="str">
        <f>VLOOKUP(F791,[1]characters!$A:$J,10,FALSE)</f>
        <v>PremiumN</v>
      </c>
      <c r="I791" s="8">
        <f>VLOOKUP(F791,[1]characters!$A:$I,9,FALSE)</f>
        <v>5</v>
      </c>
      <c r="J791" s="8" t="str">
        <f>VLOOKUP(F791,[1]characters!$A:$H,8,FALSE)</f>
        <v>green</v>
      </c>
      <c r="K791" s="8" t="str">
        <f>VLOOKUP(F791,[1]characters!$A:$K,11,FALSE)</f>
        <v>hp</v>
      </c>
      <c r="L791" s="8" t="str">
        <f>VLOOKUP(F791,[1]characters!$A:$M,13,FALSE)</f>
        <v>dragon</v>
      </c>
      <c r="M791" s="16">
        <f>VLOOKUP(D791,gacha_188_base!A:B,2,FALSE)</f>
        <v>935</v>
      </c>
      <c r="N791" s="38">
        <f>IFERROR(VLOOKUP($F791,bug_conf_sheet!$A:$H,3,FALSE),VLOOKUP("other",bug_conf_sheet!$A:$H,3,FALSE))</f>
        <v>1</v>
      </c>
      <c r="O791" s="38">
        <f>IFERROR(VLOOKUP($F791,bug_conf_sheet!$A:$H,4,FALSE),VLOOKUP("other",bug_conf_sheet!$A:$H,4,FALSE))</f>
        <v>0</v>
      </c>
      <c r="P791" s="38">
        <f>IFERROR(VLOOKUP($F791,bug_conf_sheet!$A:$H,5,FALSE),VLOOKUP("other",bug_conf_sheet!$A:$H,5,FALSE))</f>
        <v>0</v>
      </c>
      <c r="Q791" s="38">
        <f>IFERROR(VLOOKUP($F791,bug_conf_sheet!$A:$H,6,FALSE),VLOOKUP("other",bug_conf_sheet!$A:$H,6,FALSE))</f>
        <v>0</v>
      </c>
      <c r="R791" s="38">
        <f>IFERROR(VLOOKUP($F791,bug_conf_sheet!$A:$H,7,FALSE),VLOOKUP("other",bug_conf_sheet!$A:$H,7,FALSE))</f>
        <v>0</v>
      </c>
      <c r="S791" s="38">
        <f>IFERROR(VLOOKUP($F791,bug_conf_sheet!$A:$H,8,FALSE),VLOOKUP("other",bug_conf_sheet!$A:$H,8,FALSE))</f>
        <v>1</v>
      </c>
    </row>
    <row r="792" spans="1:19" ht="21" hidden="1" customHeight="1">
      <c r="A792" s="7" t="str">
        <f t="shared" si="69"/>
        <v>1880221</v>
      </c>
      <c r="B792" s="2" t="str">
        <f t="shared" si="68"/>
        <v>1880</v>
      </c>
      <c r="C792" s="8" t="str">
        <f t="shared" si="70"/>
        <v>0PremiumN4</v>
      </c>
      <c r="D792" s="8" t="str">
        <f t="shared" si="67"/>
        <v>0PremiumN4</v>
      </c>
      <c r="E792" s="10">
        <v>0</v>
      </c>
      <c r="F792" s="5">
        <v>221</v>
      </c>
      <c r="G792" s="8" t="str">
        <f>VLOOKUP(F792,[1]characters!$A:$C,3,FALSE)</f>
        <v>宰相 ルキフグス</v>
      </c>
      <c r="H792" s="8" t="str">
        <f>VLOOKUP(F792,[1]characters!$A:$J,10,FALSE)</f>
        <v>PremiumN</v>
      </c>
      <c r="I792" s="8">
        <f>VLOOKUP(F792,[1]characters!$A:$I,9,FALSE)</f>
        <v>4</v>
      </c>
      <c r="J792" s="8" t="str">
        <f>VLOOKUP(F792,[1]characters!$A:$H,8,FALSE)</f>
        <v>blue</v>
      </c>
      <c r="K792" s="8" t="str">
        <f>VLOOKUP(F792,[1]characters!$A:$K,11,FALSE)</f>
        <v>balance</v>
      </c>
      <c r="L792" s="8" t="str">
        <f>VLOOKUP(F792,[1]characters!$A:$M,13,FALSE)</f>
        <v>god</v>
      </c>
      <c r="M792" s="16">
        <f>VLOOKUP(D792,gacha_188_base!A:B,2,FALSE)</f>
        <v>14648</v>
      </c>
      <c r="N792" s="38">
        <f>IFERROR(VLOOKUP($F792,bug_conf_sheet!$A:$H,3,FALSE),VLOOKUP("other",bug_conf_sheet!$A:$H,3,FALSE))</f>
        <v>1</v>
      </c>
      <c r="O792" s="38">
        <f>IFERROR(VLOOKUP($F792,bug_conf_sheet!$A:$H,4,FALSE),VLOOKUP("other",bug_conf_sheet!$A:$H,4,FALSE))</f>
        <v>0</v>
      </c>
      <c r="P792" s="38">
        <f>IFERROR(VLOOKUP($F792,bug_conf_sheet!$A:$H,5,FALSE),VLOOKUP("other",bug_conf_sheet!$A:$H,5,FALSE))</f>
        <v>0</v>
      </c>
      <c r="Q792" s="38">
        <f>IFERROR(VLOOKUP($F792,bug_conf_sheet!$A:$H,6,FALSE),VLOOKUP("other",bug_conf_sheet!$A:$H,6,FALSE))</f>
        <v>0</v>
      </c>
      <c r="R792" s="38">
        <f>IFERROR(VLOOKUP($F792,bug_conf_sheet!$A:$H,7,FALSE),VLOOKUP("other",bug_conf_sheet!$A:$H,7,FALSE))</f>
        <v>0</v>
      </c>
      <c r="S792" s="38">
        <f>IFERROR(VLOOKUP($F792,bug_conf_sheet!$A:$H,8,FALSE),VLOOKUP("other",bug_conf_sheet!$A:$H,8,FALSE))</f>
        <v>1</v>
      </c>
    </row>
    <row r="793" spans="1:19" ht="21" customHeight="1">
      <c r="A793" s="7" t="str">
        <f t="shared" si="69"/>
        <v>1880222</v>
      </c>
      <c r="B793" s="2" t="str">
        <f t="shared" si="68"/>
        <v>1880</v>
      </c>
      <c r="C793" s="8" t="str">
        <f t="shared" si="70"/>
        <v>0PremiumN5</v>
      </c>
      <c r="D793" s="8" t="str">
        <f t="shared" si="67"/>
        <v>0PremiumN5</v>
      </c>
      <c r="E793" s="10">
        <v>0</v>
      </c>
      <c r="F793" s="5">
        <v>222</v>
      </c>
      <c r="G793" s="8" t="str">
        <f>VLOOKUP(F793,[1]characters!$A:$C,3,FALSE)</f>
        <v>避光の鉄鎖宰相 ルキフグス</v>
      </c>
      <c r="H793" s="8" t="str">
        <f>VLOOKUP(F793,[1]characters!$A:$J,10,FALSE)</f>
        <v>PremiumN</v>
      </c>
      <c r="I793" s="8">
        <f>VLOOKUP(F793,[1]characters!$A:$I,9,FALSE)</f>
        <v>5</v>
      </c>
      <c r="J793" s="8" t="str">
        <f>VLOOKUP(F793,[1]characters!$A:$H,8,FALSE)</f>
        <v>blue</v>
      </c>
      <c r="K793" s="8" t="str">
        <f>VLOOKUP(F793,[1]characters!$A:$K,11,FALSE)</f>
        <v>balance</v>
      </c>
      <c r="L793" s="8" t="str">
        <f>VLOOKUP(F793,[1]characters!$A:$M,13,FALSE)</f>
        <v>god</v>
      </c>
      <c r="M793" s="16">
        <f>VLOOKUP(D793,gacha_188_base!A:B,2,FALSE)</f>
        <v>935</v>
      </c>
      <c r="N793" s="38">
        <f>IFERROR(VLOOKUP($F793,bug_conf_sheet!$A:$H,3,FALSE),VLOOKUP("other",bug_conf_sheet!$A:$H,3,FALSE))</f>
        <v>1</v>
      </c>
      <c r="O793" s="38">
        <f>IFERROR(VLOOKUP($F793,bug_conf_sheet!$A:$H,4,FALSE),VLOOKUP("other",bug_conf_sheet!$A:$H,4,FALSE))</f>
        <v>0</v>
      </c>
      <c r="P793" s="38">
        <f>IFERROR(VLOOKUP($F793,bug_conf_sheet!$A:$H,5,FALSE),VLOOKUP("other",bug_conf_sheet!$A:$H,5,FALSE))</f>
        <v>0</v>
      </c>
      <c r="Q793" s="38">
        <f>IFERROR(VLOOKUP($F793,bug_conf_sheet!$A:$H,6,FALSE),VLOOKUP("other",bug_conf_sheet!$A:$H,6,FALSE))</f>
        <v>0</v>
      </c>
      <c r="R793" s="38">
        <f>IFERROR(VLOOKUP($F793,bug_conf_sheet!$A:$H,7,FALSE),VLOOKUP("other",bug_conf_sheet!$A:$H,7,FALSE))</f>
        <v>0</v>
      </c>
      <c r="S793" s="38">
        <f>IFERROR(VLOOKUP($F793,bug_conf_sheet!$A:$H,8,FALSE),VLOOKUP("other",bug_conf_sheet!$A:$H,8,FALSE))</f>
        <v>1</v>
      </c>
    </row>
    <row r="794" spans="1:19" ht="21" hidden="1" customHeight="1">
      <c r="A794" s="7" t="str">
        <f t="shared" si="69"/>
        <v>1880224</v>
      </c>
      <c r="B794" s="2" t="str">
        <f t="shared" si="68"/>
        <v>1880</v>
      </c>
      <c r="C794" s="8" t="str">
        <f t="shared" si="70"/>
        <v>0PremiumN4</v>
      </c>
      <c r="D794" s="8" t="str">
        <f t="shared" si="67"/>
        <v>0PremiumN4</v>
      </c>
      <c r="E794" s="10">
        <v>0</v>
      </c>
      <c r="F794" s="5">
        <v>224</v>
      </c>
      <c r="G794" s="8" t="str">
        <f>VLOOKUP(F794,[1]characters!$A:$C,3,FALSE)</f>
        <v>巨腕 ヘラクレス</v>
      </c>
      <c r="H794" s="8" t="str">
        <f>VLOOKUP(F794,[1]characters!$A:$J,10,FALSE)</f>
        <v>PremiumN</v>
      </c>
      <c r="I794" s="8">
        <f>VLOOKUP(F794,[1]characters!$A:$I,9,FALSE)</f>
        <v>4</v>
      </c>
      <c r="J794" s="8" t="str">
        <f>VLOOKUP(F794,[1]characters!$A:$H,8,FALSE)</f>
        <v>yellow</v>
      </c>
      <c r="K794" s="8" t="str">
        <f>VLOOKUP(F794,[1]characters!$A:$K,11,FALSE)</f>
        <v>balance</v>
      </c>
      <c r="L794" s="8" t="str">
        <f>VLOOKUP(F794,[1]characters!$A:$M,13,FALSE)</f>
        <v>human</v>
      </c>
      <c r="M794" s="16">
        <f>VLOOKUP(D794,gacha_188_base!A:B,2,FALSE)</f>
        <v>14648</v>
      </c>
      <c r="N794" s="38">
        <f>IFERROR(VLOOKUP($F794,bug_conf_sheet!$A:$H,3,FALSE),VLOOKUP("other",bug_conf_sheet!$A:$H,3,FALSE))</f>
        <v>1</v>
      </c>
      <c r="O794" s="38">
        <f>IFERROR(VLOOKUP($F794,bug_conf_sheet!$A:$H,4,FALSE),VLOOKUP("other",bug_conf_sheet!$A:$H,4,FALSE))</f>
        <v>0</v>
      </c>
      <c r="P794" s="38">
        <f>IFERROR(VLOOKUP($F794,bug_conf_sheet!$A:$H,5,FALSE),VLOOKUP("other",bug_conf_sheet!$A:$H,5,FALSE))</f>
        <v>0</v>
      </c>
      <c r="Q794" s="38">
        <f>IFERROR(VLOOKUP($F794,bug_conf_sheet!$A:$H,6,FALSE),VLOOKUP("other",bug_conf_sheet!$A:$H,6,FALSE))</f>
        <v>0</v>
      </c>
      <c r="R794" s="38">
        <f>IFERROR(VLOOKUP($F794,bug_conf_sheet!$A:$H,7,FALSE),VLOOKUP("other",bug_conf_sheet!$A:$H,7,FALSE))</f>
        <v>0</v>
      </c>
      <c r="S794" s="38">
        <f>IFERROR(VLOOKUP($F794,bug_conf_sheet!$A:$H,8,FALSE),VLOOKUP("other",bug_conf_sheet!$A:$H,8,FALSE))</f>
        <v>1</v>
      </c>
    </row>
    <row r="795" spans="1:19" ht="21" customHeight="1">
      <c r="A795" s="7" t="str">
        <f t="shared" si="69"/>
        <v>1880225</v>
      </c>
      <c r="B795" s="2" t="str">
        <f t="shared" si="68"/>
        <v>1880</v>
      </c>
      <c r="C795" s="8" t="str">
        <f t="shared" si="70"/>
        <v>0PremiumN5</v>
      </c>
      <c r="D795" s="8" t="str">
        <f t="shared" si="67"/>
        <v>0PremiumN5</v>
      </c>
      <c r="E795" s="10">
        <v>0</v>
      </c>
      <c r="F795" s="5">
        <v>225</v>
      </c>
      <c r="G795" s="8" t="str">
        <f>VLOOKUP(F795,[1]characters!$A:$C,3,FALSE)</f>
        <v>咆哮の巨獅腕 ヘラクレス</v>
      </c>
      <c r="H795" s="8" t="str">
        <f>VLOOKUP(F795,[1]characters!$A:$J,10,FALSE)</f>
        <v>PremiumN</v>
      </c>
      <c r="I795" s="8">
        <f>VLOOKUP(F795,[1]characters!$A:$I,9,FALSE)</f>
        <v>5</v>
      </c>
      <c r="J795" s="8" t="str">
        <f>VLOOKUP(F795,[1]characters!$A:$H,8,FALSE)</f>
        <v>yellow</v>
      </c>
      <c r="K795" s="8" t="str">
        <f>VLOOKUP(F795,[1]characters!$A:$K,11,FALSE)</f>
        <v>balance</v>
      </c>
      <c r="L795" s="8" t="str">
        <f>VLOOKUP(F795,[1]characters!$A:$M,13,FALSE)</f>
        <v>human</v>
      </c>
      <c r="M795" s="16">
        <f>VLOOKUP(D795,gacha_188_base!A:B,2,FALSE)</f>
        <v>935</v>
      </c>
      <c r="N795" s="38">
        <f>IFERROR(VLOOKUP($F795,bug_conf_sheet!$A:$H,3,FALSE),VLOOKUP("other",bug_conf_sheet!$A:$H,3,FALSE))</f>
        <v>1</v>
      </c>
      <c r="O795" s="38">
        <f>IFERROR(VLOOKUP($F795,bug_conf_sheet!$A:$H,4,FALSE),VLOOKUP("other",bug_conf_sheet!$A:$H,4,FALSE))</f>
        <v>0</v>
      </c>
      <c r="P795" s="38">
        <f>IFERROR(VLOOKUP($F795,bug_conf_sheet!$A:$H,5,FALSE),VLOOKUP("other",bug_conf_sheet!$A:$H,5,FALSE))</f>
        <v>0</v>
      </c>
      <c r="Q795" s="38">
        <f>IFERROR(VLOOKUP($F795,bug_conf_sheet!$A:$H,6,FALSE),VLOOKUP("other",bug_conf_sheet!$A:$H,6,FALSE))</f>
        <v>0</v>
      </c>
      <c r="R795" s="38">
        <f>IFERROR(VLOOKUP($F795,bug_conf_sheet!$A:$H,7,FALSE),VLOOKUP("other",bug_conf_sheet!$A:$H,7,FALSE))</f>
        <v>0</v>
      </c>
      <c r="S795" s="38">
        <f>IFERROR(VLOOKUP($F795,bug_conf_sheet!$A:$H,8,FALSE),VLOOKUP("other",bug_conf_sheet!$A:$H,8,FALSE))</f>
        <v>1</v>
      </c>
    </row>
    <row r="796" spans="1:19" ht="21" hidden="1" customHeight="1">
      <c r="A796" s="7" t="str">
        <f t="shared" si="69"/>
        <v>1880227</v>
      </c>
      <c r="B796" s="2" t="str">
        <f t="shared" si="68"/>
        <v>1880</v>
      </c>
      <c r="C796" s="8" t="str">
        <f t="shared" si="70"/>
        <v>0PremiumS4</v>
      </c>
      <c r="D796" s="8" t="str">
        <f t="shared" si="67"/>
        <v>0PremiumS4</v>
      </c>
      <c r="E796" s="10">
        <v>0</v>
      </c>
      <c r="F796" s="5">
        <v>227</v>
      </c>
      <c r="G796" s="8" t="str">
        <f>VLOOKUP(F796,[1]characters!$A:$C,3,FALSE)</f>
        <v>滅弾 アレス</v>
      </c>
      <c r="H796" s="8" t="str">
        <f>VLOOKUP(F796,[1]characters!$A:$J,10,FALSE)</f>
        <v>PremiumS</v>
      </c>
      <c r="I796" s="8">
        <f>VLOOKUP(F796,[1]characters!$A:$I,9,FALSE)</f>
        <v>4</v>
      </c>
      <c r="J796" s="8" t="str">
        <f>VLOOKUP(F796,[1]characters!$A:$H,8,FALSE)</f>
        <v>red</v>
      </c>
      <c r="K796" s="8" t="str">
        <f>VLOOKUP(F796,[1]characters!$A:$K,11,FALSE)</f>
        <v>attack</v>
      </c>
      <c r="L796" s="8" t="str">
        <f>VLOOKUP(F796,[1]characters!$A:$M,13,FALSE)</f>
        <v>god</v>
      </c>
      <c r="M796" s="16">
        <f>VLOOKUP(D796,gacha_188_base!A:B,2,FALSE)</f>
        <v>14648</v>
      </c>
      <c r="N796" s="38">
        <f>IFERROR(VLOOKUP($F796,bug_conf_sheet!$A:$H,3,FALSE),VLOOKUP("other",bug_conf_sheet!$A:$H,3,FALSE))</f>
        <v>1</v>
      </c>
      <c r="O796" s="38">
        <f>IFERROR(VLOOKUP($F796,bug_conf_sheet!$A:$H,4,FALSE),VLOOKUP("other",bug_conf_sheet!$A:$H,4,FALSE))</f>
        <v>0</v>
      </c>
      <c r="P796" s="38">
        <f>IFERROR(VLOOKUP($F796,bug_conf_sheet!$A:$H,5,FALSE),VLOOKUP("other",bug_conf_sheet!$A:$H,5,FALSE))</f>
        <v>0</v>
      </c>
      <c r="Q796" s="38">
        <f>IFERROR(VLOOKUP($F796,bug_conf_sheet!$A:$H,6,FALSE),VLOOKUP("other",bug_conf_sheet!$A:$H,6,FALSE))</f>
        <v>0</v>
      </c>
      <c r="R796" s="38">
        <f>IFERROR(VLOOKUP($F796,bug_conf_sheet!$A:$H,7,FALSE),VLOOKUP("other",bug_conf_sheet!$A:$H,7,FALSE))</f>
        <v>0</v>
      </c>
      <c r="S796" s="38">
        <f>IFERROR(VLOOKUP($F796,bug_conf_sheet!$A:$H,8,FALSE),VLOOKUP("other",bug_conf_sheet!$A:$H,8,FALSE))</f>
        <v>1</v>
      </c>
    </row>
    <row r="797" spans="1:19" ht="21" customHeight="1">
      <c r="A797" s="7" t="str">
        <f t="shared" si="69"/>
        <v>1880228</v>
      </c>
      <c r="B797" s="2" t="str">
        <f t="shared" si="68"/>
        <v>1880</v>
      </c>
      <c r="C797" s="8" t="str">
        <f t="shared" si="70"/>
        <v>0PremiumS5</v>
      </c>
      <c r="D797" s="8" t="str">
        <f t="shared" si="67"/>
        <v>0PremiumS5</v>
      </c>
      <c r="E797" s="10">
        <v>0</v>
      </c>
      <c r="F797" s="5">
        <v>228</v>
      </c>
      <c r="G797" s="8" t="str">
        <f>VLOOKUP(F797,[1]characters!$A:$C,3,FALSE)</f>
        <v>殲滅の掃射砲 アレス</v>
      </c>
      <c r="H797" s="8" t="str">
        <f>VLOOKUP(F797,[1]characters!$A:$J,10,FALSE)</f>
        <v>PremiumS</v>
      </c>
      <c r="I797" s="8">
        <f>VLOOKUP(F797,[1]characters!$A:$I,9,FALSE)</f>
        <v>5</v>
      </c>
      <c r="J797" s="8" t="str">
        <f>VLOOKUP(F797,[1]characters!$A:$H,8,FALSE)</f>
        <v>red</v>
      </c>
      <c r="K797" s="8" t="str">
        <f>VLOOKUP(F797,[1]characters!$A:$K,11,FALSE)</f>
        <v>attack</v>
      </c>
      <c r="L797" s="8" t="str">
        <f>VLOOKUP(F797,[1]characters!$A:$M,13,FALSE)</f>
        <v>god</v>
      </c>
      <c r="M797" s="16">
        <f>VLOOKUP(D797,gacha_188_base!A:B,2,FALSE)</f>
        <v>935</v>
      </c>
      <c r="N797" s="38">
        <f>IFERROR(VLOOKUP($F797,bug_conf_sheet!$A:$H,3,FALSE),VLOOKUP("other",bug_conf_sheet!$A:$H,3,FALSE))</f>
        <v>1</v>
      </c>
      <c r="O797" s="38">
        <f>IFERROR(VLOOKUP($F797,bug_conf_sheet!$A:$H,4,FALSE),VLOOKUP("other",bug_conf_sheet!$A:$H,4,FALSE))</f>
        <v>0</v>
      </c>
      <c r="P797" s="38">
        <f>IFERROR(VLOOKUP($F797,bug_conf_sheet!$A:$H,5,FALSE),VLOOKUP("other",bug_conf_sheet!$A:$H,5,FALSE))</f>
        <v>0</v>
      </c>
      <c r="Q797" s="38">
        <f>IFERROR(VLOOKUP($F797,bug_conf_sheet!$A:$H,6,FALSE),VLOOKUP("other",bug_conf_sheet!$A:$H,6,FALSE))</f>
        <v>0</v>
      </c>
      <c r="R797" s="38">
        <f>IFERROR(VLOOKUP($F797,bug_conf_sheet!$A:$H,7,FALSE),VLOOKUP("other",bug_conf_sheet!$A:$H,7,FALSE))</f>
        <v>0</v>
      </c>
      <c r="S797" s="38">
        <f>IFERROR(VLOOKUP($F797,bug_conf_sheet!$A:$H,8,FALSE),VLOOKUP("other",bug_conf_sheet!$A:$H,8,FALSE))</f>
        <v>1</v>
      </c>
    </row>
    <row r="798" spans="1:19" ht="21" hidden="1" customHeight="1">
      <c r="A798" s="7" t="str">
        <f t="shared" si="69"/>
        <v>1880230</v>
      </c>
      <c r="B798" s="2" t="str">
        <f t="shared" si="68"/>
        <v>1880</v>
      </c>
      <c r="C798" s="8" t="str">
        <f t="shared" si="70"/>
        <v>0PremiumS4</v>
      </c>
      <c r="D798" s="8" t="str">
        <f t="shared" si="67"/>
        <v>0PremiumS4</v>
      </c>
      <c r="E798" s="10">
        <v>0</v>
      </c>
      <c r="F798" s="5">
        <v>230</v>
      </c>
      <c r="G798" s="8" t="str">
        <f>VLOOKUP(F798,[1]characters!$A:$C,3,FALSE)</f>
        <v>毒銃 ヨルムンガンド</v>
      </c>
      <c r="H798" s="8" t="str">
        <f>VLOOKUP(F798,[1]characters!$A:$J,10,FALSE)</f>
        <v>PremiumS</v>
      </c>
      <c r="I798" s="8">
        <f>VLOOKUP(F798,[1]characters!$A:$I,9,FALSE)</f>
        <v>4</v>
      </c>
      <c r="J798" s="8" t="str">
        <f>VLOOKUP(F798,[1]characters!$A:$H,8,FALSE)</f>
        <v>green</v>
      </c>
      <c r="K798" s="8" t="str">
        <f>VLOOKUP(F798,[1]characters!$A:$K,11,FALSE)</f>
        <v>technical</v>
      </c>
      <c r="L798" s="8" t="str">
        <f>VLOOKUP(F798,[1]characters!$A:$M,13,FALSE)</f>
        <v>dragon</v>
      </c>
      <c r="M798" s="16">
        <f>VLOOKUP(D798,gacha_188_base!A:B,2,FALSE)</f>
        <v>14648</v>
      </c>
      <c r="N798" s="38">
        <f>IFERROR(VLOOKUP($F798,bug_conf_sheet!$A:$H,3,FALSE),VLOOKUP("other",bug_conf_sheet!$A:$H,3,FALSE))</f>
        <v>1</v>
      </c>
      <c r="O798" s="38">
        <f>IFERROR(VLOOKUP($F798,bug_conf_sheet!$A:$H,4,FALSE),VLOOKUP("other",bug_conf_sheet!$A:$H,4,FALSE))</f>
        <v>0</v>
      </c>
      <c r="P798" s="38">
        <f>IFERROR(VLOOKUP($F798,bug_conf_sheet!$A:$H,5,FALSE),VLOOKUP("other",bug_conf_sheet!$A:$H,5,FALSE))</f>
        <v>0</v>
      </c>
      <c r="Q798" s="38">
        <f>IFERROR(VLOOKUP($F798,bug_conf_sheet!$A:$H,6,FALSE),VLOOKUP("other",bug_conf_sheet!$A:$H,6,FALSE))</f>
        <v>0</v>
      </c>
      <c r="R798" s="38">
        <f>IFERROR(VLOOKUP($F798,bug_conf_sheet!$A:$H,7,FALSE),VLOOKUP("other",bug_conf_sheet!$A:$H,7,FALSE))</f>
        <v>0</v>
      </c>
      <c r="S798" s="38">
        <f>IFERROR(VLOOKUP($F798,bug_conf_sheet!$A:$H,8,FALSE),VLOOKUP("other",bug_conf_sheet!$A:$H,8,FALSE))</f>
        <v>1</v>
      </c>
    </row>
    <row r="799" spans="1:19" ht="21" customHeight="1">
      <c r="A799" s="7" t="str">
        <f t="shared" si="69"/>
        <v>1880231</v>
      </c>
      <c r="B799" s="2" t="str">
        <f t="shared" si="68"/>
        <v>1880</v>
      </c>
      <c r="C799" s="8" t="str">
        <f t="shared" si="70"/>
        <v>0PremiumS5</v>
      </c>
      <c r="D799" s="8" t="str">
        <f t="shared" si="67"/>
        <v>0PremiumS5</v>
      </c>
      <c r="E799" s="10">
        <v>0</v>
      </c>
      <c r="F799" s="5">
        <v>231</v>
      </c>
      <c r="G799" s="8" t="str">
        <f>VLOOKUP(F799,[1]characters!$A:$C,3,FALSE)</f>
        <v>必中の咬銃 ヨルムンガンド</v>
      </c>
      <c r="H799" s="8" t="str">
        <f>VLOOKUP(F799,[1]characters!$A:$J,10,FALSE)</f>
        <v>PremiumS</v>
      </c>
      <c r="I799" s="8">
        <f>VLOOKUP(F799,[1]characters!$A:$I,9,FALSE)</f>
        <v>5</v>
      </c>
      <c r="J799" s="8" t="str">
        <f>VLOOKUP(F799,[1]characters!$A:$H,8,FALSE)</f>
        <v>green</v>
      </c>
      <c r="K799" s="8" t="str">
        <f>VLOOKUP(F799,[1]characters!$A:$K,11,FALSE)</f>
        <v>technical</v>
      </c>
      <c r="L799" s="8" t="str">
        <f>VLOOKUP(F799,[1]characters!$A:$M,13,FALSE)</f>
        <v>dragon</v>
      </c>
      <c r="M799" s="16">
        <f>VLOOKUP(D799,gacha_188_base!A:B,2,FALSE)</f>
        <v>935</v>
      </c>
      <c r="N799" s="38">
        <f>IFERROR(VLOOKUP($F799,bug_conf_sheet!$A:$H,3,FALSE),VLOOKUP("other",bug_conf_sheet!$A:$H,3,FALSE))</f>
        <v>1</v>
      </c>
      <c r="O799" s="38">
        <f>IFERROR(VLOOKUP($F799,bug_conf_sheet!$A:$H,4,FALSE),VLOOKUP("other",bug_conf_sheet!$A:$H,4,FALSE))</f>
        <v>0</v>
      </c>
      <c r="P799" s="38">
        <f>IFERROR(VLOOKUP($F799,bug_conf_sheet!$A:$H,5,FALSE),VLOOKUP("other",bug_conf_sheet!$A:$H,5,FALSE))</f>
        <v>0</v>
      </c>
      <c r="Q799" s="38">
        <f>IFERROR(VLOOKUP($F799,bug_conf_sheet!$A:$H,6,FALSE),VLOOKUP("other",bug_conf_sheet!$A:$H,6,FALSE))</f>
        <v>0</v>
      </c>
      <c r="R799" s="38">
        <f>IFERROR(VLOOKUP($F799,bug_conf_sheet!$A:$H,7,FALSE),VLOOKUP("other",bug_conf_sheet!$A:$H,7,FALSE))</f>
        <v>0</v>
      </c>
      <c r="S799" s="38">
        <f>IFERROR(VLOOKUP($F799,bug_conf_sheet!$A:$H,8,FALSE),VLOOKUP("other",bug_conf_sheet!$A:$H,8,FALSE))</f>
        <v>1</v>
      </c>
    </row>
    <row r="800" spans="1:19" ht="21" hidden="1" customHeight="1">
      <c r="A800" s="7" t="str">
        <f t="shared" si="69"/>
        <v>1880233</v>
      </c>
      <c r="B800" s="2" t="str">
        <f t="shared" si="68"/>
        <v>1880</v>
      </c>
      <c r="C800" s="8" t="str">
        <f t="shared" si="70"/>
        <v>0PremiumS4</v>
      </c>
      <c r="D800" s="8" t="str">
        <f t="shared" ref="D800:D863" si="71">E800&amp;H800&amp;I800</f>
        <v>0PremiumS4</v>
      </c>
      <c r="E800" s="10">
        <v>0</v>
      </c>
      <c r="F800" s="5">
        <v>233</v>
      </c>
      <c r="G800" s="8" t="str">
        <f>VLOOKUP(F800,[1]characters!$A:$C,3,FALSE)</f>
        <v>遂行 パーシヴァル</v>
      </c>
      <c r="H800" s="8" t="str">
        <f>VLOOKUP(F800,[1]characters!$A:$J,10,FALSE)</f>
        <v>PremiumS</v>
      </c>
      <c r="I800" s="8">
        <f>VLOOKUP(F800,[1]characters!$A:$I,9,FALSE)</f>
        <v>4</v>
      </c>
      <c r="J800" s="8" t="str">
        <f>VLOOKUP(F800,[1]characters!$A:$H,8,FALSE)</f>
        <v>blue</v>
      </c>
      <c r="K800" s="8" t="str">
        <f>VLOOKUP(F800,[1]characters!$A:$K,11,FALSE)</f>
        <v>technical</v>
      </c>
      <c r="L800" s="8" t="str">
        <f>VLOOKUP(F800,[1]characters!$A:$M,13,FALSE)</f>
        <v>human</v>
      </c>
      <c r="M800" s="16">
        <f>VLOOKUP(D800,gacha_188_base!A:B,2,FALSE)</f>
        <v>14648</v>
      </c>
      <c r="N800" s="38">
        <f>IFERROR(VLOOKUP($F800,bug_conf_sheet!$A:$H,3,FALSE),VLOOKUP("other",bug_conf_sheet!$A:$H,3,FALSE))</f>
        <v>1</v>
      </c>
      <c r="O800" s="38">
        <f>IFERROR(VLOOKUP($F800,bug_conf_sheet!$A:$H,4,FALSE),VLOOKUP("other",bug_conf_sheet!$A:$H,4,FALSE))</f>
        <v>0</v>
      </c>
      <c r="P800" s="38">
        <f>IFERROR(VLOOKUP($F800,bug_conf_sheet!$A:$H,5,FALSE),VLOOKUP("other",bug_conf_sheet!$A:$H,5,FALSE))</f>
        <v>0</v>
      </c>
      <c r="Q800" s="38">
        <f>IFERROR(VLOOKUP($F800,bug_conf_sheet!$A:$H,6,FALSE),VLOOKUP("other",bug_conf_sheet!$A:$H,6,FALSE))</f>
        <v>0</v>
      </c>
      <c r="R800" s="38">
        <f>IFERROR(VLOOKUP($F800,bug_conf_sheet!$A:$H,7,FALSE),VLOOKUP("other",bug_conf_sheet!$A:$H,7,FALSE))</f>
        <v>0</v>
      </c>
      <c r="S800" s="38">
        <f>IFERROR(VLOOKUP($F800,bug_conf_sheet!$A:$H,8,FALSE),VLOOKUP("other",bug_conf_sheet!$A:$H,8,FALSE))</f>
        <v>1</v>
      </c>
    </row>
    <row r="801" spans="1:19" ht="21" customHeight="1">
      <c r="A801" s="7" t="str">
        <f t="shared" si="69"/>
        <v>1880234</v>
      </c>
      <c r="B801" s="2" t="str">
        <f t="shared" si="68"/>
        <v>1880</v>
      </c>
      <c r="C801" s="8" t="str">
        <f t="shared" si="70"/>
        <v>0PremiumS5</v>
      </c>
      <c r="D801" s="8" t="str">
        <f t="shared" si="71"/>
        <v>0PremiumS5</v>
      </c>
      <c r="E801" s="10">
        <v>0</v>
      </c>
      <c r="F801" s="5">
        <v>234</v>
      </c>
      <c r="G801" s="8" t="str">
        <f>VLOOKUP(F801,[1]characters!$A:$C,3,FALSE)</f>
        <v>精密なる照準 パーシヴァル</v>
      </c>
      <c r="H801" s="8" t="str">
        <f>VLOOKUP(F801,[1]characters!$A:$J,10,FALSE)</f>
        <v>PremiumS</v>
      </c>
      <c r="I801" s="8">
        <f>VLOOKUP(F801,[1]characters!$A:$I,9,FALSE)</f>
        <v>5</v>
      </c>
      <c r="J801" s="8" t="str">
        <f>VLOOKUP(F801,[1]characters!$A:$H,8,FALSE)</f>
        <v>blue</v>
      </c>
      <c r="K801" s="8" t="str">
        <f>VLOOKUP(F801,[1]characters!$A:$K,11,FALSE)</f>
        <v>technical</v>
      </c>
      <c r="L801" s="8" t="str">
        <f>VLOOKUP(F801,[1]characters!$A:$M,13,FALSE)</f>
        <v>human</v>
      </c>
      <c r="M801" s="16">
        <f>VLOOKUP(D801,gacha_188_base!A:B,2,FALSE)</f>
        <v>935</v>
      </c>
      <c r="N801" s="38">
        <f>IFERROR(VLOOKUP($F801,bug_conf_sheet!$A:$H,3,FALSE),VLOOKUP("other",bug_conf_sheet!$A:$H,3,FALSE))</f>
        <v>1</v>
      </c>
      <c r="O801" s="38">
        <f>IFERROR(VLOOKUP($F801,bug_conf_sheet!$A:$H,4,FALSE),VLOOKUP("other",bug_conf_sheet!$A:$H,4,FALSE))</f>
        <v>0</v>
      </c>
      <c r="P801" s="38">
        <f>IFERROR(VLOOKUP($F801,bug_conf_sheet!$A:$H,5,FALSE),VLOOKUP("other",bug_conf_sheet!$A:$H,5,FALSE))</f>
        <v>0</v>
      </c>
      <c r="Q801" s="38">
        <f>IFERROR(VLOOKUP($F801,bug_conf_sheet!$A:$H,6,FALSE),VLOOKUP("other",bug_conf_sheet!$A:$H,6,FALSE))</f>
        <v>0</v>
      </c>
      <c r="R801" s="38">
        <f>IFERROR(VLOOKUP($F801,bug_conf_sheet!$A:$H,7,FALSE),VLOOKUP("other",bug_conf_sheet!$A:$H,7,FALSE))</f>
        <v>0</v>
      </c>
      <c r="S801" s="38">
        <f>IFERROR(VLOOKUP($F801,bug_conf_sheet!$A:$H,8,FALSE),VLOOKUP("other",bug_conf_sheet!$A:$H,8,FALSE))</f>
        <v>1</v>
      </c>
    </row>
    <row r="802" spans="1:19" ht="21" hidden="1" customHeight="1">
      <c r="A802" s="7" t="str">
        <f t="shared" si="69"/>
        <v>1880236</v>
      </c>
      <c r="B802" s="2" t="str">
        <f t="shared" si="68"/>
        <v>1880</v>
      </c>
      <c r="C802" s="8" t="str">
        <f t="shared" si="70"/>
        <v>0PremiumS4</v>
      </c>
      <c r="D802" s="8" t="str">
        <f t="shared" si="71"/>
        <v>0PremiumS4</v>
      </c>
      <c r="E802" s="10">
        <v>0</v>
      </c>
      <c r="F802" s="5">
        <v>236</v>
      </c>
      <c r="G802" s="8" t="str">
        <f>VLOOKUP(F802,[1]characters!$A:$C,3,FALSE)</f>
        <v>神産 イザナミ</v>
      </c>
      <c r="H802" s="8" t="str">
        <f>VLOOKUP(F802,[1]characters!$A:$J,10,FALSE)</f>
        <v>PremiumS</v>
      </c>
      <c r="I802" s="8">
        <f>VLOOKUP(F802,[1]characters!$A:$I,9,FALSE)</f>
        <v>4</v>
      </c>
      <c r="J802" s="8" t="str">
        <f>VLOOKUP(F802,[1]characters!$A:$H,8,FALSE)</f>
        <v>yellow</v>
      </c>
      <c r="K802" s="8" t="str">
        <f>VLOOKUP(F802,[1]characters!$A:$K,11,FALSE)</f>
        <v>attack</v>
      </c>
      <c r="L802" s="8" t="str">
        <f>VLOOKUP(F802,[1]characters!$A:$M,13,FALSE)</f>
        <v>god</v>
      </c>
      <c r="M802" s="16">
        <f>VLOOKUP(D802,gacha_188_base!A:B,2,FALSE)</f>
        <v>14648</v>
      </c>
      <c r="N802" s="38">
        <f>IFERROR(VLOOKUP($F802,bug_conf_sheet!$A:$H,3,FALSE),VLOOKUP("other",bug_conf_sheet!$A:$H,3,FALSE))</f>
        <v>1</v>
      </c>
      <c r="O802" s="38">
        <f>IFERROR(VLOOKUP($F802,bug_conf_sheet!$A:$H,4,FALSE),VLOOKUP("other",bug_conf_sheet!$A:$H,4,FALSE))</f>
        <v>0</v>
      </c>
      <c r="P802" s="38">
        <f>IFERROR(VLOOKUP($F802,bug_conf_sheet!$A:$H,5,FALSE),VLOOKUP("other",bug_conf_sheet!$A:$H,5,FALSE))</f>
        <v>0</v>
      </c>
      <c r="Q802" s="38">
        <f>IFERROR(VLOOKUP($F802,bug_conf_sheet!$A:$H,6,FALSE),VLOOKUP("other",bug_conf_sheet!$A:$H,6,FALSE))</f>
        <v>0</v>
      </c>
      <c r="R802" s="38">
        <f>IFERROR(VLOOKUP($F802,bug_conf_sheet!$A:$H,7,FALSE),VLOOKUP("other",bug_conf_sheet!$A:$H,7,FALSE))</f>
        <v>0</v>
      </c>
      <c r="S802" s="38">
        <f>IFERROR(VLOOKUP($F802,bug_conf_sheet!$A:$H,8,FALSE),VLOOKUP("other",bug_conf_sheet!$A:$H,8,FALSE))</f>
        <v>1</v>
      </c>
    </row>
    <row r="803" spans="1:19" ht="21" customHeight="1">
      <c r="A803" s="7" t="str">
        <f t="shared" si="69"/>
        <v>1880237</v>
      </c>
      <c r="B803" s="2" t="str">
        <f t="shared" si="68"/>
        <v>1880</v>
      </c>
      <c r="C803" s="8" t="str">
        <f t="shared" si="70"/>
        <v>0PremiumS5</v>
      </c>
      <c r="D803" s="8" t="str">
        <f t="shared" si="71"/>
        <v>0PremiumS5</v>
      </c>
      <c r="E803" s="10">
        <v>0</v>
      </c>
      <c r="F803" s="5">
        <v>237</v>
      </c>
      <c r="G803" s="8" t="str">
        <f>VLOOKUP(F803,[1]characters!$A:$C,3,FALSE)</f>
        <v>森羅万象の神母 イザナミ</v>
      </c>
      <c r="H803" s="8" t="str">
        <f>VLOOKUP(F803,[1]characters!$A:$J,10,FALSE)</f>
        <v>PremiumS</v>
      </c>
      <c r="I803" s="8">
        <f>VLOOKUP(F803,[1]characters!$A:$I,9,FALSE)</f>
        <v>5</v>
      </c>
      <c r="J803" s="8" t="str">
        <f>VLOOKUP(F803,[1]characters!$A:$H,8,FALSE)</f>
        <v>yellow</v>
      </c>
      <c r="K803" s="8" t="str">
        <f>VLOOKUP(F803,[1]characters!$A:$K,11,FALSE)</f>
        <v>attack</v>
      </c>
      <c r="L803" s="8" t="str">
        <f>VLOOKUP(F803,[1]characters!$A:$M,13,FALSE)</f>
        <v>god</v>
      </c>
      <c r="M803" s="16">
        <f>VLOOKUP(D803,gacha_188_base!A:B,2,FALSE)</f>
        <v>935</v>
      </c>
      <c r="N803" s="38">
        <f>IFERROR(VLOOKUP($F803,bug_conf_sheet!$A:$H,3,FALSE),VLOOKUP("other",bug_conf_sheet!$A:$H,3,FALSE))</f>
        <v>1</v>
      </c>
      <c r="O803" s="38">
        <f>IFERROR(VLOOKUP($F803,bug_conf_sheet!$A:$H,4,FALSE),VLOOKUP("other",bug_conf_sheet!$A:$H,4,FALSE))</f>
        <v>0</v>
      </c>
      <c r="P803" s="38">
        <f>IFERROR(VLOOKUP($F803,bug_conf_sheet!$A:$H,5,FALSE),VLOOKUP("other",bug_conf_sheet!$A:$H,5,FALSE))</f>
        <v>0</v>
      </c>
      <c r="Q803" s="38">
        <f>IFERROR(VLOOKUP($F803,bug_conf_sheet!$A:$H,6,FALSE),VLOOKUP("other",bug_conf_sheet!$A:$H,6,FALSE))</f>
        <v>0</v>
      </c>
      <c r="R803" s="38">
        <f>IFERROR(VLOOKUP($F803,bug_conf_sheet!$A:$H,7,FALSE),VLOOKUP("other",bug_conf_sheet!$A:$H,7,FALSE))</f>
        <v>0</v>
      </c>
      <c r="S803" s="38">
        <f>IFERROR(VLOOKUP($F803,bug_conf_sheet!$A:$H,8,FALSE),VLOOKUP("other",bug_conf_sheet!$A:$H,8,FALSE))</f>
        <v>1</v>
      </c>
    </row>
    <row r="804" spans="1:19" ht="21" hidden="1" customHeight="1">
      <c r="A804" s="7" t="str">
        <f t="shared" si="69"/>
        <v>1880239</v>
      </c>
      <c r="B804" s="2" t="str">
        <f t="shared" si="68"/>
        <v>1880</v>
      </c>
      <c r="C804" s="8" t="str">
        <f t="shared" si="70"/>
        <v>0PremiumS4</v>
      </c>
      <c r="D804" s="8" t="str">
        <f t="shared" si="71"/>
        <v>0PremiumS4</v>
      </c>
      <c r="E804" s="10">
        <v>0</v>
      </c>
      <c r="F804" s="5">
        <v>239</v>
      </c>
      <c r="G804" s="8" t="str">
        <f>VLOOKUP(F804,[1]characters!$A:$C,3,FALSE)</f>
        <v>豪炎の天使 ウリエル</v>
      </c>
      <c r="H804" s="8" t="str">
        <f>VLOOKUP(F804,[1]characters!$A:$J,10,FALSE)</f>
        <v>PremiumS</v>
      </c>
      <c r="I804" s="8">
        <f>VLOOKUP(F804,[1]characters!$A:$I,9,FALSE)</f>
        <v>4</v>
      </c>
      <c r="J804" s="8" t="str">
        <f>VLOOKUP(F804,[1]characters!$A:$H,8,FALSE)</f>
        <v>red</v>
      </c>
      <c r="K804" s="8" t="str">
        <f>VLOOKUP(F804,[1]characters!$A:$K,11,FALSE)</f>
        <v>hp</v>
      </c>
      <c r="L804" s="8" t="str">
        <f>VLOOKUP(F804,[1]characters!$A:$M,13,FALSE)</f>
        <v>machine</v>
      </c>
      <c r="M804" s="16">
        <f>VLOOKUP(D804,gacha_188_base!A:B,2,FALSE)</f>
        <v>14648</v>
      </c>
      <c r="N804" s="38">
        <f>IFERROR(VLOOKUP($F804,bug_conf_sheet!$A:$H,3,FALSE),VLOOKUP("other",bug_conf_sheet!$A:$H,3,FALSE))</f>
        <v>1</v>
      </c>
      <c r="O804" s="38">
        <f>IFERROR(VLOOKUP($F804,bug_conf_sheet!$A:$H,4,FALSE),VLOOKUP("other",bug_conf_sheet!$A:$H,4,FALSE))</f>
        <v>0</v>
      </c>
      <c r="P804" s="38">
        <f>IFERROR(VLOOKUP($F804,bug_conf_sheet!$A:$H,5,FALSE),VLOOKUP("other",bug_conf_sheet!$A:$H,5,FALSE))</f>
        <v>0</v>
      </c>
      <c r="Q804" s="38">
        <f>IFERROR(VLOOKUP($F804,bug_conf_sheet!$A:$H,6,FALSE),VLOOKUP("other",bug_conf_sheet!$A:$H,6,FALSE))</f>
        <v>0</v>
      </c>
      <c r="R804" s="38">
        <f>IFERROR(VLOOKUP($F804,bug_conf_sheet!$A:$H,7,FALSE),VLOOKUP("other",bug_conf_sheet!$A:$H,7,FALSE))</f>
        <v>0</v>
      </c>
      <c r="S804" s="38">
        <f>IFERROR(VLOOKUP($F804,bug_conf_sheet!$A:$H,8,FALSE),VLOOKUP("other",bug_conf_sheet!$A:$H,8,FALSE))</f>
        <v>1</v>
      </c>
    </row>
    <row r="805" spans="1:19" ht="21" customHeight="1">
      <c r="A805" s="7" t="str">
        <f t="shared" si="69"/>
        <v>1880240</v>
      </c>
      <c r="B805" s="2" t="str">
        <f t="shared" si="68"/>
        <v>1880</v>
      </c>
      <c r="C805" s="8" t="str">
        <f t="shared" si="70"/>
        <v>0PremiumS5</v>
      </c>
      <c r="D805" s="8" t="str">
        <f t="shared" si="71"/>
        <v>0PremiumS5</v>
      </c>
      <c r="E805" s="10">
        <v>0</v>
      </c>
      <c r="F805" s="5">
        <v>240</v>
      </c>
      <c r="G805" s="8" t="str">
        <f>VLOOKUP(F805,[1]characters!$A:$C,3,FALSE)</f>
        <v>轟炎の天使 ウリエル・スレイヤー</v>
      </c>
      <c r="H805" s="8" t="str">
        <f>VLOOKUP(F805,[1]characters!$A:$J,10,FALSE)</f>
        <v>PremiumS</v>
      </c>
      <c r="I805" s="8">
        <f>VLOOKUP(F805,[1]characters!$A:$I,9,FALSE)</f>
        <v>5</v>
      </c>
      <c r="J805" s="8" t="str">
        <f>VLOOKUP(F805,[1]characters!$A:$H,8,FALSE)</f>
        <v>red</v>
      </c>
      <c r="K805" s="8" t="str">
        <f>VLOOKUP(F805,[1]characters!$A:$K,11,FALSE)</f>
        <v>hp</v>
      </c>
      <c r="L805" s="8" t="str">
        <f>VLOOKUP(F805,[1]characters!$A:$M,13,FALSE)</f>
        <v>machine</v>
      </c>
      <c r="M805" s="16">
        <f>VLOOKUP(D805,gacha_188_base!A:B,2,FALSE)</f>
        <v>935</v>
      </c>
      <c r="N805" s="38">
        <f>IFERROR(VLOOKUP($F805,bug_conf_sheet!$A:$H,3,FALSE),VLOOKUP("other",bug_conf_sheet!$A:$H,3,FALSE))</f>
        <v>1</v>
      </c>
      <c r="O805" s="38">
        <f>IFERROR(VLOOKUP($F805,bug_conf_sheet!$A:$H,4,FALSE),VLOOKUP("other",bug_conf_sheet!$A:$H,4,FALSE))</f>
        <v>0</v>
      </c>
      <c r="P805" s="38">
        <f>IFERROR(VLOOKUP($F805,bug_conf_sheet!$A:$H,5,FALSE),VLOOKUP("other",bug_conf_sheet!$A:$H,5,FALSE))</f>
        <v>0</v>
      </c>
      <c r="Q805" s="38">
        <f>IFERROR(VLOOKUP($F805,bug_conf_sheet!$A:$H,6,FALSE),VLOOKUP("other",bug_conf_sheet!$A:$H,6,FALSE))</f>
        <v>0</v>
      </c>
      <c r="R805" s="38">
        <f>IFERROR(VLOOKUP($F805,bug_conf_sheet!$A:$H,7,FALSE),VLOOKUP("other",bug_conf_sheet!$A:$H,7,FALSE))</f>
        <v>0</v>
      </c>
      <c r="S805" s="38">
        <f>IFERROR(VLOOKUP($F805,bug_conf_sheet!$A:$H,8,FALSE),VLOOKUP("other",bug_conf_sheet!$A:$H,8,FALSE))</f>
        <v>1</v>
      </c>
    </row>
    <row r="806" spans="1:19" ht="21" hidden="1" customHeight="1">
      <c r="A806" s="7" t="str">
        <f t="shared" si="69"/>
        <v>1880242</v>
      </c>
      <c r="B806" s="2" t="str">
        <f t="shared" si="68"/>
        <v>1880</v>
      </c>
      <c r="C806" s="8" t="str">
        <f t="shared" si="70"/>
        <v>0PremiumS4</v>
      </c>
      <c r="D806" s="8" t="str">
        <f t="shared" si="71"/>
        <v>0PremiumS4</v>
      </c>
      <c r="E806" s="10">
        <v>0</v>
      </c>
      <c r="F806" s="5">
        <v>242</v>
      </c>
      <c r="G806" s="8" t="str">
        <f>VLOOKUP(F806,[1]characters!$A:$C,3,FALSE)</f>
        <v>百花の天使 ガブリエル</v>
      </c>
      <c r="H806" s="8" t="str">
        <f>VLOOKUP(F806,[1]characters!$A:$J,10,FALSE)</f>
        <v>PremiumS</v>
      </c>
      <c r="I806" s="8">
        <f>VLOOKUP(F806,[1]characters!$A:$I,9,FALSE)</f>
        <v>4</v>
      </c>
      <c r="J806" s="8" t="str">
        <f>VLOOKUP(F806,[1]characters!$A:$H,8,FALSE)</f>
        <v>green</v>
      </c>
      <c r="K806" s="8" t="str">
        <f>VLOOKUP(F806,[1]characters!$A:$K,11,FALSE)</f>
        <v>balance</v>
      </c>
      <c r="L806" s="8" t="str">
        <f>VLOOKUP(F806,[1]characters!$A:$M,13,FALSE)</f>
        <v>machine</v>
      </c>
      <c r="M806" s="16">
        <f>VLOOKUP(D806,gacha_188_base!A:B,2,FALSE)</f>
        <v>14648</v>
      </c>
      <c r="N806" s="38">
        <f>IFERROR(VLOOKUP($F806,bug_conf_sheet!$A:$H,3,FALSE),VLOOKUP("other",bug_conf_sheet!$A:$H,3,FALSE))</f>
        <v>1</v>
      </c>
      <c r="O806" s="38">
        <f>IFERROR(VLOOKUP($F806,bug_conf_sheet!$A:$H,4,FALSE),VLOOKUP("other",bug_conf_sheet!$A:$H,4,FALSE))</f>
        <v>0</v>
      </c>
      <c r="P806" s="38">
        <f>IFERROR(VLOOKUP($F806,bug_conf_sheet!$A:$H,5,FALSE),VLOOKUP("other",bug_conf_sheet!$A:$H,5,FALSE))</f>
        <v>0</v>
      </c>
      <c r="Q806" s="38">
        <f>IFERROR(VLOOKUP($F806,bug_conf_sheet!$A:$H,6,FALSE),VLOOKUP("other",bug_conf_sheet!$A:$H,6,FALSE))</f>
        <v>0</v>
      </c>
      <c r="R806" s="38">
        <f>IFERROR(VLOOKUP($F806,bug_conf_sheet!$A:$H,7,FALSE),VLOOKUP("other",bug_conf_sheet!$A:$H,7,FALSE))</f>
        <v>0</v>
      </c>
      <c r="S806" s="38">
        <f>IFERROR(VLOOKUP($F806,bug_conf_sheet!$A:$H,8,FALSE),VLOOKUP("other",bug_conf_sheet!$A:$H,8,FALSE))</f>
        <v>1</v>
      </c>
    </row>
    <row r="807" spans="1:19" ht="21" customHeight="1">
      <c r="A807" s="7" t="str">
        <f t="shared" si="69"/>
        <v>1880243</v>
      </c>
      <c r="B807" s="2" t="str">
        <f t="shared" si="68"/>
        <v>1880</v>
      </c>
      <c r="C807" s="8" t="str">
        <f t="shared" si="70"/>
        <v>0PremiumS5</v>
      </c>
      <c r="D807" s="8" t="str">
        <f t="shared" si="71"/>
        <v>0PremiumS5</v>
      </c>
      <c r="E807" s="10">
        <v>0</v>
      </c>
      <c r="F807" s="5">
        <v>243</v>
      </c>
      <c r="G807" s="8" t="str">
        <f>VLOOKUP(F807,[1]characters!$A:$C,3,FALSE)</f>
        <v>万花の天使 ガブリエル・ブルーム</v>
      </c>
      <c r="H807" s="8" t="str">
        <f>VLOOKUP(F807,[1]characters!$A:$J,10,FALSE)</f>
        <v>PremiumS</v>
      </c>
      <c r="I807" s="8">
        <f>VLOOKUP(F807,[1]characters!$A:$I,9,FALSE)</f>
        <v>5</v>
      </c>
      <c r="J807" s="8" t="str">
        <f>VLOOKUP(F807,[1]characters!$A:$H,8,FALSE)</f>
        <v>green</v>
      </c>
      <c r="K807" s="8" t="str">
        <f>VLOOKUP(F807,[1]characters!$A:$K,11,FALSE)</f>
        <v>balance</v>
      </c>
      <c r="L807" s="8" t="str">
        <f>VLOOKUP(F807,[1]characters!$A:$M,13,FALSE)</f>
        <v>machine</v>
      </c>
      <c r="M807" s="16">
        <f>VLOOKUP(D807,gacha_188_base!A:B,2,FALSE)</f>
        <v>935</v>
      </c>
      <c r="N807" s="38">
        <f>IFERROR(VLOOKUP($F807,bug_conf_sheet!$A:$H,3,FALSE),VLOOKUP("other",bug_conf_sheet!$A:$H,3,FALSE))</f>
        <v>1</v>
      </c>
      <c r="O807" s="38">
        <f>IFERROR(VLOOKUP($F807,bug_conf_sheet!$A:$H,4,FALSE),VLOOKUP("other",bug_conf_sheet!$A:$H,4,FALSE))</f>
        <v>0</v>
      </c>
      <c r="P807" s="38">
        <f>IFERROR(VLOOKUP($F807,bug_conf_sheet!$A:$H,5,FALSE),VLOOKUP("other",bug_conf_sheet!$A:$H,5,FALSE))</f>
        <v>0</v>
      </c>
      <c r="Q807" s="38">
        <f>IFERROR(VLOOKUP($F807,bug_conf_sheet!$A:$H,6,FALSE),VLOOKUP("other",bug_conf_sheet!$A:$H,6,FALSE))</f>
        <v>0</v>
      </c>
      <c r="R807" s="38">
        <f>IFERROR(VLOOKUP($F807,bug_conf_sheet!$A:$H,7,FALSE),VLOOKUP("other",bug_conf_sheet!$A:$H,7,FALSE))</f>
        <v>0</v>
      </c>
      <c r="S807" s="38">
        <f>IFERROR(VLOOKUP($F807,bug_conf_sheet!$A:$H,8,FALSE),VLOOKUP("other",bug_conf_sheet!$A:$H,8,FALSE))</f>
        <v>1</v>
      </c>
    </row>
    <row r="808" spans="1:19" ht="21" hidden="1" customHeight="1">
      <c r="A808" s="7" t="str">
        <f t="shared" si="69"/>
        <v>1880245</v>
      </c>
      <c r="B808" s="2" t="str">
        <f t="shared" si="68"/>
        <v>1880</v>
      </c>
      <c r="C808" s="8" t="str">
        <f t="shared" si="70"/>
        <v>0PremiumS4</v>
      </c>
      <c r="D808" s="8" t="str">
        <f t="shared" si="71"/>
        <v>0PremiumS4</v>
      </c>
      <c r="E808" s="10">
        <v>0</v>
      </c>
      <c r="F808" s="5">
        <v>245</v>
      </c>
      <c r="G808" s="8" t="str">
        <f>VLOOKUP(F808,[1]characters!$A:$C,3,FALSE)</f>
        <v>鎮癒の天使 ラファエル</v>
      </c>
      <c r="H808" s="8" t="str">
        <f>VLOOKUP(F808,[1]characters!$A:$J,10,FALSE)</f>
        <v>PremiumS</v>
      </c>
      <c r="I808" s="8">
        <f>VLOOKUP(F808,[1]characters!$A:$I,9,FALSE)</f>
        <v>4</v>
      </c>
      <c r="J808" s="8" t="str">
        <f>VLOOKUP(F808,[1]characters!$A:$H,8,FALSE)</f>
        <v>blue</v>
      </c>
      <c r="K808" s="8" t="str">
        <f>VLOOKUP(F808,[1]characters!$A:$K,11,FALSE)</f>
        <v>balance</v>
      </c>
      <c r="L808" s="8" t="str">
        <f>VLOOKUP(F808,[1]characters!$A:$M,13,FALSE)</f>
        <v>machine</v>
      </c>
      <c r="M808" s="16">
        <f>VLOOKUP(D808,gacha_188_base!A:B,2,FALSE)</f>
        <v>14648</v>
      </c>
      <c r="N808" s="38">
        <f>IFERROR(VLOOKUP($F808,bug_conf_sheet!$A:$H,3,FALSE),VLOOKUP("other",bug_conf_sheet!$A:$H,3,FALSE))</f>
        <v>1</v>
      </c>
      <c r="O808" s="38">
        <f>IFERROR(VLOOKUP($F808,bug_conf_sheet!$A:$H,4,FALSE),VLOOKUP("other",bug_conf_sheet!$A:$H,4,FALSE))</f>
        <v>0</v>
      </c>
      <c r="P808" s="38">
        <f>IFERROR(VLOOKUP($F808,bug_conf_sheet!$A:$H,5,FALSE),VLOOKUP("other",bug_conf_sheet!$A:$H,5,FALSE))</f>
        <v>0</v>
      </c>
      <c r="Q808" s="38">
        <f>IFERROR(VLOOKUP($F808,bug_conf_sheet!$A:$H,6,FALSE),VLOOKUP("other",bug_conf_sheet!$A:$H,6,FALSE))</f>
        <v>0</v>
      </c>
      <c r="R808" s="38">
        <f>IFERROR(VLOOKUP($F808,bug_conf_sheet!$A:$H,7,FALSE),VLOOKUP("other",bug_conf_sheet!$A:$H,7,FALSE))</f>
        <v>0</v>
      </c>
      <c r="S808" s="38">
        <f>IFERROR(VLOOKUP($F808,bug_conf_sheet!$A:$H,8,FALSE),VLOOKUP("other",bug_conf_sheet!$A:$H,8,FALSE))</f>
        <v>1</v>
      </c>
    </row>
    <row r="809" spans="1:19" ht="21" customHeight="1">
      <c r="A809" s="7" t="str">
        <f t="shared" si="69"/>
        <v>1880246</v>
      </c>
      <c r="B809" s="2" t="str">
        <f t="shared" si="68"/>
        <v>1880</v>
      </c>
      <c r="C809" s="8" t="str">
        <f t="shared" si="70"/>
        <v>0PremiumS5</v>
      </c>
      <c r="D809" s="8" t="str">
        <f t="shared" si="71"/>
        <v>0PremiumS5</v>
      </c>
      <c r="E809" s="10">
        <v>0</v>
      </c>
      <c r="F809" s="5">
        <v>246</v>
      </c>
      <c r="G809" s="8" t="str">
        <f>VLOOKUP(F809,[1]characters!$A:$C,3,FALSE)</f>
        <v>真癒の天使 ラファエル・メディカ</v>
      </c>
      <c r="H809" s="8" t="str">
        <f>VLOOKUP(F809,[1]characters!$A:$J,10,FALSE)</f>
        <v>PremiumS</v>
      </c>
      <c r="I809" s="8">
        <f>VLOOKUP(F809,[1]characters!$A:$I,9,FALSE)</f>
        <v>5</v>
      </c>
      <c r="J809" s="8" t="str">
        <f>VLOOKUP(F809,[1]characters!$A:$H,8,FALSE)</f>
        <v>blue</v>
      </c>
      <c r="K809" s="8" t="str">
        <f>VLOOKUP(F809,[1]characters!$A:$K,11,FALSE)</f>
        <v>balance</v>
      </c>
      <c r="L809" s="8" t="str">
        <f>VLOOKUP(F809,[1]characters!$A:$M,13,FALSE)</f>
        <v>machine</v>
      </c>
      <c r="M809" s="16">
        <f>VLOOKUP(D809,gacha_188_base!A:B,2,FALSE)</f>
        <v>935</v>
      </c>
      <c r="N809" s="38">
        <f>IFERROR(VLOOKUP($F809,bug_conf_sheet!$A:$H,3,FALSE),VLOOKUP("other",bug_conf_sheet!$A:$H,3,FALSE))</f>
        <v>1</v>
      </c>
      <c r="O809" s="38">
        <f>IFERROR(VLOOKUP($F809,bug_conf_sheet!$A:$H,4,FALSE),VLOOKUP("other",bug_conf_sheet!$A:$H,4,FALSE))</f>
        <v>0</v>
      </c>
      <c r="P809" s="38">
        <f>IFERROR(VLOOKUP($F809,bug_conf_sheet!$A:$H,5,FALSE),VLOOKUP("other",bug_conf_sheet!$A:$H,5,FALSE))</f>
        <v>0</v>
      </c>
      <c r="Q809" s="38">
        <f>IFERROR(VLOOKUP($F809,bug_conf_sheet!$A:$H,6,FALSE),VLOOKUP("other",bug_conf_sheet!$A:$H,6,FALSE))</f>
        <v>0</v>
      </c>
      <c r="R809" s="38">
        <f>IFERROR(VLOOKUP($F809,bug_conf_sheet!$A:$H,7,FALSE),VLOOKUP("other",bug_conf_sheet!$A:$H,7,FALSE))</f>
        <v>0</v>
      </c>
      <c r="S809" s="38">
        <f>IFERROR(VLOOKUP($F809,bug_conf_sheet!$A:$H,8,FALSE),VLOOKUP("other",bug_conf_sheet!$A:$H,8,FALSE))</f>
        <v>1</v>
      </c>
    </row>
    <row r="810" spans="1:19" ht="21" hidden="1" customHeight="1">
      <c r="A810" s="7" t="str">
        <f t="shared" si="69"/>
        <v>1880248</v>
      </c>
      <c r="B810" s="2" t="str">
        <f t="shared" si="68"/>
        <v>1880</v>
      </c>
      <c r="C810" s="8" t="str">
        <f t="shared" si="70"/>
        <v>0PremiumS4</v>
      </c>
      <c r="D810" s="8" t="str">
        <f t="shared" si="71"/>
        <v>0PremiumS4</v>
      </c>
      <c r="E810" s="10">
        <v>0</v>
      </c>
      <c r="F810" s="5">
        <v>248</v>
      </c>
      <c r="G810" s="8" t="str">
        <f>VLOOKUP(F810,[1]characters!$A:$C,3,FALSE)</f>
        <v>彩電の天使 ミカエル</v>
      </c>
      <c r="H810" s="8" t="str">
        <f>VLOOKUP(F810,[1]characters!$A:$J,10,FALSE)</f>
        <v>PremiumS</v>
      </c>
      <c r="I810" s="8">
        <f>VLOOKUP(F810,[1]characters!$A:$I,9,FALSE)</f>
        <v>4</v>
      </c>
      <c r="J810" s="8" t="str">
        <f>VLOOKUP(F810,[1]characters!$A:$H,8,FALSE)</f>
        <v>yellow</v>
      </c>
      <c r="K810" s="8" t="str">
        <f>VLOOKUP(F810,[1]characters!$A:$K,11,FALSE)</f>
        <v>attack</v>
      </c>
      <c r="L810" s="8" t="str">
        <f>VLOOKUP(F810,[1]characters!$A:$M,13,FALSE)</f>
        <v>machine</v>
      </c>
      <c r="M810" s="16">
        <f>VLOOKUP(D810,gacha_188_base!A:B,2,FALSE)</f>
        <v>14648</v>
      </c>
      <c r="N810" s="38">
        <f>IFERROR(VLOOKUP($F810,bug_conf_sheet!$A:$H,3,FALSE),VLOOKUP("other",bug_conf_sheet!$A:$H,3,FALSE))</f>
        <v>1</v>
      </c>
      <c r="O810" s="38">
        <f>IFERROR(VLOOKUP($F810,bug_conf_sheet!$A:$H,4,FALSE),VLOOKUP("other",bug_conf_sheet!$A:$H,4,FALSE))</f>
        <v>0</v>
      </c>
      <c r="P810" s="38">
        <f>IFERROR(VLOOKUP($F810,bug_conf_sheet!$A:$H,5,FALSE),VLOOKUP("other",bug_conf_sheet!$A:$H,5,FALSE))</f>
        <v>0</v>
      </c>
      <c r="Q810" s="38">
        <f>IFERROR(VLOOKUP($F810,bug_conf_sheet!$A:$H,6,FALSE),VLOOKUP("other",bug_conf_sheet!$A:$H,6,FALSE))</f>
        <v>0</v>
      </c>
      <c r="R810" s="38">
        <f>IFERROR(VLOOKUP($F810,bug_conf_sheet!$A:$H,7,FALSE),VLOOKUP("other",bug_conf_sheet!$A:$H,7,FALSE))</f>
        <v>0</v>
      </c>
      <c r="S810" s="38">
        <f>IFERROR(VLOOKUP($F810,bug_conf_sheet!$A:$H,8,FALSE),VLOOKUP("other",bug_conf_sheet!$A:$H,8,FALSE))</f>
        <v>1</v>
      </c>
    </row>
    <row r="811" spans="1:19" ht="21" customHeight="1">
      <c r="A811" s="7" t="str">
        <f t="shared" si="69"/>
        <v>1880249</v>
      </c>
      <c r="B811" s="2" t="str">
        <f t="shared" si="68"/>
        <v>1880</v>
      </c>
      <c r="C811" s="8" t="str">
        <f t="shared" si="70"/>
        <v>0PremiumS5</v>
      </c>
      <c r="D811" s="8" t="str">
        <f t="shared" si="71"/>
        <v>0PremiumS5</v>
      </c>
      <c r="E811" s="10">
        <v>0</v>
      </c>
      <c r="F811" s="6">
        <v>249</v>
      </c>
      <c r="G811" s="8" t="str">
        <f>VLOOKUP(F811,[1]characters!$A:$C,3,FALSE)</f>
        <v>雷電の天使 ミカエル・ゲイナー</v>
      </c>
      <c r="H811" s="8" t="str">
        <f>VLOOKUP(F811,[1]characters!$A:$J,10,FALSE)</f>
        <v>PremiumS</v>
      </c>
      <c r="I811" s="8">
        <f>VLOOKUP(F811,[1]characters!$A:$I,9,FALSE)</f>
        <v>5</v>
      </c>
      <c r="J811" s="8" t="str">
        <f>VLOOKUP(F811,[1]characters!$A:$H,8,FALSE)</f>
        <v>yellow</v>
      </c>
      <c r="K811" s="8" t="str">
        <f>VLOOKUP(F811,[1]characters!$A:$K,11,FALSE)</f>
        <v>attack</v>
      </c>
      <c r="L811" s="8" t="str">
        <f>VLOOKUP(F811,[1]characters!$A:$M,13,FALSE)</f>
        <v>machine</v>
      </c>
      <c r="M811" s="16">
        <f>VLOOKUP(D811,gacha_188_base!A:B,2,FALSE)</f>
        <v>935</v>
      </c>
      <c r="N811" s="38">
        <f>IFERROR(VLOOKUP($F811,bug_conf_sheet!$A:$H,3,FALSE),VLOOKUP("other",bug_conf_sheet!$A:$H,3,FALSE))</f>
        <v>1</v>
      </c>
      <c r="O811" s="38">
        <f>IFERROR(VLOOKUP($F811,bug_conf_sheet!$A:$H,4,FALSE),VLOOKUP("other",bug_conf_sheet!$A:$H,4,FALSE))</f>
        <v>0</v>
      </c>
      <c r="P811" s="38">
        <f>IFERROR(VLOOKUP($F811,bug_conf_sheet!$A:$H,5,FALSE),VLOOKUP("other",bug_conf_sheet!$A:$H,5,FALSE))</f>
        <v>0</v>
      </c>
      <c r="Q811" s="38">
        <f>IFERROR(VLOOKUP($F811,bug_conf_sheet!$A:$H,6,FALSE),VLOOKUP("other",bug_conf_sheet!$A:$H,6,FALSE))</f>
        <v>0</v>
      </c>
      <c r="R811" s="38">
        <f>IFERROR(VLOOKUP($F811,bug_conf_sheet!$A:$H,7,FALSE),VLOOKUP("other",bug_conf_sheet!$A:$H,7,FALSE))</f>
        <v>0</v>
      </c>
      <c r="S811" s="38">
        <f>IFERROR(VLOOKUP($F811,bug_conf_sheet!$A:$H,8,FALSE),VLOOKUP("other",bug_conf_sheet!$A:$H,8,FALSE))</f>
        <v>1</v>
      </c>
    </row>
    <row r="812" spans="1:19" ht="21" hidden="1" customHeight="1">
      <c r="A812" s="7" t="str">
        <f t="shared" si="69"/>
        <v>1880251</v>
      </c>
      <c r="B812" s="2" t="str">
        <f t="shared" si="68"/>
        <v>1880</v>
      </c>
      <c r="C812" s="8" t="str">
        <f t="shared" si="70"/>
        <v>0PremiumS4</v>
      </c>
      <c r="D812" s="8" t="str">
        <f t="shared" si="71"/>
        <v>0PremiumS4</v>
      </c>
      <c r="E812" s="10">
        <v>0</v>
      </c>
      <c r="F812" s="6">
        <v>251</v>
      </c>
      <c r="G812" s="8" t="str">
        <f>VLOOKUP(F812,[1]characters!$A:$C,3,FALSE)</f>
        <v>強欲 マンモン</v>
      </c>
      <c r="H812" s="8" t="str">
        <f>VLOOKUP(F812,[1]characters!$A:$J,10,FALSE)</f>
        <v>PremiumS</v>
      </c>
      <c r="I812" s="8">
        <f>VLOOKUP(F812,[1]characters!$A:$I,9,FALSE)</f>
        <v>4</v>
      </c>
      <c r="J812" s="8" t="str">
        <f>VLOOKUP(F812,[1]characters!$A:$H,8,FALSE)</f>
        <v>red</v>
      </c>
      <c r="K812" s="8" t="str">
        <f>VLOOKUP(F812,[1]characters!$A:$K,11,FALSE)</f>
        <v>balance</v>
      </c>
      <c r="L812" s="8" t="str">
        <f>VLOOKUP(F812,[1]characters!$A:$M,13,FALSE)</f>
        <v>god</v>
      </c>
      <c r="M812" s="16">
        <f>VLOOKUP(D812,gacha_188_base!A:B,2,FALSE)</f>
        <v>14648</v>
      </c>
      <c r="N812" s="38">
        <f>IFERROR(VLOOKUP($F812,bug_conf_sheet!$A:$H,3,FALSE),VLOOKUP("other",bug_conf_sheet!$A:$H,3,FALSE))</f>
        <v>1</v>
      </c>
      <c r="O812" s="38">
        <f>IFERROR(VLOOKUP($F812,bug_conf_sheet!$A:$H,4,FALSE),VLOOKUP("other",bug_conf_sheet!$A:$H,4,FALSE))</f>
        <v>0</v>
      </c>
      <c r="P812" s="38">
        <f>IFERROR(VLOOKUP($F812,bug_conf_sheet!$A:$H,5,FALSE),VLOOKUP("other",bug_conf_sheet!$A:$H,5,FALSE))</f>
        <v>0</v>
      </c>
      <c r="Q812" s="38">
        <f>IFERROR(VLOOKUP($F812,bug_conf_sheet!$A:$H,6,FALSE),VLOOKUP("other",bug_conf_sheet!$A:$H,6,FALSE))</f>
        <v>0</v>
      </c>
      <c r="R812" s="38">
        <f>IFERROR(VLOOKUP($F812,bug_conf_sheet!$A:$H,7,FALSE),VLOOKUP("other",bug_conf_sheet!$A:$H,7,FALSE))</f>
        <v>0</v>
      </c>
      <c r="S812" s="38">
        <f>IFERROR(VLOOKUP($F812,bug_conf_sheet!$A:$H,8,FALSE),VLOOKUP("other",bug_conf_sheet!$A:$H,8,FALSE))</f>
        <v>1</v>
      </c>
    </row>
    <row r="813" spans="1:19" ht="21" customHeight="1">
      <c r="A813" s="7" t="str">
        <f t="shared" si="69"/>
        <v>1880252</v>
      </c>
      <c r="B813" s="2" t="str">
        <f t="shared" si="68"/>
        <v>1880</v>
      </c>
      <c r="C813" s="8" t="str">
        <f t="shared" si="70"/>
        <v>0PremiumS5</v>
      </c>
      <c r="D813" s="8" t="str">
        <f t="shared" si="71"/>
        <v>0PremiumS5</v>
      </c>
      <c r="E813" s="10">
        <v>0</v>
      </c>
      <c r="F813" s="6">
        <v>252</v>
      </c>
      <c r="G813" s="8" t="str">
        <f>VLOOKUP(F813,[1]characters!$A:$C,3,FALSE)</f>
        <v>強欲の沸騰 マンモン</v>
      </c>
      <c r="H813" s="8" t="str">
        <f>VLOOKUP(F813,[1]characters!$A:$J,10,FALSE)</f>
        <v>PremiumS</v>
      </c>
      <c r="I813" s="8">
        <f>VLOOKUP(F813,[1]characters!$A:$I,9,FALSE)</f>
        <v>5</v>
      </c>
      <c r="J813" s="8" t="str">
        <f>VLOOKUP(F813,[1]characters!$A:$H,8,FALSE)</f>
        <v>red</v>
      </c>
      <c r="K813" s="8" t="str">
        <f>VLOOKUP(F813,[1]characters!$A:$K,11,FALSE)</f>
        <v>balance</v>
      </c>
      <c r="L813" s="8" t="str">
        <f>VLOOKUP(F813,[1]characters!$A:$M,13,FALSE)</f>
        <v>god</v>
      </c>
      <c r="M813" s="16">
        <f>VLOOKUP(D813,gacha_188_base!A:B,2,FALSE)</f>
        <v>935</v>
      </c>
      <c r="N813" s="38">
        <f>IFERROR(VLOOKUP($F813,bug_conf_sheet!$A:$H,3,FALSE),VLOOKUP("other",bug_conf_sheet!$A:$H,3,FALSE))</f>
        <v>1</v>
      </c>
      <c r="O813" s="38">
        <f>IFERROR(VLOOKUP($F813,bug_conf_sheet!$A:$H,4,FALSE),VLOOKUP("other",bug_conf_sheet!$A:$H,4,FALSE))</f>
        <v>0</v>
      </c>
      <c r="P813" s="38">
        <f>IFERROR(VLOOKUP($F813,bug_conf_sheet!$A:$H,5,FALSE),VLOOKUP("other",bug_conf_sheet!$A:$H,5,FALSE))</f>
        <v>0</v>
      </c>
      <c r="Q813" s="38">
        <f>IFERROR(VLOOKUP($F813,bug_conf_sheet!$A:$H,6,FALSE),VLOOKUP("other",bug_conf_sheet!$A:$H,6,FALSE))</f>
        <v>0</v>
      </c>
      <c r="R813" s="38">
        <f>IFERROR(VLOOKUP($F813,bug_conf_sheet!$A:$H,7,FALSE),VLOOKUP("other",bug_conf_sheet!$A:$H,7,FALSE))</f>
        <v>0</v>
      </c>
      <c r="S813" s="38">
        <f>IFERROR(VLOOKUP($F813,bug_conf_sheet!$A:$H,8,FALSE),VLOOKUP("other",bug_conf_sheet!$A:$H,8,FALSE))</f>
        <v>1</v>
      </c>
    </row>
    <row r="814" spans="1:19" ht="21" hidden="1" customHeight="1">
      <c r="A814" s="7" t="str">
        <f t="shared" si="69"/>
        <v>1880254</v>
      </c>
      <c r="B814" s="2" t="str">
        <f t="shared" si="68"/>
        <v>1880</v>
      </c>
      <c r="C814" s="8" t="str">
        <f t="shared" si="70"/>
        <v>0PremiumS4</v>
      </c>
      <c r="D814" s="8" t="str">
        <f t="shared" si="71"/>
        <v>0PremiumS4</v>
      </c>
      <c r="E814" s="10">
        <v>0</v>
      </c>
      <c r="F814" s="6">
        <v>254</v>
      </c>
      <c r="G814" s="8" t="str">
        <f>VLOOKUP(F814,[1]characters!$A:$C,3,FALSE)</f>
        <v>怠惰 ベルフェゴール</v>
      </c>
      <c r="H814" s="8" t="str">
        <f>VLOOKUP(F814,[1]characters!$A:$J,10,FALSE)</f>
        <v>PremiumS</v>
      </c>
      <c r="I814" s="8">
        <f>VLOOKUP(F814,[1]characters!$A:$I,9,FALSE)</f>
        <v>4</v>
      </c>
      <c r="J814" s="8" t="str">
        <f>VLOOKUP(F814,[1]characters!$A:$H,8,FALSE)</f>
        <v>green</v>
      </c>
      <c r="K814" s="8" t="str">
        <f>VLOOKUP(F814,[1]characters!$A:$K,11,FALSE)</f>
        <v>technical</v>
      </c>
      <c r="L814" s="8" t="str">
        <f>VLOOKUP(F814,[1]characters!$A:$M,13,FALSE)</f>
        <v>god</v>
      </c>
      <c r="M814" s="16">
        <f>VLOOKUP(D814,gacha_188_base!A:B,2,FALSE)</f>
        <v>14648</v>
      </c>
      <c r="N814" s="38">
        <f>IFERROR(VLOOKUP($F814,bug_conf_sheet!$A:$H,3,FALSE),VLOOKUP("other",bug_conf_sheet!$A:$H,3,FALSE))</f>
        <v>1</v>
      </c>
      <c r="O814" s="38">
        <f>IFERROR(VLOOKUP($F814,bug_conf_sheet!$A:$H,4,FALSE),VLOOKUP("other",bug_conf_sheet!$A:$H,4,FALSE))</f>
        <v>0</v>
      </c>
      <c r="P814" s="38">
        <f>IFERROR(VLOOKUP($F814,bug_conf_sheet!$A:$H,5,FALSE),VLOOKUP("other",bug_conf_sheet!$A:$H,5,FALSE))</f>
        <v>0</v>
      </c>
      <c r="Q814" s="38">
        <f>IFERROR(VLOOKUP($F814,bug_conf_sheet!$A:$H,6,FALSE),VLOOKUP("other",bug_conf_sheet!$A:$H,6,FALSE))</f>
        <v>0</v>
      </c>
      <c r="R814" s="38">
        <f>IFERROR(VLOOKUP($F814,bug_conf_sheet!$A:$H,7,FALSE),VLOOKUP("other",bug_conf_sheet!$A:$H,7,FALSE))</f>
        <v>0</v>
      </c>
      <c r="S814" s="38">
        <f>IFERROR(VLOOKUP($F814,bug_conf_sheet!$A:$H,8,FALSE),VLOOKUP("other",bug_conf_sheet!$A:$H,8,FALSE))</f>
        <v>1</v>
      </c>
    </row>
    <row r="815" spans="1:19" ht="21" customHeight="1">
      <c r="A815" s="7" t="str">
        <f t="shared" si="69"/>
        <v>1880255</v>
      </c>
      <c r="B815" s="2" t="str">
        <f t="shared" si="68"/>
        <v>1880</v>
      </c>
      <c r="C815" s="8" t="str">
        <f t="shared" si="70"/>
        <v>0PremiumS5</v>
      </c>
      <c r="D815" s="8" t="str">
        <f t="shared" si="71"/>
        <v>0PremiumS5</v>
      </c>
      <c r="E815" s="10">
        <v>0</v>
      </c>
      <c r="F815" s="6">
        <v>255</v>
      </c>
      <c r="G815" s="8" t="str">
        <f>VLOOKUP(F815,[1]characters!$A:$C,3,FALSE)</f>
        <v>怠惰の頂点 ベルフェゴール</v>
      </c>
      <c r="H815" s="8" t="str">
        <f>VLOOKUP(F815,[1]characters!$A:$J,10,FALSE)</f>
        <v>PremiumS</v>
      </c>
      <c r="I815" s="8">
        <f>VLOOKUP(F815,[1]characters!$A:$I,9,FALSE)</f>
        <v>5</v>
      </c>
      <c r="J815" s="8" t="str">
        <f>VLOOKUP(F815,[1]characters!$A:$H,8,FALSE)</f>
        <v>green</v>
      </c>
      <c r="K815" s="8" t="str">
        <f>VLOOKUP(F815,[1]characters!$A:$K,11,FALSE)</f>
        <v>technical</v>
      </c>
      <c r="L815" s="8" t="str">
        <f>VLOOKUP(F815,[1]characters!$A:$M,13,FALSE)</f>
        <v>god</v>
      </c>
      <c r="M815" s="16">
        <f>VLOOKUP(D815,gacha_188_base!A:B,2,FALSE)</f>
        <v>935</v>
      </c>
      <c r="N815" s="38">
        <f>IFERROR(VLOOKUP($F815,bug_conf_sheet!$A:$H,3,FALSE),VLOOKUP("other",bug_conf_sheet!$A:$H,3,FALSE))</f>
        <v>1</v>
      </c>
      <c r="O815" s="38">
        <f>IFERROR(VLOOKUP($F815,bug_conf_sheet!$A:$H,4,FALSE),VLOOKUP("other",bug_conf_sheet!$A:$H,4,FALSE))</f>
        <v>0</v>
      </c>
      <c r="P815" s="38">
        <f>IFERROR(VLOOKUP($F815,bug_conf_sheet!$A:$H,5,FALSE),VLOOKUP("other",bug_conf_sheet!$A:$H,5,FALSE))</f>
        <v>0</v>
      </c>
      <c r="Q815" s="38">
        <f>IFERROR(VLOOKUP($F815,bug_conf_sheet!$A:$H,6,FALSE),VLOOKUP("other",bug_conf_sheet!$A:$H,6,FALSE))</f>
        <v>0</v>
      </c>
      <c r="R815" s="38">
        <f>IFERROR(VLOOKUP($F815,bug_conf_sheet!$A:$H,7,FALSE),VLOOKUP("other",bug_conf_sheet!$A:$H,7,FALSE))</f>
        <v>0</v>
      </c>
      <c r="S815" s="38">
        <f>IFERROR(VLOOKUP($F815,bug_conf_sheet!$A:$H,8,FALSE),VLOOKUP("other",bug_conf_sheet!$A:$H,8,FALSE))</f>
        <v>1</v>
      </c>
    </row>
    <row r="816" spans="1:19" ht="21" hidden="1" customHeight="1">
      <c r="A816" s="7" t="str">
        <f t="shared" si="69"/>
        <v>1880257</v>
      </c>
      <c r="B816" s="2" t="str">
        <f t="shared" si="68"/>
        <v>1880</v>
      </c>
      <c r="C816" s="8" t="str">
        <f t="shared" si="70"/>
        <v>0PremiumS4</v>
      </c>
      <c r="D816" s="8" t="str">
        <f t="shared" si="71"/>
        <v>0PremiumS4</v>
      </c>
      <c r="E816" s="10">
        <v>0</v>
      </c>
      <c r="F816" s="6">
        <v>257</v>
      </c>
      <c r="G816" s="8" t="str">
        <f>VLOOKUP(F816,[1]characters!$A:$C,3,FALSE)</f>
        <v>色欲 アスモデウス</v>
      </c>
      <c r="H816" s="8" t="str">
        <f>VLOOKUP(F816,[1]characters!$A:$J,10,FALSE)</f>
        <v>PremiumS</v>
      </c>
      <c r="I816" s="8">
        <f>VLOOKUP(F816,[1]characters!$A:$I,9,FALSE)</f>
        <v>4</v>
      </c>
      <c r="J816" s="8" t="str">
        <f>VLOOKUP(F816,[1]characters!$A:$H,8,FALSE)</f>
        <v>blue</v>
      </c>
      <c r="K816" s="8" t="str">
        <f>VLOOKUP(F816,[1]characters!$A:$K,11,FALSE)</f>
        <v>attack</v>
      </c>
      <c r="L816" s="8" t="str">
        <f>VLOOKUP(F816,[1]characters!$A:$M,13,FALSE)</f>
        <v>god</v>
      </c>
      <c r="M816" s="16">
        <f>VLOOKUP(D816,gacha_188_base!A:B,2,FALSE)</f>
        <v>14648</v>
      </c>
      <c r="N816" s="38">
        <f>IFERROR(VLOOKUP($F816,bug_conf_sheet!$A:$H,3,FALSE),VLOOKUP("other",bug_conf_sheet!$A:$H,3,FALSE))</f>
        <v>1</v>
      </c>
      <c r="O816" s="38">
        <f>IFERROR(VLOOKUP($F816,bug_conf_sheet!$A:$H,4,FALSE),VLOOKUP("other",bug_conf_sheet!$A:$H,4,FALSE))</f>
        <v>0</v>
      </c>
      <c r="P816" s="38">
        <f>IFERROR(VLOOKUP($F816,bug_conf_sheet!$A:$H,5,FALSE),VLOOKUP("other",bug_conf_sheet!$A:$H,5,FALSE))</f>
        <v>0</v>
      </c>
      <c r="Q816" s="38">
        <f>IFERROR(VLOOKUP($F816,bug_conf_sheet!$A:$H,6,FALSE),VLOOKUP("other",bug_conf_sheet!$A:$H,6,FALSE))</f>
        <v>0</v>
      </c>
      <c r="R816" s="38">
        <f>IFERROR(VLOOKUP($F816,bug_conf_sheet!$A:$H,7,FALSE),VLOOKUP("other",bug_conf_sheet!$A:$H,7,FALSE))</f>
        <v>0</v>
      </c>
      <c r="S816" s="38">
        <f>IFERROR(VLOOKUP($F816,bug_conf_sheet!$A:$H,8,FALSE),VLOOKUP("other",bug_conf_sheet!$A:$H,8,FALSE))</f>
        <v>1</v>
      </c>
    </row>
    <row r="817" spans="1:19" ht="21" customHeight="1">
      <c r="A817" s="7" t="str">
        <f t="shared" si="69"/>
        <v>1880258</v>
      </c>
      <c r="B817" s="2" t="str">
        <f t="shared" si="68"/>
        <v>1880</v>
      </c>
      <c r="C817" s="8" t="str">
        <f t="shared" si="70"/>
        <v>0PremiumS5</v>
      </c>
      <c r="D817" s="8" t="str">
        <f t="shared" si="71"/>
        <v>0PremiumS5</v>
      </c>
      <c r="E817" s="10">
        <v>0</v>
      </c>
      <c r="F817" s="6">
        <v>258</v>
      </c>
      <c r="G817" s="8" t="str">
        <f>VLOOKUP(F817,[1]characters!$A:$C,3,FALSE)</f>
        <v>色欲の源流 アスモデウス</v>
      </c>
      <c r="H817" s="8" t="str">
        <f>VLOOKUP(F817,[1]characters!$A:$J,10,FALSE)</f>
        <v>PremiumS</v>
      </c>
      <c r="I817" s="8">
        <f>VLOOKUP(F817,[1]characters!$A:$I,9,FALSE)</f>
        <v>5</v>
      </c>
      <c r="J817" s="8" t="str">
        <f>VLOOKUP(F817,[1]characters!$A:$H,8,FALSE)</f>
        <v>blue</v>
      </c>
      <c r="K817" s="8" t="str">
        <f>VLOOKUP(F817,[1]characters!$A:$K,11,FALSE)</f>
        <v>attack</v>
      </c>
      <c r="L817" s="8" t="str">
        <f>VLOOKUP(F817,[1]characters!$A:$M,13,FALSE)</f>
        <v>god</v>
      </c>
      <c r="M817" s="16">
        <f>VLOOKUP(D817,gacha_188_base!A:B,2,FALSE)</f>
        <v>935</v>
      </c>
      <c r="N817" s="38">
        <f>IFERROR(VLOOKUP($F817,bug_conf_sheet!$A:$H,3,FALSE),VLOOKUP("other",bug_conf_sheet!$A:$H,3,FALSE))</f>
        <v>1</v>
      </c>
      <c r="O817" s="38">
        <f>IFERROR(VLOOKUP($F817,bug_conf_sheet!$A:$H,4,FALSE),VLOOKUP("other",bug_conf_sheet!$A:$H,4,FALSE))</f>
        <v>0</v>
      </c>
      <c r="P817" s="38">
        <f>IFERROR(VLOOKUP($F817,bug_conf_sheet!$A:$H,5,FALSE),VLOOKUP("other",bug_conf_sheet!$A:$H,5,FALSE))</f>
        <v>0</v>
      </c>
      <c r="Q817" s="38">
        <f>IFERROR(VLOOKUP($F817,bug_conf_sheet!$A:$H,6,FALSE),VLOOKUP("other",bug_conf_sheet!$A:$H,6,FALSE))</f>
        <v>0</v>
      </c>
      <c r="R817" s="38">
        <f>IFERROR(VLOOKUP($F817,bug_conf_sheet!$A:$H,7,FALSE),VLOOKUP("other",bug_conf_sheet!$A:$H,7,FALSE))</f>
        <v>0</v>
      </c>
      <c r="S817" s="38">
        <f>IFERROR(VLOOKUP($F817,bug_conf_sheet!$A:$H,8,FALSE),VLOOKUP("other",bug_conf_sheet!$A:$H,8,FALSE))</f>
        <v>1</v>
      </c>
    </row>
    <row r="818" spans="1:19" ht="21" hidden="1" customHeight="1">
      <c r="A818" s="7" t="str">
        <f t="shared" si="69"/>
        <v>1880260</v>
      </c>
      <c r="B818" s="2" t="str">
        <f t="shared" si="68"/>
        <v>1880</v>
      </c>
      <c r="C818" s="8" t="str">
        <f t="shared" si="70"/>
        <v>0PremiumS4</v>
      </c>
      <c r="D818" s="8" t="str">
        <f t="shared" si="71"/>
        <v>0PremiumS4</v>
      </c>
      <c r="E818" s="10">
        <v>0</v>
      </c>
      <c r="F818" s="9">
        <v>260</v>
      </c>
      <c r="G818" s="8" t="str">
        <f>VLOOKUP(F818,[1]characters!$A:$C,3,FALSE)</f>
        <v>輪廻 ウロボロス</v>
      </c>
      <c r="H818" s="8" t="str">
        <f>VLOOKUP(F818,[1]characters!$A:$J,10,FALSE)</f>
        <v>PremiumS</v>
      </c>
      <c r="I818" s="8">
        <f>VLOOKUP(F818,[1]characters!$A:$I,9,FALSE)</f>
        <v>4</v>
      </c>
      <c r="J818" s="8" t="str">
        <f>VLOOKUP(F818,[1]characters!$A:$H,8,FALSE)</f>
        <v>yellow</v>
      </c>
      <c r="K818" s="8" t="str">
        <f>VLOOKUP(F818,[1]characters!$A:$K,11,FALSE)</f>
        <v>balance</v>
      </c>
      <c r="L818" s="8" t="str">
        <f>VLOOKUP(F818,[1]characters!$A:$M,13,FALSE)</f>
        <v>dragon</v>
      </c>
      <c r="M818" s="16">
        <f>VLOOKUP(D818,gacha_188_base!A:B,2,FALSE)</f>
        <v>14648</v>
      </c>
      <c r="N818" s="38">
        <f>IFERROR(VLOOKUP($F818,bug_conf_sheet!$A:$H,3,FALSE),VLOOKUP("other",bug_conf_sheet!$A:$H,3,FALSE))</f>
        <v>1</v>
      </c>
      <c r="O818" s="38">
        <f>IFERROR(VLOOKUP($F818,bug_conf_sheet!$A:$H,4,FALSE),VLOOKUP("other",bug_conf_sheet!$A:$H,4,FALSE))</f>
        <v>0</v>
      </c>
      <c r="P818" s="38">
        <f>IFERROR(VLOOKUP($F818,bug_conf_sheet!$A:$H,5,FALSE),VLOOKUP("other",bug_conf_sheet!$A:$H,5,FALSE))</f>
        <v>0</v>
      </c>
      <c r="Q818" s="38">
        <f>IFERROR(VLOOKUP($F818,bug_conf_sheet!$A:$H,6,FALSE),VLOOKUP("other",bug_conf_sheet!$A:$H,6,FALSE))</f>
        <v>0</v>
      </c>
      <c r="R818" s="38">
        <f>IFERROR(VLOOKUP($F818,bug_conf_sheet!$A:$H,7,FALSE),VLOOKUP("other",bug_conf_sheet!$A:$H,7,FALSE))</f>
        <v>0</v>
      </c>
      <c r="S818" s="38">
        <f>IFERROR(VLOOKUP($F818,bug_conf_sheet!$A:$H,8,FALSE),VLOOKUP("other",bug_conf_sheet!$A:$H,8,FALSE))</f>
        <v>1</v>
      </c>
    </row>
    <row r="819" spans="1:19" ht="21" customHeight="1">
      <c r="A819" s="7" t="str">
        <f t="shared" si="69"/>
        <v>1880261</v>
      </c>
      <c r="B819" s="2" t="str">
        <f t="shared" si="68"/>
        <v>1880</v>
      </c>
      <c r="C819" s="8" t="str">
        <f t="shared" si="70"/>
        <v>0PremiumS5</v>
      </c>
      <c r="D819" s="8" t="str">
        <f t="shared" si="71"/>
        <v>0PremiumS5</v>
      </c>
      <c r="E819" s="10">
        <v>0</v>
      </c>
      <c r="F819" s="9">
        <v>261</v>
      </c>
      <c r="G819" s="8" t="str">
        <f>VLOOKUP(F819,[1]characters!$A:$C,3,FALSE)</f>
        <v>輪廻の蛇龍 ウロボロス</v>
      </c>
      <c r="H819" s="8" t="str">
        <f>VLOOKUP(F819,[1]characters!$A:$J,10,FALSE)</f>
        <v>PremiumS</v>
      </c>
      <c r="I819" s="8">
        <f>VLOOKUP(F819,[1]characters!$A:$I,9,FALSE)</f>
        <v>5</v>
      </c>
      <c r="J819" s="8" t="str">
        <f>VLOOKUP(F819,[1]characters!$A:$H,8,FALSE)</f>
        <v>yellow</v>
      </c>
      <c r="K819" s="8" t="str">
        <f>VLOOKUP(F819,[1]characters!$A:$K,11,FALSE)</f>
        <v>balance</v>
      </c>
      <c r="L819" s="8" t="str">
        <f>VLOOKUP(F819,[1]characters!$A:$M,13,FALSE)</f>
        <v>dragon</v>
      </c>
      <c r="M819" s="16">
        <f>VLOOKUP(D819,gacha_188_base!A:B,2,FALSE)</f>
        <v>935</v>
      </c>
      <c r="N819" s="38">
        <f>IFERROR(VLOOKUP($F819,bug_conf_sheet!$A:$H,3,FALSE),VLOOKUP("other",bug_conf_sheet!$A:$H,3,FALSE))</f>
        <v>1</v>
      </c>
      <c r="O819" s="38">
        <f>IFERROR(VLOOKUP($F819,bug_conf_sheet!$A:$H,4,FALSE),VLOOKUP("other",bug_conf_sheet!$A:$H,4,FALSE))</f>
        <v>0</v>
      </c>
      <c r="P819" s="38">
        <f>IFERROR(VLOOKUP($F819,bug_conf_sheet!$A:$H,5,FALSE),VLOOKUP("other",bug_conf_sheet!$A:$H,5,FALSE))</f>
        <v>0</v>
      </c>
      <c r="Q819" s="38">
        <f>IFERROR(VLOOKUP($F819,bug_conf_sheet!$A:$H,6,FALSE),VLOOKUP("other",bug_conf_sheet!$A:$H,6,FALSE))</f>
        <v>0</v>
      </c>
      <c r="R819" s="38">
        <f>IFERROR(VLOOKUP($F819,bug_conf_sheet!$A:$H,7,FALSE),VLOOKUP("other",bug_conf_sheet!$A:$H,7,FALSE))</f>
        <v>0</v>
      </c>
      <c r="S819" s="38">
        <f>IFERROR(VLOOKUP($F819,bug_conf_sheet!$A:$H,8,FALSE),VLOOKUP("other",bug_conf_sheet!$A:$H,8,FALSE))</f>
        <v>1</v>
      </c>
    </row>
    <row r="820" spans="1:19" ht="21" hidden="1" customHeight="1">
      <c r="A820" s="7" t="str">
        <f t="shared" si="69"/>
        <v>1880320</v>
      </c>
      <c r="B820" s="2" t="str">
        <f t="shared" si="68"/>
        <v>1880</v>
      </c>
      <c r="C820" s="8" t="str">
        <f t="shared" si="70"/>
        <v>0PremiumSS4</v>
      </c>
      <c r="D820" s="8" t="str">
        <f t="shared" si="71"/>
        <v>0PremiumSS4</v>
      </c>
      <c r="E820" s="10">
        <v>0</v>
      </c>
      <c r="F820" s="6">
        <v>320</v>
      </c>
      <c r="G820" s="8" t="str">
        <f>VLOOKUP(F820,[1]characters!$A:$C,3,FALSE)</f>
        <v>烈志士 近藤勇</v>
      </c>
      <c r="H820" s="8" t="str">
        <f>VLOOKUP(F820,[1]characters!$A:$J,10,FALSE)</f>
        <v>PremiumSS</v>
      </c>
      <c r="I820" s="8">
        <f>VLOOKUP(F820,[1]characters!$A:$I,9,FALSE)</f>
        <v>4</v>
      </c>
      <c r="J820" s="8" t="str">
        <f>VLOOKUP(F820,[1]characters!$A:$H,8,FALSE)</f>
        <v>red</v>
      </c>
      <c r="K820" s="8" t="str">
        <f>VLOOKUP(F820,[1]characters!$A:$K,11,FALSE)</f>
        <v>hp</v>
      </c>
      <c r="L820" s="8" t="str">
        <f>VLOOKUP(F820,[1]characters!$A:$M,13,FALSE)</f>
        <v>human</v>
      </c>
      <c r="M820" s="16">
        <f>VLOOKUP(D820,gacha_188_base!A:B,2,FALSE)</f>
        <v>1709</v>
      </c>
      <c r="N820" s="38">
        <f>IFERROR(VLOOKUP($F820,bug_conf_sheet!$A:$H,3,FALSE),VLOOKUP("other",bug_conf_sheet!$A:$H,3,FALSE))</f>
        <v>1</v>
      </c>
      <c r="O820" s="38">
        <f>IFERROR(VLOOKUP($F820,bug_conf_sheet!$A:$H,4,FALSE),VLOOKUP("other",bug_conf_sheet!$A:$H,4,FALSE))</f>
        <v>0</v>
      </c>
      <c r="P820" s="38">
        <f>IFERROR(VLOOKUP($F820,bug_conf_sheet!$A:$H,5,FALSE),VLOOKUP("other",bug_conf_sheet!$A:$H,5,FALSE))</f>
        <v>0</v>
      </c>
      <c r="Q820" s="38">
        <f>IFERROR(VLOOKUP($F820,bug_conf_sheet!$A:$H,6,FALSE),VLOOKUP("other",bug_conf_sheet!$A:$H,6,FALSE))</f>
        <v>0</v>
      </c>
      <c r="R820" s="38">
        <f>IFERROR(VLOOKUP($F820,bug_conf_sheet!$A:$H,7,FALSE),VLOOKUP("other",bug_conf_sheet!$A:$H,7,FALSE))</f>
        <v>0</v>
      </c>
      <c r="S820" s="38">
        <f>IFERROR(VLOOKUP($F820,bug_conf_sheet!$A:$H,8,FALSE),VLOOKUP("other",bug_conf_sheet!$A:$H,8,FALSE))</f>
        <v>1</v>
      </c>
    </row>
    <row r="821" spans="1:19" ht="21" customHeight="1">
      <c r="A821" s="7" t="str">
        <f t="shared" si="69"/>
        <v>1880321</v>
      </c>
      <c r="B821" s="2" t="str">
        <f t="shared" si="68"/>
        <v>1880</v>
      </c>
      <c r="C821" s="8" t="str">
        <f t="shared" si="70"/>
        <v>0PremiumSS5</v>
      </c>
      <c r="D821" s="8" t="str">
        <f t="shared" si="71"/>
        <v>0PremiumSS5</v>
      </c>
      <c r="E821" s="10">
        <v>0</v>
      </c>
      <c r="F821" s="6">
        <v>321</v>
      </c>
      <c r="G821" s="8" t="str">
        <f>VLOOKUP(F821,[1]characters!$A:$C,3,FALSE)</f>
        <v>巌鉄の烈志士 近藤勇</v>
      </c>
      <c r="H821" s="8" t="str">
        <f>VLOOKUP(F821,[1]characters!$A:$J,10,FALSE)</f>
        <v>PremiumSS</v>
      </c>
      <c r="I821" s="8">
        <f>VLOOKUP(F821,[1]characters!$A:$I,9,FALSE)</f>
        <v>5</v>
      </c>
      <c r="J821" s="8" t="str">
        <f>VLOOKUP(F821,[1]characters!$A:$H,8,FALSE)</f>
        <v>red</v>
      </c>
      <c r="K821" s="8" t="str">
        <f>VLOOKUP(F821,[1]characters!$A:$K,11,FALSE)</f>
        <v>hp</v>
      </c>
      <c r="L821" s="8" t="str">
        <f>VLOOKUP(F821,[1]characters!$A:$M,13,FALSE)</f>
        <v>human</v>
      </c>
      <c r="M821" s="16">
        <f>VLOOKUP(D821,gacha_188_base!A:B,2,FALSE)</f>
        <v>109</v>
      </c>
      <c r="N821" s="38">
        <f>IFERROR(VLOOKUP($F821,bug_conf_sheet!$A:$H,3,FALSE),VLOOKUP("other",bug_conf_sheet!$A:$H,3,FALSE))</f>
        <v>1</v>
      </c>
      <c r="O821" s="38">
        <f>IFERROR(VLOOKUP($F821,bug_conf_sheet!$A:$H,4,FALSE),VLOOKUP("other",bug_conf_sheet!$A:$H,4,FALSE))</f>
        <v>0</v>
      </c>
      <c r="P821" s="38">
        <f>IFERROR(VLOOKUP($F821,bug_conf_sheet!$A:$H,5,FALSE),VLOOKUP("other",bug_conf_sheet!$A:$H,5,FALSE))</f>
        <v>0</v>
      </c>
      <c r="Q821" s="38">
        <f>IFERROR(VLOOKUP($F821,bug_conf_sheet!$A:$H,6,FALSE),VLOOKUP("other",bug_conf_sheet!$A:$H,6,FALSE))</f>
        <v>0</v>
      </c>
      <c r="R821" s="38">
        <f>IFERROR(VLOOKUP($F821,bug_conf_sheet!$A:$H,7,FALSE),VLOOKUP("other",bug_conf_sheet!$A:$H,7,FALSE))</f>
        <v>0</v>
      </c>
      <c r="S821" s="38">
        <f>IFERROR(VLOOKUP($F821,bug_conf_sheet!$A:$H,8,FALSE),VLOOKUP("other",bug_conf_sheet!$A:$H,8,FALSE))</f>
        <v>1</v>
      </c>
    </row>
    <row r="822" spans="1:19" ht="21" hidden="1" customHeight="1">
      <c r="A822" s="7" t="str">
        <f t="shared" si="69"/>
        <v>1880322</v>
      </c>
      <c r="B822" s="2" t="str">
        <f t="shared" si="68"/>
        <v>1880</v>
      </c>
      <c r="C822" s="8" t="str">
        <f t="shared" si="70"/>
        <v>0PremiumSS4</v>
      </c>
      <c r="D822" s="8" t="str">
        <f t="shared" si="71"/>
        <v>0PremiumSS4</v>
      </c>
      <c r="E822" s="10">
        <v>0</v>
      </c>
      <c r="F822" s="6">
        <v>322</v>
      </c>
      <c r="G822" s="8" t="str">
        <f>VLOOKUP(F822,[1]characters!$A:$C,3,FALSE)</f>
        <v>愛志士 土方歳三</v>
      </c>
      <c r="H822" s="8" t="str">
        <f>VLOOKUP(F822,[1]characters!$A:$J,10,FALSE)</f>
        <v>PremiumSS</v>
      </c>
      <c r="I822" s="8">
        <f>VLOOKUP(F822,[1]characters!$A:$I,9,FALSE)</f>
        <v>4</v>
      </c>
      <c r="J822" s="8" t="str">
        <f>VLOOKUP(F822,[1]characters!$A:$H,8,FALSE)</f>
        <v>green</v>
      </c>
      <c r="K822" s="8" t="str">
        <f>VLOOKUP(F822,[1]characters!$A:$K,11,FALSE)</f>
        <v>attack</v>
      </c>
      <c r="L822" s="8" t="str">
        <f>VLOOKUP(F822,[1]characters!$A:$M,13,FALSE)</f>
        <v>human</v>
      </c>
      <c r="M822" s="16">
        <f>VLOOKUP(D822,gacha_188_base!A:B,2,FALSE)</f>
        <v>1709</v>
      </c>
      <c r="N822" s="38">
        <f>IFERROR(VLOOKUP($F822,bug_conf_sheet!$A:$H,3,FALSE),VLOOKUP("other",bug_conf_sheet!$A:$H,3,FALSE))</f>
        <v>1</v>
      </c>
      <c r="O822" s="38">
        <f>IFERROR(VLOOKUP($F822,bug_conf_sheet!$A:$H,4,FALSE),VLOOKUP("other",bug_conf_sheet!$A:$H,4,FALSE))</f>
        <v>0</v>
      </c>
      <c r="P822" s="38">
        <f>IFERROR(VLOOKUP($F822,bug_conf_sheet!$A:$H,5,FALSE),VLOOKUP("other",bug_conf_sheet!$A:$H,5,FALSE))</f>
        <v>0</v>
      </c>
      <c r="Q822" s="38">
        <f>IFERROR(VLOOKUP($F822,bug_conf_sheet!$A:$H,6,FALSE),VLOOKUP("other",bug_conf_sheet!$A:$H,6,FALSE))</f>
        <v>0</v>
      </c>
      <c r="R822" s="38">
        <f>IFERROR(VLOOKUP($F822,bug_conf_sheet!$A:$H,7,FALSE),VLOOKUP("other",bug_conf_sheet!$A:$H,7,FALSE))</f>
        <v>0</v>
      </c>
      <c r="S822" s="38">
        <f>IFERROR(VLOOKUP($F822,bug_conf_sheet!$A:$H,8,FALSE),VLOOKUP("other",bug_conf_sheet!$A:$H,8,FALSE))</f>
        <v>1</v>
      </c>
    </row>
    <row r="823" spans="1:19" ht="21" customHeight="1">
      <c r="A823" s="7" t="str">
        <f t="shared" si="69"/>
        <v>1880323</v>
      </c>
      <c r="B823" s="2" t="str">
        <f t="shared" si="68"/>
        <v>1880</v>
      </c>
      <c r="C823" s="8" t="str">
        <f t="shared" si="70"/>
        <v>0PremiumSS5</v>
      </c>
      <c r="D823" s="8" t="str">
        <f t="shared" si="71"/>
        <v>0PremiumSS5</v>
      </c>
      <c r="E823" s="10">
        <v>0</v>
      </c>
      <c r="F823" s="6">
        <v>323</v>
      </c>
      <c r="G823" s="8" t="str">
        <f>VLOOKUP(F823,[1]characters!$A:$C,3,FALSE)</f>
        <v>流麗の愛志士 土方歳三</v>
      </c>
      <c r="H823" s="8" t="str">
        <f>VLOOKUP(F823,[1]characters!$A:$J,10,FALSE)</f>
        <v>PremiumSS</v>
      </c>
      <c r="I823" s="8">
        <f>VLOOKUP(F823,[1]characters!$A:$I,9,FALSE)</f>
        <v>5</v>
      </c>
      <c r="J823" s="8" t="str">
        <f>VLOOKUP(F823,[1]characters!$A:$H,8,FALSE)</f>
        <v>green</v>
      </c>
      <c r="K823" s="8" t="str">
        <f>VLOOKUP(F823,[1]characters!$A:$K,11,FALSE)</f>
        <v>attack</v>
      </c>
      <c r="L823" s="8" t="str">
        <f>VLOOKUP(F823,[1]characters!$A:$M,13,FALSE)</f>
        <v>human</v>
      </c>
      <c r="M823" s="16">
        <f>VLOOKUP(D823,gacha_188_base!A:B,2,FALSE)</f>
        <v>109</v>
      </c>
      <c r="N823" s="38">
        <f>IFERROR(VLOOKUP($F823,bug_conf_sheet!$A:$H,3,FALSE),VLOOKUP("other",bug_conf_sheet!$A:$H,3,FALSE))</f>
        <v>1</v>
      </c>
      <c r="O823" s="38">
        <f>IFERROR(VLOOKUP($F823,bug_conf_sheet!$A:$H,4,FALSE),VLOOKUP("other",bug_conf_sheet!$A:$H,4,FALSE))</f>
        <v>0</v>
      </c>
      <c r="P823" s="38">
        <f>IFERROR(VLOOKUP($F823,bug_conf_sheet!$A:$H,5,FALSE),VLOOKUP("other",bug_conf_sheet!$A:$H,5,FALSE))</f>
        <v>0</v>
      </c>
      <c r="Q823" s="38">
        <f>IFERROR(VLOOKUP($F823,bug_conf_sheet!$A:$H,6,FALSE),VLOOKUP("other",bug_conf_sheet!$A:$H,6,FALSE))</f>
        <v>0</v>
      </c>
      <c r="R823" s="38">
        <f>IFERROR(VLOOKUP($F823,bug_conf_sheet!$A:$H,7,FALSE),VLOOKUP("other",bug_conf_sheet!$A:$H,7,FALSE))</f>
        <v>0</v>
      </c>
      <c r="S823" s="38">
        <f>IFERROR(VLOOKUP($F823,bug_conf_sheet!$A:$H,8,FALSE),VLOOKUP("other",bug_conf_sheet!$A:$H,8,FALSE))</f>
        <v>1</v>
      </c>
    </row>
    <row r="824" spans="1:19" ht="21" hidden="1" customHeight="1">
      <c r="A824" s="7" t="str">
        <f t="shared" si="69"/>
        <v>1880324</v>
      </c>
      <c r="B824" s="2" t="str">
        <f t="shared" si="68"/>
        <v>1880</v>
      </c>
      <c r="C824" s="8" t="str">
        <f t="shared" si="70"/>
        <v>0PremiumSS4</v>
      </c>
      <c r="D824" s="8" t="str">
        <f t="shared" si="71"/>
        <v>0PremiumSS4</v>
      </c>
      <c r="E824" s="10">
        <v>0</v>
      </c>
      <c r="F824" s="6">
        <v>324</v>
      </c>
      <c r="G824" s="8" t="str">
        <f>VLOOKUP(F824,[1]characters!$A:$C,3,FALSE)</f>
        <v>凛志士 沖田総司</v>
      </c>
      <c r="H824" s="8" t="str">
        <f>VLOOKUP(F824,[1]characters!$A:$J,10,FALSE)</f>
        <v>PremiumSS</v>
      </c>
      <c r="I824" s="8">
        <f>VLOOKUP(F824,[1]characters!$A:$I,9,FALSE)</f>
        <v>4</v>
      </c>
      <c r="J824" s="8" t="str">
        <f>VLOOKUP(F824,[1]characters!$A:$H,8,FALSE)</f>
        <v>blue</v>
      </c>
      <c r="K824" s="8" t="str">
        <f>VLOOKUP(F824,[1]characters!$A:$K,11,FALSE)</f>
        <v>balance</v>
      </c>
      <c r="L824" s="8" t="str">
        <f>VLOOKUP(F824,[1]characters!$A:$M,13,FALSE)</f>
        <v>human</v>
      </c>
      <c r="M824" s="16">
        <f>VLOOKUP(D824,gacha_188_base!A:B,2,FALSE)</f>
        <v>1709</v>
      </c>
      <c r="N824" s="38">
        <f>IFERROR(VLOOKUP($F824,bug_conf_sheet!$A:$H,3,FALSE),VLOOKUP("other",bug_conf_sheet!$A:$H,3,FALSE))</f>
        <v>1</v>
      </c>
      <c r="O824" s="38">
        <f>IFERROR(VLOOKUP($F824,bug_conf_sheet!$A:$H,4,FALSE),VLOOKUP("other",bug_conf_sheet!$A:$H,4,FALSE))</f>
        <v>0</v>
      </c>
      <c r="P824" s="38">
        <f>IFERROR(VLOOKUP($F824,bug_conf_sheet!$A:$H,5,FALSE),VLOOKUP("other",bug_conf_sheet!$A:$H,5,FALSE))</f>
        <v>0</v>
      </c>
      <c r="Q824" s="38">
        <f>IFERROR(VLOOKUP($F824,bug_conf_sheet!$A:$H,6,FALSE),VLOOKUP("other",bug_conf_sheet!$A:$H,6,FALSE))</f>
        <v>0</v>
      </c>
      <c r="R824" s="38">
        <f>IFERROR(VLOOKUP($F824,bug_conf_sheet!$A:$H,7,FALSE),VLOOKUP("other",bug_conf_sheet!$A:$H,7,FALSE))</f>
        <v>0</v>
      </c>
      <c r="S824" s="38">
        <f>IFERROR(VLOOKUP($F824,bug_conf_sheet!$A:$H,8,FALSE),VLOOKUP("other",bug_conf_sheet!$A:$H,8,FALSE))</f>
        <v>1</v>
      </c>
    </row>
    <row r="825" spans="1:19" s="14" customFormat="1" ht="21" customHeight="1" thickBot="1">
      <c r="A825" s="7" t="str">
        <f t="shared" si="69"/>
        <v>1880325</v>
      </c>
      <c r="B825" s="2" t="str">
        <f t="shared" si="68"/>
        <v>1880</v>
      </c>
      <c r="C825" s="8" t="str">
        <f t="shared" si="70"/>
        <v>0PremiumSS5</v>
      </c>
      <c r="D825" s="8" t="str">
        <f t="shared" si="71"/>
        <v>0PremiumSS5</v>
      </c>
      <c r="E825" s="10">
        <v>0</v>
      </c>
      <c r="F825" s="6">
        <v>325</v>
      </c>
      <c r="G825" s="8" t="str">
        <f>VLOOKUP(F825,[1]characters!$A:$C,3,FALSE)</f>
        <v>天賦の凛志士 沖田総司</v>
      </c>
      <c r="H825" s="8" t="str">
        <f>VLOOKUP(F825,[1]characters!$A:$J,10,FALSE)</f>
        <v>PremiumSS</v>
      </c>
      <c r="I825" s="8">
        <f>VLOOKUP(F825,[1]characters!$A:$I,9,FALSE)</f>
        <v>5</v>
      </c>
      <c r="J825" s="8" t="str">
        <f>VLOOKUP(F825,[1]characters!$A:$H,8,FALSE)</f>
        <v>blue</v>
      </c>
      <c r="K825" s="8" t="str">
        <f>VLOOKUP(F825,[1]characters!$A:$K,11,FALSE)</f>
        <v>balance</v>
      </c>
      <c r="L825" s="8" t="str">
        <f>VLOOKUP(F825,[1]characters!$A:$M,13,FALSE)</f>
        <v>human</v>
      </c>
      <c r="M825" s="16">
        <f>VLOOKUP(D825,gacha_188_base!A:B,2,FALSE)</f>
        <v>109</v>
      </c>
      <c r="N825" s="38">
        <f>IFERROR(VLOOKUP($F825,bug_conf_sheet!$A:$H,3,FALSE),VLOOKUP("other",bug_conf_sheet!$A:$H,3,FALSE))</f>
        <v>1</v>
      </c>
      <c r="O825" s="38">
        <f>IFERROR(VLOOKUP($F825,bug_conf_sheet!$A:$H,4,FALSE),VLOOKUP("other",bug_conf_sheet!$A:$H,4,FALSE))</f>
        <v>0</v>
      </c>
      <c r="P825" s="38">
        <f>IFERROR(VLOOKUP($F825,bug_conf_sheet!$A:$H,5,FALSE),VLOOKUP("other",bug_conf_sheet!$A:$H,5,FALSE))</f>
        <v>0</v>
      </c>
      <c r="Q825" s="38">
        <f>IFERROR(VLOOKUP($F825,bug_conf_sheet!$A:$H,6,FALSE),VLOOKUP("other",bug_conf_sheet!$A:$H,6,FALSE))</f>
        <v>0</v>
      </c>
      <c r="R825" s="38">
        <f>IFERROR(VLOOKUP($F825,bug_conf_sheet!$A:$H,7,FALSE),VLOOKUP("other",bug_conf_sheet!$A:$H,7,FALSE))</f>
        <v>0</v>
      </c>
      <c r="S825" s="38">
        <f>IFERROR(VLOOKUP($F825,bug_conf_sheet!$A:$H,8,FALSE),VLOOKUP("other",bug_conf_sheet!$A:$H,8,FALSE))</f>
        <v>1</v>
      </c>
    </row>
    <row r="826" spans="1:19" ht="21" hidden="1" customHeight="1">
      <c r="A826" s="7" t="str">
        <f t="shared" si="69"/>
        <v>1880326</v>
      </c>
      <c r="B826" s="2" t="str">
        <f t="shared" si="68"/>
        <v>1880</v>
      </c>
      <c r="C826" s="8" t="str">
        <f t="shared" si="70"/>
        <v>0PremiumSS4</v>
      </c>
      <c r="D826" s="8" t="str">
        <f t="shared" si="71"/>
        <v>0PremiumSS4</v>
      </c>
      <c r="E826" s="10">
        <v>0</v>
      </c>
      <c r="F826" s="6">
        <v>326</v>
      </c>
      <c r="G826" s="8" t="str">
        <f>VLOOKUP(F826,[1]characters!$A:$C,3,FALSE)</f>
        <v>妖志士 斎藤一</v>
      </c>
      <c r="H826" s="8" t="str">
        <f>VLOOKUP(F826,[1]characters!$A:$J,10,FALSE)</f>
        <v>PremiumSS</v>
      </c>
      <c r="I826" s="8">
        <f>VLOOKUP(F826,[1]characters!$A:$I,9,FALSE)</f>
        <v>4</v>
      </c>
      <c r="J826" s="8" t="str">
        <f>VLOOKUP(F826,[1]characters!$A:$H,8,FALSE)</f>
        <v>yellow</v>
      </c>
      <c r="K826" s="8" t="str">
        <f>VLOOKUP(F826,[1]characters!$A:$K,11,FALSE)</f>
        <v>technical</v>
      </c>
      <c r="L826" s="8" t="str">
        <f>VLOOKUP(F826,[1]characters!$A:$M,13,FALSE)</f>
        <v>human</v>
      </c>
      <c r="M826" s="16">
        <f>VLOOKUP(D826,gacha_188_base!A:B,2,FALSE)</f>
        <v>1709</v>
      </c>
      <c r="N826" s="38">
        <f>IFERROR(VLOOKUP($F826,bug_conf_sheet!$A:$H,3,FALSE),VLOOKUP("other",bug_conf_sheet!$A:$H,3,FALSE))</f>
        <v>1</v>
      </c>
      <c r="O826" s="38">
        <f>IFERROR(VLOOKUP($F826,bug_conf_sheet!$A:$H,4,FALSE),VLOOKUP("other",bug_conf_sheet!$A:$H,4,FALSE))</f>
        <v>0</v>
      </c>
      <c r="P826" s="38">
        <f>IFERROR(VLOOKUP($F826,bug_conf_sheet!$A:$H,5,FALSE),VLOOKUP("other",bug_conf_sheet!$A:$H,5,FALSE))</f>
        <v>0</v>
      </c>
      <c r="Q826" s="38">
        <f>IFERROR(VLOOKUP($F826,bug_conf_sheet!$A:$H,6,FALSE),VLOOKUP("other",bug_conf_sheet!$A:$H,6,FALSE))</f>
        <v>0</v>
      </c>
      <c r="R826" s="38">
        <f>IFERROR(VLOOKUP($F826,bug_conf_sheet!$A:$H,7,FALSE),VLOOKUP("other",bug_conf_sheet!$A:$H,7,FALSE))</f>
        <v>0</v>
      </c>
      <c r="S826" s="38">
        <f>IFERROR(VLOOKUP($F826,bug_conf_sheet!$A:$H,8,FALSE),VLOOKUP("other",bug_conf_sheet!$A:$H,8,FALSE))</f>
        <v>1</v>
      </c>
    </row>
    <row r="827" spans="1:19" ht="21" customHeight="1">
      <c r="A827" s="7" t="str">
        <f t="shared" si="69"/>
        <v>1880327</v>
      </c>
      <c r="B827" s="2" t="str">
        <f t="shared" si="68"/>
        <v>1880</v>
      </c>
      <c r="C827" s="8" t="str">
        <f t="shared" si="70"/>
        <v>0PremiumSS5</v>
      </c>
      <c r="D827" s="8" t="str">
        <f t="shared" si="71"/>
        <v>0PremiumSS5</v>
      </c>
      <c r="E827" s="10">
        <v>0</v>
      </c>
      <c r="F827" s="6">
        <v>327</v>
      </c>
      <c r="G827" s="8" t="str">
        <f>VLOOKUP(F827,[1]characters!$A:$C,3,FALSE)</f>
        <v>千殺の妖志士 斎藤一</v>
      </c>
      <c r="H827" s="8" t="str">
        <f>VLOOKUP(F827,[1]characters!$A:$J,10,FALSE)</f>
        <v>PremiumSS</v>
      </c>
      <c r="I827" s="8">
        <f>VLOOKUP(F827,[1]characters!$A:$I,9,FALSE)</f>
        <v>5</v>
      </c>
      <c r="J827" s="8" t="str">
        <f>VLOOKUP(F827,[1]characters!$A:$H,8,FALSE)</f>
        <v>yellow</v>
      </c>
      <c r="K827" s="8" t="str">
        <f>VLOOKUP(F827,[1]characters!$A:$K,11,FALSE)</f>
        <v>technical</v>
      </c>
      <c r="L827" s="8" t="str">
        <f>VLOOKUP(F827,[1]characters!$A:$M,13,FALSE)</f>
        <v>human</v>
      </c>
      <c r="M827" s="16">
        <f>VLOOKUP(D827,gacha_188_base!A:B,2,FALSE)</f>
        <v>109</v>
      </c>
      <c r="N827" s="38">
        <f>IFERROR(VLOOKUP($F827,bug_conf_sheet!$A:$H,3,FALSE),VLOOKUP("other",bug_conf_sheet!$A:$H,3,FALSE))</f>
        <v>1</v>
      </c>
      <c r="O827" s="38">
        <f>IFERROR(VLOOKUP($F827,bug_conf_sheet!$A:$H,4,FALSE),VLOOKUP("other",bug_conf_sheet!$A:$H,4,FALSE))</f>
        <v>0</v>
      </c>
      <c r="P827" s="38">
        <f>IFERROR(VLOOKUP($F827,bug_conf_sheet!$A:$H,5,FALSE),VLOOKUP("other",bug_conf_sheet!$A:$H,5,FALSE))</f>
        <v>0</v>
      </c>
      <c r="Q827" s="38">
        <f>IFERROR(VLOOKUP($F827,bug_conf_sheet!$A:$H,6,FALSE),VLOOKUP("other",bug_conf_sheet!$A:$H,6,FALSE))</f>
        <v>0</v>
      </c>
      <c r="R827" s="38">
        <f>IFERROR(VLOOKUP($F827,bug_conf_sheet!$A:$H,7,FALSE),VLOOKUP("other",bug_conf_sheet!$A:$H,7,FALSE))</f>
        <v>0</v>
      </c>
      <c r="S827" s="38">
        <f>IFERROR(VLOOKUP($F827,bug_conf_sheet!$A:$H,8,FALSE),VLOOKUP("other",bug_conf_sheet!$A:$H,8,FALSE))</f>
        <v>1</v>
      </c>
    </row>
    <row r="828" spans="1:19" ht="21" hidden="1" customHeight="1">
      <c r="A828" s="7" t="str">
        <f t="shared" si="69"/>
        <v>1880381</v>
      </c>
      <c r="B828" s="2" t="str">
        <f t="shared" si="68"/>
        <v>1880</v>
      </c>
      <c r="C828" s="8" t="str">
        <f t="shared" si="70"/>
        <v>0PremiumS4</v>
      </c>
      <c r="D828" s="8" t="str">
        <f t="shared" si="71"/>
        <v>0PremiumS4</v>
      </c>
      <c r="E828" s="10">
        <v>0</v>
      </c>
      <c r="F828" s="6">
        <v>381</v>
      </c>
      <c r="G828" s="8" t="str">
        <f>VLOOKUP(F828,[1]characters!$A:$C,3,FALSE)</f>
        <v>肉食の恋火 バハムート</v>
      </c>
      <c r="H828" s="8" t="str">
        <f>VLOOKUP(F828,[1]characters!$A:$J,10,FALSE)</f>
        <v>PremiumS</v>
      </c>
      <c r="I828" s="8">
        <f>VLOOKUP(F828,[1]characters!$A:$I,9,FALSE)</f>
        <v>4</v>
      </c>
      <c r="J828" s="8" t="str">
        <f>VLOOKUP(F828,[1]characters!$A:$H,8,FALSE)</f>
        <v>red</v>
      </c>
      <c r="K828" s="8" t="str">
        <f>VLOOKUP(F828,[1]characters!$A:$K,11,FALSE)</f>
        <v>technical</v>
      </c>
      <c r="L828" s="8" t="str">
        <f>VLOOKUP(F828,[1]characters!$A:$M,13,FALSE)</f>
        <v>dragon</v>
      </c>
      <c r="M828" s="16">
        <f>VLOOKUP(D828,gacha_188_base!A:B,2,FALSE)</f>
        <v>14648</v>
      </c>
      <c r="N828" s="38">
        <f>IFERROR(VLOOKUP($F828,bug_conf_sheet!$A:$H,3,FALSE),VLOOKUP("other",bug_conf_sheet!$A:$H,3,FALSE))</f>
        <v>1</v>
      </c>
      <c r="O828" s="38">
        <f>IFERROR(VLOOKUP($F828,bug_conf_sheet!$A:$H,4,FALSE),VLOOKUP("other",bug_conf_sheet!$A:$H,4,FALSE))</f>
        <v>0</v>
      </c>
      <c r="P828" s="38">
        <f>IFERROR(VLOOKUP($F828,bug_conf_sheet!$A:$H,5,FALSE),VLOOKUP("other",bug_conf_sheet!$A:$H,5,FALSE))</f>
        <v>0</v>
      </c>
      <c r="Q828" s="38">
        <f>IFERROR(VLOOKUP($F828,bug_conf_sheet!$A:$H,6,FALSE),VLOOKUP("other",bug_conf_sheet!$A:$H,6,FALSE))</f>
        <v>0</v>
      </c>
      <c r="R828" s="38">
        <f>IFERROR(VLOOKUP($F828,bug_conf_sheet!$A:$H,7,FALSE),VLOOKUP("other",bug_conf_sheet!$A:$H,7,FALSE))</f>
        <v>0</v>
      </c>
      <c r="S828" s="38">
        <f>IFERROR(VLOOKUP($F828,bug_conf_sheet!$A:$H,8,FALSE),VLOOKUP("other",bug_conf_sheet!$A:$H,8,FALSE))</f>
        <v>1</v>
      </c>
    </row>
    <row r="829" spans="1:19" ht="21" customHeight="1">
      <c r="A829" s="7" t="str">
        <f t="shared" si="69"/>
        <v>1880382</v>
      </c>
      <c r="B829" s="2" t="str">
        <f t="shared" si="68"/>
        <v>1880</v>
      </c>
      <c r="C829" s="8" t="str">
        <f t="shared" si="70"/>
        <v>0PremiumS5</v>
      </c>
      <c r="D829" s="8" t="str">
        <f t="shared" si="71"/>
        <v>0PremiumS5</v>
      </c>
      <c r="E829" s="10">
        <v>0</v>
      </c>
      <c r="F829" s="6">
        <v>382</v>
      </c>
      <c r="G829" s="8" t="str">
        <f>VLOOKUP(F829,[1]characters!$A:$C,3,FALSE)</f>
        <v>激情の愛炎 バハムート</v>
      </c>
      <c r="H829" s="8" t="str">
        <f>VLOOKUP(F829,[1]characters!$A:$J,10,FALSE)</f>
        <v>PremiumS</v>
      </c>
      <c r="I829" s="8">
        <f>VLOOKUP(F829,[1]characters!$A:$I,9,FALSE)</f>
        <v>5</v>
      </c>
      <c r="J829" s="8" t="str">
        <f>VLOOKUP(F829,[1]characters!$A:$H,8,FALSE)</f>
        <v>red</v>
      </c>
      <c r="K829" s="8" t="str">
        <f>VLOOKUP(F829,[1]characters!$A:$K,11,FALSE)</f>
        <v>technical</v>
      </c>
      <c r="L829" s="8" t="str">
        <f>VLOOKUP(F829,[1]characters!$A:$M,13,FALSE)</f>
        <v>dragon</v>
      </c>
      <c r="M829" s="16">
        <f>VLOOKUP(D829,gacha_188_base!A:B,2,FALSE)</f>
        <v>935</v>
      </c>
      <c r="N829" s="38">
        <f>IFERROR(VLOOKUP($F829,bug_conf_sheet!$A:$H,3,FALSE),VLOOKUP("other",bug_conf_sheet!$A:$H,3,FALSE))</f>
        <v>1</v>
      </c>
      <c r="O829" s="38">
        <f>IFERROR(VLOOKUP($F829,bug_conf_sheet!$A:$H,4,FALSE),VLOOKUP("other",bug_conf_sheet!$A:$H,4,FALSE))</f>
        <v>0</v>
      </c>
      <c r="P829" s="38">
        <f>IFERROR(VLOOKUP($F829,bug_conf_sheet!$A:$H,5,FALSE),VLOOKUP("other",bug_conf_sheet!$A:$H,5,FALSE))</f>
        <v>0</v>
      </c>
      <c r="Q829" s="38">
        <f>IFERROR(VLOOKUP($F829,bug_conf_sheet!$A:$H,6,FALSE),VLOOKUP("other",bug_conf_sheet!$A:$H,6,FALSE))</f>
        <v>0</v>
      </c>
      <c r="R829" s="38">
        <f>IFERROR(VLOOKUP($F829,bug_conf_sheet!$A:$H,7,FALSE),VLOOKUP("other",bug_conf_sheet!$A:$H,7,FALSE))</f>
        <v>0</v>
      </c>
      <c r="S829" s="38">
        <f>IFERROR(VLOOKUP($F829,bug_conf_sheet!$A:$H,8,FALSE),VLOOKUP("other",bug_conf_sheet!$A:$H,8,FALSE))</f>
        <v>1</v>
      </c>
    </row>
    <row r="830" spans="1:19" ht="21" hidden="1" customHeight="1">
      <c r="A830" s="7" t="str">
        <f t="shared" si="69"/>
        <v>1880383</v>
      </c>
      <c r="B830" s="2" t="str">
        <f t="shared" si="68"/>
        <v>1880</v>
      </c>
      <c r="C830" s="8" t="str">
        <f t="shared" si="70"/>
        <v>0PremiumSS4</v>
      </c>
      <c r="D830" s="8" t="str">
        <f t="shared" si="71"/>
        <v>0PremiumSS4</v>
      </c>
      <c r="E830" s="10">
        <v>0</v>
      </c>
      <c r="F830" s="6">
        <v>383</v>
      </c>
      <c r="G830" s="8" t="str">
        <f>VLOOKUP(F830,[1]characters!$A:$C,3,FALSE)</f>
        <v>酒宴の蟒蛇 ヤマタノオロチ</v>
      </c>
      <c r="H830" s="8" t="str">
        <f>VLOOKUP(F830,[1]characters!$A:$J,10,FALSE)</f>
        <v>PremiumSS</v>
      </c>
      <c r="I830" s="8">
        <f>VLOOKUP(F830,[1]characters!$A:$I,9,FALSE)</f>
        <v>4</v>
      </c>
      <c r="J830" s="8" t="str">
        <f>VLOOKUP(F830,[1]characters!$A:$H,8,FALSE)</f>
        <v>green</v>
      </c>
      <c r="K830" s="8" t="str">
        <f>VLOOKUP(F830,[1]characters!$A:$K,11,FALSE)</f>
        <v>hp</v>
      </c>
      <c r="L830" s="8" t="str">
        <f>VLOOKUP(F830,[1]characters!$A:$M,13,FALSE)</f>
        <v>dragon</v>
      </c>
      <c r="M830" s="16">
        <f>VLOOKUP(D830,gacha_188_base!A:B,2,FALSE)</f>
        <v>1709</v>
      </c>
      <c r="N830" s="38">
        <f>IFERROR(VLOOKUP($F830,bug_conf_sheet!$A:$H,3,FALSE),VLOOKUP("other",bug_conf_sheet!$A:$H,3,FALSE))</f>
        <v>1</v>
      </c>
      <c r="O830" s="38">
        <f>IFERROR(VLOOKUP($F830,bug_conf_sheet!$A:$H,4,FALSE),VLOOKUP("other",bug_conf_sheet!$A:$H,4,FALSE))</f>
        <v>0</v>
      </c>
      <c r="P830" s="38">
        <f>IFERROR(VLOOKUP($F830,bug_conf_sheet!$A:$H,5,FALSE),VLOOKUP("other",bug_conf_sheet!$A:$H,5,FALSE))</f>
        <v>0</v>
      </c>
      <c r="Q830" s="38">
        <f>IFERROR(VLOOKUP($F830,bug_conf_sheet!$A:$H,6,FALSE),VLOOKUP("other",bug_conf_sheet!$A:$H,6,FALSE))</f>
        <v>0</v>
      </c>
      <c r="R830" s="38">
        <f>IFERROR(VLOOKUP($F830,bug_conf_sheet!$A:$H,7,FALSE),VLOOKUP("other",bug_conf_sheet!$A:$H,7,FALSE))</f>
        <v>0</v>
      </c>
      <c r="S830" s="38">
        <f>IFERROR(VLOOKUP($F830,bug_conf_sheet!$A:$H,8,FALSE),VLOOKUP("other",bug_conf_sheet!$A:$H,8,FALSE))</f>
        <v>1</v>
      </c>
    </row>
    <row r="831" spans="1:19" ht="21" customHeight="1">
      <c r="A831" s="7" t="str">
        <f t="shared" si="69"/>
        <v>1880384</v>
      </c>
      <c r="B831" s="2" t="str">
        <f t="shared" si="68"/>
        <v>1880</v>
      </c>
      <c r="C831" s="8" t="str">
        <f t="shared" si="70"/>
        <v>0PremiumSS5</v>
      </c>
      <c r="D831" s="8" t="str">
        <f t="shared" si="71"/>
        <v>0PremiumSS5</v>
      </c>
      <c r="E831" s="10">
        <v>0</v>
      </c>
      <c r="F831" s="6">
        <v>384</v>
      </c>
      <c r="G831" s="8" t="str">
        <f>VLOOKUP(F831,[1]characters!$A:$C,3,FALSE)</f>
        <v>破国の呑龍 ヤマタノオロチ</v>
      </c>
      <c r="H831" s="8" t="str">
        <f>VLOOKUP(F831,[1]characters!$A:$J,10,FALSE)</f>
        <v>PremiumSS</v>
      </c>
      <c r="I831" s="8">
        <f>VLOOKUP(F831,[1]characters!$A:$I,9,FALSE)</f>
        <v>5</v>
      </c>
      <c r="J831" s="8" t="str">
        <f>VLOOKUP(F831,[1]characters!$A:$H,8,FALSE)</f>
        <v>green</v>
      </c>
      <c r="K831" s="8" t="str">
        <f>VLOOKUP(F831,[1]characters!$A:$K,11,FALSE)</f>
        <v>hp</v>
      </c>
      <c r="L831" s="8" t="str">
        <f>VLOOKUP(F831,[1]characters!$A:$M,13,FALSE)</f>
        <v>dragon</v>
      </c>
      <c r="M831" s="16">
        <f>VLOOKUP(D831,gacha_188_base!A:B,2,FALSE)</f>
        <v>109</v>
      </c>
      <c r="N831" s="38">
        <f>IFERROR(VLOOKUP($F831,bug_conf_sheet!$A:$H,3,FALSE),VLOOKUP("other",bug_conf_sheet!$A:$H,3,FALSE))</f>
        <v>1</v>
      </c>
      <c r="O831" s="38">
        <f>IFERROR(VLOOKUP($F831,bug_conf_sheet!$A:$H,4,FALSE),VLOOKUP("other",bug_conf_sheet!$A:$H,4,FALSE))</f>
        <v>0</v>
      </c>
      <c r="P831" s="38">
        <f>IFERROR(VLOOKUP($F831,bug_conf_sheet!$A:$H,5,FALSE),VLOOKUP("other",bug_conf_sheet!$A:$H,5,FALSE))</f>
        <v>0</v>
      </c>
      <c r="Q831" s="38">
        <f>IFERROR(VLOOKUP($F831,bug_conf_sheet!$A:$H,6,FALSE),VLOOKUP("other",bug_conf_sheet!$A:$H,6,FALSE))</f>
        <v>0</v>
      </c>
      <c r="R831" s="38">
        <f>IFERROR(VLOOKUP($F831,bug_conf_sheet!$A:$H,7,FALSE),VLOOKUP("other",bug_conf_sheet!$A:$H,7,FALSE))</f>
        <v>0</v>
      </c>
      <c r="S831" s="38">
        <f>IFERROR(VLOOKUP($F831,bug_conf_sheet!$A:$H,8,FALSE),VLOOKUP("other",bug_conf_sheet!$A:$H,8,FALSE))</f>
        <v>1</v>
      </c>
    </row>
    <row r="832" spans="1:19" ht="21" hidden="1" customHeight="1">
      <c r="A832" s="7" t="str">
        <f t="shared" si="69"/>
        <v>1880385</v>
      </c>
      <c r="B832" s="2" t="str">
        <f t="shared" si="68"/>
        <v>1880</v>
      </c>
      <c r="C832" s="8" t="str">
        <f t="shared" si="70"/>
        <v>0PremiumSS4</v>
      </c>
      <c r="D832" s="8" t="str">
        <f t="shared" si="71"/>
        <v>0PremiumSS4</v>
      </c>
      <c r="E832" s="10">
        <v>0</v>
      </c>
      <c r="F832" s="6">
        <v>385</v>
      </c>
      <c r="G832" s="8" t="str">
        <f>VLOOKUP(F832,[1]characters!$A:$C,3,FALSE)</f>
        <v>波烈の出奔 リヴァイアサン</v>
      </c>
      <c r="H832" s="8" t="str">
        <f>VLOOKUP(F832,[1]characters!$A:$J,10,FALSE)</f>
        <v>PremiumSS</v>
      </c>
      <c r="I832" s="8">
        <f>VLOOKUP(F832,[1]characters!$A:$I,9,FALSE)</f>
        <v>4</v>
      </c>
      <c r="J832" s="8" t="str">
        <f>VLOOKUP(F832,[1]characters!$A:$H,8,FALSE)</f>
        <v>blue</v>
      </c>
      <c r="K832" s="8" t="str">
        <f>VLOOKUP(F832,[1]characters!$A:$K,11,FALSE)</f>
        <v>balance</v>
      </c>
      <c r="L832" s="8" t="str">
        <f>VLOOKUP(F832,[1]characters!$A:$M,13,FALSE)</f>
        <v>dragon</v>
      </c>
      <c r="M832" s="16">
        <f>VLOOKUP(D832,gacha_188_base!A:B,2,FALSE)</f>
        <v>1709</v>
      </c>
      <c r="N832" s="38">
        <f>IFERROR(VLOOKUP($F832,bug_conf_sheet!$A:$H,3,FALSE),VLOOKUP("other",bug_conf_sheet!$A:$H,3,FALSE))</f>
        <v>1</v>
      </c>
      <c r="O832" s="38">
        <f>IFERROR(VLOOKUP($F832,bug_conf_sheet!$A:$H,4,FALSE),VLOOKUP("other",bug_conf_sheet!$A:$H,4,FALSE))</f>
        <v>0</v>
      </c>
      <c r="P832" s="38">
        <f>IFERROR(VLOOKUP($F832,bug_conf_sheet!$A:$H,5,FALSE),VLOOKUP("other",bug_conf_sheet!$A:$H,5,FALSE))</f>
        <v>0</v>
      </c>
      <c r="Q832" s="38">
        <f>IFERROR(VLOOKUP($F832,bug_conf_sheet!$A:$H,6,FALSE),VLOOKUP("other",bug_conf_sheet!$A:$H,6,FALSE))</f>
        <v>0</v>
      </c>
      <c r="R832" s="38">
        <f>IFERROR(VLOOKUP($F832,bug_conf_sheet!$A:$H,7,FALSE),VLOOKUP("other",bug_conf_sheet!$A:$H,7,FALSE))</f>
        <v>0</v>
      </c>
      <c r="S832" s="38">
        <f>IFERROR(VLOOKUP($F832,bug_conf_sheet!$A:$H,8,FALSE),VLOOKUP("other",bug_conf_sheet!$A:$H,8,FALSE))</f>
        <v>1</v>
      </c>
    </row>
    <row r="833" spans="1:19" ht="21" customHeight="1">
      <c r="A833" s="7" t="str">
        <f t="shared" si="69"/>
        <v>1880386</v>
      </c>
      <c r="B833" s="2" t="str">
        <f t="shared" si="68"/>
        <v>1880</v>
      </c>
      <c r="C833" s="8" t="str">
        <f t="shared" si="70"/>
        <v>0PremiumSS5</v>
      </c>
      <c r="D833" s="8" t="str">
        <f t="shared" si="71"/>
        <v>0PremiumSS5</v>
      </c>
      <c r="E833" s="10">
        <v>0</v>
      </c>
      <c r="F833" s="6">
        <v>386</v>
      </c>
      <c r="G833" s="8" t="str">
        <f>VLOOKUP(F833,[1]characters!$A:$C,3,FALSE)</f>
        <v>氾乱の海龍 リヴァイアサン</v>
      </c>
      <c r="H833" s="8" t="str">
        <f>VLOOKUP(F833,[1]characters!$A:$J,10,FALSE)</f>
        <v>PremiumSS</v>
      </c>
      <c r="I833" s="8">
        <f>VLOOKUP(F833,[1]characters!$A:$I,9,FALSE)</f>
        <v>5</v>
      </c>
      <c r="J833" s="8" t="str">
        <f>VLOOKUP(F833,[1]characters!$A:$H,8,FALSE)</f>
        <v>blue</v>
      </c>
      <c r="K833" s="8" t="str">
        <f>VLOOKUP(F833,[1]characters!$A:$K,11,FALSE)</f>
        <v>balance</v>
      </c>
      <c r="L833" s="8" t="str">
        <f>VLOOKUP(F833,[1]characters!$A:$M,13,FALSE)</f>
        <v>dragon</v>
      </c>
      <c r="M833" s="16">
        <f>VLOOKUP(D833,gacha_188_base!A:B,2,FALSE)</f>
        <v>109</v>
      </c>
      <c r="N833" s="38">
        <f>IFERROR(VLOOKUP($F833,bug_conf_sheet!$A:$H,3,FALSE),VLOOKUP("other",bug_conf_sheet!$A:$H,3,FALSE))</f>
        <v>1</v>
      </c>
      <c r="O833" s="38">
        <f>IFERROR(VLOOKUP($F833,bug_conf_sheet!$A:$H,4,FALSE),VLOOKUP("other",bug_conf_sheet!$A:$H,4,FALSE))</f>
        <v>0</v>
      </c>
      <c r="P833" s="38">
        <f>IFERROR(VLOOKUP($F833,bug_conf_sheet!$A:$H,5,FALSE),VLOOKUP("other",bug_conf_sheet!$A:$H,5,FALSE))</f>
        <v>0</v>
      </c>
      <c r="Q833" s="38">
        <f>IFERROR(VLOOKUP($F833,bug_conf_sheet!$A:$H,6,FALSE),VLOOKUP("other",bug_conf_sheet!$A:$H,6,FALSE))</f>
        <v>0</v>
      </c>
      <c r="R833" s="38">
        <f>IFERROR(VLOOKUP($F833,bug_conf_sheet!$A:$H,7,FALSE),VLOOKUP("other",bug_conf_sheet!$A:$H,7,FALSE))</f>
        <v>0</v>
      </c>
      <c r="S833" s="38">
        <f>IFERROR(VLOOKUP($F833,bug_conf_sheet!$A:$H,8,FALSE),VLOOKUP("other",bug_conf_sheet!$A:$H,8,FALSE))</f>
        <v>1</v>
      </c>
    </row>
    <row r="834" spans="1:19" ht="21" hidden="1" customHeight="1">
      <c r="A834" s="7" t="str">
        <f t="shared" si="69"/>
        <v>1880388</v>
      </c>
      <c r="B834" s="2" t="str">
        <f t="shared" si="68"/>
        <v>1880</v>
      </c>
      <c r="C834" s="8" t="str">
        <f t="shared" si="70"/>
        <v>0PremiumS4</v>
      </c>
      <c r="D834" s="8" t="str">
        <f t="shared" si="71"/>
        <v>0PremiumS4</v>
      </c>
      <c r="E834" s="10">
        <v>0</v>
      </c>
      <c r="F834" s="6">
        <v>388</v>
      </c>
      <c r="G834" s="8" t="str">
        <f>VLOOKUP(F834,[1]characters!$A:$C,3,FALSE)</f>
        <v>神円の恋姫 スフィンクス</v>
      </c>
      <c r="H834" s="8" t="str">
        <f>VLOOKUP(F834,[1]characters!$A:$J,10,FALSE)</f>
        <v>PremiumS</v>
      </c>
      <c r="I834" s="8">
        <f>VLOOKUP(F834,[1]characters!$A:$I,9,FALSE)</f>
        <v>4</v>
      </c>
      <c r="J834" s="8" t="str">
        <f>VLOOKUP(F834,[1]characters!$A:$H,8,FALSE)</f>
        <v>yellow</v>
      </c>
      <c r="K834" s="8" t="str">
        <f>VLOOKUP(F834,[1]characters!$A:$K,11,FALSE)</f>
        <v>heal</v>
      </c>
      <c r="L834" s="8" t="str">
        <f>VLOOKUP(F834,[1]characters!$A:$M,13,FALSE)</f>
        <v>animal</v>
      </c>
      <c r="M834" s="16">
        <f>VLOOKUP(D834,gacha_188_base!A:B,2,FALSE)</f>
        <v>14648</v>
      </c>
      <c r="N834" s="38">
        <f>IFERROR(VLOOKUP($F834,bug_conf_sheet!$A:$H,3,FALSE),VLOOKUP("other",bug_conf_sheet!$A:$H,3,FALSE))</f>
        <v>1</v>
      </c>
      <c r="O834" s="38">
        <f>IFERROR(VLOOKUP($F834,bug_conf_sheet!$A:$H,4,FALSE),VLOOKUP("other",bug_conf_sheet!$A:$H,4,FALSE))</f>
        <v>0</v>
      </c>
      <c r="P834" s="38">
        <f>IFERROR(VLOOKUP($F834,bug_conf_sheet!$A:$H,5,FALSE),VLOOKUP("other",bug_conf_sheet!$A:$H,5,FALSE))</f>
        <v>0</v>
      </c>
      <c r="Q834" s="38">
        <f>IFERROR(VLOOKUP($F834,bug_conf_sheet!$A:$H,6,FALSE),VLOOKUP("other",bug_conf_sheet!$A:$H,6,FALSE))</f>
        <v>0</v>
      </c>
      <c r="R834" s="38">
        <f>IFERROR(VLOOKUP($F834,bug_conf_sheet!$A:$H,7,FALSE),VLOOKUP("other",bug_conf_sheet!$A:$H,7,FALSE))</f>
        <v>0</v>
      </c>
      <c r="S834" s="38">
        <f>IFERROR(VLOOKUP($F834,bug_conf_sheet!$A:$H,8,FALSE),VLOOKUP("other",bug_conf_sheet!$A:$H,8,FALSE))</f>
        <v>1</v>
      </c>
    </row>
    <row r="835" spans="1:19" ht="21" customHeight="1">
      <c r="A835" s="7" t="str">
        <f t="shared" si="69"/>
        <v>1880389</v>
      </c>
      <c r="B835" s="2" t="str">
        <f t="shared" ref="B835:B898" si="72">188&amp;E835</f>
        <v>1880</v>
      </c>
      <c r="C835" s="8" t="str">
        <f t="shared" si="70"/>
        <v>0PremiumS5</v>
      </c>
      <c r="D835" s="8" t="str">
        <f t="shared" si="71"/>
        <v>0PremiumS5</v>
      </c>
      <c r="E835" s="10">
        <v>0</v>
      </c>
      <c r="F835" s="6">
        <v>389</v>
      </c>
      <c r="G835" s="8" t="str">
        <f>VLOOKUP(F835,[1]characters!$A:$C,3,FALSE)</f>
        <v>操神の愛姫 スフィンクス</v>
      </c>
      <c r="H835" s="8" t="str">
        <f>VLOOKUP(F835,[1]characters!$A:$J,10,FALSE)</f>
        <v>PremiumS</v>
      </c>
      <c r="I835" s="8">
        <f>VLOOKUP(F835,[1]characters!$A:$I,9,FALSE)</f>
        <v>5</v>
      </c>
      <c r="J835" s="8" t="str">
        <f>VLOOKUP(F835,[1]characters!$A:$H,8,FALSE)</f>
        <v>yellow</v>
      </c>
      <c r="K835" s="8" t="str">
        <f>VLOOKUP(F835,[1]characters!$A:$K,11,FALSE)</f>
        <v>heal</v>
      </c>
      <c r="L835" s="8" t="str">
        <f>VLOOKUP(F835,[1]characters!$A:$M,13,FALSE)</f>
        <v>animal</v>
      </c>
      <c r="M835" s="16">
        <f>VLOOKUP(D835,gacha_188_base!A:B,2,FALSE)</f>
        <v>935</v>
      </c>
      <c r="N835" s="38">
        <f>IFERROR(VLOOKUP($F835,bug_conf_sheet!$A:$H,3,FALSE),VLOOKUP("other",bug_conf_sheet!$A:$H,3,FALSE))</f>
        <v>1</v>
      </c>
      <c r="O835" s="38">
        <f>IFERROR(VLOOKUP($F835,bug_conf_sheet!$A:$H,4,FALSE),VLOOKUP("other",bug_conf_sheet!$A:$H,4,FALSE))</f>
        <v>0</v>
      </c>
      <c r="P835" s="38">
        <f>IFERROR(VLOOKUP($F835,bug_conf_sheet!$A:$H,5,FALSE),VLOOKUP("other",bug_conf_sheet!$A:$H,5,FALSE))</f>
        <v>0</v>
      </c>
      <c r="Q835" s="38">
        <f>IFERROR(VLOOKUP($F835,bug_conf_sheet!$A:$H,6,FALSE),VLOOKUP("other",bug_conf_sheet!$A:$H,6,FALSE))</f>
        <v>0</v>
      </c>
      <c r="R835" s="38">
        <f>IFERROR(VLOOKUP($F835,bug_conf_sheet!$A:$H,7,FALSE),VLOOKUP("other",bug_conf_sheet!$A:$H,7,FALSE))</f>
        <v>0</v>
      </c>
      <c r="S835" s="38">
        <f>IFERROR(VLOOKUP($F835,bug_conf_sheet!$A:$H,8,FALSE),VLOOKUP("other",bug_conf_sheet!$A:$H,8,FALSE))</f>
        <v>1</v>
      </c>
    </row>
    <row r="836" spans="1:19" ht="21" hidden="1" customHeight="1">
      <c r="A836" s="7" t="str">
        <f t="shared" si="69"/>
        <v>1880390</v>
      </c>
      <c r="B836" s="2" t="str">
        <f t="shared" si="72"/>
        <v>1880</v>
      </c>
      <c r="C836" s="8" t="str">
        <f t="shared" si="70"/>
        <v>0PremiumSS4</v>
      </c>
      <c r="D836" s="8" t="str">
        <f t="shared" si="71"/>
        <v>0PremiumSS4</v>
      </c>
      <c r="E836" s="10">
        <v>0</v>
      </c>
      <c r="F836" s="6">
        <v>390</v>
      </c>
      <c r="G836" s="8" t="str">
        <f>VLOOKUP(F836,[1]characters!$A:$C,3,FALSE)</f>
        <v>華環の旅客 親指姫</v>
      </c>
      <c r="H836" s="8" t="str">
        <f>VLOOKUP(F836,[1]characters!$A:$J,10,FALSE)</f>
        <v>PremiumSS</v>
      </c>
      <c r="I836" s="8">
        <f>VLOOKUP(F836,[1]characters!$A:$I,9,FALSE)</f>
        <v>4</v>
      </c>
      <c r="J836" s="8" t="str">
        <f>VLOOKUP(F836,[1]characters!$A:$H,8,FALSE)</f>
        <v>red</v>
      </c>
      <c r="K836" s="8" t="str">
        <f>VLOOKUP(F836,[1]characters!$A:$K,11,FALSE)</f>
        <v>heal</v>
      </c>
      <c r="L836" s="8" t="str">
        <f>VLOOKUP(F836,[1]characters!$A:$M,13,FALSE)</f>
        <v>human</v>
      </c>
      <c r="M836" s="16">
        <f>VLOOKUP(D836,gacha_188_base!A:B,2,FALSE)</f>
        <v>1709</v>
      </c>
      <c r="N836" s="38">
        <f>IFERROR(VLOOKUP($F836,bug_conf_sheet!$A:$H,3,FALSE),VLOOKUP("other",bug_conf_sheet!$A:$H,3,FALSE))</f>
        <v>1</v>
      </c>
      <c r="O836" s="38">
        <f>IFERROR(VLOOKUP($F836,bug_conf_sheet!$A:$H,4,FALSE),VLOOKUP("other",bug_conf_sheet!$A:$H,4,FALSE))</f>
        <v>0</v>
      </c>
      <c r="P836" s="38">
        <f>IFERROR(VLOOKUP($F836,bug_conf_sheet!$A:$H,5,FALSE),VLOOKUP("other",bug_conf_sheet!$A:$H,5,FALSE))</f>
        <v>0</v>
      </c>
      <c r="Q836" s="38">
        <f>IFERROR(VLOOKUP($F836,bug_conf_sheet!$A:$H,6,FALSE),VLOOKUP("other",bug_conf_sheet!$A:$H,6,FALSE))</f>
        <v>0</v>
      </c>
      <c r="R836" s="38">
        <f>IFERROR(VLOOKUP($F836,bug_conf_sheet!$A:$H,7,FALSE),VLOOKUP("other",bug_conf_sheet!$A:$H,7,FALSE))</f>
        <v>0</v>
      </c>
      <c r="S836" s="38">
        <f>IFERROR(VLOOKUP($F836,bug_conf_sheet!$A:$H,8,FALSE),VLOOKUP("other",bug_conf_sheet!$A:$H,8,FALSE))</f>
        <v>1</v>
      </c>
    </row>
    <row r="837" spans="1:19" ht="21" customHeight="1">
      <c r="A837" s="7" t="str">
        <f t="shared" si="69"/>
        <v>1880391</v>
      </c>
      <c r="B837" s="2" t="str">
        <f t="shared" si="72"/>
        <v>1880</v>
      </c>
      <c r="C837" s="8" t="str">
        <f t="shared" si="70"/>
        <v>0PremiumSS5</v>
      </c>
      <c r="D837" s="8" t="str">
        <f t="shared" si="71"/>
        <v>0PremiumSS5</v>
      </c>
      <c r="E837" s="10">
        <v>0</v>
      </c>
      <c r="F837" s="6">
        <v>391</v>
      </c>
      <c r="G837" s="8" t="str">
        <f>VLOOKUP(F837,[1]characters!$A:$C,3,FALSE)</f>
        <v>燕翼の旅人 親指姫</v>
      </c>
      <c r="H837" s="8" t="str">
        <f>VLOOKUP(F837,[1]characters!$A:$J,10,FALSE)</f>
        <v>PremiumSS</v>
      </c>
      <c r="I837" s="8">
        <f>VLOOKUP(F837,[1]characters!$A:$I,9,FALSE)</f>
        <v>5</v>
      </c>
      <c r="J837" s="8" t="str">
        <f>VLOOKUP(F837,[1]characters!$A:$H,8,FALSE)</f>
        <v>red</v>
      </c>
      <c r="K837" s="8" t="str">
        <f>VLOOKUP(F837,[1]characters!$A:$K,11,FALSE)</f>
        <v>heal</v>
      </c>
      <c r="L837" s="8" t="str">
        <f>VLOOKUP(F837,[1]characters!$A:$M,13,FALSE)</f>
        <v>human</v>
      </c>
      <c r="M837" s="16">
        <f>VLOOKUP(D837,gacha_188_base!A:B,2,FALSE)</f>
        <v>109</v>
      </c>
      <c r="N837" s="38">
        <f>IFERROR(VLOOKUP($F837,bug_conf_sheet!$A:$H,3,FALSE),VLOOKUP("other",bug_conf_sheet!$A:$H,3,FALSE))</f>
        <v>1</v>
      </c>
      <c r="O837" s="38">
        <f>IFERROR(VLOOKUP($F837,bug_conf_sheet!$A:$H,4,FALSE),VLOOKUP("other",bug_conf_sheet!$A:$H,4,FALSE))</f>
        <v>0</v>
      </c>
      <c r="P837" s="38">
        <f>IFERROR(VLOOKUP($F837,bug_conf_sheet!$A:$H,5,FALSE),VLOOKUP("other",bug_conf_sheet!$A:$H,5,FALSE))</f>
        <v>0</v>
      </c>
      <c r="Q837" s="38">
        <f>IFERROR(VLOOKUP($F837,bug_conf_sheet!$A:$H,6,FALSE),VLOOKUP("other",bug_conf_sheet!$A:$H,6,FALSE))</f>
        <v>0</v>
      </c>
      <c r="R837" s="38">
        <f>IFERROR(VLOOKUP($F837,bug_conf_sheet!$A:$H,7,FALSE),VLOOKUP("other",bug_conf_sheet!$A:$H,7,FALSE))</f>
        <v>0</v>
      </c>
      <c r="S837" s="38">
        <f>IFERROR(VLOOKUP($F837,bug_conf_sheet!$A:$H,8,FALSE),VLOOKUP("other",bug_conf_sheet!$A:$H,8,FALSE))</f>
        <v>1</v>
      </c>
    </row>
    <row r="838" spans="1:19" ht="21" hidden="1" customHeight="1">
      <c r="A838" s="7" t="str">
        <f t="shared" si="69"/>
        <v>1880393</v>
      </c>
      <c r="B838" s="2" t="str">
        <f t="shared" si="72"/>
        <v>1880</v>
      </c>
      <c r="C838" s="8" t="str">
        <f t="shared" si="70"/>
        <v>0PremiumS4</v>
      </c>
      <c r="D838" s="8" t="str">
        <f t="shared" si="71"/>
        <v>0PremiumS4</v>
      </c>
      <c r="E838" s="10">
        <v>0</v>
      </c>
      <c r="F838" s="6">
        <v>393</v>
      </c>
      <c r="G838" s="8" t="str">
        <f>VLOOKUP(F838,[1]characters!$A:$C,3,FALSE)</f>
        <v>影縫い ピーターパン</v>
      </c>
      <c r="H838" s="8" t="str">
        <f>VLOOKUP(F838,[1]characters!$A:$J,10,FALSE)</f>
        <v>PremiumS</v>
      </c>
      <c r="I838" s="8">
        <f>VLOOKUP(F838,[1]characters!$A:$I,9,FALSE)</f>
        <v>4</v>
      </c>
      <c r="J838" s="8" t="str">
        <f>VLOOKUP(F838,[1]characters!$A:$H,8,FALSE)</f>
        <v>green</v>
      </c>
      <c r="K838" s="8" t="str">
        <f>VLOOKUP(F838,[1]characters!$A:$K,11,FALSE)</f>
        <v>attack</v>
      </c>
      <c r="L838" s="8" t="str">
        <f>VLOOKUP(F838,[1]characters!$A:$M,13,FALSE)</f>
        <v>human</v>
      </c>
      <c r="M838" s="16">
        <f>VLOOKUP(D838,gacha_188_base!A:B,2,FALSE)</f>
        <v>14648</v>
      </c>
      <c r="N838" s="38">
        <f>IFERROR(VLOOKUP($F838,bug_conf_sheet!$A:$H,3,FALSE),VLOOKUP("other",bug_conf_sheet!$A:$H,3,FALSE))</f>
        <v>1</v>
      </c>
      <c r="O838" s="38">
        <f>IFERROR(VLOOKUP($F838,bug_conf_sheet!$A:$H,4,FALSE),VLOOKUP("other",bug_conf_sheet!$A:$H,4,FALSE))</f>
        <v>0</v>
      </c>
      <c r="P838" s="38">
        <f>IFERROR(VLOOKUP($F838,bug_conf_sheet!$A:$H,5,FALSE),VLOOKUP("other",bug_conf_sheet!$A:$H,5,FALSE))</f>
        <v>0</v>
      </c>
      <c r="Q838" s="38">
        <f>IFERROR(VLOOKUP($F838,bug_conf_sheet!$A:$H,6,FALSE),VLOOKUP("other",bug_conf_sheet!$A:$H,6,FALSE))</f>
        <v>0</v>
      </c>
      <c r="R838" s="38">
        <f>IFERROR(VLOOKUP($F838,bug_conf_sheet!$A:$H,7,FALSE),VLOOKUP("other",bug_conf_sheet!$A:$H,7,FALSE))</f>
        <v>0</v>
      </c>
      <c r="S838" s="38">
        <f>IFERROR(VLOOKUP($F838,bug_conf_sheet!$A:$H,8,FALSE),VLOOKUP("other",bug_conf_sheet!$A:$H,8,FALSE))</f>
        <v>1</v>
      </c>
    </row>
    <row r="839" spans="1:19" ht="21" customHeight="1">
      <c r="A839" s="7" t="str">
        <f t="shared" si="69"/>
        <v>1880394</v>
      </c>
      <c r="B839" s="2" t="str">
        <f t="shared" si="72"/>
        <v>1880</v>
      </c>
      <c r="C839" s="8" t="str">
        <f t="shared" si="70"/>
        <v>0PremiumS5</v>
      </c>
      <c r="D839" s="8" t="str">
        <f t="shared" si="71"/>
        <v>0PremiumS5</v>
      </c>
      <c r="E839" s="10">
        <v>0</v>
      </c>
      <c r="F839" s="6">
        <v>394</v>
      </c>
      <c r="G839" s="8" t="str">
        <f>VLOOKUP(F839,[1]characters!$A:$C,3,FALSE)</f>
        <v>影求の悪童 ピーターパン</v>
      </c>
      <c r="H839" s="8" t="str">
        <f>VLOOKUP(F839,[1]characters!$A:$J,10,FALSE)</f>
        <v>PremiumS</v>
      </c>
      <c r="I839" s="8">
        <f>VLOOKUP(F839,[1]characters!$A:$I,9,FALSE)</f>
        <v>5</v>
      </c>
      <c r="J839" s="8" t="str">
        <f>VLOOKUP(F839,[1]characters!$A:$H,8,FALSE)</f>
        <v>green</v>
      </c>
      <c r="K839" s="8" t="str">
        <f>VLOOKUP(F839,[1]characters!$A:$K,11,FALSE)</f>
        <v>attack</v>
      </c>
      <c r="L839" s="8" t="str">
        <f>VLOOKUP(F839,[1]characters!$A:$M,13,FALSE)</f>
        <v>human</v>
      </c>
      <c r="M839" s="16">
        <f>VLOOKUP(D839,gacha_188_base!A:B,2,FALSE)</f>
        <v>935</v>
      </c>
      <c r="N839" s="38">
        <f>IFERROR(VLOOKUP($F839,bug_conf_sheet!$A:$H,3,FALSE),VLOOKUP("other",bug_conf_sheet!$A:$H,3,FALSE))</f>
        <v>1</v>
      </c>
      <c r="O839" s="38">
        <f>IFERROR(VLOOKUP($F839,bug_conf_sheet!$A:$H,4,FALSE),VLOOKUP("other",bug_conf_sheet!$A:$H,4,FALSE))</f>
        <v>0</v>
      </c>
      <c r="P839" s="38">
        <f>IFERROR(VLOOKUP($F839,bug_conf_sheet!$A:$H,5,FALSE),VLOOKUP("other",bug_conf_sheet!$A:$H,5,FALSE))</f>
        <v>0</v>
      </c>
      <c r="Q839" s="38">
        <f>IFERROR(VLOOKUP($F839,bug_conf_sheet!$A:$H,6,FALSE),VLOOKUP("other",bug_conf_sheet!$A:$H,6,FALSE))</f>
        <v>0</v>
      </c>
      <c r="R839" s="38">
        <f>IFERROR(VLOOKUP($F839,bug_conf_sheet!$A:$H,7,FALSE),VLOOKUP("other",bug_conf_sheet!$A:$H,7,FALSE))</f>
        <v>0</v>
      </c>
      <c r="S839" s="38">
        <f>IFERROR(VLOOKUP($F839,bug_conf_sheet!$A:$H,8,FALSE),VLOOKUP("other",bug_conf_sheet!$A:$H,8,FALSE))</f>
        <v>1</v>
      </c>
    </row>
    <row r="840" spans="1:19" ht="21" hidden="1" customHeight="1">
      <c r="A840" s="7" t="str">
        <f t="shared" si="69"/>
        <v>1880396</v>
      </c>
      <c r="B840" s="2" t="str">
        <f t="shared" si="72"/>
        <v>1880</v>
      </c>
      <c r="C840" s="8" t="str">
        <f t="shared" si="70"/>
        <v>0PremiumS4</v>
      </c>
      <c r="D840" s="8" t="str">
        <f t="shared" si="71"/>
        <v>0PremiumS4</v>
      </c>
      <c r="E840" s="10">
        <v>0</v>
      </c>
      <c r="F840" s="6">
        <v>396</v>
      </c>
      <c r="G840" s="8" t="str">
        <f>VLOOKUP(F840,[1]characters!$A:$C,3,FALSE)</f>
        <v>竜宮の水雷 乙姫</v>
      </c>
      <c r="H840" s="8" t="str">
        <f>VLOOKUP(F840,[1]characters!$A:$J,10,FALSE)</f>
        <v>PremiumS</v>
      </c>
      <c r="I840" s="8">
        <f>VLOOKUP(F840,[1]characters!$A:$I,9,FALSE)</f>
        <v>4</v>
      </c>
      <c r="J840" s="8" t="str">
        <f>VLOOKUP(F840,[1]characters!$A:$H,8,FALSE)</f>
        <v>blue</v>
      </c>
      <c r="K840" s="8" t="str">
        <f>VLOOKUP(F840,[1]characters!$A:$K,11,FALSE)</f>
        <v>hp</v>
      </c>
      <c r="L840" s="8" t="str">
        <f>VLOOKUP(F840,[1]characters!$A:$M,13,FALSE)</f>
        <v>human</v>
      </c>
      <c r="M840" s="16">
        <f>VLOOKUP(D840,gacha_188_base!A:B,2,FALSE)</f>
        <v>14648</v>
      </c>
      <c r="N840" s="38">
        <f>IFERROR(VLOOKUP($F840,bug_conf_sheet!$A:$H,3,FALSE),VLOOKUP("other",bug_conf_sheet!$A:$H,3,FALSE))</f>
        <v>1</v>
      </c>
      <c r="O840" s="38">
        <f>IFERROR(VLOOKUP($F840,bug_conf_sheet!$A:$H,4,FALSE),VLOOKUP("other",bug_conf_sheet!$A:$H,4,FALSE))</f>
        <v>0</v>
      </c>
      <c r="P840" s="38">
        <f>IFERROR(VLOOKUP($F840,bug_conf_sheet!$A:$H,5,FALSE),VLOOKUP("other",bug_conf_sheet!$A:$H,5,FALSE))</f>
        <v>0</v>
      </c>
      <c r="Q840" s="38">
        <f>IFERROR(VLOOKUP($F840,bug_conf_sheet!$A:$H,6,FALSE),VLOOKUP("other",bug_conf_sheet!$A:$H,6,FALSE))</f>
        <v>0</v>
      </c>
      <c r="R840" s="38">
        <f>IFERROR(VLOOKUP($F840,bug_conf_sheet!$A:$H,7,FALSE),VLOOKUP("other",bug_conf_sheet!$A:$H,7,FALSE))</f>
        <v>0</v>
      </c>
      <c r="S840" s="38">
        <f>IFERROR(VLOOKUP($F840,bug_conf_sheet!$A:$H,8,FALSE),VLOOKUP("other",bug_conf_sheet!$A:$H,8,FALSE))</f>
        <v>1</v>
      </c>
    </row>
    <row r="841" spans="1:19" ht="21" customHeight="1">
      <c r="A841" s="7" t="str">
        <f t="shared" si="69"/>
        <v>1880397</v>
      </c>
      <c r="B841" s="2" t="str">
        <f t="shared" si="72"/>
        <v>1880</v>
      </c>
      <c r="C841" s="8" t="str">
        <f t="shared" si="70"/>
        <v>0PremiumS5</v>
      </c>
      <c r="D841" s="8" t="str">
        <f t="shared" si="71"/>
        <v>0PremiumS5</v>
      </c>
      <c r="E841" s="10">
        <v>0</v>
      </c>
      <c r="F841" s="6">
        <v>397</v>
      </c>
      <c r="G841" s="8" t="str">
        <f>VLOOKUP(F841,[1]characters!$A:$C,3,FALSE)</f>
        <v>禁断の追箱 乙姫</v>
      </c>
      <c r="H841" s="8" t="str">
        <f>VLOOKUP(F841,[1]characters!$A:$J,10,FALSE)</f>
        <v>PremiumS</v>
      </c>
      <c r="I841" s="8">
        <f>VLOOKUP(F841,[1]characters!$A:$I,9,FALSE)</f>
        <v>5</v>
      </c>
      <c r="J841" s="8" t="str">
        <f>VLOOKUP(F841,[1]characters!$A:$H,8,FALSE)</f>
        <v>blue</v>
      </c>
      <c r="K841" s="8" t="str">
        <f>VLOOKUP(F841,[1]characters!$A:$K,11,FALSE)</f>
        <v>hp</v>
      </c>
      <c r="L841" s="8" t="str">
        <f>VLOOKUP(F841,[1]characters!$A:$M,13,FALSE)</f>
        <v>human</v>
      </c>
      <c r="M841" s="16">
        <f>VLOOKUP(D841,gacha_188_base!A:B,2,FALSE)</f>
        <v>935</v>
      </c>
      <c r="N841" s="38">
        <f>IFERROR(VLOOKUP($F841,bug_conf_sheet!$A:$H,3,FALSE),VLOOKUP("other",bug_conf_sheet!$A:$H,3,FALSE))</f>
        <v>1</v>
      </c>
      <c r="O841" s="38">
        <f>IFERROR(VLOOKUP($F841,bug_conf_sheet!$A:$H,4,FALSE),VLOOKUP("other",bug_conf_sheet!$A:$H,4,FALSE))</f>
        <v>0</v>
      </c>
      <c r="P841" s="38">
        <f>IFERROR(VLOOKUP($F841,bug_conf_sheet!$A:$H,5,FALSE),VLOOKUP("other",bug_conf_sheet!$A:$H,5,FALSE))</f>
        <v>0</v>
      </c>
      <c r="Q841" s="38">
        <f>IFERROR(VLOOKUP($F841,bug_conf_sheet!$A:$H,6,FALSE),VLOOKUP("other",bug_conf_sheet!$A:$H,6,FALSE))</f>
        <v>0</v>
      </c>
      <c r="R841" s="38">
        <f>IFERROR(VLOOKUP($F841,bug_conf_sheet!$A:$H,7,FALSE),VLOOKUP("other",bug_conf_sheet!$A:$H,7,FALSE))</f>
        <v>0</v>
      </c>
      <c r="S841" s="38">
        <f>IFERROR(VLOOKUP($F841,bug_conf_sheet!$A:$H,8,FALSE),VLOOKUP("other",bug_conf_sheet!$A:$H,8,FALSE))</f>
        <v>1</v>
      </c>
    </row>
    <row r="842" spans="1:19" ht="21" hidden="1" customHeight="1">
      <c r="A842" s="7" t="str">
        <f t="shared" ref="A842:A901" si="73">B842&amp;F842</f>
        <v>1880398</v>
      </c>
      <c r="B842" s="2" t="str">
        <f t="shared" si="72"/>
        <v>1880</v>
      </c>
      <c r="C842" s="8" t="str">
        <f t="shared" ref="C842:C901" si="74">E842&amp;H842&amp;I842</f>
        <v>0PremiumSS4</v>
      </c>
      <c r="D842" s="8" t="str">
        <f t="shared" si="71"/>
        <v>0PremiumSS4</v>
      </c>
      <c r="E842" s="10">
        <v>0</v>
      </c>
      <c r="F842" s="6">
        <v>398</v>
      </c>
      <c r="G842" s="8" t="str">
        <f>VLOOKUP(F842,[1]characters!$A:$C,3,FALSE)</f>
        <v>ヘンゼル＆グレーテル</v>
      </c>
      <c r="H842" s="8" t="str">
        <f>VLOOKUP(F842,[1]characters!$A:$J,10,FALSE)</f>
        <v>PremiumSS</v>
      </c>
      <c r="I842" s="8">
        <f>VLOOKUP(F842,[1]characters!$A:$I,9,FALSE)</f>
        <v>4</v>
      </c>
      <c r="J842" s="8" t="str">
        <f>VLOOKUP(F842,[1]characters!$A:$H,8,FALSE)</f>
        <v>yellow</v>
      </c>
      <c r="K842" s="8" t="str">
        <f>VLOOKUP(F842,[1]characters!$A:$K,11,FALSE)</f>
        <v>balance</v>
      </c>
      <c r="L842" s="8" t="str">
        <f>VLOOKUP(F842,[1]characters!$A:$M,13,FALSE)</f>
        <v>human</v>
      </c>
      <c r="M842" s="16">
        <f>VLOOKUP(D842,gacha_188_base!A:B,2,FALSE)</f>
        <v>1709</v>
      </c>
      <c r="N842" s="38">
        <f>IFERROR(VLOOKUP($F842,bug_conf_sheet!$A:$H,3,FALSE),VLOOKUP("other",bug_conf_sheet!$A:$H,3,FALSE))</f>
        <v>1</v>
      </c>
      <c r="O842" s="38">
        <f>IFERROR(VLOOKUP($F842,bug_conf_sheet!$A:$H,4,FALSE),VLOOKUP("other",bug_conf_sheet!$A:$H,4,FALSE))</f>
        <v>0</v>
      </c>
      <c r="P842" s="38">
        <f>IFERROR(VLOOKUP($F842,bug_conf_sheet!$A:$H,5,FALSE),VLOOKUP("other",bug_conf_sheet!$A:$H,5,FALSE))</f>
        <v>0</v>
      </c>
      <c r="Q842" s="38">
        <f>IFERROR(VLOOKUP($F842,bug_conf_sheet!$A:$H,6,FALSE),VLOOKUP("other",bug_conf_sheet!$A:$H,6,FALSE))</f>
        <v>0</v>
      </c>
      <c r="R842" s="38">
        <f>IFERROR(VLOOKUP($F842,bug_conf_sheet!$A:$H,7,FALSE),VLOOKUP("other",bug_conf_sheet!$A:$H,7,FALSE))</f>
        <v>0</v>
      </c>
      <c r="S842" s="38">
        <f>IFERROR(VLOOKUP($F842,bug_conf_sheet!$A:$H,8,FALSE),VLOOKUP("other",bug_conf_sheet!$A:$H,8,FALSE))</f>
        <v>1</v>
      </c>
    </row>
    <row r="843" spans="1:19" ht="21" customHeight="1">
      <c r="A843" s="7" t="str">
        <f t="shared" si="73"/>
        <v>1880399</v>
      </c>
      <c r="B843" s="2" t="str">
        <f t="shared" si="72"/>
        <v>1880</v>
      </c>
      <c r="C843" s="8" t="str">
        <f t="shared" si="74"/>
        <v>0PremiumSS5</v>
      </c>
      <c r="D843" s="8" t="str">
        <f t="shared" si="71"/>
        <v>0PremiumSS5</v>
      </c>
      <c r="E843" s="10">
        <v>0</v>
      </c>
      <c r="F843" s="6">
        <v>399</v>
      </c>
      <c r="G843" s="8" t="str">
        <f>VLOOKUP(F843,[1]characters!$A:$C,3,FALSE)</f>
        <v>信愛の兄妹 ヘンゼル＆グレーテル</v>
      </c>
      <c r="H843" s="8" t="str">
        <f>VLOOKUP(F843,[1]characters!$A:$J,10,FALSE)</f>
        <v>PremiumSS</v>
      </c>
      <c r="I843" s="8">
        <f>VLOOKUP(F843,[1]characters!$A:$I,9,FALSE)</f>
        <v>5</v>
      </c>
      <c r="J843" s="8" t="str">
        <f>VLOOKUP(F843,[1]characters!$A:$H,8,FALSE)</f>
        <v>yellow</v>
      </c>
      <c r="K843" s="8" t="str">
        <f>VLOOKUP(F843,[1]characters!$A:$K,11,FALSE)</f>
        <v>balance</v>
      </c>
      <c r="L843" s="8" t="str">
        <f>VLOOKUP(F843,[1]characters!$A:$M,13,FALSE)</f>
        <v>human</v>
      </c>
      <c r="M843" s="16">
        <f>VLOOKUP(D843,gacha_188_base!A:B,2,FALSE)</f>
        <v>109</v>
      </c>
      <c r="N843" s="38">
        <f>IFERROR(VLOOKUP($F843,bug_conf_sheet!$A:$H,3,FALSE),VLOOKUP("other",bug_conf_sheet!$A:$H,3,FALSE))</f>
        <v>1</v>
      </c>
      <c r="O843" s="38">
        <f>IFERROR(VLOOKUP($F843,bug_conf_sheet!$A:$H,4,FALSE),VLOOKUP("other",bug_conf_sheet!$A:$H,4,FALSE))</f>
        <v>0</v>
      </c>
      <c r="P843" s="38">
        <f>IFERROR(VLOOKUP($F843,bug_conf_sheet!$A:$H,5,FALSE),VLOOKUP("other",bug_conf_sheet!$A:$H,5,FALSE))</f>
        <v>0</v>
      </c>
      <c r="Q843" s="38">
        <f>IFERROR(VLOOKUP($F843,bug_conf_sheet!$A:$H,6,FALSE),VLOOKUP("other",bug_conf_sheet!$A:$H,6,FALSE))</f>
        <v>0</v>
      </c>
      <c r="R843" s="38">
        <f>IFERROR(VLOOKUP($F843,bug_conf_sheet!$A:$H,7,FALSE),VLOOKUP("other",bug_conf_sheet!$A:$H,7,FALSE))</f>
        <v>0</v>
      </c>
      <c r="S843" s="38">
        <f>IFERROR(VLOOKUP($F843,bug_conf_sheet!$A:$H,8,FALSE),VLOOKUP("other",bug_conf_sheet!$A:$H,8,FALSE))</f>
        <v>1</v>
      </c>
    </row>
    <row r="844" spans="1:19" ht="21" hidden="1" customHeight="1">
      <c r="A844" s="7" t="str">
        <f t="shared" si="73"/>
        <v>1880401</v>
      </c>
      <c r="B844" s="2" t="str">
        <f t="shared" si="72"/>
        <v>1880</v>
      </c>
      <c r="C844" s="8" t="str">
        <f t="shared" si="74"/>
        <v>0PremiumS4</v>
      </c>
      <c r="D844" s="8" t="str">
        <f t="shared" si="71"/>
        <v>0PremiumS4</v>
      </c>
      <c r="E844" s="10">
        <v>0</v>
      </c>
      <c r="F844" s="6">
        <v>401</v>
      </c>
      <c r="G844" s="8" t="str">
        <f>VLOOKUP(F844,[1]characters!$A:$C,3,FALSE)</f>
        <v>紅銀の孤狼 フェンリル</v>
      </c>
      <c r="H844" s="8" t="str">
        <f>VLOOKUP(F844,[1]characters!$A:$J,10,FALSE)</f>
        <v>PremiumS</v>
      </c>
      <c r="I844" s="8">
        <f>VLOOKUP(F844,[1]characters!$A:$I,9,FALSE)</f>
        <v>4</v>
      </c>
      <c r="J844" s="8" t="str">
        <f>VLOOKUP(F844,[1]characters!$A:$H,8,FALSE)</f>
        <v>red</v>
      </c>
      <c r="K844" s="8" t="str">
        <f>VLOOKUP(F844,[1]characters!$A:$K,11,FALSE)</f>
        <v>attack</v>
      </c>
      <c r="L844" s="8" t="str">
        <f>VLOOKUP(F844,[1]characters!$A:$M,13,FALSE)</f>
        <v>animal</v>
      </c>
      <c r="M844" s="16">
        <f>VLOOKUP(D844,gacha_188_base!A:B,2,FALSE)</f>
        <v>14648</v>
      </c>
      <c r="N844" s="38">
        <f>IFERROR(VLOOKUP($F844,bug_conf_sheet!$A:$H,3,FALSE),VLOOKUP("other",bug_conf_sheet!$A:$H,3,FALSE))</f>
        <v>1</v>
      </c>
      <c r="O844" s="38">
        <f>IFERROR(VLOOKUP($F844,bug_conf_sheet!$A:$H,4,FALSE),VLOOKUP("other",bug_conf_sheet!$A:$H,4,FALSE))</f>
        <v>0</v>
      </c>
      <c r="P844" s="38">
        <f>IFERROR(VLOOKUP($F844,bug_conf_sheet!$A:$H,5,FALSE),VLOOKUP("other",bug_conf_sheet!$A:$H,5,FALSE))</f>
        <v>0</v>
      </c>
      <c r="Q844" s="38">
        <f>IFERROR(VLOOKUP($F844,bug_conf_sheet!$A:$H,6,FALSE),VLOOKUP("other",bug_conf_sheet!$A:$H,6,FALSE))</f>
        <v>0</v>
      </c>
      <c r="R844" s="38">
        <f>IFERROR(VLOOKUP($F844,bug_conf_sheet!$A:$H,7,FALSE),VLOOKUP("other",bug_conf_sheet!$A:$H,7,FALSE))</f>
        <v>0</v>
      </c>
      <c r="S844" s="38">
        <f>IFERROR(VLOOKUP($F844,bug_conf_sheet!$A:$H,8,FALSE),VLOOKUP("other",bug_conf_sheet!$A:$H,8,FALSE))</f>
        <v>1</v>
      </c>
    </row>
    <row r="845" spans="1:19" ht="21" customHeight="1">
      <c r="A845" s="7" t="str">
        <f t="shared" si="73"/>
        <v>1880402</v>
      </c>
      <c r="B845" s="2" t="str">
        <f t="shared" si="72"/>
        <v>1880</v>
      </c>
      <c r="C845" s="8" t="str">
        <f t="shared" si="74"/>
        <v>0PremiumS5</v>
      </c>
      <c r="D845" s="8" t="str">
        <f t="shared" si="71"/>
        <v>0PremiumS5</v>
      </c>
      <c r="E845" s="10">
        <v>0</v>
      </c>
      <c r="F845" s="6">
        <v>402</v>
      </c>
      <c r="G845" s="8" t="str">
        <f>VLOOKUP(F845,[1]characters!$A:$C,3,FALSE)</f>
        <v>天災の神狼 フェンリル</v>
      </c>
      <c r="H845" s="8" t="str">
        <f>VLOOKUP(F845,[1]characters!$A:$J,10,FALSE)</f>
        <v>PremiumS</v>
      </c>
      <c r="I845" s="8">
        <f>VLOOKUP(F845,[1]characters!$A:$I,9,FALSE)</f>
        <v>5</v>
      </c>
      <c r="J845" s="8" t="str">
        <f>VLOOKUP(F845,[1]characters!$A:$H,8,FALSE)</f>
        <v>red</v>
      </c>
      <c r="K845" s="8" t="str">
        <f>VLOOKUP(F845,[1]characters!$A:$K,11,FALSE)</f>
        <v>attack</v>
      </c>
      <c r="L845" s="8" t="str">
        <f>VLOOKUP(F845,[1]characters!$A:$M,13,FALSE)</f>
        <v>animal</v>
      </c>
      <c r="M845" s="16">
        <f>VLOOKUP(D845,gacha_188_base!A:B,2,FALSE)</f>
        <v>935</v>
      </c>
      <c r="N845" s="38">
        <f>IFERROR(VLOOKUP($F845,bug_conf_sheet!$A:$H,3,FALSE),VLOOKUP("other",bug_conf_sheet!$A:$H,3,FALSE))</f>
        <v>1</v>
      </c>
      <c r="O845" s="38">
        <f>IFERROR(VLOOKUP($F845,bug_conf_sheet!$A:$H,4,FALSE),VLOOKUP("other",bug_conf_sheet!$A:$H,4,FALSE))</f>
        <v>0</v>
      </c>
      <c r="P845" s="38">
        <f>IFERROR(VLOOKUP($F845,bug_conf_sheet!$A:$H,5,FALSE),VLOOKUP("other",bug_conf_sheet!$A:$H,5,FALSE))</f>
        <v>0</v>
      </c>
      <c r="Q845" s="38">
        <f>IFERROR(VLOOKUP($F845,bug_conf_sheet!$A:$H,6,FALSE),VLOOKUP("other",bug_conf_sheet!$A:$H,6,FALSE))</f>
        <v>0</v>
      </c>
      <c r="R845" s="38">
        <f>IFERROR(VLOOKUP($F845,bug_conf_sheet!$A:$H,7,FALSE),VLOOKUP("other",bug_conf_sheet!$A:$H,7,FALSE))</f>
        <v>0</v>
      </c>
      <c r="S845" s="38">
        <f>IFERROR(VLOOKUP($F845,bug_conf_sheet!$A:$H,8,FALSE),VLOOKUP("other",bug_conf_sheet!$A:$H,8,FALSE))</f>
        <v>1</v>
      </c>
    </row>
    <row r="846" spans="1:19" ht="21" hidden="1" customHeight="1">
      <c r="A846" s="7" t="str">
        <f t="shared" si="73"/>
        <v>1880403</v>
      </c>
      <c r="B846" s="2" t="str">
        <f t="shared" si="72"/>
        <v>1880</v>
      </c>
      <c r="C846" s="8" t="str">
        <f t="shared" si="74"/>
        <v>0PremiumSS4</v>
      </c>
      <c r="D846" s="8" t="str">
        <f t="shared" si="71"/>
        <v>0PremiumSS4</v>
      </c>
      <c r="E846" s="10">
        <v>0</v>
      </c>
      <c r="F846" s="6">
        <v>403</v>
      </c>
      <c r="G846" s="8" t="str">
        <f>VLOOKUP(F846,[1]characters!$A:$C,3,FALSE)</f>
        <v>静撃の翠眼 八咫烏</v>
      </c>
      <c r="H846" s="8" t="str">
        <f>VLOOKUP(F846,[1]characters!$A:$J,10,FALSE)</f>
        <v>PremiumSS</v>
      </c>
      <c r="I846" s="8">
        <f>VLOOKUP(F846,[1]characters!$A:$I,9,FALSE)</f>
        <v>4</v>
      </c>
      <c r="J846" s="8" t="str">
        <f>VLOOKUP(F846,[1]characters!$A:$H,8,FALSE)</f>
        <v>green</v>
      </c>
      <c r="K846" s="8" t="str">
        <f>VLOOKUP(F846,[1]characters!$A:$K,11,FALSE)</f>
        <v>balance</v>
      </c>
      <c r="L846" s="8" t="str">
        <f>VLOOKUP(F846,[1]characters!$A:$M,13,FALSE)</f>
        <v>animal</v>
      </c>
      <c r="M846" s="16">
        <f>VLOOKUP(D846,gacha_188_base!A:B,2,FALSE)</f>
        <v>1709</v>
      </c>
      <c r="N846" s="38">
        <f>IFERROR(VLOOKUP($F846,bug_conf_sheet!$A:$H,3,FALSE),VLOOKUP("other",bug_conf_sheet!$A:$H,3,FALSE))</f>
        <v>1</v>
      </c>
      <c r="O846" s="38">
        <f>IFERROR(VLOOKUP($F846,bug_conf_sheet!$A:$H,4,FALSE),VLOOKUP("other",bug_conf_sheet!$A:$H,4,FALSE))</f>
        <v>0</v>
      </c>
      <c r="P846" s="38">
        <f>IFERROR(VLOOKUP($F846,bug_conf_sheet!$A:$H,5,FALSE),VLOOKUP("other",bug_conf_sheet!$A:$H,5,FALSE))</f>
        <v>0</v>
      </c>
      <c r="Q846" s="38">
        <f>IFERROR(VLOOKUP($F846,bug_conf_sheet!$A:$H,6,FALSE),VLOOKUP("other",bug_conf_sheet!$A:$H,6,FALSE))</f>
        <v>0</v>
      </c>
      <c r="R846" s="38">
        <f>IFERROR(VLOOKUP($F846,bug_conf_sheet!$A:$H,7,FALSE),VLOOKUP("other",bug_conf_sheet!$A:$H,7,FALSE))</f>
        <v>0</v>
      </c>
      <c r="S846" s="38">
        <f>IFERROR(VLOOKUP($F846,bug_conf_sheet!$A:$H,8,FALSE),VLOOKUP("other",bug_conf_sheet!$A:$H,8,FALSE))</f>
        <v>1</v>
      </c>
    </row>
    <row r="847" spans="1:19" ht="21" customHeight="1">
      <c r="A847" s="7" t="str">
        <f t="shared" si="73"/>
        <v>1880404</v>
      </c>
      <c r="B847" s="2" t="str">
        <f t="shared" si="72"/>
        <v>1880</v>
      </c>
      <c r="C847" s="8" t="str">
        <f t="shared" si="74"/>
        <v>0PremiumSS5</v>
      </c>
      <c r="D847" s="8" t="str">
        <f t="shared" si="71"/>
        <v>0PremiumSS5</v>
      </c>
      <c r="E847" s="10">
        <v>0</v>
      </c>
      <c r="F847" s="6">
        <v>404</v>
      </c>
      <c r="G847" s="8" t="str">
        <f>VLOOKUP(F847,[1]characters!$A:$C,3,FALSE)</f>
        <v>空襲の神眼 八咫烏</v>
      </c>
      <c r="H847" s="8" t="str">
        <f>VLOOKUP(F847,[1]characters!$A:$J,10,FALSE)</f>
        <v>PremiumSS</v>
      </c>
      <c r="I847" s="8">
        <f>VLOOKUP(F847,[1]characters!$A:$I,9,FALSE)</f>
        <v>5</v>
      </c>
      <c r="J847" s="8" t="str">
        <f>VLOOKUP(F847,[1]characters!$A:$H,8,FALSE)</f>
        <v>green</v>
      </c>
      <c r="K847" s="8" t="str">
        <f>VLOOKUP(F847,[1]characters!$A:$K,11,FALSE)</f>
        <v>balance</v>
      </c>
      <c r="L847" s="8" t="str">
        <f>VLOOKUP(F847,[1]characters!$A:$M,13,FALSE)</f>
        <v>animal</v>
      </c>
      <c r="M847" s="16">
        <f>VLOOKUP(D847,gacha_188_base!A:B,2,FALSE)</f>
        <v>109</v>
      </c>
      <c r="N847" s="38">
        <f>IFERROR(VLOOKUP($F847,bug_conf_sheet!$A:$H,3,FALSE),VLOOKUP("other",bug_conf_sheet!$A:$H,3,FALSE))</f>
        <v>1</v>
      </c>
      <c r="O847" s="38">
        <f>IFERROR(VLOOKUP($F847,bug_conf_sheet!$A:$H,4,FALSE),VLOOKUP("other",bug_conf_sheet!$A:$H,4,FALSE))</f>
        <v>0</v>
      </c>
      <c r="P847" s="38">
        <f>IFERROR(VLOOKUP($F847,bug_conf_sheet!$A:$H,5,FALSE),VLOOKUP("other",bug_conf_sheet!$A:$H,5,FALSE))</f>
        <v>0</v>
      </c>
      <c r="Q847" s="38">
        <f>IFERROR(VLOOKUP($F847,bug_conf_sheet!$A:$H,6,FALSE),VLOOKUP("other",bug_conf_sheet!$A:$H,6,FALSE))</f>
        <v>0</v>
      </c>
      <c r="R847" s="38">
        <f>IFERROR(VLOOKUP($F847,bug_conf_sheet!$A:$H,7,FALSE),VLOOKUP("other",bug_conf_sheet!$A:$H,7,FALSE))</f>
        <v>0</v>
      </c>
      <c r="S847" s="38">
        <f>IFERROR(VLOOKUP($F847,bug_conf_sheet!$A:$H,8,FALSE),VLOOKUP("other",bug_conf_sheet!$A:$H,8,FALSE))</f>
        <v>1</v>
      </c>
    </row>
    <row r="848" spans="1:19" ht="21" hidden="1" customHeight="1">
      <c r="A848" s="7" t="str">
        <f t="shared" si="73"/>
        <v>1880406</v>
      </c>
      <c r="B848" s="2" t="str">
        <f t="shared" si="72"/>
        <v>1880</v>
      </c>
      <c r="C848" s="8" t="str">
        <f t="shared" si="74"/>
        <v>0PremiumS4</v>
      </c>
      <c r="D848" s="8" t="str">
        <f t="shared" si="71"/>
        <v>0PremiumS4</v>
      </c>
      <c r="E848" s="10">
        <v>0</v>
      </c>
      <c r="F848" s="6">
        <v>406</v>
      </c>
      <c r="G848" s="8" t="str">
        <f>VLOOKUP(F848,[1]characters!$A:$C,3,FALSE)</f>
        <v>美笑の蒼蛇 エキドナ</v>
      </c>
      <c r="H848" s="8" t="str">
        <f>VLOOKUP(F848,[1]characters!$A:$J,10,FALSE)</f>
        <v>PremiumS</v>
      </c>
      <c r="I848" s="8">
        <f>VLOOKUP(F848,[1]characters!$A:$I,9,FALSE)</f>
        <v>4</v>
      </c>
      <c r="J848" s="8" t="str">
        <f>VLOOKUP(F848,[1]characters!$A:$H,8,FALSE)</f>
        <v>blue</v>
      </c>
      <c r="K848" s="8" t="str">
        <f>VLOOKUP(F848,[1]characters!$A:$K,11,FALSE)</f>
        <v>technical</v>
      </c>
      <c r="L848" s="8" t="str">
        <f>VLOOKUP(F848,[1]characters!$A:$M,13,FALSE)</f>
        <v>animal</v>
      </c>
      <c r="M848" s="16">
        <f>VLOOKUP(D848,gacha_188_base!A:B,2,FALSE)</f>
        <v>14648</v>
      </c>
      <c r="N848" s="38">
        <f>IFERROR(VLOOKUP($F848,bug_conf_sheet!$A:$H,3,FALSE),VLOOKUP("other",bug_conf_sheet!$A:$H,3,FALSE))</f>
        <v>1</v>
      </c>
      <c r="O848" s="38">
        <f>IFERROR(VLOOKUP($F848,bug_conf_sheet!$A:$H,4,FALSE),VLOOKUP("other",bug_conf_sheet!$A:$H,4,FALSE))</f>
        <v>0</v>
      </c>
      <c r="P848" s="38">
        <f>IFERROR(VLOOKUP($F848,bug_conf_sheet!$A:$H,5,FALSE),VLOOKUP("other",bug_conf_sheet!$A:$H,5,FALSE))</f>
        <v>0</v>
      </c>
      <c r="Q848" s="38">
        <f>IFERROR(VLOOKUP($F848,bug_conf_sheet!$A:$H,6,FALSE),VLOOKUP("other",bug_conf_sheet!$A:$H,6,FALSE))</f>
        <v>0</v>
      </c>
      <c r="R848" s="38">
        <f>IFERROR(VLOOKUP($F848,bug_conf_sheet!$A:$H,7,FALSE),VLOOKUP("other",bug_conf_sheet!$A:$H,7,FALSE))</f>
        <v>0</v>
      </c>
      <c r="S848" s="38">
        <f>IFERROR(VLOOKUP($F848,bug_conf_sheet!$A:$H,8,FALSE),VLOOKUP("other",bug_conf_sheet!$A:$H,8,FALSE))</f>
        <v>1</v>
      </c>
    </row>
    <row r="849" spans="1:19" ht="21" customHeight="1">
      <c r="A849" s="7" t="str">
        <f t="shared" si="73"/>
        <v>1880407</v>
      </c>
      <c r="B849" s="2" t="str">
        <f t="shared" si="72"/>
        <v>1880</v>
      </c>
      <c r="C849" s="8" t="str">
        <f t="shared" si="74"/>
        <v>0PremiumS5</v>
      </c>
      <c r="D849" s="8" t="str">
        <f t="shared" si="71"/>
        <v>0PremiumS5</v>
      </c>
      <c r="E849" s="10">
        <v>0</v>
      </c>
      <c r="F849" s="6">
        <v>407</v>
      </c>
      <c r="G849" s="8" t="str">
        <f>VLOOKUP(F849,[1]characters!$A:$C,3,FALSE)</f>
        <v>蠱惑の飛刀 エキドナ</v>
      </c>
      <c r="H849" s="8" t="str">
        <f>VLOOKUP(F849,[1]characters!$A:$J,10,FALSE)</f>
        <v>PremiumS</v>
      </c>
      <c r="I849" s="8">
        <f>VLOOKUP(F849,[1]characters!$A:$I,9,FALSE)</f>
        <v>5</v>
      </c>
      <c r="J849" s="8" t="str">
        <f>VLOOKUP(F849,[1]characters!$A:$H,8,FALSE)</f>
        <v>blue</v>
      </c>
      <c r="K849" s="8" t="str">
        <f>VLOOKUP(F849,[1]characters!$A:$K,11,FALSE)</f>
        <v>technical</v>
      </c>
      <c r="L849" s="8" t="str">
        <f>VLOOKUP(F849,[1]characters!$A:$M,13,FALSE)</f>
        <v>animal</v>
      </c>
      <c r="M849" s="16">
        <f>VLOOKUP(D849,gacha_188_base!A:B,2,FALSE)</f>
        <v>935</v>
      </c>
      <c r="N849" s="38">
        <f>IFERROR(VLOOKUP($F849,bug_conf_sheet!$A:$H,3,FALSE),VLOOKUP("other",bug_conf_sheet!$A:$H,3,FALSE))</f>
        <v>1</v>
      </c>
      <c r="O849" s="38">
        <f>IFERROR(VLOOKUP($F849,bug_conf_sheet!$A:$H,4,FALSE),VLOOKUP("other",bug_conf_sheet!$A:$H,4,FALSE))</f>
        <v>0</v>
      </c>
      <c r="P849" s="38">
        <f>IFERROR(VLOOKUP($F849,bug_conf_sheet!$A:$H,5,FALSE),VLOOKUP("other",bug_conf_sheet!$A:$H,5,FALSE))</f>
        <v>0</v>
      </c>
      <c r="Q849" s="38">
        <f>IFERROR(VLOOKUP($F849,bug_conf_sheet!$A:$H,6,FALSE),VLOOKUP("other",bug_conf_sheet!$A:$H,6,FALSE))</f>
        <v>0</v>
      </c>
      <c r="R849" s="38">
        <f>IFERROR(VLOOKUP($F849,bug_conf_sheet!$A:$H,7,FALSE),VLOOKUP("other",bug_conf_sheet!$A:$H,7,FALSE))</f>
        <v>0</v>
      </c>
      <c r="S849" s="38">
        <f>IFERROR(VLOOKUP($F849,bug_conf_sheet!$A:$H,8,FALSE),VLOOKUP("other",bug_conf_sheet!$A:$H,8,FALSE))</f>
        <v>1</v>
      </c>
    </row>
    <row r="850" spans="1:19" ht="21" hidden="1" customHeight="1">
      <c r="A850" s="7" t="str">
        <f t="shared" si="73"/>
        <v>1880408</v>
      </c>
      <c r="B850" s="2" t="str">
        <f t="shared" si="72"/>
        <v>1880</v>
      </c>
      <c r="C850" s="8" t="str">
        <f t="shared" si="74"/>
        <v>0PremiumSS4</v>
      </c>
      <c r="D850" s="8" t="str">
        <f t="shared" si="71"/>
        <v>0PremiumSS4</v>
      </c>
      <c r="E850" s="10">
        <v>0</v>
      </c>
      <c r="F850" s="6">
        <v>408</v>
      </c>
      <c r="G850" s="8" t="str">
        <f>VLOOKUP(F850,[1]characters!$A:$C,3,FALSE)</f>
        <v>皇魔 アスタロト</v>
      </c>
      <c r="H850" s="8" t="str">
        <f>VLOOKUP(F850,[1]characters!$A:$J,10,FALSE)</f>
        <v>PremiumSS</v>
      </c>
      <c r="I850" s="8">
        <f>VLOOKUP(F850,[1]characters!$A:$I,9,FALSE)</f>
        <v>4</v>
      </c>
      <c r="J850" s="8" t="str">
        <f>VLOOKUP(F850,[1]characters!$A:$H,8,FALSE)</f>
        <v>yellow</v>
      </c>
      <c r="K850" s="8" t="str">
        <f>VLOOKUP(F850,[1]characters!$A:$K,11,FALSE)</f>
        <v>attack</v>
      </c>
      <c r="L850" s="8" t="str">
        <f>VLOOKUP(F850,[1]characters!$A:$M,13,FALSE)</f>
        <v>god</v>
      </c>
      <c r="M850" s="16">
        <f>VLOOKUP(D850,gacha_188_base!A:B,2,FALSE)</f>
        <v>1709</v>
      </c>
      <c r="N850" s="38">
        <f>IFERROR(VLOOKUP($F850,bug_conf_sheet!$A:$H,3,FALSE),VLOOKUP("other",bug_conf_sheet!$A:$H,3,FALSE))</f>
        <v>1</v>
      </c>
      <c r="O850" s="38">
        <f>IFERROR(VLOOKUP($F850,bug_conf_sheet!$A:$H,4,FALSE),VLOOKUP("other",bug_conf_sheet!$A:$H,4,FALSE))</f>
        <v>0</v>
      </c>
      <c r="P850" s="38">
        <f>IFERROR(VLOOKUP($F850,bug_conf_sheet!$A:$H,5,FALSE),VLOOKUP("other",bug_conf_sheet!$A:$H,5,FALSE))</f>
        <v>0</v>
      </c>
      <c r="Q850" s="38">
        <f>IFERROR(VLOOKUP($F850,bug_conf_sheet!$A:$H,6,FALSE),VLOOKUP("other",bug_conf_sheet!$A:$H,6,FALSE))</f>
        <v>0</v>
      </c>
      <c r="R850" s="38">
        <f>IFERROR(VLOOKUP($F850,bug_conf_sheet!$A:$H,7,FALSE),VLOOKUP("other",bug_conf_sheet!$A:$H,7,FALSE))</f>
        <v>0</v>
      </c>
      <c r="S850" s="38">
        <f>IFERROR(VLOOKUP($F850,bug_conf_sheet!$A:$H,8,FALSE),VLOOKUP("other",bug_conf_sheet!$A:$H,8,FALSE))</f>
        <v>1</v>
      </c>
    </row>
    <row r="851" spans="1:19" ht="21" customHeight="1">
      <c r="A851" s="7" t="str">
        <f t="shared" si="73"/>
        <v>1880409</v>
      </c>
      <c r="B851" s="2" t="str">
        <f t="shared" si="72"/>
        <v>1880</v>
      </c>
      <c r="C851" s="8" t="str">
        <f t="shared" si="74"/>
        <v>0PremiumSS5</v>
      </c>
      <c r="D851" s="8" t="str">
        <f t="shared" si="71"/>
        <v>0PremiumSS5</v>
      </c>
      <c r="E851" s="10">
        <v>0</v>
      </c>
      <c r="F851" s="6">
        <v>409</v>
      </c>
      <c r="G851" s="8" t="str">
        <f>VLOOKUP(F851,[1]characters!$A:$C,3,FALSE)</f>
        <v>天眼の皇貴魔 アスタロト</v>
      </c>
      <c r="H851" s="8" t="str">
        <f>VLOOKUP(F851,[1]characters!$A:$J,10,FALSE)</f>
        <v>PremiumSS</v>
      </c>
      <c r="I851" s="8">
        <f>VLOOKUP(F851,[1]characters!$A:$I,9,FALSE)</f>
        <v>5</v>
      </c>
      <c r="J851" s="8" t="str">
        <f>VLOOKUP(F851,[1]characters!$A:$H,8,FALSE)</f>
        <v>yellow</v>
      </c>
      <c r="K851" s="8" t="str">
        <f>VLOOKUP(F851,[1]characters!$A:$K,11,FALSE)</f>
        <v>attack</v>
      </c>
      <c r="L851" s="8" t="str">
        <f>VLOOKUP(F851,[1]characters!$A:$M,13,FALSE)</f>
        <v>god</v>
      </c>
      <c r="M851" s="16">
        <f>VLOOKUP(D851,gacha_188_base!A:B,2,FALSE)</f>
        <v>109</v>
      </c>
      <c r="N851" s="38">
        <f>IFERROR(VLOOKUP($F851,bug_conf_sheet!$A:$H,3,FALSE),VLOOKUP("other",bug_conf_sheet!$A:$H,3,FALSE))</f>
        <v>1</v>
      </c>
      <c r="O851" s="38">
        <f>IFERROR(VLOOKUP($F851,bug_conf_sheet!$A:$H,4,FALSE),VLOOKUP("other",bug_conf_sheet!$A:$H,4,FALSE))</f>
        <v>0</v>
      </c>
      <c r="P851" s="38">
        <f>IFERROR(VLOOKUP($F851,bug_conf_sheet!$A:$H,5,FALSE),VLOOKUP("other",bug_conf_sheet!$A:$H,5,FALSE))</f>
        <v>0</v>
      </c>
      <c r="Q851" s="38">
        <f>IFERROR(VLOOKUP($F851,bug_conf_sheet!$A:$H,6,FALSE),VLOOKUP("other",bug_conf_sheet!$A:$H,6,FALSE))</f>
        <v>0</v>
      </c>
      <c r="R851" s="38">
        <f>IFERROR(VLOOKUP($F851,bug_conf_sheet!$A:$H,7,FALSE),VLOOKUP("other",bug_conf_sheet!$A:$H,7,FALSE))</f>
        <v>0</v>
      </c>
      <c r="S851" s="38">
        <f>IFERROR(VLOOKUP($F851,bug_conf_sheet!$A:$H,8,FALSE),VLOOKUP("other",bug_conf_sheet!$A:$H,8,FALSE))</f>
        <v>1</v>
      </c>
    </row>
    <row r="852" spans="1:19" ht="21" hidden="1" customHeight="1">
      <c r="A852" s="7" t="str">
        <f t="shared" si="73"/>
        <v>1880434</v>
      </c>
      <c r="B852" s="2" t="str">
        <f t="shared" si="72"/>
        <v>1880</v>
      </c>
      <c r="C852" s="8" t="str">
        <f t="shared" si="74"/>
        <v>0PremiumSS4</v>
      </c>
      <c r="D852" s="8" t="str">
        <f t="shared" si="71"/>
        <v>0PremiumSS4</v>
      </c>
      <c r="E852" s="10">
        <v>0</v>
      </c>
      <c r="F852" s="6">
        <v>434</v>
      </c>
      <c r="G852" s="8" t="str">
        <f>VLOOKUP(F852,[1]characters!$A:$C,3,FALSE)</f>
        <v>D.R.T.H.</v>
      </c>
      <c r="H852" s="8" t="str">
        <f>VLOOKUP(F852,[1]characters!$A:$J,10,FALSE)</f>
        <v>PremiumSS</v>
      </c>
      <c r="I852" s="8">
        <f>VLOOKUP(F852,[1]characters!$A:$I,9,FALSE)</f>
        <v>4</v>
      </c>
      <c r="J852" s="8" t="str">
        <f>VLOOKUP(F852,[1]characters!$A:$H,8,FALSE)</f>
        <v>red</v>
      </c>
      <c r="K852" s="8" t="str">
        <f>VLOOKUP(F852,[1]characters!$A:$K,11,FALSE)</f>
        <v>balance</v>
      </c>
      <c r="L852" s="8" t="str">
        <f>VLOOKUP(F852,[1]characters!$A:$M,13,FALSE)</f>
        <v>human</v>
      </c>
      <c r="M852" s="16">
        <f>VLOOKUP(D852,gacha_188_base!A:B,2,FALSE)</f>
        <v>1709</v>
      </c>
      <c r="N852" s="38">
        <f>IFERROR(VLOOKUP($F852,bug_conf_sheet!$A:$H,3,FALSE),VLOOKUP("other",bug_conf_sheet!$A:$H,3,FALSE))</f>
        <v>1</v>
      </c>
      <c r="O852" s="38">
        <f>IFERROR(VLOOKUP($F852,bug_conf_sheet!$A:$H,4,FALSE),VLOOKUP("other",bug_conf_sheet!$A:$H,4,FALSE))</f>
        <v>0</v>
      </c>
      <c r="P852" s="38">
        <f>IFERROR(VLOOKUP($F852,bug_conf_sheet!$A:$H,5,FALSE),VLOOKUP("other",bug_conf_sheet!$A:$H,5,FALSE))</f>
        <v>0</v>
      </c>
      <c r="Q852" s="38">
        <f>IFERROR(VLOOKUP($F852,bug_conf_sheet!$A:$H,6,FALSE),VLOOKUP("other",bug_conf_sheet!$A:$H,6,FALSE))</f>
        <v>0</v>
      </c>
      <c r="R852" s="38">
        <f>IFERROR(VLOOKUP($F852,bug_conf_sheet!$A:$H,7,FALSE),VLOOKUP("other",bug_conf_sheet!$A:$H,7,FALSE))</f>
        <v>0</v>
      </c>
      <c r="S852" s="38">
        <f>IFERROR(VLOOKUP($F852,bug_conf_sheet!$A:$H,8,FALSE),VLOOKUP("other",bug_conf_sheet!$A:$H,8,FALSE))</f>
        <v>1</v>
      </c>
    </row>
    <row r="853" spans="1:19" ht="21" customHeight="1">
      <c r="A853" s="7" t="str">
        <f t="shared" si="73"/>
        <v>1880435</v>
      </c>
      <c r="B853" s="2" t="str">
        <f t="shared" si="72"/>
        <v>1880</v>
      </c>
      <c r="C853" s="8" t="str">
        <f t="shared" si="74"/>
        <v>0PremiumSS5</v>
      </c>
      <c r="D853" s="8" t="str">
        <f t="shared" si="71"/>
        <v>0PremiumSS5</v>
      </c>
      <c r="E853" s="10">
        <v>0</v>
      </c>
      <c r="F853" s="6">
        <v>435</v>
      </c>
      <c r="G853" s="8" t="str">
        <f>VLOOKUP(F853,[1]characters!$A:$C,3,FALSE)</f>
        <v>曝弾の密偵 D.R.T.H.</v>
      </c>
      <c r="H853" s="8" t="str">
        <f>VLOOKUP(F853,[1]characters!$A:$J,10,FALSE)</f>
        <v>PremiumSS</v>
      </c>
      <c r="I853" s="8">
        <f>VLOOKUP(F853,[1]characters!$A:$I,9,FALSE)</f>
        <v>5</v>
      </c>
      <c r="J853" s="8" t="str">
        <f>VLOOKUP(F853,[1]characters!$A:$H,8,FALSE)</f>
        <v>red</v>
      </c>
      <c r="K853" s="8" t="str">
        <f>VLOOKUP(F853,[1]characters!$A:$K,11,FALSE)</f>
        <v>balance</v>
      </c>
      <c r="L853" s="8" t="str">
        <f>VLOOKUP(F853,[1]characters!$A:$M,13,FALSE)</f>
        <v>human</v>
      </c>
      <c r="M853" s="16">
        <f>VLOOKUP(D853,gacha_188_base!A:B,2,FALSE)</f>
        <v>109</v>
      </c>
      <c r="N853" s="38">
        <f>IFERROR(VLOOKUP($F853,bug_conf_sheet!$A:$H,3,FALSE),VLOOKUP("other",bug_conf_sheet!$A:$H,3,FALSE))</f>
        <v>1</v>
      </c>
      <c r="O853" s="38">
        <f>IFERROR(VLOOKUP($F853,bug_conf_sheet!$A:$H,4,FALSE),VLOOKUP("other",bug_conf_sheet!$A:$H,4,FALSE))</f>
        <v>0</v>
      </c>
      <c r="P853" s="38">
        <f>IFERROR(VLOOKUP($F853,bug_conf_sheet!$A:$H,5,FALSE),VLOOKUP("other",bug_conf_sheet!$A:$H,5,FALSE))</f>
        <v>0</v>
      </c>
      <c r="Q853" s="38">
        <f>IFERROR(VLOOKUP($F853,bug_conf_sheet!$A:$H,6,FALSE),VLOOKUP("other",bug_conf_sheet!$A:$H,6,FALSE))</f>
        <v>0</v>
      </c>
      <c r="R853" s="38">
        <f>IFERROR(VLOOKUP($F853,bug_conf_sheet!$A:$H,7,FALSE),VLOOKUP("other",bug_conf_sheet!$A:$H,7,FALSE))</f>
        <v>0</v>
      </c>
      <c r="S853" s="38">
        <f>IFERROR(VLOOKUP($F853,bug_conf_sheet!$A:$H,8,FALSE),VLOOKUP("other",bug_conf_sheet!$A:$H,8,FALSE))</f>
        <v>1</v>
      </c>
    </row>
    <row r="854" spans="1:19" ht="21" hidden="1" customHeight="1">
      <c r="A854" s="7" t="str">
        <f t="shared" si="73"/>
        <v>1880437</v>
      </c>
      <c r="B854" s="2" t="str">
        <f t="shared" si="72"/>
        <v>1880</v>
      </c>
      <c r="C854" s="8" t="str">
        <f t="shared" si="74"/>
        <v>0PremiumS4</v>
      </c>
      <c r="D854" s="8" t="str">
        <f t="shared" si="71"/>
        <v>0PremiumS4</v>
      </c>
      <c r="E854" s="10">
        <v>0</v>
      </c>
      <c r="F854" s="6">
        <v>437</v>
      </c>
      <c r="G854" s="8" t="str">
        <f>VLOOKUP(F854,[1]characters!$A:$C,3,FALSE)</f>
        <v>忘却者 カカシ</v>
      </c>
      <c r="H854" s="8" t="str">
        <f>VLOOKUP(F854,[1]characters!$A:$J,10,FALSE)</f>
        <v>PremiumS</v>
      </c>
      <c r="I854" s="8">
        <f>VLOOKUP(F854,[1]characters!$A:$I,9,FALSE)</f>
        <v>4</v>
      </c>
      <c r="J854" s="8" t="str">
        <f>VLOOKUP(F854,[1]characters!$A:$H,8,FALSE)</f>
        <v>green</v>
      </c>
      <c r="K854" s="8" t="str">
        <f>VLOOKUP(F854,[1]characters!$A:$K,11,FALSE)</f>
        <v>technical</v>
      </c>
      <c r="L854" s="8" t="str">
        <f>VLOOKUP(F854,[1]characters!$A:$M,13,FALSE)</f>
        <v>human</v>
      </c>
      <c r="M854" s="16">
        <f>VLOOKUP(D854,gacha_188_base!A:B,2,FALSE)</f>
        <v>14648</v>
      </c>
      <c r="N854" s="38">
        <f>IFERROR(VLOOKUP($F854,bug_conf_sheet!$A:$H,3,FALSE),VLOOKUP("other",bug_conf_sheet!$A:$H,3,FALSE))</f>
        <v>1</v>
      </c>
      <c r="O854" s="38">
        <f>IFERROR(VLOOKUP($F854,bug_conf_sheet!$A:$H,4,FALSE),VLOOKUP("other",bug_conf_sheet!$A:$H,4,FALSE))</f>
        <v>0</v>
      </c>
      <c r="P854" s="38">
        <f>IFERROR(VLOOKUP($F854,bug_conf_sheet!$A:$H,5,FALSE),VLOOKUP("other",bug_conf_sheet!$A:$H,5,FALSE))</f>
        <v>0</v>
      </c>
      <c r="Q854" s="38">
        <f>IFERROR(VLOOKUP($F854,bug_conf_sheet!$A:$H,6,FALSE),VLOOKUP("other",bug_conf_sheet!$A:$H,6,FALSE))</f>
        <v>0</v>
      </c>
      <c r="R854" s="38">
        <f>IFERROR(VLOOKUP($F854,bug_conf_sheet!$A:$H,7,FALSE),VLOOKUP("other",bug_conf_sheet!$A:$H,7,FALSE))</f>
        <v>0</v>
      </c>
      <c r="S854" s="38">
        <f>IFERROR(VLOOKUP($F854,bug_conf_sheet!$A:$H,8,FALSE),VLOOKUP("other",bug_conf_sheet!$A:$H,8,FALSE))</f>
        <v>1</v>
      </c>
    </row>
    <row r="855" spans="1:19" ht="21" customHeight="1">
      <c r="A855" s="7" t="str">
        <f t="shared" si="73"/>
        <v>1880438</v>
      </c>
      <c r="B855" s="2" t="str">
        <f t="shared" si="72"/>
        <v>1880</v>
      </c>
      <c r="C855" s="8" t="str">
        <f t="shared" si="74"/>
        <v>0PremiumS5</v>
      </c>
      <c r="D855" s="8" t="str">
        <f t="shared" si="71"/>
        <v>0PremiumS5</v>
      </c>
      <c r="E855" s="10">
        <v>0</v>
      </c>
      <c r="F855" s="6">
        <v>438</v>
      </c>
      <c r="G855" s="8" t="str">
        <f>VLOOKUP(F855,[1]characters!$A:$C,3,FALSE)</f>
        <v>記憶の奪還 カカシ</v>
      </c>
      <c r="H855" s="8" t="str">
        <f>VLOOKUP(F855,[1]characters!$A:$J,10,FALSE)</f>
        <v>PremiumS</v>
      </c>
      <c r="I855" s="8">
        <f>VLOOKUP(F855,[1]characters!$A:$I,9,FALSE)</f>
        <v>5</v>
      </c>
      <c r="J855" s="8" t="str">
        <f>VLOOKUP(F855,[1]characters!$A:$H,8,FALSE)</f>
        <v>green</v>
      </c>
      <c r="K855" s="8" t="str">
        <f>VLOOKUP(F855,[1]characters!$A:$K,11,FALSE)</f>
        <v>technical</v>
      </c>
      <c r="L855" s="8" t="str">
        <f>VLOOKUP(F855,[1]characters!$A:$M,13,FALSE)</f>
        <v>human</v>
      </c>
      <c r="M855" s="16">
        <f>VLOOKUP(D855,gacha_188_base!A:B,2,FALSE)</f>
        <v>935</v>
      </c>
      <c r="N855" s="38">
        <f>IFERROR(VLOOKUP($F855,bug_conf_sheet!$A:$H,3,FALSE),VLOOKUP("other",bug_conf_sheet!$A:$H,3,FALSE))</f>
        <v>1</v>
      </c>
      <c r="O855" s="38">
        <f>IFERROR(VLOOKUP($F855,bug_conf_sheet!$A:$H,4,FALSE),VLOOKUP("other",bug_conf_sheet!$A:$H,4,FALSE))</f>
        <v>0</v>
      </c>
      <c r="P855" s="38">
        <f>IFERROR(VLOOKUP($F855,bug_conf_sheet!$A:$H,5,FALSE),VLOOKUP("other",bug_conf_sheet!$A:$H,5,FALSE))</f>
        <v>0</v>
      </c>
      <c r="Q855" s="38">
        <f>IFERROR(VLOOKUP($F855,bug_conf_sheet!$A:$H,6,FALSE),VLOOKUP("other",bug_conf_sheet!$A:$H,6,FALSE))</f>
        <v>0</v>
      </c>
      <c r="R855" s="38">
        <f>IFERROR(VLOOKUP($F855,bug_conf_sheet!$A:$H,7,FALSE),VLOOKUP("other",bug_conf_sheet!$A:$H,7,FALSE))</f>
        <v>0</v>
      </c>
      <c r="S855" s="38">
        <f>IFERROR(VLOOKUP($F855,bug_conf_sheet!$A:$H,8,FALSE),VLOOKUP("other",bug_conf_sheet!$A:$H,8,FALSE))</f>
        <v>1</v>
      </c>
    </row>
    <row r="856" spans="1:19" ht="21" hidden="1" customHeight="1">
      <c r="A856" s="7" t="str">
        <f t="shared" si="73"/>
        <v>1880440</v>
      </c>
      <c r="B856" s="2" t="str">
        <f t="shared" si="72"/>
        <v>1880</v>
      </c>
      <c r="C856" s="8" t="str">
        <f t="shared" si="74"/>
        <v>0PremiumS4</v>
      </c>
      <c r="D856" s="8" t="str">
        <f t="shared" si="71"/>
        <v>0PremiumS4</v>
      </c>
      <c r="E856" s="10">
        <v>0</v>
      </c>
      <c r="F856" s="6">
        <v>440</v>
      </c>
      <c r="G856" s="8" t="str">
        <f>VLOOKUP(F856,[1]characters!$A:$C,3,FALSE)</f>
        <v>改良型 ブリキロガー</v>
      </c>
      <c r="H856" s="8" t="str">
        <f>VLOOKUP(F856,[1]characters!$A:$J,10,FALSE)</f>
        <v>PremiumS</v>
      </c>
      <c r="I856" s="8">
        <f>VLOOKUP(F856,[1]characters!$A:$I,9,FALSE)</f>
        <v>4</v>
      </c>
      <c r="J856" s="8" t="str">
        <f>VLOOKUP(F856,[1]characters!$A:$H,8,FALSE)</f>
        <v>blue</v>
      </c>
      <c r="K856" s="8" t="str">
        <f>VLOOKUP(F856,[1]characters!$A:$K,11,FALSE)</f>
        <v>attack</v>
      </c>
      <c r="L856" s="8" t="str">
        <f>VLOOKUP(F856,[1]characters!$A:$M,13,FALSE)</f>
        <v>machine</v>
      </c>
      <c r="M856" s="16">
        <f>VLOOKUP(D856,gacha_188_base!A:B,2,FALSE)</f>
        <v>14648</v>
      </c>
      <c r="N856" s="38">
        <f>IFERROR(VLOOKUP($F856,bug_conf_sheet!$A:$H,3,FALSE),VLOOKUP("other",bug_conf_sheet!$A:$H,3,FALSE))</f>
        <v>1</v>
      </c>
      <c r="O856" s="38">
        <f>IFERROR(VLOOKUP($F856,bug_conf_sheet!$A:$H,4,FALSE),VLOOKUP("other",bug_conf_sheet!$A:$H,4,FALSE))</f>
        <v>0</v>
      </c>
      <c r="P856" s="38">
        <f>IFERROR(VLOOKUP($F856,bug_conf_sheet!$A:$H,5,FALSE),VLOOKUP("other",bug_conf_sheet!$A:$H,5,FALSE))</f>
        <v>0</v>
      </c>
      <c r="Q856" s="38">
        <f>IFERROR(VLOOKUP($F856,bug_conf_sheet!$A:$H,6,FALSE),VLOOKUP("other",bug_conf_sheet!$A:$H,6,FALSE))</f>
        <v>0</v>
      </c>
      <c r="R856" s="38">
        <f>IFERROR(VLOOKUP($F856,bug_conf_sheet!$A:$H,7,FALSE),VLOOKUP("other",bug_conf_sheet!$A:$H,7,FALSE))</f>
        <v>0</v>
      </c>
      <c r="S856" s="38">
        <f>IFERROR(VLOOKUP($F856,bug_conf_sheet!$A:$H,8,FALSE),VLOOKUP("other",bug_conf_sheet!$A:$H,8,FALSE))</f>
        <v>1</v>
      </c>
    </row>
    <row r="857" spans="1:19" ht="21" customHeight="1">
      <c r="A857" s="7" t="str">
        <f t="shared" si="73"/>
        <v>1880441</v>
      </c>
      <c r="B857" s="2" t="str">
        <f t="shared" si="72"/>
        <v>1880</v>
      </c>
      <c r="C857" s="8" t="str">
        <f t="shared" si="74"/>
        <v>0PremiumS5</v>
      </c>
      <c r="D857" s="8" t="str">
        <f t="shared" si="71"/>
        <v>0PremiumS5</v>
      </c>
      <c r="E857" s="10">
        <v>0</v>
      </c>
      <c r="F857" s="6">
        <v>441</v>
      </c>
      <c r="G857" s="8" t="str">
        <f>VLOOKUP(F857,[1]characters!$A:$C,3,FALSE)</f>
        <v>求心の錻装 ブリキロガー</v>
      </c>
      <c r="H857" s="8" t="str">
        <f>VLOOKUP(F857,[1]characters!$A:$J,10,FALSE)</f>
        <v>PremiumS</v>
      </c>
      <c r="I857" s="8">
        <f>VLOOKUP(F857,[1]characters!$A:$I,9,FALSE)</f>
        <v>5</v>
      </c>
      <c r="J857" s="8" t="str">
        <f>VLOOKUP(F857,[1]characters!$A:$H,8,FALSE)</f>
        <v>blue</v>
      </c>
      <c r="K857" s="8" t="str">
        <f>VLOOKUP(F857,[1]characters!$A:$K,11,FALSE)</f>
        <v>attack</v>
      </c>
      <c r="L857" s="8" t="str">
        <f>VLOOKUP(F857,[1]characters!$A:$M,13,FALSE)</f>
        <v>machine</v>
      </c>
      <c r="M857" s="16">
        <f>VLOOKUP(D857,gacha_188_base!A:B,2,FALSE)</f>
        <v>935</v>
      </c>
      <c r="N857" s="38">
        <f>IFERROR(VLOOKUP($F857,bug_conf_sheet!$A:$H,3,FALSE),VLOOKUP("other",bug_conf_sheet!$A:$H,3,FALSE))</f>
        <v>1</v>
      </c>
      <c r="O857" s="38">
        <f>IFERROR(VLOOKUP($F857,bug_conf_sheet!$A:$H,4,FALSE),VLOOKUP("other",bug_conf_sheet!$A:$H,4,FALSE))</f>
        <v>0</v>
      </c>
      <c r="P857" s="38">
        <f>IFERROR(VLOOKUP($F857,bug_conf_sheet!$A:$H,5,FALSE),VLOOKUP("other",bug_conf_sheet!$A:$H,5,FALSE))</f>
        <v>0</v>
      </c>
      <c r="Q857" s="38">
        <f>IFERROR(VLOOKUP($F857,bug_conf_sheet!$A:$H,6,FALSE),VLOOKUP("other",bug_conf_sheet!$A:$H,6,FALSE))</f>
        <v>0</v>
      </c>
      <c r="R857" s="38">
        <f>IFERROR(VLOOKUP($F857,bug_conf_sheet!$A:$H,7,FALSE),VLOOKUP("other",bug_conf_sheet!$A:$H,7,FALSE))</f>
        <v>0</v>
      </c>
      <c r="S857" s="38">
        <f>IFERROR(VLOOKUP($F857,bug_conf_sheet!$A:$H,8,FALSE),VLOOKUP("other",bug_conf_sheet!$A:$H,8,FALSE))</f>
        <v>1</v>
      </c>
    </row>
    <row r="858" spans="1:19" ht="21" hidden="1" customHeight="1">
      <c r="A858" s="7" t="str">
        <f t="shared" si="73"/>
        <v>1880442</v>
      </c>
      <c r="B858" s="2" t="str">
        <f t="shared" si="72"/>
        <v>1880</v>
      </c>
      <c r="C858" s="8" t="str">
        <f t="shared" si="74"/>
        <v>0PremiumSS4</v>
      </c>
      <c r="D858" s="8" t="str">
        <f t="shared" si="71"/>
        <v>0PremiumSS4</v>
      </c>
      <c r="E858" s="10">
        <v>0</v>
      </c>
      <c r="F858" s="6">
        <v>442</v>
      </c>
      <c r="G858" s="8" t="str">
        <f>VLOOKUP(F858,[1]characters!$A:$C,3,FALSE)</f>
        <v>ブレイブリー・ライオン</v>
      </c>
      <c r="H858" s="8" t="str">
        <f>VLOOKUP(F858,[1]characters!$A:$J,10,FALSE)</f>
        <v>PremiumSS</v>
      </c>
      <c r="I858" s="8">
        <f>VLOOKUP(F858,[1]characters!$A:$I,9,FALSE)</f>
        <v>4</v>
      </c>
      <c r="J858" s="8" t="str">
        <f>VLOOKUP(F858,[1]characters!$A:$H,8,FALSE)</f>
        <v>yellow</v>
      </c>
      <c r="K858" s="8" t="str">
        <f>VLOOKUP(F858,[1]characters!$A:$K,11,FALSE)</f>
        <v>hp</v>
      </c>
      <c r="L858" s="8" t="str">
        <f>VLOOKUP(F858,[1]characters!$A:$M,13,FALSE)</f>
        <v>animal</v>
      </c>
      <c r="M858" s="16">
        <f>VLOOKUP(D858,gacha_188_base!A:B,2,FALSE)</f>
        <v>1709</v>
      </c>
      <c r="N858" s="38">
        <f>IFERROR(VLOOKUP($F858,bug_conf_sheet!$A:$H,3,FALSE),VLOOKUP("other",bug_conf_sheet!$A:$H,3,FALSE))</f>
        <v>1</v>
      </c>
      <c r="O858" s="38">
        <f>IFERROR(VLOOKUP($F858,bug_conf_sheet!$A:$H,4,FALSE),VLOOKUP("other",bug_conf_sheet!$A:$H,4,FALSE))</f>
        <v>0</v>
      </c>
      <c r="P858" s="38">
        <f>IFERROR(VLOOKUP($F858,bug_conf_sheet!$A:$H,5,FALSE),VLOOKUP("other",bug_conf_sheet!$A:$H,5,FALSE))</f>
        <v>0</v>
      </c>
      <c r="Q858" s="38">
        <f>IFERROR(VLOOKUP($F858,bug_conf_sheet!$A:$H,6,FALSE),VLOOKUP("other",bug_conf_sheet!$A:$H,6,FALSE))</f>
        <v>0</v>
      </c>
      <c r="R858" s="38">
        <f>IFERROR(VLOOKUP($F858,bug_conf_sheet!$A:$H,7,FALSE),VLOOKUP("other",bug_conf_sheet!$A:$H,7,FALSE))</f>
        <v>0</v>
      </c>
      <c r="S858" s="38">
        <f>IFERROR(VLOOKUP($F858,bug_conf_sheet!$A:$H,8,FALSE),VLOOKUP("other",bug_conf_sheet!$A:$H,8,FALSE))</f>
        <v>1</v>
      </c>
    </row>
    <row r="859" spans="1:19" ht="21" customHeight="1">
      <c r="A859" s="7" t="str">
        <f t="shared" si="73"/>
        <v>1880443</v>
      </c>
      <c r="B859" s="2" t="str">
        <f t="shared" si="72"/>
        <v>1880</v>
      </c>
      <c r="C859" s="8" t="str">
        <f t="shared" si="74"/>
        <v>0PremiumSS5</v>
      </c>
      <c r="D859" s="8" t="str">
        <f t="shared" si="71"/>
        <v>0PremiumSS5</v>
      </c>
      <c r="E859" s="10">
        <v>0</v>
      </c>
      <c r="F859" s="6">
        <v>443</v>
      </c>
      <c r="G859" s="8" t="str">
        <f>VLOOKUP(F859,[1]characters!$A:$C,3,FALSE)</f>
        <v>勇機結集 ブレイブリー・ライオン</v>
      </c>
      <c r="H859" s="8" t="str">
        <f>VLOOKUP(F859,[1]characters!$A:$J,10,FALSE)</f>
        <v>PremiumSS</v>
      </c>
      <c r="I859" s="8">
        <f>VLOOKUP(F859,[1]characters!$A:$I,9,FALSE)</f>
        <v>5</v>
      </c>
      <c r="J859" s="8" t="str">
        <f>VLOOKUP(F859,[1]characters!$A:$H,8,FALSE)</f>
        <v>yellow</v>
      </c>
      <c r="K859" s="8" t="str">
        <f>VLOOKUP(F859,[1]characters!$A:$K,11,FALSE)</f>
        <v>hp</v>
      </c>
      <c r="L859" s="8" t="str">
        <f>VLOOKUP(F859,[1]characters!$A:$M,13,FALSE)</f>
        <v>animal</v>
      </c>
      <c r="M859" s="16">
        <f>VLOOKUP(D859,gacha_188_base!A:B,2,FALSE)</f>
        <v>109</v>
      </c>
      <c r="N859" s="38">
        <f>IFERROR(VLOOKUP($F859,bug_conf_sheet!$A:$H,3,FALSE),VLOOKUP("other",bug_conf_sheet!$A:$H,3,FALSE))</f>
        <v>1</v>
      </c>
      <c r="O859" s="38">
        <f>IFERROR(VLOOKUP($F859,bug_conf_sheet!$A:$H,4,FALSE),VLOOKUP("other",bug_conf_sheet!$A:$H,4,FALSE))</f>
        <v>0</v>
      </c>
      <c r="P859" s="38">
        <f>IFERROR(VLOOKUP($F859,bug_conf_sheet!$A:$H,5,FALSE),VLOOKUP("other",bug_conf_sheet!$A:$H,5,FALSE))</f>
        <v>0</v>
      </c>
      <c r="Q859" s="38">
        <f>IFERROR(VLOOKUP($F859,bug_conf_sheet!$A:$H,6,FALSE),VLOOKUP("other",bug_conf_sheet!$A:$H,6,FALSE))</f>
        <v>0</v>
      </c>
      <c r="R859" s="38">
        <f>IFERROR(VLOOKUP($F859,bug_conf_sheet!$A:$H,7,FALSE),VLOOKUP("other",bug_conf_sheet!$A:$H,7,FALSE))</f>
        <v>0</v>
      </c>
      <c r="S859" s="38">
        <f>IFERROR(VLOOKUP($F859,bug_conf_sheet!$A:$H,8,FALSE),VLOOKUP("other",bug_conf_sheet!$A:$H,8,FALSE))</f>
        <v>1</v>
      </c>
    </row>
    <row r="860" spans="1:19" ht="21" hidden="1" customHeight="1">
      <c r="A860" s="7" t="str">
        <f t="shared" si="73"/>
        <v>1880463</v>
      </c>
      <c r="B860" s="2" t="str">
        <f t="shared" si="72"/>
        <v>1880</v>
      </c>
      <c r="C860" s="8" t="str">
        <f t="shared" si="74"/>
        <v>0PremiumS4</v>
      </c>
      <c r="D860" s="8" t="str">
        <f t="shared" si="71"/>
        <v>0PremiumS4</v>
      </c>
      <c r="E860" s="10">
        <v>0</v>
      </c>
      <c r="F860" s="9">
        <v>463</v>
      </c>
      <c r="G860" s="8" t="str">
        <f>VLOOKUP(F860,[1]characters!$A:$C,3,FALSE)</f>
        <v>燻銀 ガウェイン</v>
      </c>
      <c r="H860" s="8" t="str">
        <f>VLOOKUP(F860,[1]characters!$A:$J,10,FALSE)</f>
        <v>PremiumS</v>
      </c>
      <c r="I860" s="8">
        <f>VLOOKUP(F860,[1]characters!$A:$I,9,FALSE)</f>
        <v>4</v>
      </c>
      <c r="J860" s="8" t="str">
        <f>VLOOKUP(F860,[1]characters!$A:$H,8,FALSE)</f>
        <v>red</v>
      </c>
      <c r="K860" s="8" t="str">
        <f>VLOOKUP(F860,[1]characters!$A:$K,11,FALSE)</f>
        <v>hp</v>
      </c>
      <c r="L860" s="8" t="str">
        <f>VLOOKUP(F860,[1]characters!$A:$M,13,FALSE)</f>
        <v>human</v>
      </c>
      <c r="M860" s="16">
        <f>VLOOKUP(D860,gacha_188_base!A:B,2,FALSE)</f>
        <v>14648</v>
      </c>
      <c r="N860" s="38">
        <f>IFERROR(VLOOKUP($F860,bug_conf_sheet!$A:$H,3,FALSE),VLOOKUP("other",bug_conf_sheet!$A:$H,3,FALSE))</f>
        <v>1</v>
      </c>
      <c r="O860" s="38">
        <f>IFERROR(VLOOKUP($F860,bug_conf_sheet!$A:$H,4,FALSE),VLOOKUP("other",bug_conf_sheet!$A:$H,4,FALSE))</f>
        <v>0</v>
      </c>
      <c r="P860" s="38">
        <f>IFERROR(VLOOKUP($F860,bug_conf_sheet!$A:$H,5,FALSE),VLOOKUP("other",bug_conf_sheet!$A:$H,5,FALSE))</f>
        <v>0</v>
      </c>
      <c r="Q860" s="38">
        <f>IFERROR(VLOOKUP($F860,bug_conf_sheet!$A:$H,6,FALSE),VLOOKUP("other",bug_conf_sheet!$A:$H,6,FALSE))</f>
        <v>0</v>
      </c>
      <c r="R860" s="38">
        <f>IFERROR(VLOOKUP($F860,bug_conf_sheet!$A:$H,7,FALSE),VLOOKUP("other",bug_conf_sheet!$A:$H,7,FALSE))</f>
        <v>0</v>
      </c>
      <c r="S860" s="38">
        <f>IFERROR(VLOOKUP($F860,bug_conf_sheet!$A:$H,8,FALSE),VLOOKUP("other",bug_conf_sheet!$A:$H,8,FALSE))</f>
        <v>1</v>
      </c>
    </row>
    <row r="861" spans="1:19" ht="21" customHeight="1">
      <c r="A861" s="7" t="str">
        <f t="shared" si="73"/>
        <v>1880464</v>
      </c>
      <c r="B861" s="2" t="str">
        <f t="shared" si="72"/>
        <v>1880</v>
      </c>
      <c r="C861" s="8" t="str">
        <f t="shared" si="74"/>
        <v>0PremiumS5</v>
      </c>
      <c r="D861" s="8" t="str">
        <f t="shared" si="71"/>
        <v>0PremiumS5</v>
      </c>
      <c r="E861" s="10">
        <v>0</v>
      </c>
      <c r="F861" s="9">
        <v>464</v>
      </c>
      <c r="G861" s="8" t="str">
        <f>VLOOKUP(F861,[1]characters!$A:$C,3,FALSE)</f>
        <v>円熟の弾導 ガウェイン</v>
      </c>
      <c r="H861" s="8" t="str">
        <f>VLOOKUP(F861,[1]characters!$A:$J,10,FALSE)</f>
        <v>PremiumS</v>
      </c>
      <c r="I861" s="8">
        <f>VLOOKUP(F861,[1]characters!$A:$I,9,FALSE)</f>
        <v>5</v>
      </c>
      <c r="J861" s="8" t="str">
        <f>VLOOKUP(F861,[1]characters!$A:$H,8,FALSE)</f>
        <v>red</v>
      </c>
      <c r="K861" s="8" t="str">
        <f>VLOOKUP(F861,[1]characters!$A:$K,11,FALSE)</f>
        <v>hp</v>
      </c>
      <c r="L861" s="8" t="str">
        <f>VLOOKUP(F861,[1]characters!$A:$M,13,FALSE)</f>
        <v>human</v>
      </c>
      <c r="M861" s="16">
        <f>VLOOKUP(D861,gacha_188_base!A:B,2,FALSE)</f>
        <v>935</v>
      </c>
      <c r="N861" s="38">
        <f>IFERROR(VLOOKUP($F861,bug_conf_sheet!$A:$H,3,FALSE),VLOOKUP("other",bug_conf_sheet!$A:$H,3,FALSE))</f>
        <v>1</v>
      </c>
      <c r="O861" s="38">
        <f>IFERROR(VLOOKUP($F861,bug_conf_sheet!$A:$H,4,FALSE),VLOOKUP("other",bug_conf_sheet!$A:$H,4,FALSE))</f>
        <v>0</v>
      </c>
      <c r="P861" s="38">
        <f>IFERROR(VLOOKUP($F861,bug_conf_sheet!$A:$H,5,FALSE),VLOOKUP("other",bug_conf_sheet!$A:$H,5,FALSE))</f>
        <v>0</v>
      </c>
      <c r="Q861" s="38">
        <f>IFERROR(VLOOKUP($F861,bug_conf_sheet!$A:$H,6,FALSE),VLOOKUP("other",bug_conf_sheet!$A:$H,6,FALSE))</f>
        <v>0</v>
      </c>
      <c r="R861" s="38">
        <f>IFERROR(VLOOKUP($F861,bug_conf_sheet!$A:$H,7,FALSE),VLOOKUP("other",bug_conf_sheet!$A:$H,7,FALSE))</f>
        <v>0</v>
      </c>
      <c r="S861" s="38">
        <f>IFERROR(VLOOKUP($F861,bug_conf_sheet!$A:$H,8,FALSE),VLOOKUP("other",bug_conf_sheet!$A:$H,8,FALSE))</f>
        <v>1</v>
      </c>
    </row>
    <row r="862" spans="1:19" ht="21" hidden="1" customHeight="1">
      <c r="A862" s="7" t="str">
        <f t="shared" si="73"/>
        <v>1880465</v>
      </c>
      <c r="B862" s="2" t="str">
        <f t="shared" si="72"/>
        <v>1880</v>
      </c>
      <c r="C862" s="8" t="str">
        <f t="shared" si="74"/>
        <v>0PremiumSS4</v>
      </c>
      <c r="D862" s="8" t="str">
        <f t="shared" si="71"/>
        <v>0PremiumSS4</v>
      </c>
      <c r="E862" s="10">
        <v>0</v>
      </c>
      <c r="F862" s="9">
        <v>465</v>
      </c>
      <c r="G862" s="8" t="str">
        <f>VLOOKUP(F862,[1]characters!$A:$C,3,FALSE)</f>
        <v>真撃 ランスロット</v>
      </c>
      <c r="H862" s="8" t="str">
        <f>VLOOKUP(F862,[1]characters!$A:$J,10,FALSE)</f>
        <v>PremiumSS</v>
      </c>
      <c r="I862" s="8">
        <f>VLOOKUP(F862,[1]characters!$A:$I,9,FALSE)</f>
        <v>4</v>
      </c>
      <c r="J862" s="8" t="str">
        <f>VLOOKUP(F862,[1]characters!$A:$H,8,FALSE)</f>
        <v>green</v>
      </c>
      <c r="K862" s="8" t="str">
        <f>VLOOKUP(F862,[1]characters!$A:$K,11,FALSE)</f>
        <v>balance</v>
      </c>
      <c r="L862" s="8" t="str">
        <f>VLOOKUP(F862,[1]characters!$A:$M,13,FALSE)</f>
        <v>human</v>
      </c>
      <c r="M862" s="16">
        <f>VLOOKUP(D862,gacha_188_base!A:B,2,FALSE)</f>
        <v>1709</v>
      </c>
      <c r="N862" s="38">
        <f>IFERROR(VLOOKUP($F862,bug_conf_sheet!$A:$H,3,FALSE),VLOOKUP("other",bug_conf_sheet!$A:$H,3,FALSE))</f>
        <v>1</v>
      </c>
      <c r="O862" s="38">
        <f>IFERROR(VLOOKUP($F862,bug_conf_sheet!$A:$H,4,FALSE),VLOOKUP("other",bug_conf_sheet!$A:$H,4,FALSE))</f>
        <v>0</v>
      </c>
      <c r="P862" s="38">
        <f>IFERROR(VLOOKUP($F862,bug_conf_sheet!$A:$H,5,FALSE),VLOOKUP("other",bug_conf_sheet!$A:$H,5,FALSE))</f>
        <v>0</v>
      </c>
      <c r="Q862" s="38">
        <f>IFERROR(VLOOKUP($F862,bug_conf_sheet!$A:$H,6,FALSE),VLOOKUP("other",bug_conf_sheet!$A:$H,6,FALSE))</f>
        <v>0</v>
      </c>
      <c r="R862" s="38">
        <f>IFERROR(VLOOKUP($F862,bug_conf_sheet!$A:$H,7,FALSE),VLOOKUP("other",bug_conf_sheet!$A:$H,7,FALSE))</f>
        <v>0</v>
      </c>
      <c r="S862" s="38">
        <f>IFERROR(VLOOKUP($F862,bug_conf_sheet!$A:$H,8,FALSE),VLOOKUP("other",bug_conf_sheet!$A:$H,8,FALSE))</f>
        <v>1</v>
      </c>
    </row>
    <row r="863" spans="1:19" s="11" customFormat="1" ht="21" customHeight="1" thickBot="1">
      <c r="A863" s="7" t="str">
        <f t="shared" si="73"/>
        <v>1880466</v>
      </c>
      <c r="B863" s="2" t="str">
        <f t="shared" si="72"/>
        <v>1880</v>
      </c>
      <c r="C863" s="8" t="str">
        <f t="shared" si="74"/>
        <v>0PremiumSS5</v>
      </c>
      <c r="D863" s="8" t="str">
        <f t="shared" si="71"/>
        <v>0PremiumSS5</v>
      </c>
      <c r="E863" s="10">
        <v>0</v>
      </c>
      <c r="F863" s="6">
        <v>466</v>
      </c>
      <c r="G863" s="8" t="str">
        <f>VLOOKUP(F863,[1]characters!$A:$C,3,FALSE)</f>
        <v>真断の勇覇 ランスロット</v>
      </c>
      <c r="H863" s="8" t="str">
        <f>VLOOKUP(F863,[1]characters!$A:$J,10,FALSE)</f>
        <v>PremiumSS</v>
      </c>
      <c r="I863" s="8">
        <f>VLOOKUP(F863,[1]characters!$A:$I,9,FALSE)</f>
        <v>5</v>
      </c>
      <c r="J863" s="8" t="str">
        <f>VLOOKUP(F863,[1]characters!$A:$H,8,FALSE)</f>
        <v>green</v>
      </c>
      <c r="K863" s="8" t="str">
        <f>VLOOKUP(F863,[1]characters!$A:$K,11,FALSE)</f>
        <v>balance</v>
      </c>
      <c r="L863" s="8" t="str">
        <f>VLOOKUP(F863,[1]characters!$A:$M,13,FALSE)</f>
        <v>human</v>
      </c>
      <c r="M863" s="16">
        <f>VLOOKUP(D863,gacha_188_base!A:B,2,FALSE)</f>
        <v>109</v>
      </c>
      <c r="N863" s="38">
        <f>IFERROR(VLOOKUP($F863,bug_conf_sheet!$A:$H,3,FALSE),VLOOKUP("other",bug_conf_sheet!$A:$H,3,FALSE))</f>
        <v>1</v>
      </c>
      <c r="O863" s="38">
        <f>IFERROR(VLOOKUP($F863,bug_conf_sheet!$A:$H,4,FALSE),VLOOKUP("other",bug_conf_sheet!$A:$H,4,FALSE))</f>
        <v>0</v>
      </c>
      <c r="P863" s="38">
        <f>IFERROR(VLOOKUP($F863,bug_conf_sheet!$A:$H,5,FALSE),VLOOKUP("other",bug_conf_sheet!$A:$H,5,FALSE))</f>
        <v>0</v>
      </c>
      <c r="Q863" s="38">
        <f>IFERROR(VLOOKUP($F863,bug_conf_sheet!$A:$H,6,FALSE),VLOOKUP("other",bug_conf_sheet!$A:$H,6,FALSE))</f>
        <v>0</v>
      </c>
      <c r="R863" s="38">
        <f>IFERROR(VLOOKUP($F863,bug_conf_sheet!$A:$H,7,FALSE),VLOOKUP("other",bug_conf_sheet!$A:$H,7,FALSE))</f>
        <v>0</v>
      </c>
      <c r="S863" s="38">
        <f>IFERROR(VLOOKUP($F863,bug_conf_sheet!$A:$H,8,FALSE),VLOOKUP("other",bug_conf_sheet!$A:$H,8,FALSE))</f>
        <v>1</v>
      </c>
    </row>
    <row r="864" spans="1:19" ht="21" hidden="1" customHeight="1">
      <c r="A864" s="7" t="str">
        <f t="shared" si="73"/>
        <v>1880467</v>
      </c>
      <c r="B864" s="2" t="str">
        <f t="shared" si="72"/>
        <v>1880</v>
      </c>
      <c r="C864" s="8" t="str">
        <f t="shared" si="74"/>
        <v>0PremiumSS4</v>
      </c>
      <c r="D864" s="8" t="str">
        <f t="shared" ref="D864:D899" si="75">E864&amp;H864&amp;I864</f>
        <v>0PremiumSS4</v>
      </c>
      <c r="E864" s="10">
        <v>0</v>
      </c>
      <c r="F864" s="6">
        <v>467</v>
      </c>
      <c r="G864" s="8" t="str">
        <f>VLOOKUP(F864,[1]characters!$A:$C,3,FALSE)</f>
        <v>報復 モルドレッド</v>
      </c>
      <c r="H864" s="8" t="str">
        <f>VLOOKUP(F864,[1]characters!$A:$J,10,FALSE)</f>
        <v>PremiumSS</v>
      </c>
      <c r="I864" s="8">
        <f>VLOOKUP(F864,[1]characters!$A:$I,9,FALSE)</f>
        <v>4</v>
      </c>
      <c r="J864" s="8" t="str">
        <f>VLOOKUP(F864,[1]characters!$A:$H,8,FALSE)</f>
        <v>blue</v>
      </c>
      <c r="K864" s="8" t="str">
        <f>VLOOKUP(F864,[1]characters!$A:$K,11,FALSE)</f>
        <v>technical</v>
      </c>
      <c r="L864" s="8" t="str">
        <f>VLOOKUP(F864,[1]characters!$A:$M,13,FALSE)</f>
        <v>human</v>
      </c>
      <c r="M864" s="16">
        <f>VLOOKUP(D864,gacha_188_base!A:B,2,FALSE)</f>
        <v>1709</v>
      </c>
      <c r="N864" s="38">
        <f>IFERROR(VLOOKUP($F864,bug_conf_sheet!$A:$H,3,FALSE),VLOOKUP("other",bug_conf_sheet!$A:$H,3,FALSE))</f>
        <v>1</v>
      </c>
      <c r="O864" s="38">
        <f>IFERROR(VLOOKUP($F864,bug_conf_sheet!$A:$H,4,FALSE),VLOOKUP("other",bug_conf_sheet!$A:$H,4,FALSE))</f>
        <v>0</v>
      </c>
      <c r="P864" s="38">
        <f>IFERROR(VLOOKUP($F864,bug_conf_sheet!$A:$H,5,FALSE),VLOOKUP("other",bug_conf_sheet!$A:$H,5,FALSE))</f>
        <v>0</v>
      </c>
      <c r="Q864" s="38">
        <f>IFERROR(VLOOKUP($F864,bug_conf_sheet!$A:$H,6,FALSE),VLOOKUP("other",bug_conf_sheet!$A:$H,6,FALSE))</f>
        <v>0</v>
      </c>
      <c r="R864" s="38">
        <f>IFERROR(VLOOKUP($F864,bug_conf_sheet!$A:$H,7,FALSE),VLOOKUP("other",bug_conf_sheet!$A:$H,7,FALSE))</f>
        <v>0</v>
      </c>
      <c r="S864" s="38">
        <f>IFERROR(VLOOKUP($F864,bug_conf_sheet!$A:$H,8,FALSE),VLOOKUP("other",bug_conf_sheet!$A:$H,8,FALSE))</f>
        <v>1</v>
      </c>
    </row>
    <row r="865" spans="1:19" ht="21" customHeight="1">
      <c r="A865" s="7" t="str">
        <f t="shared" si="73"/>
        <v>1880468</v>
      </c>
      <c r="B865" s="2" t="str">
        <f t="shared" si="72"/>
        <v>1880</v>
      </c>
      <c r="C865" s="8" t="str">
        <f t="shared" si="74"/>
        <v>0PremiumSS5</v>
      </c>
      <c r="D865" s="8" t="str">
        <f t="shared" si="75"/>
        <v>0PremiumSS5</v>
      </c>
      <c r="E865" s="10">
        <v>0</v>
      </c>
      <c r="F865" s="6">
        <v>468</v>
      </c>
      <c r="G865" s="8" t="str">
        <f>VLOOKUP(F865,[1]characters!$A:$C,3,FALSE)</f>
        <v>憎愛の尖鋒 モルドレッド</v>
      </c>
      <c r="H865" s="8" t="str">
        <f>VLOOKUP(F865,[1]characters!$A:$J,10,FALSE)</f>
        <v>PremiumSS</v>
      </c>
      <c r="I865" s="8">
        <f>VLOOKUP(F865,[1]characters!$A:$I,9,FALSE)</f>
        <v>5</v>
      </c>
      <c r="J865" s="8" t="str">
        <f>VLOOKUP(F865,[1]characters!$A:$H,8,FALSE)</f>
        <v>blue</v>
      </c>
      <c r="K865" s="8" t="str">
        <f>VLOOKUP(F865,[1]characters!$A:$K,11,FALSE)</f>
        <v>technical</v>
      </c>
      <c r="L865" s="8" t="str">
        <f>VLOOKUP(F865,[1]characters!$A:$M,13,FALSE)</f>
        <v>human</v>
      </c>
      <c r="M865" s="16">
        <f>VLOOKUP(D865,gacha_188_base!A:B,2,FALSE)</f>
        <v>109</v>
      </c>
      <c r="N865" s="38">
        <f>IFERROR(VLOOKUP($F865,bug_conf_sheet!$A:$H,3,FALSE),VLOOKUP("other",bug_conf_sheet!$A:$H,3,FALSE))</f>
        <v>1</v>
      </c>
      <c r="O865" s="38">
        <f>IFERROR(VLOOKUP($F865,bug_conf_sheet!$A:$H,4,FALSE),VLOOKUP("other",bug_conf_sheet!$A:$H,4,FALSE))</f>
        <v>0</v>
      </c>
      <c r="P865" s="38">
        <f>IFERROR(VLOOKUP($F865,bug_conf_sheet!$A:$H,5,FALSE),VLOOKUP("other",bug_conf_sheet!$A:$H,5,FALSE))</f>
        <v>0</v>
      </c>
      <c r="Q865" s="38">
        <f>IFERROR(VLOOKUP($F865,bug_conf_sheet!$A:$H,6,FALSE),VLOOKUP("other",bug_conf_sheet!$A:$H,6,FALSE))</f>
        <v>0</v>
      </c>
      <c r="R865" s="38">
        <f>IFERROR(VLOOKUP($F865,bug_conf_sheet!$A:$H,7,FALSE),VLOOKUP("other",bug_conf_sheet!$A:$H,7,FALSE))</f>
        <v>0</v>
      </c>
      <c r="S865" s="38">
        <f>IFERROR(VLOOKUP($F865,bug_conf_sheet!$A:$H,8,FALSE),VLOOKUP("other",bug_conf_sheet!$A:$H,8,FALSE))</f>
        <v>1</v>
      </c>
    </row>
    <row r="866" spans="1:19" ht="21" hidden="1" customHeight="1">
      <c r="A866" s="7" t="str">
        <f t="shared" si="73"/>
        <v>1880470</v>
      </c>
      <c r="B866" s="2" t="str">
        <f t="shared" si="72"/>
        <v>1880</v>
      </c>
      <c r="C866" s="8" t="str">
        <f t="shared" si="74"/>
        <v>0PremiumS4</v>
      </c>
      <c r="D866" s="8" t="str">
        <f t="shared" si="75"/>
        <v>0PremiumS4</v>
      </c>
      <c r="E866" s="10">
        <v>0</v>
      </c>
      <c r="F866" s="6">
        <v>470</v>
      </c>
      <c r="G866" s="8" t="str">
        <f>VLOOKUP(F866,[1]characters!$A:$C,3,FALSE)</f>
        <v>純心 トリスタン</v>
      </c>
      <c r="H866" s="8" t="str">
        <f>VLOOKUP(F866,[1]characters!$A:$J,10,FALSE)</f>
        <v>PremiumS</v>
      </c>
      <c r="I866" s="8">
        <f>VLOOKUP(F866,[1]characters!$A:$I,9,FALSE)</f>
        <v>4</v>
      </c>
      <c r="J866" s="8" t="str">
        <f>VLOOKUP(F866,[1]characters!$A:$H,8,FALSE)</f>
        <v>yellow</v>
      </c>
      <c r="K866" s="8" t="str">
        <f>VLOOKUP(F866,[1]characters!$A:$K,11,FALSE)</f>
        <v>attack</v>
      </c>
      <c r="L866" s="8" t="str">
        <f>VLOOKUP(F866,[1]characters!$A:$M,13,FALSE)</f>
        <v>human</v>
      </c>
      <c r="M866" s="16">
        <f>VLOOKUP(D866,gacha_188_base!A:B,2,FALSE)</f>
        <v>14648</v>
      </c>
      <c r="N866" s="38">
        <f>IFERROR(VLOOKUP($F866,bug_conf_sheet!$A:$H,3,FALSE),VLOOKUP("other",bug_conf_sheet!$A:$H,3,FALSE))</f>
        <v>1</v>
      </c>
      <c r="O866" s="38">
        <f>IFERROR(VLOOKUP($F866,bug_conf_sheet!$A:$H,4,FALSE),VLOOKUP("other",bug_conf_sheet!$A:$H,4,FALSE))</f>
        <v>0</v>
      </c>
      <c r="P866" s="38">
        <f>IFERROR(VLOOKUP($F866,bug_conf_sheet!$A:$H,5,FALSE),VLOOKUP("other",bug_conf_sheet!$A:$H,5,FALSE))</f>
        <v>0</v>
      </c>
      <c r="Q866" s="38">
        <f>IFERROR(VLOOKUP($F866,bug_conf_sheet!$A:$H,6,FALSE),VLOOKUP("other",bug_conf_sheet!$A:$H,6,FALSE))</f>
        <v>0</v>
      </c>
      <c r="R866" s="38">
        <f>IFERROR(VLOOKUP($F866,bug_conf_sheet!$A:$H,7,FALSE),VLOOKUP("other",bug_conf_sheet!$A:$H,7,FALSE))</f>
        <v>0</v>
      </c>
      <c r="S866" s="38">
        <f>IFERROR(VLOOKUP($F866,bug_conf_sheet!$A:$H,8,FALSE),VLOOKUP("other",bug_conf_sheet!$A:$H,8,FALSE))</f>
        <v>1</v>
      </c>
    </row>
    <row r="867" spans="1:19" ht="21" customHeight="1">
      <c r="A867" s="7" t="str">
        <f t="shared" si="73"/>
        <v>1880471</v>
      </c>
      <c r="B867" s="2" t="str">
        <f t="shared" si="72"/>
        <v>1880</v>
      </c>
      <c r="C867" s="8" t="str">
        <f t="shared" si="74"/>
        <v>0PremiumS5</v>
      </c>
      <c r="D867" s="8" t="str">
        <f t="shared" si="75"/>
        <v>0PremiumS5</v>
      </c>
      <c r="E867" s="10">
        <v>0</v>
      </c>
      <c r="F867" s="6">
        <v>471</v>
      </c>
      <c r="G867" s="8" t="str">
        <f>VLOOKUP(F867,[1]characters!$A:$C,3,FALSE)</f>
        <v>不可避の爆激 トリスタン</v>
      </c>
      <c r="H867" s="8" t="str">
        <f>VLOOKUP(F867,[1]characters!$A:$J,10,FALSE)</f>
        <v>PremiumS</v>
      </c>
      <c r="I867" s="8">
        <f>VLOOKUP(F867,[1]characters!$A:$I,9,FALSE)</f>
        <v>5</v>
      </c>
      <c r="J867" s="8" t="str">
        <f>VLOOKUP(F867,[1]characters!$A:$H,8,FALSE)</f>
        <v>yellow</v>
      </c>
      <c r="K867" s="8" t="str">
        <f>VLOOKUP(F867,[1]characters!$A:$K,11,FALSE)</f>
        <v>attack</v>
      </c>
      <c r="L867" s="8" t="str">
        <f>VLOOKUP(F867,[1]characters!$A:$M,13,FALSE)</f>
        <v>human</v>
      </c>
      <c r="M867" s="16">
        <f>VLOOKUP(D867,gacha_188_base!A:B,2,FALSE)</f>
        <v>935</v>
      </c>
      <c r="N867" s="38">
        <f>IFERROR(VLOOKUP($F867,bug_conf_sheet!$A:$H,3,FALSE),VLOOKUP("other",bug_conf_sheet!$A:$H,3,FALSE))</f>
        <v>1</v>
      </c>
      <c r="O867" s="38">
        <f>IFERROR(VLOOKUP($F867,bug_conf_sheet!$A:$H,4,FALSE),VLOOKUP("other",bug_conf_sheet!$A:$H,4,FALSE))</f>
        <v>0</v>
      </c>
      <c r="P867" s="38">
        <f>IFERROR(VLOOKUP($F867,bug_conf_sheet!$A:$H,5,FALSE),VLOOKUP("other",bug_conf_sheet!$A:$H,5,FALSE))</f>
        <v>0</v>
      </c>
      <c r="Q867" s="38">
        <f>IFERROR(VLOOKUP($F867,bug_conf_sheet!$A:$H,6,FALSE),VLOOKUP("other",bug_conf_sheet!$A:$H,6,FALSE))</f>
        <v>0</v>
      </c>
      <c r="R867" s="38">
        <f>IFERROR(VLOOKUP($F867,bug_conf_sheet!$A:$H,7,FALSE),VLOOKUP("other",bug_conf_sheet!$A:$H,7,FALSE))</f>
        <v>0</v>
      </c>
      <c r="S867" s="38">
        <f>IFERROR(VLOOKUP($F867,bug_conf_sheet!$A:$H,8,FALSE),VLOOKUP("other",bug_conf_sheet!$A:$H,8,FALSE))</f>
        <v>1</v>
      </c>
    </row>
    <row r="868" spans="1:19" ht="21" hidden="1" customHeight="1">
      <c r="A868" s="7" t="str">
        <f t="shared" si="73"/>
        <v>1880474</v>
      </c>
      <c r="B868" s="2" t="str">
        <f t="shared" si="72"/>
        <v>1880</v>
      </c>
      <c r="C868" s="8" t="str">
        <f t="shared" si="74"/>
        <v>0PremiumSS4</v>
      </c>
      <c r="D868" s="8" t="str">
        <f t="shared" si="75"/>
        <v>0PremiumSS4</v>
      </c>
      <c r="E868" s="10">
        <v>0</v>
      </c>
      <c r="F868" s="6">
        <v>474</v>
      </c>
      <c r="G868" s="8" t="str">
        <f>VLOOKUP(F868,[1]characters!$A:$C,3,FALSE)</f>
        <v>キング・ドライグ</v>
      </c>
      <c r="H868" s="8" t="str">
        <f>VLOOKUP(F868,[1]characters!$A:$J,10,FALSE)</f>
        <v>PremiumSS</v>
      </c>
      <c r="I868" s="8">
        <f>VLOOKUP(F868,[1]characters!$A:$I,9,FALSE)</f>
        <v>4</v>
      </c>
      <c r="J868" s="8" t="str">
        <f>VLOOKUP(F868,[1]characters!$A:$H,8,FALSE)</f>
        <v>red</v>
      </c>
      <c r="K868" s="8" t="str">
        <f>VLOOKUP(F868,[1]characters!$A:$K,11,FALSE)</f>
        <v>attack</v>
      </c>
      <c r="L868" s="8" t="str">
        <f>VLOOKUP(F868,[1]characters!$A:$M,13,FALSE)</f>
        <v>dragon</v>
      </c>
      <c r="M868" s="16">
        <f>VLOOKUP(D868,gacha_188_base!A:B,2,FALSE)</f>
        <v>1709</v>
      </c>
      <c r="N868" s="38">
        <f>IFERROR(VLOOKUP($F868,bug_conf_sheet!$A:$H,3,FALSE),VLOOKUP("other",bug_conf_sheet!$A:$H,3,FALSE))</f>
        <v>1</v>
      </c>
      <c r="O868" s="38">
        <f>IFERROR(VLOOKUP($F868,bug_conf_sheet!$A:$H,4,FALSE),VLOOKUP("other",bug_conf_sheet!$A:$H,4,FALSE))</f>
        <v>0</v>
      </c>
      <c r="P868" s="38">
        <f>IFERROR(VLOOKUP($F868,bug_conf_sheet!$A:$H,5,FALSE),VLOOKUP("other",bug_conf_sheet!$A:$H,5,FALSE))</f>
        <v>0</v>
      </c>
      <c r="Q868" s="38">
        <f>IFERROR(VLOOKUP($F868,bug_conf_sheet!$A:$H,6,FALSE),VLOOKUP("other",bug_conf_sheet!$A:$H,6,FALSE))</f>
        <v>0</v>
      </c>
      <c r="R868" s="38">
        <f>IFERROR(VLOOKUP($F868,bug_conf_sheet!$A:$H,7,FALSE),VLOOKUP("other",bug_conf_sheet!$A:$H,7,FALSE))</f>
        <v>0</v>
      </c>
      <c r="S868" s="38">
        <f>IFERROR(VLOOKUP($F868,bug_conf_sheet!$A:$H,8,FALSE),VLOOKUP("other",bug_conf_sheet!$A:$H,8,FALSE))</f>
        <v>1</v>
      </c>
    </row>
    <row r="869" spans="1:19" ht="21" customHeight="1">
      <c r="A869" s="7" t="str">
        <f t="shared" si="73"/>
        <v>1880475</v>
      </c>
      <c r="B869" s="2" t="str">
        <f t="shared" si="72"/>
        <v>1880</v>
      </c>
      <c r="C869" s="8" t="str">
        <f t="shared" si="74"/>
        <v>0PremiumSS5</v>
      </c>
      <c r="D869" s="8" t="str">
        <f t="shared" si="75"/>
        <v>0PremiumSS5</v>
      </c>
      <c r="E869" s="10">
        <v>0</v>
      </c>
      <c r="F869" s="6">
        <v>475</v>
      </c>
      <c r="G869" s="8" t="str">
        <f>VLOOKUP(F869,[1]characters!$A:$C,3,FALSE)</f>
        <v>緋王 キング・ドライグ</v>
      </c>
      <c r="H869" s="8" t="str">
        <f>VLOOKUP(F869,[1]characters!$A:$J,10,FALSE)</f>
        <v>PremiumSS</v>
      </c>
      <c r="I869" s="8">
        <f>VLOOKUP(F869,[1]characters!$A:$I,9,FALSE)</f>
        <v>5</v>
      </c>
      <c r="J869" s="8" t="str">
        <f>VLOOKUP(F869,[1]characters!$A:$H,8,FALSE)</f>
        <v>red</v>
      </c>
      <c r="K869" s="8" t="str">
        <f>VLOOKUP(F869,[1]characters!$A:$K,11,FALSE)</f>
        <v>attack</v>
      </c>
      <c r="L869" s="8" t="str">
        <f>VLOOKUP(F869,[1]characters!$A:$M,13,FALSE)</f>
        <v>dragon</v>
      </c>
      <c r="M869" s="16">
        <f>VLOOKUP(D869,gacha_188_base!A:B,2,FALSE)</f>
        <v>109</v>
      </c>
      <c r="N869" s="38">
        <f>IFERROR(VLOOKUP($F869,bug_conf_sheet!$A:$H,3,FALSE),VLOOKUP("other",bug_conf_sheet!$A:$H,3,FALSE))</f>
        <v>1</v>
      </c>
      <c r="O869" s="38">
        <f>IFERROR(VLOOKUP($F869,bug_conf_sheet!$A:$H,4,FALSE),VLOOKUP("other",bug_conf_sheet!$A:$H,4,FALSE))</f>
        <v>0</v>
      </c>
      <c r="P869" s="38">
        <f>IFERROR(VLOOKUP($F869,bug_conf_sheet!$A:$H,5,FALSE),VLOOKUP("other",bug_conf_sheet!$A:$H,5,FALSE))</f>
        <v>0</v>
      </c>
      <c r="Q869" s="38">
        <f>IFERROR(VLOOKUP($F869,bug_conf_sheet!$A:$H,6,FALSE),VLOOKUP("other",bug_conf_sheet!$A:$H,6,FALSE))</f>
        <v>0</v>
      </c>
      <c r="R869" s="38">
        <f>IFERROR(VLOOKUP($F869,bug_conf_sheet!$A:$H,7,FALSE),VLOOKUP("other",bug_conf_sheet!$A:$H,7,FALSE))</f>
        <v>0</v>
      </c>
      <c r="S869" s="38">
        <f>IFERROR(VLOOKUP($F869,bug_conf_sheet!$A:$H,8,FALSE),VLOOKUP("other",bug_conf_sheet!$A:$H,8,FALSE))</f>
        <v>1</v>
      </c>
    </row>
    <row r="870" spans="1:19" ht="21" hidden="1" customHeight="1">
      <c r="A870" s="7" t="str">
        <f t="shared" si="73"/>
        <v>1880477</v>
      </c>
      <c r="B870" s="2" t="str">
        <f t="shared" si="72"/>
        <v>1880</v>
      </c>
      <c r="C870" s="8" t="str">
        <f t="shared" si="74"/>
        <v>0PremiumS4</v>
      </c>
      <c r="D870" s="8" t="str">
        <f t="shared" si="75"/>
        <v>0PremiumS4</v>
      </c>
      <c r="E870" s="10">
        <v>0</v>
      </c>
      <c r="F870" s="6">
        <v>477</v>
      </c>
      <c r="G870" s="8" t="str">
        <f>VLOOKUP(F870,[1]characters!$A:$C,3,FALSE)</f>
        <v>愛羽妖精 ファータ</v>
      </c>
      <c r="H870" s="8" t="str">
        <f>VLOOKUP(F870,[1]characters!$A:$J,10,FALSE)</f>
        <v>PremiumS</v>
      </c>
      <c r="I870" s="8">
        <f>VLOOKUP(F870,[1]characters!$A:$I,9,FALSE)</f>
        <v>4</v>
      </c>
      <c r="J870" s="8" t="str">
        <f>VLOOKUP(F870,[1]characters!$A:$H,8,FALSE)</f>
        <v>green</v>
      </c>
      <c r="K870" s="8" t="str">
        <f>VLOOKUP(F870,[1]characters!$A:$K,11,FALSE)</f>
        <v>heal</v>
      </c>
      <c r="L870" s="8" t="str">
        <f>VLOOKUP(F870,[1]characters!$A:$M,13,FALSE)</f>
        <v>unknown</v>
      </c>
      <c r="M870" s="16">
        <f>VLOOKUP(D870,gacha_188_base!A:B,2,FALSE)</f>
        <v>14648</v>
      </c>
      <c r="N870" s="38">
        <f>IFERROR(VLOOKUP($F870,bug_conf_sheet!$A:$H,3,FALSE),VLOOKUP("other",bug_conf_sheet!$A:$H,3,FALSE))</f>
        <v>1</v>
      </c>
      <c r="O870" s="38">
        <f>IFERROR(VLOOKUP($F870,bug_conf_sheet!$A:$H,4,FALSE),VLOOKUP("other",bug_conf_sheet!$A:$H,4,FALSE))</f>
        <v>0</v>
      </c>
      <c r="P870" s="38">
        <f>IFERROR(VLOOKUP($F870,bug_conf_sheet!$A:$H,5,FALSE),VLOOKUP("other",bug_conf_sheet!$A:$H,5,FALSE))</f>
        <v>0</v>
      </c>
      <c r="Q870" s="38">
        <f>IFERROR(VLOOKUP($F870,bug_conf_sheet!$A:$H,6,FALSE),VLOOKUP("other",bug_conf_sheet!$A:$H,6,FALSE))</f>
        <v>0</v>
      </c>
      <c r="R870" s="38">
        <f>IFERROR(VLOOKUP($F870,bug_conf_sheet!$A:$H,7,FALSE),VLOOKUP("other",bug_conf_sheet!$A:$H,7,FALSE))</f>
        <v>0</v>
      </c>
      <c r="S870" s="38">
        <f>IFERROR(VLOOKUP($F870,bug_conf_sheet!$A:$H,8,FALSE),VLOOKUP("other",bug_conf_sheet!$A:$H,8,FALSE))</f>
        <v>1</v>
      </c>
    </row>
    <row r="871" spans="1:19" ht="21" customHeight="1">
      <c r="A871" s="7" t="str">
        <f t="shared" si="73"/>
        <v>1880478</v>
      </c>
      <c r="B871" s="2" t="str">
        <f t="shared" si="72"/>
        <v>1880</v>
      </c>
      <c r="C871" s="8" t="str">
        <f t="shared" si="74"/>
        <v>0PremiumS5</v>
      </c>
      <c r="D871" s="8" t="str">
        <f t="shared" si="75"/>
        <v>0PremiumS5</v>
      </c>
      <c r="E871" s="10">
        <v>0</v>
      </c>
      <c r="F871" s="6">
        <v>478</v>
      </c>
      <c r="G871" s="8" t="str">
        <f>VLOOKUP(F871,[1]characters!$A:$C,3,FALSE)</f>
        <v>時計仕掛けの愛羽妖精 ファータ</v>
      </c>
      <c r="H871" s="8" t="str">
        <f>VLOOKUP(F871,[1]characters!$A:$J,10,FALSE)</f>
        <v>PremiumS</v>
      </c>
      <c r="I871" s="8">
        <f>VLOOKUP(F871,[1]characters!$A:$I,9,FALSE)</f>
        <v>5</v>
      </c>
      <c r="J871" s="8" t="str">
        <f>VLOOKUP(F871,[1]characters!$A:$H,8,FALSE)</f>
        <v>green</v>
      </c>
      <c r="K871" s="8" t="str">
        <f>VLOOKUP(F871,[1]characters!$A:$K,11,FALSE)</f>
        <v>heal</v>
      </c>
      <c r="L871" s="8" t="str">
        <f>VLOOKUP(F871,[1]characters!$A:$M,13,FALSE)</f>
        <v>unknown</v>
      </c>
      <c r="M871" s="16">
        <f>VLOOKUP(D871,gacha_188_base!A:B,2,FALSE)</f>
        <v>935</v>
      </c>
      <c r="N871" s="38">
        <f>IFERROR(VLOOKUP($F871,bug_conf_sheet!$A:$H,3,FALSE),VLOOKUP("other",bug_conf_sheet!$A:$H,3,FALSE))</f>
        <v>1</v>
      </c>
      <c r="O871" s="38">
        <f>IFERROR(VLOOKUP($F871,bug_conf_sheet!$A:$H,4,FALSE),VLOOKUP("other",bug_conf_sheet!$A:$H,4,FALSE))</f>
        <v>0</v>
      </c>
      <c r="P871" s="38">
        <f>IFERROR(VLOOKUP($F871,bug_conf_sheet!$A:$H,5,FALSE),VLOOKUP("other",bug_conf_sheet!$A:$H,5,FALSE))</f>
        <v>0</v>
      </c>
      <c r="Q871" s="38">
        <f>IFERROR(VLOOKUP($F871,bug_conf_sheet!$A:$H,6,FALSE),VLOOKUP("other",bug_conf_sheet!$A:$H,6,FALSE))</f>
        <v>0</v>
      </c>
      <c r="R871" s="38">
        <f>IFERROR(VLOOKUP($F871,bug_conf_sheet!$A:$H,7,FALSE),VLOOKUP("other",bug_conf_sheet!$A:$H,7,FALSE))</f>
        <v>0</v>
      </c>
      <c r="S871" s="38">
        <f>IFERROR(VLOOKUP($F871,bug_conf_sheet!$A:$H,8,FALSE),VLOOKUP("other",bug_conf_sheet!$A:$H,8,FALSE))</f>
        <v>1</v>
      </c>
    </row>
    <row r="872" spans="1:19" ht="21" hidden="1" customHeight="1">
      <c r="A872" s="7" t="str">
        <f t="shared" si="73"/>
        <v>1880479</v>
      </c>
      <c r="B872" s="2" t="str">
        <f t="shared" si="72"/>
        <v>1880</v>
      </c>
      <c r="C872" s="8" t="str">
        <f t="shared" si="74"/>
        <v>0PremiumSS4</v>
      </c>
      <c r="D872" s="8" t="str">
        <f t="shared" si="75"/>
        <v>0PremiumSS4</v>
      </c>
      <c r="E872" s="10">
        <v>0</v>
      </c>
      <c r="F872" s="6">
        <v>479</v>
      </c>
      <c r="G872" s="8" t="str">
        <f>VLOOKUP(F872,[1]characters!$A:$C,3,FALSE)</f>
        <v>フール</v>
      </c>
      <c r="H872" s="8" t="str">
        <f>VLOOKUP(F872,[1]characters!$A:$J,10,FALSE)</f>
        <v>PremiumSS</v>
      </c>
      <c r="I872" s="8">
        <f>VLOOKUP(F872,[1]characters!$A:$I,9,FALSE)</f>
        <v>4</v>
      </c>
      <c r="J872" s="8" t="str">
        <f>VLOOKUP(F872,[1]characters!$A:$H,8,FALSE)</f>
        <v>blue</v>
      </c>
      <c r="K872" s="8" t="str">
        <f>VLOOKUP(F872,[1]characters!$A:$K,11,FALSE)</f>
        <v>technical</v>
      </c>
      <c r="L872" s="8" t="str">
        <f>VLOOKUP(F872,[1]characters!$A:$M,13,FALSE)</f>
        <v>god</v>
      </c>
      <c r="M872" s="16">
        <f>VLOOKUP(D872,gacha_188_base!A:B,2,FALSE)</f>
        <v>1709</v>
      </c>
      <c r="N872" s="38">
        <f>IFERROR(VLOOKUP($F872,bug_conf_sheet!$A:$H,3,FALSE),VLOOKUP("other",bug_conf_sheet!$A:$H,3,FALSE))</f>
        <v>1</v>
      </c>
      <c r="O872" s="38">
        <f>IFERROR(VLOOKUP($F872,bug_conf_sheet!$A:$H,4,FALSE),VLOOKUP("other",bug_conf_sheet!$A:$H,4,FALSE))</f>
        <v>0</v>
      </c>
      <c r="P872" s="38">
        <f>IFERROR(VLOOKUP($F872,bug_conf_sheet!$A:$H,5,FALSE),VLOOKUP("other",bug_conf_sheet!$A:$H,5,FALSE))</f>
        <v>0</v>
      </c>
      <c r="Q872" s="38">
        <f>IFERROR(VLOOKUP($F872,bug_conf_sheet!$A:$H,6,FALSE),VLOOKUP("other",bug_conf_sheet!$A:$H,6,FALSE))</f>
        <v>0</v>
      </c>
      <c r="R872" s="38">
        <f>IFERROR(VLOOKUP($F872,bug_conf_sheet!$A:$H,7,FALSE),VLOOKUP("other",bug_conf_sheet!$A:$H,7,FALSE))</f>
        <v>0</v>
      </c>
      <c r="S872" s="38">
        <f>IFERROR(VLOOKUP($F872,bug_conf_sheet!$A:$H,8,FALSE),VLOOKUP("other",bug_conf_sheet!$A:$H,8,FALSE))</f>
        <v>1</v>
      </c>
    </row>
    <row r="873" spans="1:19" ht="21" customHeight="1">
      <c r="A873" s="7" t="str">
        <f t="shared" si="73"/>
        <v>1880480</v>
      </c>
      <c r="B873" s="2" t="str">
        <f t="shared" si="72"/>
        <v>1880</v>
      </c>
      <c r="C873" s="8" t="str">
        <f t="shared" si="74"/>
        <v>0PremiumSS5</v>
      </c>
      <c r="D873" s="8" t="str">
        <f t="shared" si="75"/>
        <v>0PremiumSS5</v>
      </c>
      <c r="E873" s="10">
        <v>0</v>
      </c>
      <c r="F873" s="6">
        <v>480</v>
      </c>
      <c r="G873" s="8" t="str">
        <f>VLOOKUP(F873,[1]characters!$A:$C,3,FALSE)</f>
        <v>夢幻の愚者フール</v>
      </c>
      <c r="H873" s="8" t="str">
        <f>VLOOKUP(F873,[1]characters!$A:$J,10,FALSE)</f>
        <v>PremiumSS</v>
      </c>
      <c r="I873" s="8">
        <f>VLOOKUP(F873,[1]characters!$A:$I,9,FALSE)</f>
        <v>5</v>
      </c>
      <c r="J873" s="8" t="str">
        <f>VLOOKUP(F873,[1]characters!$A:$H,8,FALSE)</f>
        <v>blue</v>
      </c>
      <c r="K873" s="8" t="str">
        <f>VLOOKUP(F873,[1]characters!$A:$K,11,FALSE)</f>
        <v>technical</v>
      </c>
      <c r="L873" s="8" t="str">
        <f>VLOOKUP(F873,[1]characters!$A:$M,13,FALSE)</f>
        <v>god</v>
      </c>
      <c r="M873" s="16">
        <f>VLOOKUP(D873,gacha_188_base!A:B,2,FALSE)</f>
        <v>109</v>
      </c>
      <c r="N873" s="38">
        <f>IFERROR(VLOOKUP($F873,bug_conf_sheet!$A:$H,3,FALSE),VLOOKUP("other",bug_conf_sheet!$A:$H,3,FALSE))</f>
        <v>1</v>
      </c>
      <c r="O873" s="38">
        <f>IFERROR(VLOOKUP($F873,bug_conf_sheet!$A:$H,4,FALSE),VLOOKUP("other",bug_conf_sheet!$A:$H,4,FALSE))</f>
        <v>0</v>
      </c>
      <c r="P873" s="38">
        <f>IFERROR(VLOOKUP($F873,bug_conf_sheet!$A:$H,5,FALSE),VLOOKUP("other",bug_conf_sheet!$A:$H,5,FALSE))</f>
        <v>0</v>
      </c>
      <c r="Q873" s="38">
        <f>IFERROR(VLOOKUP($F873,bug_conf_sheet!$A:$H,6,FALSE),VLOOKUP("other",bug_conf_sheet!$A:$H,6,FALSE))</f>
        <v>0</v>
      </c>
      <c r="R873" s="38">
        <f>IFERROR(VLOOKUP($F873,bug_conf_sheet!$A:$H,7,FALSE),VLOOKUP("other",bug_conf_sheet!$A:$H,7,FALSE))</f>
        <v>0</v>
      </c>
      <c r="S873" s="38">
        <f>IFERROR(VLOOKUP($F873,bug_conf_sheet!$A:$H,8,FALSE),VLOOKUP("other",bug_conf_sheet!$A:$H,8,FALSE))</f>
        <v>1</v>
      </c>
    </row>
    <row r="874" spans="1:19" ht="21" hidden="1" customHeight="1">
      <c r="A874" s="7" t="str">
        <f t="shared" si="73"/>
        <v>1880482</v>
      </c>
      <c r="B874" s="2" t="str">
        <f t="shared" si="72"/>
        <v>1880</v>
      </c>
      <c r="C874" s="8" t="str">
        <f t="shared" si="74"/>
        <v>0PremiumS4</v>
      </c>
      <c r="D874" s="8" t="str">
        <f t="shared" si="75"/>
        <v>0PremiumS4</v>
      </c>
      <c r="E874" s="10">
        <v>0</v>
      </c>
      <c r="F874" s="6">
        <v>482</v>
      </c>
      <c r="G874" s="8" t="str">
        <f>VLOOKUP(F874,[1]characters!$A:$C,3,FALSE)</f>
        <v>魁僧 沢庵宗彭</v>
      </c>
      <c r="H874" s="8" t="str">
        <f>VLOOKUP(F874,[1]characters!$A:$J,10,FALSE)</f>
        <v>PremiumS</v>
      </c>
      <c r="I874" s="8">
        <f>VLOOKUP(F874,[1]characters!$A:$I,9,FALSE)</f>
        <v>4</v>
      </c>
      <c r="J874" s="8" t="str">
        <f>VLOOKUP(F874,[1]characters!$A:$H,8,FALSE)</f>
        <v>yellow</v>
      </c>
      <c r="K874" s="8" t="str">
        <f>VLOOKUP(F874,[1]characters!$A:$K,11,FALSE)</f>
        <v>hp</v>
      </c>
      <c r="L874" s="8" t="str">
        <f>VLOOKUP(F874,[1]characters!$A:$M,13,FALSE)</f>
        <v>human</v>
      </c>
      <c r="M874" s="16">
        <f>VLOOKUP(D874,gacha_188_base!A:B,2,FALSE)</f>
        <v>14648</v>
      </c>
      <c r="N874" s="38">
        <f>IFERROR(VLOOKUP($F874,bug_conf_sheet!$A:$H,3,FALSE),VLOOKUP("other",bug_conf_sheet!$A:$H,3,FALSE))</f>
        <v>1</v>
      </c>
      <c r="O874" s="38">
        <f>IFERROR(VLOOKUP($F874,bug_conf_sheet!$A:$H,4,FALSE),VLOOKUP("other",bug_conf_sheet!$A:$H,4,FALSE))</f>
        <v>0</v>
      </c>
      <c r="P874" s="38">
        <f>IFERROR(VLOOKUP($F874,bug_conf_sheet!$A:$H,5,FALSE),VLOOKUP("other",bug_conf_sheet!$A:$H,5,FALSE))</f>
        <v>0</v>
      </c>
      <c r="Q874" s="38">
        <f>IFERROR(VLOOKUP($F874,bug_conf_sheet!$A:$H,6,FALSE),VLOOKUP("other",bug_conf_sheet!$A:$H,6,FALSE))</f>
        <v>0</v>
      </c>
      <c r="R874" s="38">
        <f>IFERROR(VLOOKUP($F874,bug_conf_sheet!$A:$H,7,FALSE),VLOOKUP("other",bug_conf_sheet!$A:$H,7,FALSE))</f>
        <v>0</v>
      </c>
      <c r="S874" s="38">
        <f>IFERROR(VLOOKUP($F874,bug_conf_sheet!$A:$H,8,FALSE),VLOOKUP("other",bug_conf_sheet!$A:$H,8,FALSE))</f>
        <v>1</v>
      </c>
    </row>
    <row r="875" spans="1:19" ht="21" customHeight="1">
      <c r="A875" s="7" t="str">
        <f t="shared" si="73"/>
        <v>1880483</v>
      </c>
      <c r="B875" s="2" t="str">
        <f t="shared" si="72"/>
        <v>1880</v>
      </c>
      <c r="C875" s="8" t="str">
        <f t="shared" si="74"/>
        <v>0PremiumS5</v>
      </c>
      <c r="D875" s="8" t="str">
        <f t="shared" si="75"/>
        <v>0PremiumS5</v>
      </c>
      <c r="E875" s="10">
        <v>0</v>
      </c>
      <c r="F875" s="6">
        <v>483</v>
      </c>
      <c r="G875" s="8" t="str">
        <f>VLOOKUP(F875,[1]characters!$A:$C,3,FALSE)</f>
        <v xml:space="preserve">命経死遂 沢庵宗彭 </v>
      </c>
      <c r="H875" s="8" t="str">
        <f>VLOOKUP(F875,[1]characters!$A:$J,10,FALSE)</f>
        <v>PremiumS</v>
      </c>
      <c r="I875" s="8">
        <f>VLOOKUP(F875,[1]characters!$A:$I,9,FALSE)</f>
        <v>5</v>
      </c>
      <c r="J875" s="8" t="str">
        <f>VLOOKUP(F875,[1]characters!$A:$H,8,FALSE)</f>
        <v>yellow</v>
      </c>
      <c r="K875" s="8" t="str">
        <f>VLOOKUP(F875,[1]characters!$A:$K,11,FALSE)</f>
        <v>hp</v>
      </c>
      <c r="L875" s="8" t="str">
        <f>VLOOKUP(F875,[1]characters!$A:$M,13,FALSE)</f>
        <v>human</v>
      </c>
      <c r="M875" s="16">
        <f>VLOOKUP(D875,gacha_188_base!A:B,2,FALSE)</f>
        <v>935</v>
      </c>
      <c r="N875" s="38">
        <f>IFERROR(VLOOKUP($F875,bug_conf_sheet!$A:$H,3,FALSE),VLOOKUP("other",bug_conf_sheet!$A:$H,3,FALSE))</f>
        <v>1</v>
      </c>
      <c r="O875" s="38">
        <f>IFERROR(VLOOKUP($F875,bug_conf_sheet!$A:$H,4,FALSE),VLOOKUP("other",bug_conf_sheet!$A:$H,4,FALSE))</f>
        <v>0</v>
      </c>
      <c r="P875" s="38">
        <f>IFERROR(VLOOKUP($F875,bug_conf_sheet!$A:$H,5,FALSE),VLOOKUP("other",bug_conf_sheet!$A:$H,5,FALSE))</f>
        <v>0</v>
      </c>
      <c r="Q875" s="38">
        <f>IFERROR(VLOOKUP($F875,bug_conf_sheet!$A:$H,6,FALSE),VLOOKUP("other",bug_conf_sheet!$A:$H,6,FALSE))</f>
        <v>0</v>
      </c>
      <c r="R875" s="38">
        <f>IFERROR(VLOOKUP($F875,bug_conf_sheet!$A:$H,7,FALSE),VLOOKUP("other",bug_conf_sheet!$A:$H,7,FALSE))</f>
        <v>0</v>
      </c>
      <c r="S875" s="38">
        <f>IFERROR(VLOOKUP($F875,bug_conf_sheet!$A:$H,8,FALSE),VLOOKUP("other",bug_conf_sheet!$A:$H,8,FALSE))</f>
        <v>1</v>
      </c>
    </row>
    <row r="876" spans="1:19" ht="21" hidden="1" customHeight="1">
      <c r="A876" s="7" t="str">
        <f t="shared" si="73"/>
        <v>1880492</v>
      </c>
      <c r="B876" s="2" t="str">
        <f t="shared" si="72"/>
        <v>1880</v>
      </c>
      <c r="C876" s="8" t="str">
        <f t="shared" si="74"/>
        <v>0PremiumSS4</v>
      </c>
      <c r="D876" s="8" t="str">
        <f t="shared" si="75"/>
        <v>0PremiumSS4</v>
      </c>
      <c r="E876" s="10">
        <v>0</v>
      </c>
      <c r="F876" s="6">
        <v>492</v>
      </c>
      <c r="G876" s="8" t="str">
        <f>VLOOKUP(F876,[1]characters!$A:$C,3,FALSE)</f>
        <v>ブートレグ・ペロー</v>
      </c>
      <c r="H876" s="8" t="str">
        <f>VLOOKUP(F876,[1]characters!$A:$J,10,FALSE)</f>
        <v>PremiumSS</v>
      </c>
      <c r="I876" s="8">
        <f>VLOOKUP(F876,[1]characters!$A:$I,9,FALSE)</f>
        <v>4</v>
      </c>
      <c r="J876" s="8" t="str">
        <f>VLOOKUP(F876,[1]characters!$A:$H,8,FALSE)</f>
        <v>red</v>
      </c>
      <c r="K876" s="8" t="str">
        <f>VLOOKUP(F876,[1]characters!$A:$K,11,FALSE)</f>
        <v>hp</v>
      </c>
      <c r="L876" s="8" t="str">
        <f>VLOOKUP(F876,[1]characters!$A:$M,13,FALSE)</f>
        <v>animal</v>
      </c>
      <c r="M876" s="16">
        <f>VLOOKUP(D876,gacha_188_base!A:B,2,FALSE)</f>
        <v>1709</v>
      </c>
      <c r="N876" s="38">
        <f>IFERROR(VLOOKUP($F876,bug_conf_sheet!$A:$H,3,FALSE),VLOOKUP("other",bug_conf_sheet!$A:$H,3,FALSE))</f>
        <v>1</v>
      </c>
      <c r="O876" s="38">
        <f>IFERROR(VLOOKUP($F876,bug_conf_sheet!$A:$H,4,FALSE),VLOOKUP("other",bug_conf_sheet!$A:$H,4,FALSE))</f>
        <v>0</v>
      </c>
      <c r="P876" s="38">
        <f>IFERROR(VLOOKUP($F876,bug_conf_sheet!$A:$H,5,FALSE),VLOOKUP("other",bug_conf_sheet!$A:$H,5,FALSE))</f>
        <v>0</v>
      </c>
      <c r="Q876" s="38">
        <f>IFERROR(VLOOKUP($F876,bug_conf_sheet!$A:$H,6,FALSE),VLOOKUP("other",bug_conf_sheet!$A:$H,6,FALSE))</f>
        <v>0</v>
      </c>
      <c r="R876" s="38">
        <f>IFERROR(VLOOKUP($F876,bug_conf_sheet!$A:$H,7,FALSE),VLOOKUP("other",bug_conf_sheet!$A:$H,7,FALSE))</f>
        <v>0</v>
      </c>
      <c r="S876" s="38">
        <f>IFERROR(VLOOKUP($F876,bug_conf_sheet!$A:$H,8,FALSE),VLOOKUP("other",bug_conf_sheet!$A:$H,8,FALSE))</f>
        <v>1</v>
      </c>
    </row>
    <row r="877" spans="1:19" ht="21" customHeight="1">
      <c r="A877" s="7" t="str">
        <f t="shared" si="73"/>
        <v>1880493</v>
      </c>
      <c r="B877" s="2" t="str">
        <f t="shared" si="72"/>
        <v>1880</v>
      </c>
      <c r="C877" s="8" t="str">
        <f t="shared" si="74"/>
        <v>0PremiumSS5</v>
      </c>
      <c r="D877" s="8" t="str">
        <f t="shared" si="75"/>
        <v>0PremiumSS5</v>
      </c>
      <c r="E877" s="10">
        <v>0</v>
      </c>
      <c r="F877" s="6">
        <v>493</v>
      </c>
      <c r="G877" s="8" t="str">
        <f>VLOOKUP(F877,[1]characters!$A:$C,3,FALSE)</f>
        <v>跋扈の機脚 ブートレグ・ペロー</v>
      </c>
      <c r="H877" s="8" t="str">
        <f>VLOOKUP(F877,[1]characters!$A:$J,10,FALSE)</f>
        <v>PremiumSS</v>
      </c>
      <c r="I877" s="8">
        <f>VLOOKUP(F877,[1]characters!$A:$I,9,FALSE)</f>
        <v>5</v>
      </c>
      <c r="J877" s="8" t="str">
        <f>VLOOKUP(F877,[1]characters!$A:$H,8,FALSE)</f>
        <v>red</v>
      </c>
      <c r="K877" s="8" t="str">
        <f>VLOOKUP(F877,[1]characters!$A:$K,11,FALSE)</f>
        <v>hp</v>
      </c>
      <c r="L877" s="8" t="str">
        <f>VLOOKUP(F877,[1]characters!$A:$M,13,FALSE)</f>
        <v>animal</v>
      </c>
      <c r="M877" s="16">
        <f>VLOOKUP(D877,gacha_188_base!A:B,2,FALSE)</f>
        <v>109</v>
      </c>
      <c r="N877" s="38">
        <f>IFERROR(VLOOKUP($F877,bug_conf_sheet!$A:$H,3,FALSE),VLOOKUP("other",bug_conf_sheet!$A:$H,3,FALSE))</f>
        <v>1</v>
      </c>
      <c r="O877" s="38">
        <f>IFERROR(VLOOKUP($F877,bug_conf_sheet!$A:$H,4,FALSE),VLOOKUP("other",bug_conf_sheet!$A:$H,4,FALSE))</f>
        <v>0</v>
      </c>
      <c r="P877" s="38">
        <f>IFERROR(VLOOKUP($F877,bug_conf_sheet!$A:$H,5,FALSE),VLOOKUP("other",bug_conf_sheet!$A:$H,5,FALSE))</f>
        <v>0</v>
      </c>
      <c r="Q877" s="38">
        <f>IFERROR(VLOOKUP($F877,bug_conf_sheet!$A:$H,6,FALSE),VLOOKUP("other",bug_conf_sheet!$A:$H,6,FALSE))</f>
        <v>0</v>
      </c>
      <c r="R877" s="38">
        <f>IFERROR(VLOOKUP($F877,bug_conf_sheet!$A:$H,7,FALSE),VLOOKUP("other",bug_conf_sheet!$A:$H,7,FALSE))</f>
        <v>0</v>
      </c>
      <c r="S877" s="38">
        <f>IFERROR(VLOOKUP($F877,bug_conf_sheet!$A:$H,8,FALSE),VLOOKUP("other",bug_conf_sheet!$A:$H,8,FALSE))</f>
        <v>1</v>
      </c>
    </row>
    <row r="878" spans="1:19" ht="21" hidden="1" customHeight="1">
      <c r="A878" s="7" t="str">
        <f t="shared" si="73"/>
        <v>1880494</v>
      </c>
      <c r="B878" s="2" t="str">
        <f t="shared" si="72"/>
        <v>1880</v>
      </c>
      <c r="C878" s="8" t="str">
        <f t="shared" si="74"/>
        <v>0PremiumSS4</v>
      </c>
      <c r="D878" s="8" t="str">
        <f t="shared" si="75"/>
        <v>0PremiumSS4</v>
      </c>
      <c r="E878" s="10">
        <v>0</v>
      </c>
      <c r="F878" s="6">
        <v>494</v>
      </c>
      <c r="G878" s="8" t="str">
        <f>VLOOKUP(F878,[1]characters!$A:$C,3,FALSE)</f>
        <v>ハーメルン</v>
      </c>
      <c r="H878" s="8" t="str">
        <f>VLOOKUP(F878,[1]characters!$A:$J,10,FALSE)</f>
        <v>PremiumSS</v>
      </c>
      <c r="I878" s="8">
        <f>VLOOKUP(F878,[1]characters!$A:$I,9,FALSE)</f>
        <v>4</v>
      </c>
      <c r="J878" s="8" t="str">
        <f>VLOOKUP(F878,[1]characters!$A:$H,8,FALSE)</f>
        <v>green</v>
      </c>
      <c r="K878" s="8" t="str">
        <f>VLOOKUP(F878,[1]characters!$A:$K,11,FALSE)</f>
        <v>technical</v>
      </c>
      <c r="L878" s="8" t="str">
        <f>VLOOKUP(F878,[1]characters!$A:$M,13,FALSE)</f>
        <v>human</v>
      </c>
      <c r="M878" s="16">
        <f>VLOOKUP(D878,gacha_188_base!A:B,2,FALSE)</f>
        <v>1709</v>
      </c>
      <c r="N878" s="38">
        <f>IFERROR(VLOOKUP($F878,bug_conf_sheet!$A:$H,3,FALSE),VLOOKUP("other",bug_conf_sheet!$A:$H,3,FALSE))</f>
        <v>1</v>
      </c>
      <c r="O878" s="38">
        <f>IFERROR(VLOOKUP($F878,bug_conf_sheet!$A:$H,4,FALSE),VLOOKUP("other",bug_conf_sheet!$A:$H,4,FALSE))</f>
        <v>0</v>
      </c>
      <c r="P878" s="38">
        <f>IFERROR(VLOOKUP($F878,bug_conf_sheet!$A:$H,5,FALSE),VLOOKUP("other",bug_conf_sheet!$A:$H,5,FALSE))</f>
        <v>0</v>
      </c>
      <c r="Q878" s="38">
        <f>IFERROR(VLOOKUP($F878,bug_conf_sheet!$A:$H,6,FALSE),VLOOKUP("other",bug_conf_sheet!$A:$H,6,FALSE))</f>
        <v>0</v>
      </c>
      <c r="R878" s="38">
        <f>IFERROR(VLOOKUP($F878,bug_conf_sheet!$A:$H,7,FALSE),VLOOKUP("other",bug_conf_sheet!$A:$H,7,FALSE))</f>
        <v>0</v>
      </c>
      <c r="S878" s="38">
        <f>IFERROR(VLOOKUP($F878,bug_conf_sheet!$A:$H,8,FALSE),VLOOKUP("other",bug_conf_sheet!$A:$H,8,FALSE))</f>
        <v>1</v>
      </c>
    </row>
    <row r="879" spans="1:19" ht="21" customHeight="1">
      <c r="A879" s="7" t="str">
        <f t="shared" si="73"/>
        <v>1880495</v>
      </c>
      <c r="B879" s="2" t="str">
        <f t="shared" si="72"/>
        <v>1880</v>
      </c>
      <c r="C879" s="8" t="str">
        <f t="shared" si="74"/>
        <v>0PremiumSS5</v>
      </c>
      <c r="D879" s="8" t="str">
        <f t="shared" si="75"/>
        <v>0PremiumSS5</v>
      </c>
      <c r="E879" s="10">
        <v>0</v>
      </c>
      <c r="F879" s="6">
        <v>495</v>
      </c>
      <c r="G879" s="8" t="str">
        <f>VLOOKUP(F879,[1]characters!$A:$C,3,FALSE)</f>
        <v>鼠災呼ぶ笛音 ハーメルン</v>
      </c>
      <c r="H879" s="8" t="str">
        <f>VLOOKUP(F879,[1]characters!$A:$J,10,FALSE)</f>
        <v>PremiumSS</v>
      </c>
      <c r="I879" s="8">
        <f>VLOOKUP(F879,[1]characters!$A:$I,9,FALSE)</f>
        <v>5</v>
      </c>
      <c r="J879" s="8" t="str">
        <f>VLOOKUP(F879,[1]characters!$A:$H,8,FALSE)</f>
        <v>green</v>
      </c>
      <c r="K879" s="8" t="str">
        <f>VLOOKUP(F879,[1]characters!$A:$K,11,FALSE)</f>
        <v>technical</v>
      </c>
      <c r="L879" s="8" t="str">
        <f>VLOOKUP(F879,[1]characters!$A:$M,13,FALSE)</f>
        <v>human</v>
      </c>
      <c r="M879" s="16">
        <f>VLOOKUP(D879,gacha_188_base!A:B,2,FALSE)</f>
        <v>109</v>
      </c>
      <c r="N879" s="38">
        <f>IFERROR(VLOOKUP($F879,bug_conf_sheet!$A:$H,3,FALSE),VLOOKUP("other",bug_conf_sheet!$A:$H,3,FALSE))</f>
        <v>1</v>
      </c>
      <c r="O879" s="38">
        <f>IFERROR(VLOOKUP($F879,bug_conf_sheet!$A:$H,4,FALSE),VLOOKUP("other",bug_conf_sheet!$A:$H,4,FALSE))</f>
        <v>0</v>
      </c>
      <c r="P879" s="38">
        <f>IFERROR(VLOOKUP($F879,bug_conf_sheet!$A:$H,5,FALSE),VLOOKUP("other",bug_conf_sheet!$A:$H,5,FALSE))</f>
        <v>0</v>
      </c>
      <c r="Q879" s="38">
        <f>IFERROR(VLOOKUP($F879,bug_conf_sheet!$A:$H,6,FALSE),VLOOKUP("other",bug_conf_sheet!$A:$H,6,FALSE))</f>
        <v>0</v>
      </c>
      <c r="R879" s="38">
        <f>IFERROR(VLOOKUP($F879,bug_conf_sheet!$A:$H,7,FALSE),VLOOKUP("other",bug_conf_sheet!$A:$H,7,FALSE))</f>
        <v>0</v>
      </c>
      <c r="S879" s="38">
        <f>IFERROR(VLOOKUP($F879,bug_conf_sheet!$A:$H,8,FALSE),VLOOKUP("other",bug_conf_sheet!$A:$H,8,FALSE))</f>
        <v>1</v>
      </c>
    </row>
    <row r="880" spans="1:19" ht="21" hidden="1" customHeight="1">
      <c r="A880" s="7" t="str">
        <f t="shared" si="73"/>
        <v>1880497</v>
      </c>
      <c r="B880" s="2" t="str">
        <f t="shared" si="72"/>
        <v>1880</v>
      </c>
      <c r="C880" s="8" t="str">
        <f t="shared" si="74"/>
        <v>0PremiumS4</v>
      </c>
      <c r="D880" s="8" t="str">
        <f t="shared" si="75"/>
        <v>0PremiumS4</v>
      </c>
      <c r="E880" s="10">
        <v>0</v>
      </c>
      <c r="F880" s="6">
        <v>497</v>
      </c>
      <c r="G880" s="8" t="str">
        <f>VLOOKUP(F880,[1]characters!$A:$C,3,FALSE)</f>
        <v>偏愛の野獣 エスタブ</v>
      </c>
      <c r="H880" s="8" t="str">
        <f>VLOOKUP(F880,[1]characters!$A:$J,10,FALSE)</f>
        <v>PremiumS</v>
      </c>
      <c r="I880" s="8">
        <f>VLOOKUP(F880,[1]characters!$A:$I,9,FALSE)</f>
        <v>4</v>
      </c>
      <c r="J880" s="8" t="str">
        <f>VLOOKUP(F880,[1]characters!$A:$H,8,FALSE)</f>
        <v>blue</v>
      </c>
      <c r="K880" s="8" t="str">
        <f>VLOOKUP(F880,[1]characters!$A:$K,11,FALSE)</f>
        <v>attack</v>
      </c>
      <c r="L880" s="8" t="str">
        <f>VLOOKUP(F880,[1]characters!$A:$M,13,FALSE)</f>
        <v>human</v>
      </c>
      <c r="M880" s="16">
        <f>VLOOKUP(D880,gacha_188_base!A:B,2,FALSE)</f>
        <v>14648</v>
      </c>
      <c r="N880" s="38">
        <f>IFERROR(VLOOKUP($F880,bug_conf_sheet!$A:$H,3,FALSE),VLOOKUP("other",bug_conf_sheet!$A:$H,3,FALSE))</f>
        <v>1</v>
      </c>
      <c r="O880" s="38">
        <f>IFERROR(VLOOKUP($F880,bug_conf_sheet!$A:$H,4,FALSE),VLOOKUP("other",bug_conf_sheet!$A:$H,4,FALSE))</f>
        <v>0</v>
      </c>
      <c r="P880" s="38">
        <f>IFERROR(VLOOKUP($F880,bug_conf_sheet!$A:$H,5,FALSE),VLOOKUP("other",bug_conf_sheet!$A:$H,5,FALSE))</f>
        <v>0</v>
      </c>
      <c r="Q880" s="38">
        <f>IFERROR(VLOOKUP($F880,bug_conf_sheet!$A:$H,6,FALSE),VLOOKUP("other",bug_conf_sheet!$A:$H,6,FALSE))</f>
        <v>0</v>
      </c>
      <c r="R880" s="38">
        <f>IFERROR(VLOOKUP($F880,bug_conf_sheet!$A:$H,7,FALSE),VLOOKUP("other",bug_conf_sheet!$A:$H,7,FALSE))</f>
        <v>0</v>
      </c>
      <c r="S880" s="38">
        <f>IFERROR(VLOOKUP($F880,bug_conf_sheet!$A:$H,8,FALSE),VLOOKUP("other",bug_conf_sheet!$A:$H,8,FALSE))</f>
        <v>1</v>
      </c>
    </row>
    <row r="881" spans="1:19" ht="21" customHeight="1">
      <c r="A881" s="7" t="str">
        <f t="shared" si="73"/>
        <v>1880498</v>
      </c>
      <c r="B881" s="2" t="str">
        <f t="shared" si="72"/>
        <v>1880</v>
      </c>
      <c r="C881" s="8" t="str">
        <f t="shared" si="74"/>
        <v>0PremiumS5</v>
      </c>
      <c r="D881" s="8" t="str">
        <f t="shared" si="75"/>
        <v>0PremiumS5</v>
      </c>
      <c r="E881" s="10">
        <v>0</v>
      </c>
      <c r="F881" s="6">
        <v>498</v>
      </c>
      <c r="G881" s="8" t="str">
        <f>VLOOKUP(F881,[1]characters!$A:$C,3,FALSE)</f>
        <v>自愛の高魔 エスタブ</v>
      </c>
      <c r="H881" s="8" t="str">
        <f>VLOOKUP(F881,[1]characters!$A:$J,10,FALSE)</f>
        <v>PremiumS</v>
      </c>
      <c r="I881" s="8">
        <f>VLOOKUP(F881,[1]characters!$A:$I,9,FALSE)</f>
        <v>5</v>
      </c>
      <c r="J881" s="8" t="str">
        <f>VLOOKUP(F881,[1]characters!$A:$H,8,FALSE)</f>
        <v>blue</v>
      </c>
      <c r="K881" s="8" t="str">
        <f>VLOOKUP(F881,[1]characters!$A:$K,11,FALSE)</f>
        <v>attack</v>
      </c>
      <c r="L881" s="8" t="str">
        <f>VLOOKUP(F881,[1]characters!$A:$M,13,FALSE)</f>
        <v>human</v>
      </c>
      <c r="M881" s="16">
        <f>VLOOKUP(D881,gacha_188_base!A:B,2,FALSE)</f>
        <v>935</v>
      </c>
      <c r="N881" s="38">
        <f>IFERROR(VLOOKUP($F881,bug_conf_sheet!$A:$H,3,FALSE),VLOOKUP("other",bug_conf_sheet!$A:$H,3,FALSE))</f>
        <v>1</v>
      </c>
      <c r="O881" s="38">
        <f>IFERROR(VLOOKUP($F881,bug_conf_sheet!$A:$H,4,FALSE),VLOOKUP("other",bug_conf_sheet!$A:$H,4,FALSE))</f>
        <v>0</v>
      </c>
      <c r="P881" s="38">
        <f>IFERROR(VLOOKUP($F881,bug_conf_sheet!$A:$H,5,FALSE),VLOOKUP("other",bug_conf_sheet!$A:$H,5,FALSE))</f>
        <v>0</v>
      </c>
      <c r="Q881" s="38">
        <f>IFERROR(VLOOKUP($F881,bug_conf_sheet!$A:$H,6,FALSE),VLOOKUP("other",bug_conf_sheet!$A:$H,6,FALSE))</f>
        <v>0</v>
      </c>
      <c r="R881" s="38">
        <f>IFERROR(VLOOKUP($F881,bug_conf_sheet!$A:$H,7,FALSE),VLOOKUP("other",bug_conf_sheet!$A:$H,7,FALSE))</f>
        <v>0</v>
      </c>
      <c r="S881" s="38">
        <f>IFERROR(VLOOKUP($F881,bug_conf_sheet!$A:$H,8,FALSE),VLOOKUP("other",bug_conf_sheet!$A:$H,8,FALSE))</f>
        <v>1</v>
      </c>
    </row>
    <row r="882" spans="1:19" ht="21" hidden="1" customHeight="1">
      <c r="A882" s="7" t="str">
        <f t="shared" si="73"/>
        <v>1880499</v>
      </c>
      <c r="B882" s="2" t="str">
        <f t="shared" si="72"/>
        <v>1880</v>
      </c>
      <c r="C882" s="8" t="str">
        <f t="shared" si="74"/>
        <v>0PremiumSS4</v>
      </c>
      <c r="D882" s="8" t="str">
        <f t="shared" si="75"/>
        <v>0PremiumSS4</v>
      </c>
      <c r="E882" s="10">
        <v>0</v>
      </c>
      <c r="F882" s="6">
        <v>499</v>
      </c>
      <c r="G882" s="8" t="str">
        <f>VLOOKUP(F882,[1]characters!$A:$C,3,FALSE)</f>
        <v>ラプンツェル</v>
      </c>
      <c r="H882" s="8" t="str">
        <f>VLOOKUP(F882,[1]characters!$A:$J,10,FALSE)</f>
        <v>PremiumSS</v>
      </c>
      <c r="I882" s="8">
        <f>VLOOKUP(F882,[1]characters!$A:$I,9,FALSE)</f>
        <v>4</v>
      </c>
      <c r="J882" s="8" t="str">
        <f>VLOOKUP(F882,[1]characters!$A:$H,8,FALSE)</f>
        <v>yellow</v>
      </c>
      <c r="K882" s="8" t="str">
        <f>VLOOKUP(F882,[1]characters!$A:$K,11,FALSE)</f>
        <v>balance</v>
      </c>
      <c r="L882" s="8" t="str">
        <f>VLOOKUP(F882,[1]characters!$A:$M,13,FALSE)</f>
        <v>human</v>
      </c>
      <c r="M882" s="16">
        <f>VLOOKUP(D882,gacha_188_base!A:B,2,FALSE)</f>
        <v>1709</v>
      </c>
      <c r="N882" s="38">
        <f>IFERROR(VLOOKUP($F882,bug_conf_sheet!$A:$H,3,FALSE),VLOOKUP("other",bug_conf_sheet!$A:$H,3,FALSE))</f>
        <v>1</v>
      </c>
      <c r="O882" s="38">
        <f>IFERROR(VLOOKUP($F882,bug_conf_sheet!$A:$H,4,FALSE),VLOOKUP("other",bug_conf_sheet!$A:$H,4,FALSE))</f>
        <v>0</v>
      </c>
      <c r="P882" s="38">
        <f>IFERROR(VLOOKUP($F882,bug_conf_sheet!$A:$H,5,FALSE),VLOOKUP("other",bug_conf_sheet!$A:$H,5,FALSE))</f>
        <v>0</v>
      </c>
      <c r="Q882" s="38">
        <f>IFERROR(VLOOKUP($F882,bug_conf_sheet!$A:$H,6,FALSE),VLOOKUP("other",bug_conf_sheet!$A:$H,6,FALSE))</f>
        <v>0</v>
      </c>
      <c r="R882" s="38">
        <f>IFERROR(VLOOKUP($F882,bug_conf_sheet!$A:$H,7,FALSE),VLOOKUP("other",bug_conf_sheet!$A:$H,7,FALSE))</f>
        <v>0</v>
      </c>
      <c r="S882" s="38">
        <f>IFERROR(VLOOKUP($F882,bug_conf_sheet!$A:$H,8,FALSE),VLOOKUP("other",bug_conf_sheet!$A:$H,8,FALSE))</f>
        <v>1</v>
      </c>
    </row>
    <row r="883" spans="1:19" ht="21" customHeight="1">
      <c r="A883" s="7" t="str">
        <f t="shared" si="73"/>
        <v>1880500</v>
      </c>
      <c r="B883" s="2" t="str">
        <f t="shared" si="72"/>
        <v>1880</v>
      </c>
      <c r="C883" s="8" t="str">
        <f t="shared" si="74"/>
        <v>0PremiumSS5</v>
      </c>
      <c r="D883" s="8" t="str">
        <f t="shared" si="75"/>
        <v>0PremiumSS5</v>
      </c>
      <c r="E883" s="10">
        <v>0</v>
      </c>
      <c r="F883" s="6">
        <v>500</v>
      </c>
      <c r="G883" s="8" t="str">
        <f>VLOOKUP(F883,[1]characters!$A:$C,3,FALSE)</f>
        <v>脈動の禁髪 ラプンツェル</v>
      </c>
      <c r="H883" s="8" t="str">
        <f>VLOOKUP(F883,[1]characters!$A:$J,10,FALSE)</f>
        <v>PremiumSS</v>
      </c>
      <c r="I883" s="8">
        <f>VLOOKUP(F883,[1]characters!$A:$I,9,FALSE)</f>
        <v>5</v>
      </c>
      <c r="J883" s="8" t="str">
        <f>VLOOKUP(F883,[1]characters!$A:$H,8,FALSE)</f>
        <v>yellow</v>
      </c>
      <c r="K883" s="8" t="str">
        <f>VLOOKUP(F883,[1]characters!$A:$K,11,FALSE)</f>
        <v>balance</v>
      </c>
      <c r="L883" s="8" t="str">
        <f>VLOOKUP(F883,[1]characters!$A:$M,13,FALSE)</f>
        <v>human</v>
      </c>
      <c r="M883" s="16">
        <f>VLOOKUP(D883,gacha_188_base!A:B,2,FALSE)</f>
        <v>109</v>
      </c>
      <c r="N883" s="38">
        <f>IFERROR(VLOOKUP($F883,bug_conf_sheet!$A:$H,3,FALSE),VLOOKUP("other",bug_conf_sheet!$A:$H,3,FALSE))</f>
        <v>1</v>
      </c>
      <c r="O883" s="38">
        <f>IFERROR(VLOOKUP($F883,bug_conf_sheet!$A:$H,4,FALSE),VLOOKUP("other",bug_conf_sheet!$A:$H,4,FALSE))</f>
        <v>0</v>
      </c>
      <c r="P883" s="38">
        <f>IFERROR(VLOOKUP($F883,bug_conf_sheet!$A:$H,5,FALSE),VLOOKUP("other",bug_conf_sheet!$A:$H,5,FALSE))</f>
        <v>0</v>
      </c>
      <c r="Q883" s="38">
        <f>IFERROR(VLOOKUP($F883,bug_conf_sheet!$A:$H,6,FALSE),VLOOKUP("other",bug_conf_sheet!$A:$H,6,FALSE))</f>
        <v>0</v>
      </c>
      <c r="R883" s="38">
        <f>IFERROR(VLOOKUP($F883,bug_conf_sheet!$A:$H,7,FALSE),VLOOKUP("other",bug_conf_sheet!$A:$H,7,FALSE))</f>
        <v>0</v>
      </c>
      <c r="S883" s="38">
        <f>IFERROR(VLOOKUP($F883,bug_conf_sheet!$A:$H,8,FALSE),VLOOKUP("other",bug_conf_sheet!$A:$H,8,FALSE))</f>
        <v>1</v>
      </c>
    </row>
    <row r="884" spans="1:19" ht="21" hidden="1" customHeight="1">
      <c r="A884" s="7" t="str">
        <f t="shared" si="73"/>
        <v>1880586</v>
      </c>
      <c r="B884" s="2" t="str">
        <f t="shared" si="72"/>
        <v>1880</v>
      </c>
      <c r="C884" s="8" t="str">
        <f t="shared" si="74"/>
        <v>0PremiumSS4</v>
      </c>
      <c r="D884" s="8" t="str">
        <f t="shared" si="75"/>
        <v>0PremiumSS4</v>
      </c>
      <c r="E884" s="10">
        <v>0</v>
      </c>
      <c r="F884" s="6">
        <v>586</v>
      </c>
      <c r="G884" s="8" t="str">
        <f>VLOOKUP(F884,[1]characters!$A:$C,3,FALSE)</f>
        <v>ユミル</v>
      </c>
      <c r="H884" s="8" t="str">
        <f>VLOOKUP(F884,[1]characters!$A:$J,10,FALSE)</f>
        <v>PremiumSS</v>
      </c>
      <c r="I884" s="8">
        <f>VLOOKUP(F884,[1]characters!$A:$I,9,FALSE)</f>
        <v>4</v>
      </c>
      <c r="J884" s="8" t="str">
        <f>VLOOKUP(F884,[1]characters!$A:$H,8,FALSE)</f>
        <v>red</v>
      </c>
      <c r="K884" s="8" t="str">
        <f>VLOOKUP(F884,[1]characters!$A:$K,11,FALSE)</f>
        <v>hp</v>
      </c>
      <c r="L884" s="8" t="str">
        <f>VLOOKUP(F884,[1]characters!$A:$M,13,FALSE)</f>
        <v>machine</v>
      </c>
      <c r="M884" s="16">
        <f>VLOOKUP(D884,gacha_188_base!A:B,2,FALSE)</f>
        <v>1709</v>
      </c>
      <c r="N884" s="38">
        <f>IFERROR(VLOOKUP($F884,bug_conf_sheet!$A:$H,3,FALSE),VLOOKUP("other",bug_conf_sheet!$A:$H,3,FALSE))</f>
        <v>1</v>
      </c>
      <c r="O884" s="38">
        <f>IFERROR(VLOOKUP($F884,bug_conf_sheet!$A:$H,4,FALSE),VLOOKUP("other",bug_conf_sheet!$A:$H,4,FALSE))</f>
        <v>0</v>
      </c>
      <c r="P884" s="38">
        <f>IFERROR(VLOOKUP($F884,bug_conf_sheet!$A:$H,5,FALSE),VLOOKUP("other",bug_conf_sheet!$A:$H,5,FALSE))</f>
        <v>0</v>
      </c>
      <c r="Q884" s="38">
        <f>IFERROR(VLOOKUP($F884,bug_conf_sheet!$A:$H,6,FALSE),VLOOKUP("other",bug_conf_sheet!$A:$H,6,FALSE))</f>
        <v>0</v>
      </c>
      <c r="R884" s="38">
        <f>IFERROR(VLOOKUP($F884,bug_conf_sheet!$A:$H,7,FALSE),VLOOKUP("other",bug_conf_sheet!$A:$H,7,FALSE))</f>
        <v>0</v>
      </c>
      <c r="S884" s="38">
        <f>IFERROR(VLOOKUP($F884,bug_conf_sheet!$A:$H,8,FALSE),VLOOKUP("other",bug_conf_sheet!$A:$H,8,FALSE))</f>
        <v>1</v>
      </c>
    </row>
    <row r="885" spans="1:19" ht="21" customHeight="1">
      <c r="A885" s="7" t="str">
        <f t="shared" si="73"/>
        <v>1880587</v>
      </c>
      <c r="B885" s="2" t="str">
        <f t="shared" si="72"/>
        <v>1880</v>
      </c>
      <c r="C885" s="8" t="str">
        <f t="shared" si="74"/>
        <v>0PremiumSS5</v>
      </c>
      <c r="D885" s="8" t="str">
        <f t="shared" si="75"/>
        <v>0PremiumSS5</v>
      </c>
      <c r="E885" s="10">
        <v>0</v>
      </c>
      <c r="F885" s="6">
        <v>587</v>
      </c>
      <c r="G885" s="8" t="str">
        <f>VLOOKUP(F885,[1]characters!$A:$C,3,FALSE)</f>
        <v>原初の煉鋼巨刃 ユミル</v>
      </c>
      <c r="H885" s="8" t="str">
        <f>VLOOKUP(F885,[1]characters!$A:$J,10,FALSE)</f>
        <v>PremiumSS</v>
      </c>
      <c r="I885" s="8">
        <f>VLOOKUP(F885,[1]characters!$A:$I,9,FALSE)</f>
        <v>5</v>
      </c>
      <c r="J885" s="8" t="str">
        <f>VLOOKUP(F885,[1]characters!$A:$H,8,FALSE)</f>
        <v>red</v>
      </c>
      <c r="K885" s="8" t="str">
        <f>VLOOKUP(F885,[1]characters!$A:$K,11,FALSE)</f>
        <v>hp</v>
      </c>
      <c r="L885" s="8" t="str">
        <f>VLOOKUP(F885,[1]characters!$A:$M,13,FALSE)</f>
        <v>machine</v>
      </c>
      <c r="M885" s="16">
        <f>VLOOKUP(D885,gacha_188_base!A:B,2,FALSE)</f>
        <v>109</v>
      </c>
      <c r="N885" s="38">
        <f>IFERROR(VLOOKUP($F885,bug_conf_sheet!$A:$H,3,FALSE),VLOOKUP("other",bug_conf_sheet!$A:$H,3,FALSE))</f>
        <v>1</v>
      </c>
      <c r="O885" s="38">
        <f>IFERROR(VLOOKUP($F885,bug_conf_sheet!$A:$H,4,FALSE),VLOOKUP("other",bug_conf_sheet!$A:$H,4,FALSE))</f>
        <v>0</v>
      </c>
      <c r="P885" s="38">
        <f>IFERROR(VLOOKUP($F885,bug_conf_sheet!$A:$H,5,FALSE),VLOOKUP("other",bug_conf_sheet!$A:$H,5,FALSE))</f>
        <v>0</v>
      </c>
      <c r="Q885" s="38">
        <f>IFERROR(VLOOKUP($F885,bug_conf_sheet!$A:$H,6,FALSE),VLOOKUP("other",bug_conf_sheet!$A:$H,6,FALSE))</f>
        <v>0</v>
      </c>
      <c r="R885" s="38">
        <f>IFERROR(VLOOKUP($F885,bug_conf_sheet!$A:$H,7,FALSE),VLOOKUP("other",bug_conf_sheet!$A:$H,7,FALSE))</f>
        <v>0</v>
      </c>
      <c r="S885" s="38">
        <f>IFERROR(VLOOKUP($F885,bug_conf_sheet!$A:$H,8,FALSE),VLOOKUP("other",bug_conf_sheet!$A:$H,8,FALSE))</f>
        <v>1</v>
      </c>
    </row>
    <row r="886" spans="1:19" ht="21" hidden="1" customHeight="1">
      <c r="A886" s="7" t="str">
        <f t="shared" si="73"/>
        <v>1880589</v>
      </c>
      <c r="B886" s="2" t="str">
        <f t="shared" si="72"/>
        <v>1880</v>
      </c>
      <c r="C886" s="8" t="str">
        <f t="shared" si="74"/>
        <v>0PremiumS4</v>
      </c>
      <c r="D886" s="8" t="str">
        <f t="shared" si="75"/>
        <v>0PremiumS4</v>
      </c>
      <c r="E886" s="10">
        <v>0</v>
      </c>
      <c r="F886" s="6">
        <v>589</v>
      </c>
      <c r="G886" s="8" t="str">
        <f>VLOOKUP(F886,[1]characters!$A:$C,3,FALSE)</f>
        <v>不幸の円環 ニーベルゲン</v>
      </c>
      <c r="H886" s="8" t="str">
        <f>VLOOKUP(F886,[1]characters!$A:$J,10,FALSE)</f>
        <v>PremiumS</v>
      </c>
      <c r="I886" s="8">
        <f>VLOOKUP(F886,[1]characters!$A:$I,9,FALSE)</f>
        <v>4</v>
      </c>
      <c r="J886" s="8" t="str">
        <f>VLOOKUP(F886,[1]characters!$A:$H,8,FALSE)</f>
        <v>green</v>
      </c>
      <c r="K886" s="8" t="str">
        <f>VLOOKUP(F886,[1]characters!$A:$K,11,FALSE)</f>
        <v>balance</v>
      </c>
      <c r="L886" s="8" t="str">
        <f>VLOOKUP(F886,[1]characters!$A:$M,13,FALSE)</f>
        <v>unknown</v>
      </c>
      <c r="M886" s="16">
        <f>VLOOKUP(D886,gacha_188_base!A:B,2,FALSE)</f>
        <v>14648</v>
      </c>
      <c r="N886" s="38">
        <f>IFERROR(VLOOKUP($F886,bug_conf_sheet!$A:$H,3,FALSE),VLOOKUP("other",bug_conf_sheet!$A:$H,3,FALSE))</f>
        <v>1</v>
      </c>
      <c r="O886" s="38">
        <f>IFERROR(VLOOKUP($F886,bug_conf_sheet!$A:$H,4,FALSE),VLOOKUP("other",bug_conf_sheet!$A:$H,4,FALSE))</f>
        <v>0</v>
      </c>
      <c r="P886" s="38">
        <f>IFERROR(VLOOKUP($F886,bug_conf_sheet!$A:$H,5,FALSE),VLOOKUP("other",bug_conf_sheet!$A:$H,5,FALSE))</f>
        <v>0</v>
      </c>
      <c r="Q886" s="38">
        <f>IFERROR(VLOOKUP($F886,bug_conf_sheet!$A:$H,6,FALSE),VLOOKUP("other",bug_conf_sheet!$A:$H,6,FALSE))</f>
        <v>0</v>
      </c>
      <c r="R886" s="38">
        <f>IFERROR(VLOOKUP($F886,bug_conf_sheet!$A:$H,7,FALSE),VLOOKUP("other",bug_conf_sheet!$A:$H,7,FALSE))</f>
        <v>0</v>
      </c>
      <c r="S886" s="38">
        <f>IFERROR(VLOOKUP($F886,bug_conf_sheet!$A:$H,8,FALSE),VLOOKUP("other",bug_conf_sheet!$A:$H,8,FALSE))</f>
        <v>1</v>
      </c>
    </row>
    <row r="887" spans="1:19" ht="21" customHeight="1">
      <c r="A887" s="7" t="str">
        <f t="shared" si="73"/>
        <v>1880590</v>
      </c>
      <c r="B887" s="2" t="str">
        <f t="shared" si="72"/>
        <v>1880</v>
      </c>
      <c r="C887" s="8" t="str">
        <f t="shared" si="74"/>
        <v>0PremiumS5</v>
      </c>
      <c r="D887" s="8" t="str">
        <f t="shared" si="75"/>
        <v>0PremiumS5</v>
      </c>
      <c r="E887" s="10">
        <v>0</v>
      </c>
      <c r="F887" s="6">
        <v>590</v>
      </c>
      <c r="G887" s="8" t="str">
        <f>VLOOKUP(F887,[1]characters!$A:$C,3,FALSE)</f>
        <v>永遠を廻る呪い ニーベルゲン</v>
      </c>
      <c r="H887" s="8" t="str">
        <f>VLOOKUP(F887,[1]characters!$A:$J,10,FALSE)</f>
        <v>PremiumS</v>
      </c>
      <c r="I887" s="8">
        <f>VLOOKUP(F887,[1]characters!$A:$I,9,FALSE)</f>
        <v>5</v>
      </c>
      <c r="J887" s="8" t="str">
        <f>VLOOKUP(F887,[1]characters!$A:$H,8,FALSE)</f>
        <v>green</v>
      </c>
      <c r="K887" s="8" t="str">
        <f>VLOOKUP(F887,[1]characters!$A:$K,11,FALSE)</f>
        <v>balance</v>
      </c>
      <c r="L887" s="8" t="str">
        <f>VLOOKUP(F887,[1]characters!$A:$M,13,FALSE)</f>
        <v>unknown</v>
      </c>
      <c r="M887" s="16">
        <f>VLOOKUP(D887,gacha_188_base!A:B,2,FALSE)</f>
        <v>935</v>
      </c>
      <c r="N887" s="38">
        <f>IFERROR(VLOOKUP($F887,bug_conf_sheet!$A:$H,3,FALSE),VLOOKUP("other",bug_conf_sheet!$A:$H,3,FALSE))</f>
        <v>1</v>
      </c>
      <c r="O887" s="38">
        <f>IFERROR(VLOOKUP($F887,bug_conf_sheet!$A:$H,4,FALSE),VLOOKUP("other",bug_conf_sheet!$A:$H,4,FALSE))</f>
        <v>0</v>
      </c>
      <c r="P887" s="38">
        <f>IFERROR(VLOOKUP($F887,bug_conf_sheet!$A:$H,5,FALSE),VLOOKUP("other",bug_conf_sheet!$A:$H,5,FALSE))</f>
        <v>0</v>
      </c>
      <c r="Q887" s="38">
        <f>IFERROR(VLOOKUP($F887,bug_conf_sheet!$A:$H,6,FALSE),VLOOKUP("other",bug_conf_sheet!$A:$H,6,FALSE))</f>
        <v>0</v>
      </c>
      <c r="R887" s="38">
        <f>IFERROR(VLOOKUP($F887,bug_conf_sheet!$A:$H,7,FALSE),VLOOKUP("other",bug_conf_sheet!$A:$H,7,FALSE))</f>
        <v>0</v>
      </c>
      <c r="S887" s="38">
        <f>IFERROR(VLOOKUP($F887,bug_conf_sheet!$A:$H,8,FALSE),VLOOKUP("other",bug_conf_sheet!$A:$H,8,FALSE))</f>
        <v>1</v>
      </c>
    </row>
    <row r="888" spans="1:19" ht="21" hidden="1" customHeight="1">
      <c r="A888" s="7" t="str">
        <f t="shared" si="73"/>
        <v>1880592</v>
      </c>
      <c r="B888" s="2" t="str">
        <f t="shared" si="72"/>
        <v>1880</v>
      </c>
      <c r="C888" s="8" t="str">
        <f t="shared" si="74"/>
        <v>0PremiumS4</v>
      </c>
      <c r="D888" s="8" t="str">
        <f t="shared" si="75"/>
        <v>0PremiumS4</v>
      </c>
      <c r="E888" s="10">
        <v>0</v>
      </c>
      <c r="F888" s="6">
        <v>592</v>
      </c>
      <c r="G888" s="8" t="str">
        <f>VLOOKUP(F888,[1]characters!$A:$C,3,FALSE)</f>
        <v>財宝への執着 ファフニール</v>
      </c>
      <c r="H888" s="8" t="str">
        <f>VLOOKUP(F888,[1]characters!$A:$J,10,FALSE)</f>
        <v>PremiumS</v>
      </c>
      <c r="I888" s="8">
        <f>VLOOKUP(F888,[1]characters!$A:$I,9,FALSE)</f>
        <v>4</v>
      </c>
      <c r="J888" s="8" t="str">
        <f>VLOOKUP(F888,[1]characters!$A:$H,8,FALSE)</f>
        <v>blue</v>
      </c>
      <c r="K888" s="8" t="str">
        <f>VLOOKUP(F888,[1]characters!$A:$K,11,FALSE)</f>
        <v>technical</v>
      </c>
      <c r="L888" s="8" t="str">
        <f>VLOOKUP(F888,[1]characters!$A:$M,13,FALSE)</f>
        <v>dragon</v>
      </c>
      <c r="M888" s="16">
        <f>VLOOKUP(D888,gacha_188_base!A:B,2,FALSE)</f>
        <v>14648</v>
      </c>
      <c r="N888" s="38">
        <f>IFERROR(VLOOKUP($F888,bug_conf_sheet!$A:$H,3,FALSE),VLOOKUP("other",bug_conf_sheet!$A:$H,3,FALSE))</f>
        <v>1</v>
      </c>
      <c r="O888" s="38">
        <f>IFERROR(VLOOKUP($F888,bug_conf_sheet!$A:$H,4,FALSE),VLOOKUP("other",bug_conf_sheet!$A:$H,4,FALSE))</f>
        <v>0</v>
      </c>
      <c r="P888" s="38">
        <f>IFERROR(VLOOKUP($F888,bug_conf_sheet!$A:$H,5,FALSE),VLOOKUP("other",bug_conf_sheet!$A:$H,5,FALSE))</f>
        <v>0</v>
      </c>
      <c r="Q888" s="38">
        <f>IFERROR(VLOOKUP($F888,bug_conf_sheet!$A:$H,6,FALSE),VLOOKUP("other",bug_conf_sheet!$A:$H,6,FALSE))</f>
        <v>0</v>
      </c>
      <c r="R888" s="38">
        <f>IFERROR(VLOOKUP($F888,bug_conf_sheet!$A:$H,7,FALSE),VLOOKUP("other",bug_conf_sheet!$A:$H,7,FALSE))</f>
        <v>0</v>
      </c>
      <c r="S888" s="38">
        <f>IFERROR(VLOOKUP($F888,bug_conf_sheet!$A:$H,8,FALSE),VLOOKUP("other",bug_conf_sheet!$A:$H,8,FALSE))</f>
        <v>1</v>
      </c>
    </row>
    <row r="889" spans="1:19" ht="21" customHeight="1">
      <c r="A889" s="7" t="str">
        <f t="shared" si="73"/>
        <v>1880593</v>
      </c>
      <c r="B889" s="2" t="str">
        <f t="shared" si="72"/>
        <v>1880</v>
      </c>
      <c r="C889" s="8" t="str">
        <f t="shared" si="74"/>
        <v>0PremiumS5</v>
      </c>
      <c r="D889" s="8" t="str">
        <f t="shared" si="75"/>
        <v>0PremiumS5</v>
      </c>
      <c r="E889" s="10">
        <v>0</v>
      </c>
      <c r="F889" s="6">
        <v>593</v>
      </c>
      <c r="G889" s="8" t="str">
        <f>VLOOKUP(F889,[1]characters!$A:$C,3,FALSE)</f>
        <v>妄執する邪毒龍 ファフニール</v>
      </c>
      <c r="H889" s="8" t="str">
        <f>VLOOKUP(F889,[1]characters!$A:$J,10,FALSE)</f>
        <v>PremiumS</v>
      </c>
      <c r="I889" s="8">
        <f>VLOOKUP(F889,[1]characters!$A:$I,9,FALSE)</f>
        <v>5</v>
      </c>
      <c r="J889" s="8" t="str">
        <f>VLOOKUP(F889,[1]characters!$A:$H,8,FALSE)</f>
        <v>blue</v>
      </c>
      <c r="K889" s="8" t="str">
        <f>VLOOKUP(F889,[1]characters!$A:$K,11,FALSE)</f>
        <v>technical</v>
      </c>
      <c r="L889" s="8" t="str">
        <f>VLOOKUP(F889,[1]characters!$A:$M,13,FALSE)</f>
        <v>dragon</v>
      </c>
      <c r="M889" s="16">
        <f>VLOOKUP(D889,gacha_188_base!A:B,2,FALSE)</f>
        <v>935</v>
      </c>
      <c r="N889" s="38">
        <f>IFERROR(VLOOKUP($F889,bug_conf_sheet!$A:$H,3,FALSE),VLOOKUP("other",bug_conf_sheet!$A:$H,3,FALSE))</f>
        <v>1</v>
      </c>
      <c r="O889" s="38">
        <f>IFERROR(VLOOKUP($F889,bug_conf_sheet!$A:$H,4,FALSE),VLOOKUP("other",bug_conf_sheet!$A:$H,4,FALSE))</f>
        <v>0</v>
      </c>
      <c r="P889" s="38">
        <f>IFERROR(VLOOKUP($F889,bug_conf_sheet!$A:$H,5,FALSE),VLOOKUP("other",bug_conf_sheet!$A:$H,5,FALSE))</f>
        <v>0</v>
      </c>
      <c r="Q889" s="38">
        <f>IFERROR(VLOOKUP($F889,bug_conf_sheet!$A:$H,6,FALSE),VLOOKUP("other",bug_conf_sheet!$A:$H,6,FALSE))</f>
        <v>0</v>
      </c>
      <c r="R889" s="38">
        <f>IFERROR(VLOOKUP($F889,bug_conf_sheet!$A:$H,7,FALSE),VLOOKUP("other",bug_conf_sheet!$A:$H,7,FALSE))</f>
        <v>0</v>
      </c>
      <c r="S889" s="38">
        <f>IFERROR(VLOOKUP($F889,bug_conf_sheet!$A:$H,8,FALSE),VLOOKUP("other",bug_conf_sheet!$A:$H,8,FALSE))</f>
        <v>1</v>
      </c>
    </row>
    <row r="890" spans="1:19" ht="21" hidden="1" customHeight="1">
      <c r="A890" s="7" t="str">
        <f t="shared" si="73"/>
        <v>1880594</v>
      </c>
      <c r="B890" s="2" t="str">
        <f t="shared" si="72"/>
        <v>1880</v>
      </c>
      <c r="C890" s="8" t="str">
        <f t="shared" si="74"/>
        <v>0PremiumSS4</v>
      </c>
      <c r="D890" s="8" t="str">
        <f t="shared" si="75"/>
        <v>0PremiumSS4</v>
      </c>
      <c r="E890" s="10">
        <v>0</v>
      </c>
      <c r="F890" s="6">
        <v>594</v>
      </c>
      <c r="G890" s="8" t="str">
        <f>VLOOKUP(F890,[1]characters!$A:$C,3,FALSE)</f>
        <v>アルフヘイム</v>
      </c>
      <c r="H890" s="8" t="str">
        <f>VLOOKUP(F890,[1]characters!$A:$J,10,FALSE)</f>
        <v>PremiumSS</v>
      </c>
      <c r="I890" s="8">
        <f>VLOOKUP(F890,[1]characters!$A:$I,9,FALSE)</f>
        <v>4</v>
      </c>
      <c r="J890" s="8" t="str">
        <f>VLOOKUP(F890,[1]characters!$A:$H,8,FALSE)</f>
        <v>yellow</v>
      </c>
      <c r="K890" s="8" t="str">
        <f>VLOOKUP(F890,[1]characters!$A:$K,11,FALSE)</f>
        <v>attack</v>
      </c>
      <c r="L890" s="8" t="str">
        <f>VLOOKUP(F890,[1]characters!$A:$M,13,FALSE)</f>
        <v>dragon</v>
      </c>
      <c r="M890" s="16">
        <f>VLOOKUP(D890,gacha_188_base!A:B,2,FALSE)</f>
        <v>1709</v>
      </c>
      <c r="N890" s="38">
        <f>IFERROR(VLOOKUP($F890,bug_conf_sheet!$A:$H,3,FALSE),VLOOKUP("other",bug_conf_sheet!$A:$H,3,FALSE))</f>
        <v>1</v>
      </c>
      <c r="O890" s="38">
        <f>IFERROR(VLOOKUP($F890,bug_conf_sheet!$A:$H,4,FALSE),VLOOKUP("other",bug_conf_sheet!$A:$H,4,FALSE))</f>
        <v>0</v>
      </c>
      <c r="P890" s="38">
        <f>IFERROR(VLOOKUP($F890,bug_conf_sheet!$A:$H,5,FALSE),VLOOKUP("other",bug_conf_sheet!$A:$H,5,FALSE))</f>
        <v>0</v>
      </c>
      <c r="Q890" s="38">
        <f>IFERROR(VLOOKUP($F890,bug_conf_sheet!$A:$H,6,FALSE),VLOOKUP("other",bug_conf_sheet!$A:$H,6,FALSE))</f>
        <v>0</v>
      </c>
      <c r="R890" s="38">
        <f>IFERROR(VLOOKUP($F890,bug_conf_sheet!$A:$H,7,FALSE),VLOOKUP("other",bug_conf_sheet!$A:$H,7,FALSE))</f>
        <v>0</v>
      </c>
      <c r="S890" s="38">
        <f>IFERROR(VLOOKUP($F890,bug_conf_sheet!$A:$H,8,FALSE),VLOOKUP("other",bug_conf_sheet!$A:$H,8,FALSE))</f>
        <v>1</v>
      </c>
    </row>
    <row r="891" spans="1:19" ht="21" customHeight="1">
      <c r="A891" s="7" t="str">
        <f t="shared" si="73"/>
        <v>1880595</v>
      </c>
      <c r="B891" s="2" t="str">
        <f t="shared" si="72"/>
        <v>1880</v>
      </c>
      <c r="C891" s="8" t="str">
        <f t="shared" si="74"/>
        <v>0PremiumSS5</v>
      </c>
      <c r="D891" s="8" t="str">
        <f t="shared" si="75"/>
        <v>0PremiumSS5</v>
      </c>
      <c r="E891" s="10">
        <v>0</v>
      </c>
      <c r="F891" s="6">
        <v>595</v>
      </c>
      <c r="G891" s="8" t="str">
        <f>VLOOKUP(F891,[1]characters!$A:$C,3,FALSE)</f>
        <v>光華なる神域 アルフヘイム</v>
      </c>
      <c r="H891" s="8" t="str">
        <f>VLOOKUP(F891,[1]characters!$A:$J,10,FALSE)</f>
        <v>PremiumSS</v>
      </c>
      <c r="I891" s="8">
        <f>VLOOKUP(F891,[1]characters!$A:$I,9,FALSE)</f>
        <v>5</v>
      </c>
      <c r="J891" s="8" t="str">
        <f>VLOOKUP(F891,[1]characters!$A:$H,8,FALSE)</f>
        <v>yellow</v>
      </c>
      <c r="K891" s="8" t="str">
        <f>VLOOKUP(F891,[1]characters!$A:$K,11,FALSE)</f>
        <v>attack</v>
      </c>
      <c r="L891" s="8" t="str">
        <f>VLOOKUP(F891,[1]characters!$A:$M,13,FALSE)</f>
        <v>dragon</v>
      </c>
      <c r="M891" s="16">
        <f>VLOOKUP(D891,gacha_188_base!A:B,2,FALSE)</f>
        <v>109</v>
      </c>
      <c r="N891" s="38">
        <f>IFERROR(VLOOKUP($F891,bug_conf_sheet!$A:$H,3,FALSE),VLOOKUP("other",bug_conf_sheet!$A:$H,3,FALSE))</f>
        <v>1</v>
      </c>
      <c r="O891" s="38">
        <f>IFERROR(VLOOKUP($F891,bug_conf_sheet!$A:$H,4,FALSE),VLOOKUP("other",bug_conf_sheet!$A:$H,4,FALSE))</f>
        <v>0</v>
      </c>
      <c r="P891" s="38">
        <f>IFERROR(VLOOKUP($F891,bug_conf_sheet!$A:$H,5,FALSE),VLOOKUP("other",bug_conf_sheet!$A:$H,5,FALSE))</f>
        <v>0</v>
      </c>
      <c r="Q891" s="38">
        <f>IFERROR(VLOOKUP($F891,bug_conf_sheet!$A:$H,6,FALSE),VLOOKUP("other",bug_conf_sheet!$A:$H,6,FALSE))</f>
        <v>0</v>
      </c>
      <c r="R891" s="38">
        <f>IFERROR(VLOOKUP($F891,bug_conf_sheet!$A:$H,7,FALSE),VLOOKUP("other",bug_conf_sheet!$A:$H,7,FALSE))</f>
        <v>0</v>
      </c>
      <c r="S891" s="38">
        <f>IFERROR(VLOOKUP($F891,bug_conf_sheet!$A:$H,8,FALSE),VLOOKUP("other",bug_conf_sheet!$A:$H,8,FALSE))</f>
        <v>1</v>
      </c>
    </row>
    <row r="892" spans="1:19" ht="21" hidden="1" customHeight="1">
      <c r="A892" s="7" t="str">
        <f t="shared" si="73"/>
        <v>1880597</v>
      </c>
      <c r="B892" s="2" t="str">
        <f t="shared" si="72"/>
        <v>1880</v>
      </c>
      <c r="C892" s="8" t="str">
        <f t="shared" si="74"/>
        <v>0PremiumS4</v>
      </c>
      <c r="D892" s="8" t="str">
        <f t="shared" si="75"/>
        <v>0PremiumS4</v>
      </c>
      <c r="E892" s="10">
        <v>0</v>
      </c>
      <c r="F892" s="6">
        <v>597</v>
      </c>
      <c r="G892" s="8" t="str">
        <f>VLOOKUP(F892,[1]characters!$A:$C,3,FALSE)</f>
        <v>灼熱の魂 ムスペルヘイム</v>
      </c>
      <c r="H892" s="8" t="str">
        <f>VLOOKUP(F892,[1]characters!$A:$J,10,FALSE)</f>
        <v>PremiumS</v>
      </c>
      <c r="I892" s="8">
        <f>VLOOKUP(F892,[1]characters!$A:$I,9,FALSE)</f>
        <v>4</v>
      </c>
      <c r="J892" s="8" t="str">
        <f>VLOOKUP(F892,[1]characters!$A:$H,8,FALSE)</f>
        <v>red</v>
      </c>
      <c r="K892" s="8" t="str">
        <f>VLOOKUP(F892,[1]characters!$A:$K,11,FALSE)</f>
        <v>balance</v>
      </c>
      <c r="L892" s="8" t="str">
        <f>VLOOKUP(F892,[1]characters!$A:$M,13,FALSE)</f>
        <v>human</v>
      </c>
      <c r="M892" s="16">
        <f>VLOOKUP(D892,gacha_188_base!A:B,2,FALSE)</f>
        <v>14648</v>
      </c>
      <c r="N892" s="38">
        <f>IFERROR(VLOOKUP($F892,bug_conf_sheet!$A:$H,3,FALSE),VLOOKUP("other",bug_conf_sheet!$A:$H,3,FALSE))</f>
        <v>1</v>
      </c>
      <c r="O892" s="38">
        <f>IFERROR(VLOOKUP($F892,bug_conf_sheet!$A:$H,4,FALSE),VLOOKUP("other",bug_conf_sheet!$A:$H,4,FALSE))</f>
        <v>0</v>
      </c>
      <c r="P892" s="38">
        <f>IFERROR(VLOOKUP($F892,bug_conf_sheet!$A:$H,5,FALSE),VLOOKUP("other",bug_conf_sheet!$A:$H,5,FALSE))</f>
        <v>0</v>
      </c>
      <c r="Q892" s="38">
        <f>IFERROR(VLOOKUP($F892,bug_conf_sheet!$A:$H,6,FALSE),VLOOKUP("other",bug_conf_sheet!$A:$H,6,FALSE))</f>
        <v>0</v>
      </c>
      <c r="R892" s="38">
        <f>IFERROR(VLOOKUP($F892,bug_conf_sheet!$A:$H,7,FALSE),VLOOKUP("other",bug_conf_sheet!$A:$H,7,FALSE))</f>
        <v>0</v>
      </c>
      <c r="S892" s="38">
        <f>IFERROR(VLOOKUP($F892,bug_conf_sheet!$A:$H,8,FALSE),VLOOKUP("other",bug_conf_sheet!$A:$H,8,FALSE))</f>
        <v>1</v>
      </c>
    </row>
    <row r="893" spans="1:19" ht="21" customHeight="1">
      <c r="A893" s="7" t="str">
        <f t="shared" si="73"/>
        <v>1880598</v>
      </c>
      <c r="B893" s="2" t="str">
        <f t="shared" si="72"/>
        <v>1880</v>
      </c>
      <c r="C893" s="8" t="str">
        <f t="shared" si="74"/>
        <v>0PremiumS5</v>
      </c>
      <c r="D893" s="8" t="str">
        <f t="shared" si="75"/>
        <v>0PremiumS5</v>
      </c>
      <c r="E893" s="10">
        <v>0</v>
      </c>
      <c r="F893" s="6">
        <v>598</v>
      </c>
      <c r="G893" s="8" t="str">
        <f>VLOOKUP(F893,[1]characters!$A:$C,3,FALSE)</f>
        <v>焼燃の情熱 ムスペルヘイム</v>
      </c>
      <c r="H893" s="8" t="str">
        <f>VLOOKUP(F893,[1]characters!$A:$J,10,FALSE)</f>
        <v>PremiumS</v>
      </c>
      <c r="I893" s="8">
        <f>VLOOKUP(F893,[1]characters!$A:$I,9,FALSE)</f>
        <v>5</v>
      </c>
      <c r="J893" s="8" t="str">
        <f>VLOOKUP(F893,[1]characters!$A:$H,8,FALSE)</f>
        <v>red</v>
      </c>
      <c r="K893" s="8" t="str">
        <f>VLOOKUP(F893,[1]characters!$A:$K,11,FALSE)</f>
        <v>balance</v>
      </c>
      <c r="L893" s="8" t="str">
        <f>VLOOKUP(F893,[1]characters!$A:$M,13,FALSE)</f>
        <v>human</v>
      </c>
      <c r="M893" s="16">
        <f>VLOOKUP(D893,gacha_188_base!A:B,2,FALSE)</f>
        <v>935</v>
      </c>
      <c r="N893" s="38">
        <f>IFERROR(VLOOKUP($F893,bug_conf_sheet!$A:$H,3,FALSE),VLOOKUP("other",bug_conf_sheet!$A:$H,3,FALSE))</f>
        <v>1</v>
      </c>
      <c r="O893" s="38">
        <f>IFERROR(VLOOKUP($F893,bug_conf_sheet!$A:$H,4,FALSE),VLOOKUP("other",bug_conf_sheet!$A:$H,4,FALSE))</f>
        <v>0</v>
      </c>
      <c r="P893" s="38">
        <f>IFERROR(VLOOKUP($F893,bug_conf_sheet!$A:$H,5,FALSE),VLOOKUP("other",bug_conf_sheet!$A:$H,5,FALSE))</f>
        <v>0</v>
      </c>
      <c r="Q893" s="38">
        <f>IFERROR(VLOOKUP($F893,bug_conf_sheet!$A:$H,6,FALSE),VLOOKUP("other",bug_conf_sheet!$A:$H,6,FALSE))</f>
        <v>0</v>
      </c>
      <c r="R893" s="38">
        <f>IFERROR(VLOOKUP($F893,bug_conf_sheet!$A:$H,7,FALSE),VLOOKUP("other",bug_conf_sheet!$A:$H,7,FALSE))</f>
        <v>0</v>
      </c>
      <c r="S893" s="38">
        <f>IFERROR(VLOOKUP($F893,bug_conf_sheet!$A:$H,8,FALSE),VLOOKUP("other",bug_conf_sheet!$A:$H,8,FALSE))</f>
        <v>1</v>
      </c>
    </row>
    <row r="894" spans="1:19" ht="21" hidden="1" customHeight="1">
      <c r="A894" s="7" t="str">
        <f t="shared" si="73"/>
        <v>1880600</v>
      </c>
      <c r="B894" s="2" t="str">
        <f t="shared" si="72"/>
        <v>1880</v>
      </c>
      <c r="C894" s="8" t="str">
        <f t="shared" si="74"/>
        <v>0PremiumS4</v>
      </c>
      <c r="D894" s="8" t="str">
        <f t="shared" si="75"/>
        <v>0PremiumS4</v>
      </c>
      <c r="E894" s="10">
        <v>0</v>
      </c>
      <c r="F894" s="6">
        <v>600</v>
      </c>
      <c r="G894" s="8" t="str">
        <f>VLOOKUP(F894,[1]characters!$A:$C,3,FALSE)</f>
        <v>界下に潜む蛇 ニーズヘッグ</v>
      </c>
      <c r="H894" s="8" t="str">
        <f>VLOOKUP(F894,[1]characters!$A:$J,10,FALSE)</f>
        <v>PremiumS</v>
      </c>
      <c r="I894" s="8">
        <f>VLOOKUP(F894,[1]characters!$A:$I,9,FALSE)</f>
        <v>4</v>
      </c>
      <c r="J894" s="8" t="str">
        <f>VLOOKUP(F894,[1]characters!$A:$H,8,FALSE)</f>
        <v>green</v>
      </c>
      <c r="K894" s="8" t="str">
        <f>VLOOKUP(F894,[1]characters!$A:$K,11,FALSE)</f>
        <v>attack</v>
      </c>
      <c r="L894" s="8" t="str">
        <f>VLOOKUP(F894,[1]characters!$A:$M,13,FALSE)</f>
        <v>dragon</v>
      </c>
      <c r="M894" s="16">
        <f>VLOOKUP(D894,gacha_188_base!A:B,2,FALSE)</f>
        <v>14648</v>
      </c>
      <c r="N894" s="38">
        <f>IFERROR(VLOOKUP($F894,bug_conf_sheet!$A:$H,3,FALSE),VLOOKUP("other",bug_conf_sheet!$A:$H,3,FALSE))</f>
        <v>1</v>
      </c>
      <c r="O894" s="38">
        <f>IFERROR(VLOOKUP($F894,bug_conf_sheet!$A:$H,4,FALSE),VLOOKUP("other",bug_conf_sheet!$A:$H,4,FALSE))</f>
        <v>0</v>
      </c>
      <c r="P894" s="38">
        <f>IFERROR(VLOOKUP($F894,bug_conf_sheet!$A:$H,5,FALSE),VLOOKUP("other",bug_conf_sheet!$A:$H,5,FALSE))</f>
        <v>0</v>
      </c>
      <c r="Q894" s="38">
        <f>IFERROR(VLOOKUP($F894,bug_conf_sheet!$A:$H,6,FALSE),VLOOKUP("other",bug_conf_sheet!$A:$H,6,FALSE))</f>
        <v>0</v>
      </c>
      <c r="R894" s="38">
        <f>IFERROR(VLOOKUP($F894,bug_conf_sheet!$A:$H,7,FALSE),VLOOKUP("other",bug_conf_sheet!$A:$H,7,FALSE))</f>
        <v>0</v>
      </c>
      <c r="S894" s="38">
        <f>IFERROR(VLOOKUP($F894,bug_conf_sheet!$A:$H,8,FALSE),VLOOKUP("other",bug_conf_sheet!$A:$H,8,FALSE))</f>
        <v>1</v>
      </c>
    </row>
    <row r="895" spans="1:19" ht="21" customHeight="1">
      <c r="A895" s="7" t="str">
        <f t="shared" si="73"/>
        <v>1880601</v>
      </c>
      <c r="B895" s="2" t="str">
        <f t="shared" si="72"/>
        <v>1880</v>
      </c>
      <c r="C895" s="8" t="str">
        <f t="shared" si="74"/>
        <v>0PremiumS5</v>
      </c>
      <c r="D895" s="8" t="str">
        <f t="shared" si="75"/>
        <v>0PremiumS5</v>
      </c>
      <c r="E895" s="10">
        <v>0</v>
      </c>
      <c r="F895" s="6">
        <v>601</v>
      </c>
      <c r="G895" s="8" t="str">
        <f>VLOOKUP(F895,[1]characters!$A:$C,3,FALSE)</f>
        <v>界根蝕む悪食 ニーズヘッグ</v>
      </c>
      <c r="H895" s="8" t="str">
        <f>VLOOKUP(F895,[1]characters!$A:$J,10,FALSE)</f>
        <v>PremiumS</v>
      </c>
      <c r="I895" s="8">
        <f>VLOOKUP(F895,[1]characters!$A:$I,9,FALSE)</f>
        <v>5</v>
      </c>
      <c r="J895" s="8" t="str">
        <f>VLOOKUP(F895,[1]characters!$A:$H,8,FALSE)</f>
        <v>green</v>
      </c>
      <c r="K895" s="8" t="str">
        <f>VLOOKUP(F895,[1]characters!$A:$K,11,FALSE)</f>
        <v>attack</v>
      </c>
      <c r="L895" s="8" t="str">
        <f>VLOOKUP(F895,[1]characters!$A:$M,13,FALSE)</f>
        <v>dragon</v>
      </c>
      <c r="M895" s="16">
        <f>VLOOKUP(D895,gacha_188_base!A:B,2,FALSE)</f>
        <v>935</v>
      </c>
      <c r="N895" s="38">
        <f>IFERROR(VLOOKUP($F895,bug_conf_sheet!$A:$H,3,FALSE),VLOOKUP("other",bug_conf_sheet!$A:$H,3,FALSE))</f>
        <v>1</v>
      </c>
      <c r="O895" s="38">
        <f>IFERROR(VLOOKUP($F895,bug_conf_sheet!$A:$H,4,FALSE),VLOOKUP("other",bug_conf_sheet!$A:$H,4,FALSE))</f>
        <v>0</v>
      </c>
      <c r="P895" s="38">
        <f>IFERROR(VLOOKUP($F895,bug_conf_sheet!$A:$H,5,FALSE),VLOOKUP("other",bug_conf_sheet!$A:$H,5,FALSE))</f>
        <v>0</v>
      </c>
      <c r="Q895" s="38">
        <f>IFERROR(VLOOKUP($F895,bug_conf_sheet!$A:$H,6,FALSE),VLOOKUP("other",bug_conf_sheet!$A:$H,6,FALSE))</f>
        <v>0</v>
      </c>
      <c r="R895" s="38">
        <f>IFERROR(VLOOKUP($F895,bug_conf_sheet!$A:$H,7,FALSE),VLOOKUP("other",bug_conf_sheet!$A:$H,7,FALSE))</f>
        <v>0</v>
      </c>
      <c r="S895" s="38">
        <f>IFERROR(VLOOKUP($F895,bug_conf_sheet!$A:$H,8,FALSE),VLOOKUP("other",bug_conf_sheet!$A:$H,8,FALSE))</f>
        <v>1</v>
      </c>
    </row>
    <row r="896" spans="1:19" ht="21" hidden="1" customHeight="1">
      <c r="A896" s="7" t="str">
        <f t="shared" si="73"/>
        <v>1880602</v>
      </c>
      <c r="B896" s="2" t="str">
        <f t="shared" si="72"/>
        <v>1880</v>
      </c>
      <c r="C896" s="8" t="str">
        <f t="shared" si="74"/>
        <v>0PremiumSS4</v>
      </c>
      <c r="D896" s="8" t="str">
        <f t="shared" si="75"/>
        <v>0PremiumSS4</v>
      </c>
      <c r="E896" s="10">
        <v>0</v>
      </c>
      <c r="F896" s="6">
        <v>602</v>
      </c>
      <c r="G896" s="8" t="str">
        <f>VLOOKUP(F896,[1]characters!$A:$C,3,FALSE)</f>
        <v>フレイヤ</v>
      </c>
      <c r="H896" s="8" t="str">
        <f>VLOOKUP(F896,[1]characters!$A:$J,10,FALSE)</f>
        <v>PremiumSS</v>
      </c>
      <c r="I896" s="8">
        <f>VLOOKUP(F896,[1]characters!$A:$I,9,FALSE)</f>
        <v>4</v>
      </c>
      <c r="J896" s="8" t="str">
        <f>VLOOKUP(F896,[1]characters!$A:$H,8,FALSE)</f>
        <v>blue</v>
      </c>
      <c r="K896" s="8" t="str">
        <f>VLOOKUP(F896,[1]characters!$A:$K,11,FALSE)</f>
        <v>heal</v>
      </c>
      <c r="L896" s="8" t="str">
        <f>VLOOKUP(F896,[1]characters!$A:$M,13,FALSE)</f>
        <v>animal</v>
      </c>
      <c r="M896" s="16">
        <f>VLOOKUP(D896,gacha_188_base!A:B,2,FALSE)</f>
        <v>1709</v>
      </c>
      <c r="N896" s="38">
        <f>IFERROR(VLOOKUP($F896,bug_conf_sheet!$A:$H,3,FALSE),VLOOKUP("other",bug_conf_sheet!$A:$H,3,FALSE))</f>
        <v>1</v>
      </c>
      <c r="O896" s="38">
        <f>IFERROR(VLOOKUP($F896,bug_conf_sheet!$A:$H,4,FALSE),VLOOKUP("other",bug_conf_sheet!$A:$H,4,FALSE))</f>
        <v>0</v>
      </c>
      <c r="P896" s="38">
        <f>IFERROR(VLOOKUP($F896,bug_conf_sheet!$A:$H,5,FALSE),VLOOKUP("other",bug_conf_sheet!$A:$H,5,FALSE))</f>
        <v>0</v>
      </c>
      <c r="Q896" s="38">
        <f>IFERROR(VLOOKUP($F896,bug_conf_sheet!$A:$H,6,FALSE),VLOOKUP("other",bug_conf_sheet!$A:$H,6,FALSE))</f>
        <v>0</v>
      </c>
      <c r="R896" s="38">
        <f>IFERROR(VLOOKUP($F896,bug_conf_sheet!$A:$H,7,FALSE),VLOOKUP("other",bug_conf_sheet!$A:$H,7,FALSE))</f>
        <v>0</v>
      </c>
      <c r="S896" s="38">
        <f>IFERROR(VLOOKUP($F896,bug_conf_sheet!$A:$H,8,FALSE),VLOOKUP("other",bug_conf_sheet!$A:$H,8,FALSE))</f>
        <v>1</v>
      </c>
    </row>
    <row r="897" spans="1:19" ht="21" customHeight="1">
      <c r="A897" s="7" t="str">
        <f t="shared" si="73"/>
        <v>1880603</v>
      </c>
      <c r="B897" s="2" t="str">
        <f t="shared" si="72"/>
        <v>1880</v>
      </c>
      <c r="C897" s="8" t="str">
        <f t="shared" si="74"/>
        <v>0PremiumSS5</v>
      </c>
      <c r="D897" s="8" t="str">
        <f t="shared" si="75"/>
        <v>0PremiumSS5</v>
      </c>
      <c r="E897" s="10">
        <v>0</v>
      </c>
      <c r="F897" s="6">
        <v>603</v>
      </c>
      <c r="G897" s="8" t="str">
        <f>VLOOKUP(F897,[1]characters!$A:$C,3,FALSE)</f>
        <v>掌愛の豊穣女神 フレイヤ</v>
      </c>
      <c r="H897" s="8" t="str">
        <f>VLOOKUP(F897,[1]characters!$A:$J,10,FALSE)</f>
        <v>PremiumSS</v>
      </c>
      <c r="I897" s="8">
        <f>VLOOKUP(F897,[1]characters!$A:$I,9,FALSE)</f>
        <v>5</v>
      </c>
      <c r="J897" s="8" t="str">
        <f>VLOOKUP(F897,[1]characters!$A:$H,8,FALSE)</f>
        <v>blue</v>
      </c>
      <c r="K897" s="8" t="str">
        <f>VLOOKUP(F897,[1]characters!$A:$K,11,FALSE)</f>
        <v>heal</v>
      </c>
      <c r="L897" s="8" t="str">
        <f>VLOOKUP(F897,[1]characters!$A:$M,13,FALSE)</f>
        <v>animal</v>
      </c>
      <c r="M897" s="16">
        <f>VLOOKUP(D897,gacha_188_base!A:B,2,FALSE)</f>
        <v>109</v>
      </c>
      <c r="N897" s="38">
        <f>IFERROR(VLOOKUP($F897,bug_conf_sheet!$A:$H,3,FALSE),VLOOKUP("other",bug_conf_sheet!$A:$H,3,FALSE))</f>
        <v>1</v>
      </c>
      <c r="O897" s="38">
        <f>IFERROR(VLOOKUP($F897,bug_conf_sheet!$A:$H,4,FALSE),VLOOKUP("other",bug_conf_sheet!$A:$H,4,FALSE))</f>
        <v>0</v>
      </c>
      <c r="P897" s="38">
        <f>IFERROR(VLOOKUP($F897,bug_conf_sheet!$A:$H,5,FALSE),VLOOKUP("other",bug_conf_sheet!$A:$H,5,FALSE))</f>
        <v>0</v>
      </c>
      <c r="Q897" s="38">
        <f>IFERROR(VLOOKUP($F897,bug_conf_sheet!$A:$H,6,FALSE),VLOOKUP("other",bug_conf_sheet!$A:$H,6,FALSE))</f>
        <v>0</v>
      </c>
      <c r="R897" s="38">
        <f>IFERROR(VLOOKUP($F897,bug_conf_sheet!$A:$H,7,FALSE),VLOOKUP("other",bug_conf_sheet!$A:$H,7,FALSE))</f>
        <v>0</v>
      </c>
      <c r="S897" s="38">
        <f>IFERROR(VLOOKUP($F897,bug_conf_sheet!$A:$H,8,FALSE),VLOOKUP("other",bug_conf_sheet!$A:$H,8,FALSE))</f>
        <v>1</v>
      </c>
    </row>
    <row r="898" spans="1:19" ht="21" hidden="1" customHeight="1">
      <c r="A898" s="7" t="str">
        <f t="shared" si="73"/>
        <v>1880605</v>
      </c>
      <c r="B898" s="2" t="str">
        <f t="shared" si="72"/>
        <v>1880</v>
      </c>
      <c r="C898" s="8" t="str">
        <f t="shared" si="74"/>
        <v>0PremiumS4</v>
      </c>
      <c r="D898" s="8" t="str">
        <f t="shared" si="75"/>
        <v>0PremiumS4</v>
      </c>
      <c r="E898" s="10">
        <v>0</v>
      </c>
      <c r="F898" s="6">
        <v>605</v>
      </c>
      <c r="G898" s="8" t="str">
        <f>VLOOKUP(F898,[1]characters!$A:$C,3,FALSE)</f>
        <v>祝福される光耀 バルドル</v>
      </c>
      <c r="H898" s="8" t="str">
        <f>VLOOKUP(F898,[1]characters!$A:$J,10,FALSE)</f>
        <v>PremiumS</v>
      </c>
      <c r="I898" s="8">
        <f>VLOOKUP(F898,[1]characters!$A:$I,9,FALSE)</f>
        <v>4</v>
      </c>
      <c r="J898" s="8" t="str">
        <f>VLOOKUP(F898,[1]characters!$A:$H,8,FALSE)</f>
        <v>yellow</v>
      </c>
      <c r="K898" s="8" t="str">
        <f>VLOOKUP(F898,[1]characters!$A:$K,11,FALSE)</f>
        <v>heal</v>
      </c>
      <c r="L898" s="8" t="str">
        <f>VLOOKUP(F898,[1]characters!$A:$M,13,FALSE)</f>
        <v>god</v>
      </c>
      <c r="M898" s="16">
        <f>VLOOKUP(D898,gacha_188_base!A:B,2,FALSE)</f>
        <v>14648</v>
      </c>
      <c r="N898" s="38">
        <f>IFERROR(VLOOKUP($F898,bug_conf_sheet!$A:$H,3,FALSE),VLOOKUP("other",bug_conf_sheet!$A:$H,3,FALSE))</f>
        <v>1</v>
      </c>
      <c r="O898" s="38">
        <f>IFERROR(VLOOKUP($F898,bug_conf_sheet!$A:$H,4,FALSE),VLOOKUP("other",bug_conf_sheet!$A:$H,4,FALSE))</f>
        <v>0</v>
      </c>
      <c r="P898" s="38">
        <f>IFERROR(VLOOKUP($F898,bug_conf_sheet!$A:$H,5,FALSE),VLOOKUP("other",bug_conf_sheet!$A:$H,5,FALSE))</f>
        <v>0</v>
      </c>
      <c r="Q898" s="38">
        <f>IFERROR(VLOOKUP($F898,bug_conf_sheet!$A:$H,6,FALSE),VLOOKUP("other",bug_conf_sheet!$A:$H,6,FALSE))</f>
        <v>0</v>
      </c>
      <c r="R898" s="38">
        <f>IFERROR(VLOOKUP($F898,bug_conf_sheet!$A:$H,7,FALSE),VLOOKUP("other",bug_conf_sheet!$A:$H,7,FALSE))</f>
        <v>0</v>
      </c>
      <c r="S898" s="38">
        <f>IFERROR(VLOOKUP($F898,bug_conf_sheet!$A:$H,8,FALSE),VLOOKUP("other",bug_conf_sheet!$A:$H,8,FALSE))</f>
        <v>1</v>
      </c>
    </row>
    <row r="899" spans="1:19" ht="21" customHeight="1">
      <c r="A899" s="7" t="str">
        <f t="shared" si="73"/>
        <v>1880606</v>
      </c>
      <c r="B899" s="2" t="str">
        <f t="shared" ref="B899:B901" si="76">188&amp;E899</f>
        <v>1880</v>
      </c>
      <c r="C899" s="8" t="str">
        <f t="shared" si="74"/>
        <v>0PremiumS5</v>
      </c>
      <c r="D899" s="8" t="str">
        <f t="shared" si="75"/>
        <v>0PremiumS5</v>
      </c>
      <c r="E899" s="10">
        <v>0</v>
      </c>
      <c r="F899" s="6">
        <v>606</v>
      </c>
      <c r="G899" s="8" t="str">
        <f>VLOOKUP(F899,[1]characters!$A:$C,3,FALSE)</f>
        <v>冀望の光芒 バルドル</v>
      </c>
      <c r="H899" s="8" t="str">
        <f>VLOOKUP(F899,[1]characters!$A:$J,10,FALSE)</f>
        <v>PremiumS</v>
      </c>
      <c r="I899" s="8">
        <f>VLOOKUP(F899,[1]characters!$A:$I,9,FALSE)</f>
        <v>5</v>
      </c>
      <c r="J899" s="8" t="str">
        <f>VLOOKUP(F899,[1]characters!$A:$H,8,FALSE)</f>
        <v>yellow</v>
      </c>
      <c r="K899" s="8" t="str">
        <f>VLOOKUP(F899,[1]characters!$A:$K,11,FALSE)</f>
        <v>heal</v>
      </c>
      <c r="L899" s="8" t="str">
        <f>VLOOKUP(F899,[1]characters!$A:$M,13,FALSE)</f>
        <v>god</v>
      </c>
      <c r="M899" s="16">
        <f>VLOOKUP(D899,gacha_188_base!A:B,2,FALSE)</f>
        <v>935</v>
      </c>
      <c r="N899" s="38">
        <f>IFERROR(VLOOKUP($F899,bug_conf_sheet!$A:$H,3,FALSE),VLOOKUP("other",bug_conf_sheet!$A:$H,3,FALSE))</f>
        <v>1</v>
      </c>
      <c r="O899" s="38">
        <f>IFERROR(VLOOKUP($F899,bug_conf_sheet!$A:$H,4,FALSE),VLOOKUP("other",bug_conf_sheet!$A:$H,4,FALSE))</f>
        <v>0</v>
      </c>
      <c r="P899" s="38">
        <f>IFERROR(VLOOKUP($F899,bug_conf_sheet!$A:$H,5,FALSE),VLOOKUP("other",bug_conf_sheet!$A:$H,5,FALSE))</f>
        <v>0</v>
      </c>
      <c r="Q899" s="38">
        <f>IFERROR(VLOOKUP($F899,bug_conf_sheet!$A:$H,6,FALSE),VLOOKUP("other",bug_conf_sheet!$A:$H,6,FALSE))</f>
        <v>0</v>
      </c>
      <c r="R899" s="38">
        <f>IFERROR(VLOOKUP($F899,bug_conf_sheet!$A:$H,7,FALSE),VLOOKUP("other",bug_conf_sheet!$A:$H,7,FALSE))</f>
        <v>0</v>
      </c>
      <c r="S899" s="38">
        <f>IFERROR(VLOOKUP($F899,bug_conf_sheet!$A:$H,8,FALSE),VLOOKUP("other",bug_conf_sheet!$A:$H,8,FALSE))</f>
        <v>1</v>
      </c>
    </row>
    <row r="900" spans="1:19" ht="21" hidden="1" customHeight="1">
      <c r="A900" s="7" t="str">
        <f t="shared" si="73"/>
        <v>1880619</v>
      </c>
      <c r="B900" s="2" t="str">
        <f t="shared" si="76"/>
        <v>1880</v>
      </c>
      <c r="C900" s="8" t="str">
        <f t="shared" si="74"/>
        <v>0PremiumSS4</v>
      </c>
      <c r="D900" s="8" t="str">
        <f>E900&amp;H900&amp;I900&amp;"new"</f>
        <v>0PremiumSS4new</v>
      </c>
      <c r="E900" s="10">
        <v>0</v>
      </c>
      <c r="F900" s="6">
        <v>619</v>
      </c>
      <c r="G900" s="8" t="str">
        <f>VLOOKUP(F900,[1]characters!$A:$C,3,FALSE)</f>
        <v>メビウス</v>
      </c>
      <c r="H900" s="8" t="str">
        <f>VLOOKUP(F900,[1]characters!$A:$J,10,FALSE)</f>
        <v>PremiumSS</v>
      </c>
      <c r="I900" s="8">
        <f>VLOOKUP(F900,[1]characters!$A:$I,9,FALSE)</f>
        <v>4</v>
      </c>
      <c r="J900" s="8" t="str">
        <f>VLOOKUP(F900,[1]characters!$A:$H,8,FALSE)</f>
        <v>blue</v>
      </c>
      <c r="K900" s="8" t="str">
        <f>VLOOKUP(F900,[1]characters!$A:$K,11,FALSE)</f>
        <v>balance</v>
      </c>
      <c r="L900" s="8" t="str">
        <f>VLOOKUP(F900,[1]characters!$A:$M,13,FALSE)</f>
        <v>human</v>
      </c>
      <c r="M900" s="16">
        <f>VLOOKUP(D900,gacha_188_base!A:B,2,FALSE)</f>
        <v>23500</v>
      </c>
      <c r="N900" s="38">
        <f>IFERROR(VLOOKUP($F900,bug_conf_sheet!$A:$H,3,FALSE),VLOOKUP("other",bug_conf_sheet!$A:$H,3,FALSE))</f>
        <v>1</v>
      </c>
      <c r="O900" s="38">
        <f>IFERROR(VLOOKUP($F900,bug_conf_sheet!$A:$H,4,FALSE),VLOOKUP("other",bug_conf_sheet!$A:$H,4,FALSE))</f>
        <v>0</v>
      </c>
      <c r="P900" s="38">
        <f>IFERROR(VLOOKUP($F900,bug_conf_sheet!$A:$H,5,FALSE),VLOOKUP("other",bug_conf_sheet!$A:$H,5,FALSE))</f>
        <v>0</v>
      </c>
      <c r="Q900" s="38">
        <f>IFERROR(VLOOKUP($F900,bug_conf_sheet!$A:$H,6,FALSE),VLOOKUP("other",bug_conf_sheet!$A:$H,6,FALSE))</f>
        <v>0</v>
      </c>
      <c r="R900" s="38">
        <f>IFERROR(VLOOKUP($F900,bug_conf_sheet!$A:$H,7,FALSE),VLOOKUP("other",bug_conf_sheet!$A:$H,7,FALSE))</f>
        <v>0</v>
      </c>
      <c r="S900" s="38">
        <f>IFERROR(VLOOKUP($F900,bug_conf_sheet!$A:$H,8,FALSE),VLOOKUP("other",bug_conf_sheet!$A:$H,8,FALSE))</f>
        <v>1</v>
      </c>
    </row>
    <row r="901" spans="1:19" ht="21" customHeight="1">
      <c r="A901" s="7" t="str">
        <f t="shared" si="73"/>
        <v>1880620</v>
      </c>
      <c r="B901" s="2" t="str">
        <f t="shared" si="76"/>
        <v>1880</v>
      </c>
      <c r="C901" s="8" t="str">
        <f t="shared" si="74"/>
        <v>0PremiumSS5</v>
      </c>
      <c r="D901" s="8" t="str">
        <f>E901&amp;H901&amp;I901&amp;"new"</f>
        <v>0PremiumSS5new</v>
      </c>
      <c r="E901" s="10">
        <v>0</v>
      </c>
      <c r="F901" s="6">
        <v>620</v>
      </c>
      <c r="G901" s="8" t="str">
        <f>VLOOKUP(F901,[1]characters!$A:$C,3,FALSE)</f>
        <v>奇跡の調和 メビウス</v>
      </c>
      <c r="H901" s="8" t="str">
        <f>VLOOKUP(F901,[1]characters!$A:$J,10,FALSE)</f>
        <v>PremiumSS</v>
      </c>
      <c r="I901" s="8">
        <f>VLOOKUP(F901,[1]characters!$A:$I,9,FALSE)</f>
        <v>5</v>
      </c>
      <c r="J901" s="8" t="str">
        <f>VLOOKUP(F901,[1]characters!$A:$H,8,FALSE)</f>
        <v>blue</v>
      </c>
      <c r="K901" s="8" t="str">
        <f>VLOOKUP(F901,[1]characters!$A:$K,11,FALSE)</f>
        <v>balance</v>
      </c>
      <c r="L901" s="8" t="str">
        <f>VLOOKUP(F901,[1]characters!$A:$M,13,FALSE)</f>
        <v>human</v>
      </c>
      <c r="M901" s="16">
        <f>VLOOKUP(D901,gacha_188_base!A:B,2,FALSE)</f>
        <v>1500</v>
      </c>
      <c r="N901" s="38">
        <f>IFERROR(VLOOKUP($F901,bug_conf_sheet!$A:$H,3,FALSE),VLOOKUP("other",bug_conf_sheet!$A:$H,3,FALSE))</f>
        <v>1</v>
      </c>
      <c r="O901" s="38">
        <f>IFERROR(VLOOKUP($F901,bug_conf_sheet!$A:$H,4,FALSE),VLOOKUP("other",bug_conf_sheet!$A:$H,4,FALSE))</f>
        <v>0</v>
      </c>
      <c r="P901" s="38">
        <f>IFERROR(VLOOKUP($F901,bug_conf_sheet!$A:$H,5,FALSE),VLOOKUP("other",bug_conf_sheet!$A:$H,5,FALSE))</f>
        <v>0</v>
      </c>
      <c r="Q901" s="38">
        <f>IFERROR(VLOOKUP($F901,bug_conf_sheet!$A:$H,6,FALSE),VLOOKUP("other",bug_conf_sheet!$A:$H,6,FALSE))</f>
        <v>0</v>
      </c>
      <c r="R901" s="38">
        <f>IFERROR(VLOOKUP($F901,bug_conf_sheet!$A:$H,7,FALSE),VLOOKUP("other",bug_conf_sheet!$A:$H,7,FALSE))</f>
        <v>0</v>
      </c>
      <c r="S901" s="38">
        <f>IFERROR(VLOOKUP($F901,bug_conf_sheet!$A:$H,8,FALSE),VLOOKUP("other",bug_conf_sheet!$A:$H,8,FALSE))</f>
        <v>1</v>
      </c>
    </row>
  </sheetData>
  <autoFilter ref="A1:S901">
    <filterColumn colId="8">
      <filters>
        <filter val="5"/>
      </filters>
    </filterColumn>
  </autoFilter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filterMode="1" enableFormatConditionsCalculation="0">
    <tabColor rgb="FF0000FF"/>
    <outlinePr summaryBelow="0" summaryRight="0"/>
  </sheetPr>
  <dimension ref="A1:R74"/>
  <sheetViews>
    <sheetView showGridLines="0" workbookViewId="0">
      <pane ySplit="1" topLeftCell="A2" activePane="bottomLeft" state="frozen"/>
      <selection activeCell="M24" sqref="M24"/>
      <selection pane="bottomLeft" activeCell="H78" sqref="H78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37" t="s">
        <v>13</v>
      </c>
      <c r="O1" s="37" t="s">
        <v>14</v>
      </c>
      <c r="P1" s="37" t="s">
        <v>15</v>
      </c>
      <c r="Q1" s="37" t="s">
        <v>16</v>
      </c>
      <c r="R1" s="37" t="s">
        <v>17</v>
      </c>
    </row>
    <row r="2" spans="1:18" ht="21" hidden="1" customHeight="1">
      <c r="B2" s="2">
        <v>1886</v>
      </c>
      <c r="C2" s="8" t="str">
        <f t="shared" ref="C2" si="0">D2&amp;G2&amp;H2</f>
        <v>PremiumN5</v>
      </c>
      <c r="E2" s="6">
        <v>168</v>
      </c>
      <c r="F2" s="8" t="str">
        <f>VLOOKUP(E2,[1]characters!$A:$C,3,FALSE)</f>
        <v>猛進の大逆者 ベリアル</v>
      </c>
      <c r="G2" s="8" t="str">
        <f>VLOOKUP(E2,[1]characters!$A:$J,10,FALSE)</f>
        <v>PremiumN</v>
      </c>
      <c r="H2" s="8">
        <f>VLOOKUP(E2,[1]characters!$A:$I,9,FALSE)</f>
        <v>5</v>
      </c>
      <c r="I2" s="8" t="str">
        <f>VLOOKUP(E2,[1]characters!$A:$H,8,FALSE)</f>
        <v>red</v>
      </c>
      <c r="J2" s="8" t="str">
        <f>VLOOKUP(E2,[1]characters!$A:$K,11,FALSE)</f>
        <v>attack</v>
      </c>
      <c r="K2" s="8" t="str">
        <f>VLOOKUP(E2,[1]characters!$A:$M,13,FALSE)</f>
        <v>god</v>
      </c>
      <c r="L2" s="36">
        <f>ROUND(100000*0.955/50,0)</f>
        <v>1910</v>
      </c>
      <c r="M2" s="38">
        <f>IFERROR(VLOOKUP(E2,bug_conf_sheet!$A:$H,3,FALSE),VLOOKUP("other",bug_conf_sheet!$A:$H,3,FALSE))</f>
        <v>1</v>
      </c>
      <c r="N2" s="38">
        <f>IFERROR(VLOOKUP(E2,bug_conf_sheet!$A:$H,4,FALSE),VLOOKUP("other",bug_conf_sheet!$A:$H,4,FALSE))</f>
        <v>0</v>
      </c>
      <c r="O2" s="38">
        <f>IFERROR(VLOOKUP(E2,bug_conf_sheet!$A:$H,5,FALSE),VLOOKUP("other",bug_conf_sheet!$A:$H,5,FALSE))</f>
        <v>0</v>
      </c>
      <c r="P2" s="38">
        <f>IFERROR(VLOOKUP(E2,bug_conf_sheet!$A:$H,6,FALSE),VLOOKUP("other",bug_conf_sheet!$A:$H,6,FALSE))</f>
        <v>0</v>
      </c>
      <c r="Q2" s="38">
        <f>IFERROR(VLOOKUP(E2,bug_conf_sheet!$A:$H,7,FALSE),VLOOKUP("other",bug_conf_sheet!$A:$H,7,FALSE))</f>
        <v>0</v>
      </c>
      <c r="R2" s="38">
        <f>IFERROR(VLOOKUP(E2,bug_conf_sheet!$A:$H,8,FALSE),VLOOKUP("other",bug_conf_sheet!$A:$H,8,FALSE))</f>
        <v>1</v>
      </c>
    </row>
    <row r="3" spans="1:18" ht="21" hidden="1" customHeight="1">
      <c r="B3" s="2">
        <v>1886</v>
      </c>
      <c r="C3" s="8" t="str">
        <f t="shared" ref="C3:C66" si="1">D3&amp;G3&amp;H3</f>
        <v>PremiumN5</v>
      </c>
      <c r="E3" s="6">
        <v>171</v>
      </c>
      <c r="F3" s="8" t="str">
        <f>VLOOKUP(E3,[1]characters!$A:$C,3,FALSE)</f>
        <v>精解の預知者 オセ</v>
      </c>
      <c r="G3" s="8" t="str">
        <f>VLOOKUP(E3,[1]characters!$A:$J,10,FALSE)</f>
        <v>PremiumN</v>
      </c>
      <c r="H3" s="8">
        <f>VLOOKUP(E3,[1]characters!$A:$I,9,FALSE)</f>
        <v>5</v>
      </c>
      <c r="I3" s="8" t="str">
        <f>VLOOKUP(E3,[1]characters!$A:$H,8,FALSE)</f>
        <v>green</v>
      </c>
      <c r="J3" s="8" t="str">
        <f>VLOOKUP(E3,[1]characters!$A:$K,11,FALSE)</f>
        <v>attack</v>
      </c>
      <c r="K3" s="8" t="str">
        <f>VLOOKUP(E3,[1]characters!$A:$M,13,FALSE)</f>
        <v>god</v>
      </c>
      <c r="L3" s="36">
        <f t="shared" ref="L3:L33" si="2">ROUND(100000*0.955/50,0)</f>
        <v>1910</v>
      </c>
      <c r="M3" s="38">
        <f>IFERROR(VLOOKUP(E3,bug_conf_sheet!$A:$H,3,FALSE),VLOOKUP("other",bug_conf_sheet!$A:$H,3,FALSE))</f>
        <v>1</v>
      </c>
      <c r="N3" s="38">
        <f>IFERROR(VLOOKUP(E3,bug_conf_sheet!$A:$H,4,FALSE),VLOOKUP("other",bug_conf_sheet!$A:$H,4,FALSE))</f>
        <v>0</v>
      </c>
      <c r="O3" s="38">
        <f>IFERROR(VLOOKUP(E3,bug_conf_sheet!$A:$H,5,FALSE),VLOOKUP("other",bug_conf_sheet!$A:$H,5,FALSE))</f>
        <v>0</v>
      </c>
      <c r="P3" s="38">
        <f>IFERROR(VLOOKUP(E3,bug_conf_sheet!$A:$H,6,FALSE),VLOOKUP("other",bug_conf_sheet!$A:$H,6,FALSE))</f>
        <v>0</v>
      </c>
      <c r="Q3" s="38">
        <f>IFERROR(VLOOKUP(E3,bug_conf_sheet!$A:$H,7,FALSE),VLOOKUP("other",bug_conf_sheet!$A:$H,7,FALSE))</f>
        <v>0</v>
      </c>
      <c r="R3" s="38">
        <f>IFERROR(VLOOKUP(E3,bug_conf_sheet!$A:$H,8,FALSE),VLOOKUP("other",bug_conf_sheet!$A:$H,8,FALSE))</f>
        <v>1</v>
      </c>
    </row>
    <row r="4" spans="1:18" ht="21" hidden="1" customHeight="1">
      <c r="B4" s="2">
        <v>1886</v>
      </c>
      <c r="C4" s="8" t="str">
        <f t="shared" si="1"/>
        <v>PremiumN5</v>
      </c>
      <c r="E4" s="6">
        <v>174</v>
      </c>
      <c r="F4" s="8" t="str">
        <f>VLOOKUP(E4,[1]characters!$A:$C,3,FALSE)</f>
        <v>偽愛の大公爵 フォルネウス</v>
      </c>
      <c r="G4" s="8" t="str">
        <f>VLOOKUP(E4,[1]characters!$A:$J,10,FALSE)</f>
        <v>PremiumN</v>
      </c>
      <c r="H4" s="8">
        <f>VLOOKUP(E4,[1]characters!$A:$I,9,FALSE)</f>
        <v>5</v>
      </c>
      <c r="I4" s="8" t="str">
        <f>VLOOKUP(E4,[1]characters!$A:$H,8,FALSE)</f>
        <v>blue</v>
      </c>
      <c r="J4" s="8" t="str">
        <f>VLOOKUP(E4,[1]characters!$A:$K,11,FALSE)</f>
        <v>attack</v>
      </c>
      <c r="K4" s="8" t="str">
        <f>VLOOKUP(E4,[1]characters!$A:$M,13,FALSE)</f>
        <v>god</v>
      </c>
      <c r="L4" s="36">
        <f t="shared" si="2"/>
        <v>1910</v>
      </c>
      <c r="M4" s="38">
        <f>IFERROR(VLOOKUP(E4,bug_conf_sheet!$A:$H,3,FALSE),VLOOKUP("other",bug_conf_sheet!$A:$H,3,FALSE))</f>
        <v>1</v>
      </c>
      <c r="N4" s="38">
        <f>IFERROR(VLOOKUP(E4,bug_conf_sheet!$A:$H,4,FALSE),VLOOKUP("other",bug_conf_sheet!$A:$H,4,FALSE))</f>
        <v>0</v>
      </c>
      <c r="O4" s="38">
        <f>IFERROR(VLOOKUP(E4,bug_conf_sheet!$A:$H,5,FALSE),VLOOKUP("other",bug_conf_sheet!$A:$H,5,FALSE))</f>
        <v>0</v>
      </c>
      <c r="P4" s="38">
        <f>IFERROR(VLOOKUP(E4,bug_conf_sheet!$A:$H,6,FALSE),VLOOKUP("other",bug_conf_sheet!$A:$H,6,FALSE))</f>
        <v>0</v>
      </c>
      <c r="Q4" s="38">
        <f>IFERROR(VLOOKUP(E4,bug_conf_sheet!$A:$H,7,FALSE),VLOOKUP("other",bug_conf_sheet!$A:$H,7,FALSE))</f>
        <v>0</v>
      </c>
      <c r="R4" s="38">
        <f>IFERROR(VLOOKUP(E4,bug_conf_sheet!$A:$H,8,FALSE),VLOOKUP("other",bug_conf_sheet!$A:$H,8,FALSE))</f>
        <v>1</v>
      </c>
    </row>
    <row r="5" spans="1:18" ht="21" hidden="1" customHeight="1">
      <c r="B5" s="2">
        <v>1886</v>
      </c>
      <c r="C5" s="8" t="str">
        <f t="shared" si="1"/>
        <v>PremiumN5</v>
      </c>
      <c r="E5" s="6">
        <v>177</v>
      </c>
      <c r="F5" s="8" t="str">
        <f>VLOOKUP(E5,[1]characters!$A:$C,3,FALSE)</f>
        <v>黒魔の異端師 バフォメット</v>
      </c>
      <c r="G5" s="8" t="str">
        <f>VLOOKUP(E5,[1]characters!$A:$J,10,FALSE)</f>
        <v>PremiumN</v>
      </c>
      <c r="H5" s="8">
        <f>VLOOKUP(E5,[1]characters!$A:$I,9,FALSE)</f>
        <v>5</v>
      </c>
      <c r="I5" s="8" t="str">
        <f>VLOOKUP(E5,[1]characters!$A:$H,8,FALSE)</f>
        <v>yellow</v>
      </c>
      <c r="J5" s="8" t="str">
        <f>VLOOKUP(E5,[1]characters!$A:$K,11,FALSE)</f>
        <v>attack</v>
      </c>
      <c r="K5" s="8" t="str">
        <f>VLOOKUP(E5,[1]characters!$A:$M,13,FALSE)</f>
        <v>god</v>
      </c>
      <c r="L5" s="36">
        <f t="shared" si="2"/>
        <v>1910</v>
      </c>
      <c r="M5" s="38">
        <f>IFERROR(VLOOKUP(E5,bug_conf_sheet!$A:$H,3,FALSE),VLOOKUP("other",bug_conf_sheet!$A:$H,3,FALSE))</f>
        <v>1</v>
      </c>
      <c r="N5" s="38">
        <f>IFERROR(VLOOKUP(E5,bug_conf_sheet!$A:$H,4,FALSE),VLOOKUP("other",bug_conf_sheet!$A:$H,4,FALSE))</f>
        <v>0</v>
      </c>
      <c r="O5" s="38">
        <f>IFERROR(VLOOKUP(E5,bug_conf_sheet!$A:$H,5,FALSE),VLOOKUP("other",bug_conf_sheet!$A:$H,5,FALSE))</f>
        <v>0</v>
      </c>
      <c r="P5" s="38">
        <f>IFERROR(VLOOKUP(E5,bug_conf_sheet!$A:$H,6,FALSE),VLOOKUP("other",bug_conf_sheet!$A:$H,6,FALSE))</f>
        <v>0</v>
      </c>
      <c r="Q5" s="38">
        <f>IFERROR(VLOOKUP(E5,bug_conf_sheet!$A:$H,7,FALSE),VLOOKUP("other",bug_conf_sheet!$A:$H,7,FALSE))</f>
        <v>0</v>
      </c>
      <c r="R5" s="38">
        <f>IFERROR(VLOOKUP(E5,bug_conf_sheet!$A:$H,8,FALSE),VLOOKUP("other",bug_conf_sheet!$A:$H,8,FALSE))</f>
        <v>1</v>
      </c>
    </row>
    <row r="6" spans="1:18" ht="21" hidden="1" customHeight="1">
      <c r="B6" s="2">
        <v>1886</v>
      </c>
      <c r="C6" s="8" t="str">
        <f t="shared" si="1"/>
        <v>PremiumN5</v>
      </c>
      <c r="E6" s="6">
        <v>180</v>
      </c>
      <c r="F6" s="8" t="str">
        <f>VLOOKUP(E6,[1]characters!$A:$C,3,FALSE)</f>
        <v>地獄の大門番 ケルベロス</v>
      </c>
      <c r="G6" s="8" t="str">
        <f>VLOOKUP(E6,[1]characters!$A:$J,10,FALSE)</f>
        <v>PremiumN</v>
      </c>
      <c r="H6" s="8">
        <f>VLOOKUP(E6,[1]characters!$A:$I,9,FALSE)</f>
        <v>5</v>
      </c>
      <c r="I6" s="8" t="str">
        <f>VLOOKUP(E6,[1]characters!$A:$H,8,FALSE)</f>
        <v>red</v>
      </c>
      <c r="J6" s="8" t="str">
        <f>VLOOKUP(E6,[1]characters!$A:$K,11,FALSE)</f>
        <v>balance</v>
      </c>
      <c r="K6" s="8" t="str">
        <f>VLOOKUP(E6,[1]characters!$A:$M,13,FALSE)</f>
        <v>animal</v>
      </c>
      <c r="L6" s="36">
        <f t="shared" si="2"/>
        <v>1910</v>
      </c>
      <c r="M6" s="38">
        <f>IFERROR(VLOOKUP(E6,bug_conf_sheet!$A:$H,3,FALSE),VLOOKUP("other",bug_conf_sheet!$A:$H,3,FALSE))</f>
        <v>1</v>
      </c>
      <c r="N6" s="38">
        <f>IFERROR(VLOOKUP(E6,bug_conf_sheet!$A:$H,4,FALSE),VLOOKUP("other",bug_conf_sheet!$A:$H,4,FALSE))</f>
        <v>0</v>
      </c>
      <c r="O6" s="38">
        <f>IFERROR(VLOOKUP(E6,bug_conf_sheet!$A:$H,5,FALSE),VLOOKUP("other",bug_conf_sheet!$A:$H,5,FALSE))</f>
        <v>0</v>
      </c>
      <c r="P6" s="38">
        <f>IFERROR(VLOOKUP(E6,bug_conf_sheet!$A:$H,6,FALSE),VLOOKUP("other",bug_conf_sheet!$A:$H,6,FALSE))</f>
        <v>0</v>
      </c>
      <c r="Q6" s="38">
        <f>IFERROR(VLOOKUP(E6,bug_conf_sheet!$A:$H,7,FALSE),VLOOKUP("other",bug_conf_sheet!$A:$H,7,FALSE))</f>
        <v>0</v>
      </c>
      <c r="R6" s="38">
        <f>IFERROR(VLOOKUP(E6,bug_conf_sheet!$A:$H,8,FALSE),VLOOKUP("other",bug_conf_sheet!$A:$H,8,FALSE))</f>
        <v>1</v>
      </c>
    </row>
    <row r="7" spans="1:18" ht="21" hidden="1" customHeight="1">
      <c r="B7" s="2">
        <v>1886</v>
      </c>
      <c r="C7" s="8" t="str">
        <f t="shared" si="1"/>
        <v>PremiumN5</v>
      </c>
      <c r="E7" s="6">
        <v>183</v>
      </c>
      <c r="F7" s="8" t="str">
        <f>VLOOKUP(E7,[1]characters!$A:$C,3,FALSE)</f>
        <v>鈍重な彷徨者 ベヒモス</v>
      </c>
      <c r="G7" s="8" t="str">
        <f>VLOOKUP(E7,[1]characters!$A:$J,10,FALSE)</f>
        <v>PremiumN</v>
      </c>
      <c r="H7" s="8">
        <f>VLOOKUP(E7,[1]characters!$A:$I,9,FALSE)</f>
        <v>5</v>
      </c>
      <c r="I7" s="8" t="str">
        <f>VLOOKUP(E7,[1]characters!$A:$H,8,FALSE)</f>
        <v>green</v>
      </c>
      <c r="J7" s="8" t="str">
        <f>VLOOKUP(E7,[1]characters!$A:$K,11,FALSE)</f>
        <v>hp</v>
      </c>
      <c r="K7" s="8" t="str">
        <f>VLOOKUP(E7,[1]characters!$A:$M,13,FALSE)</f>
        <v>animal</v>
      </c>
      <c r="L7" s="36">
        <f t="shared" si="2"/>
        <v>1910</v>
      </c>
      <c r="M7" s="38">
        <f>IFERROR(VLOOKUP(E7,bug_conf_sheet!$A:$H,3,FALSE),VLOOKUP("other",bug_conf_sheet!$A:$H,3,FALSE))</f>
        <v>1</v>
      </c>
      <c r="N7" s="38">
        <f>IFERROR(VLOOKUP(E7,bug_conf_sheet!$A:$H,4,FALSE),VLOOKUP("other",bug_conf_sheet!$A:$H,4,FALSE))</f>
        <v>0</v>
      </c>
      <c r="O7" s="38">
        <f>IFERROR(VLOOKUP(E7,bug_conf_sheet!$A:$H,5,FALSE),VLOOKUP("other",bug_conf_sheet!$A:$H,5,FALSE))</f>
        <v>0</v>
      </c>
      <c r="P7" s="38">
        <f>IFERROR(VLOOKUP(E7,bug_conf_sheet!$A:$H,6,FALSE),VLOOKUP("other",bug_conf_sheet!$A:$H,6,FALSE))</f>
        <v>0</v>
      </c>
      <c r="Q7" s="38">
        <f>IFERROR(VLOOKUP(E7,bug_conf_sheet!$A:$H,7,FALSE),VLOOKUP("other",bug_conf_sheet!$A:$H,7,FALSE))</f>
        <v>0</v>
      </c>
      <c r="R7" s="38">
        <f>IFERROR(VLOOKUP(E7,bug_conf_sheet!$A:$H,8,FALSE),VLOOKUP("other",bug_conf_sheet!$A:$H,8,FALSE))</f>
        <v>1</v>
      </c>
    </row>
    <row r="8" spans="1:18" ht="21" hidden="1" customHeight="1">
      <c r="B8" s="2">
        <v>1886</v>
      </c>
      <c r="C8" s="8" t="str">
        <f t="shared" si="1"/>
        <v>PremiumN5</v>
      </c>
      <c r="E8" s="9">
        <v>186</v>
      </c>
      <c r="F8" s="8" t="str">
        <f>VLOOKUP(E8,[1]characters!$A:$C,3,FALSE)</f>
        <v>誇り高き多触姫・クラーケン</v>
      </c>
      <c r="G8" s="8" t="str">
        <f>VLOOKUP(E8,[1]characters!$A:$J,10,FALSE)</f>
        <v>PremiumN</v>
      </c>
      <c r="H8" s="8">
        <f>VLOOKUP(E8,[1]characters!$A:$I,9,FALSE)</f>
        <v>5</v>
      </c>
      <c r="I8" s="8" t="str">
        <f>VLOOKUP(E8,[1]characters!$A:$H,8,FALSE)</f>
        <v>blue</v>
      </c>
      <c r="J8" s="8" t="str">
        <f>VLOOKUP(E8,[1]characters!$A:$K,11,FALSE)</f>
        <v>heal</v>
      </c>
      <c r="K8" s="8" t="str">
        <f>VLOOKUP(E8,[1]characters!$A:$M,13,FALSE)</f>
        <v>animal</v>
      </c>
      <c r="L8" s="36">
        <f t="shared" si="2"/>
        <v>1910</v>
      </c>
      <c r="M8" s="38">
        <f>IFERROR(VLOOKUP(E8,bug_conf_sheet!$A:$H,3,FALSE),VLOOKUP("other",bug_conf_sheet!$A:$H,3,FALSE))</f>
        <v>1</v>
      </c>
      <c r="N8" s="38">
        <f>IFERROR(VLOOKUP(E8,bug_conf_sheet!$A:$H,4,FALSE),VLOOKUP("other",bug_conf_sheet!$A:$H,4,FALSE))</f>
        <v>0</v>
      </c>
      <c r="O8" s="38">
        <f>IFERROR(VLOOKUP(E8,bug_conf_sheet!$A:$H,5,FALSE),VLOOKUP("other",bug_conf_sheet!$A:$H,5,FALSE))</f>
        <v>0</v>
      </c>
      <c r="P8" s="38">
        <f>IFERROR(VLOOKUP(E8,bug_conf_sheet!$A:$H,6,FALSE),VLOOKUP("other",bug_conf_sheet!$A:$H,6,FALSE))</f>
        <v>0</v>
      </c>
      <c r="Q8" s="38">
        <f>IFERROR(VLOOKUP(E8,bug_conf_sheet!$A:$H,7,FALSE),VLOOKUP("other",bug_conf_sheet!$A:$H,7,FALSE))</f>
        <v>0</v>
      </c>
      <c r="R8" s="38">
        <f>IFERROR(VLOOKUP(E8,bug_conf_sheet!$A:$H,8,FALSE),VLOOKUP("other",bug_conf_sheet!$A:$H,8,FALSE))</f>
        <v>1</v>
      </c>
    </row>
    <row r="9" spans="1:18" ht="21" hidden="1" customHeight="1">
      <c r="B9" s="2">
        <v>1886</v>
      </c>
      <c r="C9" s="8" t="str">
        <f t="shared" si="1"/>
        <v>PremiumN5</v>
      </c>
      <c r="E9" s="9">
        <v>189</v>
      </c>
      <c r="F9" s="8" t="str">
        <f>VLOOKUP(E9,[1]characters!$A:$C,3,FALSE)</f>
        <v>迅雷の王禽 ホルス</v>
      </c>
      <c r="G9" s="8" t="str">
        <f>VLOOKUP(E9,[1]characters!$A:$J,10,FALSE)</f>
        <v>PremiumN</v>
      </c>
      <c r="H9" s="8">
        <f>VLOOKUP(E9,[1]characters!$A:$I,9,FALSE)</f>
        <v>5</v>
      </c>
      <c r="I9" s="8" t="str">
        <f>VLOOKUP(E9,[1]characters!$A:$H,8,FALSE)</f>
        <v>yellow</v>
      </c>
      <c r="J9" s="8" t="str">
        <f>VLOOKUP(E9,[1]characters!$A:$K,11,FALSE)</f>
        <v>attack</v>
      </c>
      <c r="K9" s="8" t="str">
        <f>VLOOKUP(E9,[1]characters!$A:$M,13,FALSE)</f>
        <v>animal</v>
      </c>
      <c r="L9" s="36">
        <f t="shared" si="2"/>
        <v>1910</v>
      </c>
      <c r="M9" s="38">
        <f>IFERROR(VLOOKUP(E9,bug_conf_sheet!$A:$H,3,FALSE),VLOOKUP("other",bug_conf_sheet!$A:$H,3,FALSE))</f>
        <v>1</v>
      </c>
      <c r="N9" s="38">
        <f>IFERROR(VLOOKUP(E9,bug_conf_sheet!$A:$H,4,FALSE),VLOOKUP("other",bug_conf_sheet!$A:$H,4,FALSE))</f>
        <v>0</v>
      </c>
      <c r="O9" s="38">
        <f>IFERROR(VLOOKUP(E9,bug_conf_sheet!$A:$H,5,FALSE),VLOOKUP("other",bug_conf_sheet!$A:$H,5,FALSE))</f>
        <v>0</v>
      </c>
      <c r="P9" s="38">
        <f>IFERROR(VLOOKUP(E9,bug_conf_sheet!$A:$H,6,FALSE),VLOOKUP("other",bug_conf_sheet!$A:$H,6,FALSE))</f>
        <v>0</v>
      </c>
      <c r="Q9" s="38">
        <f>IFERROR(VLOOKUP(E9,bug_conf_sheet!$A:$H,7,FALSE),VLOOKUP("other",bug_conf_sheet!$A:$H,7,FALSE))</f>
        <v>0</v>
      </c>
      <c r="R9" s="38">
        <f>IFERROR(VLOOKUP(E9,bug_conf_sheet!$A:$H,8,FALSE),VLOOKUP("other",bug_conf_sheet!$A:$H,8,FALSE))</f>
        <v>1</v>
      </c>
    </row>
    <row r="10" spans="1:18" ht="21" hidden="1" customHeight="1">
      <c r="B10" s="2">
        <v>1886</v>
      </c>
      <c r="C10" s="8" t="str">
        <f t="shared" si="1"/>
        <v>PremiumN5</v>
      </c>
      <c r="E10" s="6">
        <v>192</v>
      </c>
      <c r="F10" s="8" t="str">
        <f>VLOOKUP(E10,[1]characters!$A:$C,3,FALSE)</f>
        <v>荘厳なる始祖帝 卑弥呼</v>
      </c>
      <c r="G10" s="8" t="str">
        <f>VLOOKUP(E10,[1]characters!$A:$J,10,FALSE)</f>
        <v>PremiumN</v>
      </c>
      <c r="H10" s="8">
        <f>VLOOKUP(E10,[1]characters!$A:$I,9,FALSE)</f>
        <v>5</v>
      </c>
      <c r="I10" s="8" t="str">
        <f>VLOOKUP(E10,[1]characters!$A:$H,8,FALSE)</f>
        <v>red</v>
      </c>
      <c r="J10" s="8" t="str">
        <f>VLOOKUP(E10,[1]characters!$A:$K,11,FALSE)</f>
        <v>balance</v>
      </c>
      <c r="K10" s="8" t="str">
        <f>VLOOKUP(E10,[1]characters!$A:$M,13,FALSE)</f>
        <v>human</v>
      </c>
      <c r="L10" s="36">
        <f t="shared" si="2"/>
        <v>1910</v>
      </c>
      <c r="M10" s="38">
        <f>IFERROR(VLOOKUP(E10,bug_conf_sheet!$A:$H,3,FALSE),VLOOKUP("other",bug_conf_sheet!$A:$H,3,FALSE))</f>
        <v>1</v>
      </c>
      <c r="N10" s="38">
        <f>IFERROR(VLOOKUP(E10,bug_conf_sheet!$A:$H,4,FALSE),VLOOKUP("other",bug_conf_sheet!$A:$H,4,FALSE))</f>
        <v>0</v>
      </c>
      <c r="O10" s="38">
        <f>IFERROR(VLOOKUP(E10,bug_conf_sheet!$A:$H,5,FALSE),VLOOKUP("other",bug_conf_sheet!$A:$H,5,FALSE))</f>
        <v>0</v>
      </c>
      <c r="P10" s="38">
        <f>IFERROR(VLOOKUP(E10,bug_conf_sheet!$A:$H,6,FALSE),VLOOKUP("other",bug_conf_sheet!$A:$H,6,FALSE))</f>
        <v>0</v>
      </c>
      <c r="Q10" s="38">
        <f>IFERROR(VLOOKUP(E10,bug_conf_sheet!$A:$H,7,FALSE),VLOOKUP("other",bug_conf_sheet!$A:$H,7,FALSE))</f>
        <v>0</v>
      </c>
      <c r="R10" s="38">
        <f>IFERROR(VLOOKUP(E10,bug_conf_sheet!$A:$H,8,FALSE),VLOOKUP("other",bug_conf_sheet!$A:$H,8,FALSE))</f>
        <v>1</v>
      </c>
    </row>
    <row r="11" spans="1:18" ht="21" hidden="1" customHeight="1">
      <c r="B11" s="2">
        <v>1886</v>
      </c>
      <c r="C11" s="8" t="str">
        <f t="shared" si="1"/>
        <v>PremiumN5</v>
      </c>
      <c r="E11" s="6">
        <v>195</v>
      </c>
      <c r="F11" s="8" t="str">
        <f>VLOOKUP(E11,[1]characters!$A:$C,3,FALSE)</f>
        <v>グランドハンター ロビンフッド</v>
      </c>
      <c r="G11" s="8" t="str">
        <f>VLOOKUP(E11,[1]characters!$A:$J,10,FALSE)</f>
        <v>PremiumN</v>
      </c>
      <c r="H11" s="8">
        <f>VLOOKUP(E11,[1]characters!$A:$I,9,FALSE)</f>
        <v>5</v>
      </c>
      <c r="I11" s="8" t="str">
        <f>VLOOKUP(E11,[1]characters!$A:$H,8,FALSE)</f>
        <v>green</v>
      </c>
      <c r="J11" s="8" t="str">
        <f>VLOOKUP(E11,[1]characters!$A:$K,11,FALSE)</f>
        <v>balance</v>
      </c>
      <c r="K11" s="8" t="str">
        <f>VLOOKUP(E11,[1]characters!$A:$M,13,FALSE)</f>
        <v>human</v>
      </c>
      <c r="L11" s="36">
        <f t="shared" si="2"/>
        <v>1910</v>
      </c>
      <c r="M11" s="38">
        <f>IFERROR(VLOOKUP(E11,bug_conf_sheet!$A:$H,3,FALSE),VLOOKUP("other",bug_conf_sheet!$A:$H,3,FALSE))</f>
        <v>1</v>
      </c>
      <c r="N11" s="38">
        <f>IFERROR(VLOOKUP(E11,bug_conf_sheet!$A:$H,4,FALSE),VLOOKUP("other",bug_conf_sheet!$A:$H,4,FALSE))</f>
        <v>0</v>
      </c>
      <c r="O11" s="38">
        <f>IFERROR(VLOOKUP(E11,bug_conf_sheet!$A:$H,5,FALSE),VLOOKUP("other",bug_conf_sheet!$A:$H,5,FALSE))</f>
        <v>0</v>
      </c>
      <c r="P11" s="38">
        <f>IFERROR(VLOOKUP(E11,bug_conf_sheet!$A:$H,6,FALSE),VLOOKUP("other",bug_conf_sheet!$A:$H,6,FALSE))</f>
        <v>0</v>
      </c>
      <c r="Q11" s="38">
        <f>IFERROR(VLOOKUP(E11,bug_conf_sheet!$A:$H,7,FALSE),VLOOKUP("other",bug_conf_sheet!$A:$H,7,FALSE))</f>
        <v>0</v>
      </c>
      <c r="R11" s="38">
        <f>IFERROR(VLOOKUP(E11,bug_conf_sheet!$A:$H,8,FALSE),VLOOKUP("other",bug_conf_sheet!$A:$H,8,FALSE))</f>
        <v>1</v>
      </c>
    </row>
    <row r="12" spans="1:18" ht="21" hidden="1" customHeight="1">
      <c r="B12" s="2">
        <v>1886</v>
      </c>
      <c r="C12" s="8" t="str">
        <f t="shared" si="1"/>
        <v>PremiumN5</v>
      </c>
      <c r="E12" s="6">
        <v>198</v>
      </c>
      <c r="F12" s="8" t="str">
        <f>VLOOKUP(E12,[1]characters!$A:$C,3,FALSE)</f>
        <v>砕骨の剛腕 アキレス</v>
      </c>
      <c r="G12" s="8" t="str">
        <f>VLOOKUP(E12,[1]characters!$A:$J,10,FALSE)</f>
        <v>PremiumN</v>
      </c>
      <c r="H12" s="8">
        <f>VLOOKUP(E12,[1]characters!$A:$I,9,FALSE)</f>
        <v>5</v>
      </c>
      <c r="I12" s="8" t="str">
        <f>VLOOKUP(E12,[1]characters!$A:$H,8,FALSE)</f>
        <v>yellow</v>
      </c>
      <c r="J12" s="8" t="str">
        <f>VLOOKUP(E12,[1]characters!$A:$K,11,FALSE)</f>
        <v>balance</v>
      </c>
      <c r="K12" s="8" t="str">
        <f>VLOOKUP(E12,[1]characters!$A:$M,13,FALSE)</f>
        <v>human</v>
      </c>
      <c r="L12" s="36">
        <f t="shared" si="2"/>
        <v>1910</v>
      </c>
      <c r="M12" s="38">
        <f>IFERROR(VLOOKUP(E12,bug_conf_sheet!$A:$H,3,FALSE),VLOOKUP("other",bug_conf_sheet!$A:$H,3,FALSE))</f>
        <v>1</v>
      </c>
      <c r="N12" s="38">
        <f>IFERROR(VLOOKUP(E12,bug_conf_sheet!$A:$H,4,FALSE),VLOOKUP("other",bug_conf_sheet!$A:$H,4,FALSE))</f>
        <v>0</v>
      </c>
      <c r="O12" s="38">
        <f>IFERROR(VLOOKUP(E12,bug_conf_sheet!$A:$H,5,FALSE),VLOOKUP("other",bug_conf_sheet!$A:$H,5,FALSE))</f>
        <v>0</v>
      </c>
      <c r="P12" s="38">
        <f>IFERROR(VLOOKUP(E12,bug_conf_sheet!$A:$H,6,FALSE),VLOOKUP("other",bug_conf_sheet!$A:$H,6,FALSE))</f>
        <v>0</v>
      </c>
      <c r="Q12" s="38">
        <f>IFERROR(VLOOKUP(E12,bug_conf_sheet!$A:$H,7,FALSE),VLOOKUP("other",bug_conf_sheet!$A:$H,7,FALSE))</f>
        <v>0</v>
      </c>
      <c r="R12" s="38">
        <f>IFERROR(VLOOKUP(E12,bug_conf_sheet!$A:$H,8,FALSE),VLOOKUP("other",bug_conf_sheet!$A:$H,8,FALSE))</f>
        <v>1</v>
      </c>
    </row>
    <row r="13" spans="1:18" ht="21" hidden="1" customHeight="1">
      <c r="B13" s="2">
        <v>1886</v>
      </c>
      <c r="C13" s="8" t="str">
        <f t="shared" si="1"/>
        <v>PremiumN5</v>
      </c>
      <c r="E13" s="5">
        <v>201</v>
      </c>
      <c r="F13" s="8" t="str">
        <f>VLOOKUP(E13,[1]characters!$A:$C,3,FALSE)</f>
        <v>斬空の大破剣 ジークフリート</v>
      </c>
      <c r="G13" s="8" t="str">
        <f>VLOOKUP(E13,[1]characters!$A:$J,10,FALSE)</f>
        <v>PremiumN</v>
      </c>
      <c r="H13" s="8">
        <f>VLOOKUP(E13,[1]characters!$A:$I,9,FALSE)</f>
        <v>5</v>
      </c>
      <c r="I13" s="8" t="str">
        <f>VLOOKUP(E13,[1]characters!$A:$H,8,FALSE)</f>
        <v>blue</v>
      </c>
      <c r="J13" s="8" t="str">
        <f>VLOOKUP(E13,[1]characters!$A:$K,11,FALSE)</f>
        <v>balance</v>
      </c>
      <c r="K13" s="8" t="str">
        <f>VLOOKUP(E13,[1]characters!$A:$M,13,FALSE)</f>
        <v>human</v>
      </c>
      <c r="L13" s="36">
        <f t="shared" si="2"/>
        <v>1910</v>
      </c>
      <c r="M13" s="38">
        <f>IFERROR(VLOOKUP(E13,bug_conf_sheet!$A:$H,3,FALSE),VLOOKUP("other",bug_conf_sheet!$A:$H,3,FALSE))</f>
        <v>1</v>
      </c>
      <c r="N13" s="38">
        <f>IFERROR(VLOOKUP(E13,bug_conf_sheet!$A:$H,4,FALSE),VLOOKUP("other",bug_conf_sheet!$A:$H,4,FALSE))</f>
        <v>0</v>
      </c>
      <c r="O13" s="38">
        <f>IFERROR(VLOOKUP(E13,bug_conf_sheet!$A:$H,5,FALSE),VLOOKUP("other",bug_conf_sheet!$A:$H,5,FALSE))</f>
        <v>0</v>
      </c>
      <c r="P13" s="38">
        <f>IFERROR(VLOOKUP(E13,bug_conf_sheet!$A:$H,6,FALSE),VLOOKUP("other",bug_conf_sheet!$A:$H,6,FALSE))</f>
        <v>0</v>
      </c>
      <c r="Q13" s="38">
        <f>IFERROR(VLOOKUP(E13,bug_conf_sheet!$A:$H,7,FALSE),VLOOKUP("other",bug_conf_sheet!$A:$H,7,FALSE))</f>
        <v>0</v>
      </c>
      <c r="R13" s="38">
        <f>IFERROR(VLOOKUP(E13,bug_conf_sheet!$A:$H,8,FALSE),VLOOKUP("other",bug_conf_sheet!$A:$H,8,FALSE))</f>
        <v>1</v>
      </c>
    </row>
    <row r="14" spans="1:18" ht="21" hidden="1" customHeight="1">
      <c r="B14" s="2">
        <v>1886</v>
      </c>
      <c r="C14" s="8" t="str">
        <f t="shared" si="1"/>
        <v>PremiumN5</v>
      </c>
      <c r="E14" s="5">
        <v>204</v>
      </c>
      <c r="F14" s="8" t="str">
        <f>VLOOKUP(E14,[1]characters!$A:$C,3,FALSE)</f>
        <v>慟哭の巨焔 プロメテウス</v>
      </c>
      <c r="G14" s="8" t="str">
        <f>VLOOKUP(E14,[1]characters!$A:$J,10,FALSE)</f>
        <v>PremiumN</v>
      </c>
      <c r="H14" s="8">
        <f>VLOOKUP(E14,[1]characters!$A:$I,9,FALSE)</f>
        <v>5</v>
      </c>
      <c r="I14" s="8" t="str">
        <f>VLOOKUP(E14,[1]characters!$A:$H,8,FALSE)</f>
        <v>red</v>
      </c>
      <c r="J14" s="8" t="str">
        <f>VLOOKUP(E14,[1]characters!$A:$K,11,FALSE)</f>
        <v>hp</v>
      </c>
      <c r="K14" s="8" t="str">
        <f>VLOOKUP(E14,[1]characters!$A:$M,13,FALSE)</f>
        <v>god</v>
      </c>
      <c r="L14" s="36">
        <f t="shared" si="2"/>
        <v>1910</v>
      </c>
      <c r="M14" s="38">
        <f>IFERROR(VLOOKUP(E14,bug_conf_sheet!$A:$H,3,FALSE),VLOOKUP("other",bug_conf_sheet!$A:$H,3,FALSE))</f>
        <v>1</v>
      </c>
      <c r="N14" s="38">
        <f>IFERROR(VLOOKUP(E14,bug_conf_sheet!$A:$H,4,FALSE),VLOOKUP("other",bug_conf_sheet!$A:$H,4,FALSE))</f>
        <v>0</v>
      </c>
      <c r="O14" s="38">
        <f>IFERROR(VLOOKUP(E14,bug_conf_sheet!$A:$H,5,FALSE),VLOOKUP("other",bug_conf_sheet!$A:$H,5,FALSE))</f>
        <v>0</v>
      </c>
      <c r="P14" s="38">
        <f>IFERROR(VLOOKUP(E14,bug_conf_sheet!$A:$H,6,FALSE),VLOOKUP("other",bug_conf_sheet!$A:$H,6,FALSE))</f>
        <v>0</v>
      </c>
      <c r="Q14" s="38">
        <f>IFERROR(VLOOKUP(E14,bug_conf_sheet!$A:$H,7,FALSE),VLOOKUP("other",bug_conf_sheet!$A:$H,7,FALSE))</f>
        <v>0</v>
      </c>
      <c r="R14" s="38">
        <f>IFERROR(VLOOKUP(E14,bug_conf_sheet!$A:$H,8,FALSE),VLOOKUP("other",bug_conf_sheet!$A:$H,8,FALSE))</f>
        <v>1</v>
      </c>
    </row>
    <row r="15" spans="1:18" ht="21" hidden="1" customHeight="1">
      <c r="B15" s="2">
        <v>1886</v>
      </c>
      <c r="C15" s="8" t="str">
        <f t="shared" si="1"/>
        <v>PremiumN5</v>
      </c>
      <c r="E15" s="5">
        <v>207</v>
      </c>
      <c r="F15" s="8" t="str">
        <f>VLOOKUP(E15,[1]characters!$A:$C,3,FALSE)</f>
        <v>豊穣の麗神・アフロディーテ</v>
      </c>
      <c r="G15" s="8" t="str">
        <f>VLOOKUP(E15,[1]characters!$A:$J,10,FALSE)</f>
        <v>PremiumN</v>
      </c>
      <c r="H15" s="8">
        <f>VLOOKUP(E15,[1]characters!$A:$I,9,FALSE)</f>
        <v>5</v>
      </c>
      <c r="I15" s="8" t="str">
        <f>VLOOKUP(E15,[1]characters!$A:$H,8,FALSE)</f>
        <v>green</v>
      </c>
      <c r="J15" s="8" t="str">
        <f>VLOOKUP(E15,[1]characters!$A:$K,11,FALSE)</f>
        <v>hp</v>
      </c>
      <c r="K15" s="8" t="str">
        <f>VLOOKUP(E15,[1]characters!$A:$M,13,FALSE)</f>
        <v>god</v>
      </c>
      <c r="L15" s="36">
        <f t="shared" si="2"/>
        <v>1910</v>
      </c>
      <c r="M15" s="38">
        <f>IFERROR(VLOOKUP(E15,bug_conf_sheet!$A:$H,3,FALSE),VLOOKUP("other",bug_conf_sheet!$A:$H,3,FALSE))</f>
        <v>1</v>
      </c>
      <c r="N15" s="38">
        <f>IFERROR(VLOOKUP(E15,bug_conf_sheet!$A:$H,4,FALSE),VLOOKUP("other",bug_conf_sheet!$A:$H,4,FALSE))</f>
        <v>0</v>
      </c>
      <c r="O15" s="38">
        <f>IFERROR(VLOOKUP(E15,bug_conf_sheet!$A:$H,5,FALSE),VLOOKUP("other",bug_conf_sheet!$A:$H,5,FALSE))</f>
        <v>0</v>
      </c>
      <c r="P15" s="38">
        <f>IFERROR(VLOOKUP(E15,bug_conf_sheet!$A:$H,6,FALSE),VLOOKUP("other",bug_conf_sheet!$A:$H,6,FALSE))</f>
        <v>0</v>
      </c>
      <c r="Q15" s="38">
        <f>IFERROR(VLOOKUP(E15,bug_conf_sheet!$A:$H,7,FALSE),VLOOKUP("other",bug_conf_sheet!$A:$H,7,FALSE))</f>
        <v>0</v>
      </c>
      <c r="R15" s="38">
        <f>IFERROR(VLOOKUP(E15,bug_conf_sheet!$A:$H,8,FALSE),VLOOKUP("other",bug_conf_sheet!$A:$H,8,FALSE))</f>
        <v>1</v>
      </c>
    </row>
    <row r="16" spans="1:18" ht="21" hidden="1" customHeight="1">
      <c r="B16" s="2">
        <v>1886</v>
      </c>
      <c r="C16" s="8" t="str">
        <f t="shared" si="1"/>
        <v>PremiumN5</v>
      </c>
      <c r="E16" s="5">
        <v>210</v>
      </c>
      <c r="F16" s="8" t="str">
        <f>VLOOKUP(E16,[1]characters!$A:$C,3,FALSE)</f>
        <v>海底の孤高神 テティス</v>
      </c>
      <c r="G16" s="8" t="str">
        <f>VLOOKUP(E16,[1]characters!$A:$J,10,FALSE)</f>
        <v>PremiumN</v>
      </c>
      <c r="H16" s="8">
        <f>VLOOKUP(E16,[1]characters!$A:$I,9,FALSE)</f>
        <v>5</v>
      </c>
      <c r="I16" s="8" t="str">
        <f>VLOOKUP(E16,[1]characters!$A:$H,8,FALSE)</f>
        <v>blue</v>
      </c>
      <c r="J16" s="8" t="str">
        <f>VLOOKUP(E16,[1]characters!$A:$K,11,FALSE)</f>
        <v>hp</v>
      </c>
      <c r="K16" s="8" t="str">
        <f>VLOOKUP(E16,[1]characters!$A:$M,13,FALSE)</f>
        <v>god</v>
      </c>
      <c r="L16" s="36">
        <f t="shared" si="2"/>
        <v>1910</v>
      </c>
      <c r="M16" s="38">
        <f>IFERROR(VLOOKUP(E16,bug_conf_sheet!$A:$H,3,FALSE),VLOOKUP("other",bug_conf_sheet!$A:$H,3,FALSE))</f>
        <v>1</v>
      </c>
      <c r="N16" s="38">
        <f>IFERROR(VLOOKUP(E16,bug_conf_sheet!$A:$H,4,FALSE),VLOOKUP("other",bug_conf_sheet!$A:$H,4,FALSE))</f>
        <v>0</v>
      </c>
      <c r="O16" s="38">
        <f>IFERROR(VLOOKUP(E16,bug_conf_sheet!$A:$H,5,FALSE),VLOOKUP("other",bug_conf_sheet!$A:$H,5,FALSE))</f>
        <v>0</v>
      </c>
      <c r="P16" s="38">
        <f>IFERROR(VLOOKUP(E16,bug_conf_sheet!$A:$H,6,FALSE),VLOOKUP("other",bug_conf_sheet!$A:$H,6,FALSE))</f>
        <v>0</v>
      </c>
      <c r="Q16" s="38">
        <f>IFERROR(VLOOKUP(E16,bug_conf_sheet!$A:$H,7,FALSE),VLOOKUP("other",bug_conf_sheet!$A:$H,7,FALSE))</f>
        <v>0</v>
      </c>
      <c r="R16" s="38">
        <f>IFERROR(VLOOKUP(E16,bug_conf_sheet!$A:$H,8,FALSE),VLOOKUP("other",bug_conf_sheet!$A:$H,8,FALSE))</f>
        <v>1</v>
      </c>
    </row>
    <row r="17" spans="2:18" ht="21" hidden="1" customHeight="1">
      <c r="B17" s="2">
        <v>1886</v>
      </c>
      <c r="C17" s="8" t="str">
        <f t="shared" si="1"/>
        <v>PremiumN5</v>
      </c>
      <c r="E17" s="5">
        <v>213</v>
      </c>
      <c r="F17" s="8" t="str">
        <f>VLOOKUP(E17,[1]characters!$A:$C,3,FALSE)</f>
        <v>満天の星降神 アストライアー</v>
      </c>
      <c r="G17" s="8" t="str">
        <f>VLOOKUP(E17,[1]characters!$A:$J,10,FALSE)</f>
        <v>PremiumN</v>
      </c>
      <c r="H17" s="8">
        <f>VLOOKUP(E17,[1]characters!$A:$I,9,FALSE)</f>
        <v>5</v>
      </c>
      <c r="I17" s="8" t="str">
        <f>VLOOKUP(E17,[1]characters!$A:$H,8,FALSE)</f>
        <v>yellow</v>
      </c>
      <c r="J17" s="8" t="str">
        <f>VLOOKUP(E17,[1]characters!$A:$K,11,FALSE)</f>
        <v>balance</v>
      </c>
      <c r="K17" s="8" t="str">
        <f>VLOOKUP(E17,[1]characters!$A:$M,13,FALSE)</f>
        <v>god</v>
      </c>
      <c r="L17" s="36">
        <f t="shared" si="2"/>
        <v>1910</v>
      </c>
      <c r="M17" s="38">
        <f>IFERROR(VLOOKUP(E17,bug_conf_sheet!$A:$H,3,FALSE),VLOOKUP("other",bug_conf_sheet!$A:$H,3,FALSE))</f>
        <v>1</v>
      </c>
      <c r="N17" s="38">
        <f>IFERROR(VLOOKUP(E17,bug_conf_sheet!$A:$H,4,FALSE),VLOOKUP("other",bug_conf_sheet!$A:$H,4,FALSE))</f>
        <v>0</v>
      </c>
      <c r="O17" s="38">
        <f>IFERROR(VLOOKUP(E17,bug_conf_sheet!$A:$H,5,FALSE),VLOOKUP("other",bug_conf_sheet!$A:$H,5,FALSE))</f>
        <v>0</v>
      </c>
      <c r="P17" s="38">
        <f>IFERROR(VLOOKUP(E17,bug_conf_sheet!$A:$H,6,FALSE),VLOOKUP("other",bug_conf_sheet!$A:$H,6,FALSE))</f>
        <v>0</v>
      </c>
      <c r="Q17" s="38">
        <f>IFERROR(VLOOKUP(E17,bug_conf_sheet!$A:$H,7,FALSE),VLOOKUP("other",bug_conf_sheet!$A:$H,7,FALSE))</f>
        <v>0</v>
      </c>
      <c r="R17" s="38">
        <f>IFERROR(VLOOKUP(E17,bug_conf_sheet!$A:$H,8,FALSE),VLOOKUP("other",bug_conf_sheet!$A:$H,8,FALSE))</f>
        <v>1</v>
      </c>
    </row>
    <row r="18" spans="2:18" ht="21" hidden="1" customHeight="1">
      <c r="B18" s="2">
        <v>1886</v>
      </c>
      <c r="C18" s="8" t="str">
        <f t="shared" si="1"/>
        <v>PremiumN5</v>
      </c>
      <c r="E18" s="5">
        <v>216</v>
      </c>
      <c r="F18" s="8" t="str">
        <f>VLOOKUP(E18,[1]characters!$A:$C,3,FALSE)</f>
        <v>百読の死導司書 アズラエル</v>
      </c>
      <c r="G18" s="8" t="str">
        <f>VLOOKUP(E18,[1]characters!$A:$J,10,FALSE)</f>
        <v>PremiumN</v>
      </c>
      <c r="H18" s="8">
        <f>VLOOKUP(E18,[1]characters!$A:$I,9,FALSE)</f>
        <v>5</v>
      </c>
      <c r="I18" s="8" t="str">
        <f>VLOOKUP(E18,[1]characters!$A:$H,8,FALSE)</f>
        <v>red</v>
      </c>
      <c r="J18" s="8" t="str">
        <f>VLOOKUP(E18,[1]characters!$A:$K,11,FALSE)</f>
        <v>balance</v>
      </c>
      <c r="K18" s="8" t="str">
        <f>VLOOKUP(E18,[1]characters!$A:$M,13,FALSE)</f>
        <v>god</v>
      </c>
      <c r="L18" s="36">
        <f t="shared" si="2"/>
        <v>1910</v>
      </c>
      <c r="M18" s="38">
        <f>IFERROR(VLOOKUP(E18,bug_conf_sheet!$A:$H,3,FALSE),VLOOKUP("other",bug_conf_sheet!$A:$H,3,FALSE))</f>
        <v>1</v>
      </c>
      <c r="N18" s="38">
        <f>IFERROR(VLOOKUP(E18,bug_conf_sheet!$A:$H,4,FALSE),VLOOKUP("other",bug_conf_sheet!$A:$H,4,FALSE))</f>
        <v>0</v>
      </c>
      <c r="O18" s="38">
        <f>IFERROR(VLOOKUP(E18,bug_conf_sheet!$A:$H,5,FALSE),VLOOKUP("other",bug_conf_sheet!$A:$H,5,FALSE))</f>
        <v>0</v>
      </c>
      <c r="P18" s="38">
        <f>IFERROR(VLOOKUP(E18,bug_conf_sheet!$A:$H,6,FALSE),VLOOKUP("other",bug_conf_sheet!$A:$H,6,FALSE))</f>
        <v>0</v>
      </c>
      <c r="Q18" s="38">
        <f>IFERROR(VLOOKUP(E18,bug_conf_sheet!$A:$H,7,FALSE),VLOOKUP("other",bug_conf_sheet!$A:$H,7,FALSE))</f>
        <v>0</v>
      </c>
      <c r="R18" s="38">
        <f>IFERROR(VLOOKUP(E18,bug_conf_sheet!$A:$H,8,FALSE),VLOOKUP("other",bug_conf_sheet!$A:$H,8,FALSE))</f>
        <v>1</v>
      </c>
    </row>
    <row r="19" spans="2:18" ht="21" hidden="1" customHeight="1">
      <c r="B19" s="2">
        <v>1886</v>
      </c>
      <c r="C19" s="8" t="str">
        <f t="shared" si="1"/>
        <v>PremiumN5</v>
      </c>
      <c r="E19" s="5">
        <v>219</v>
      </c>
      <c r="F19" s="8" t="str">
        <f>VLOOKUP(E19,[1]characters!$A:$C,3,FALSE)</f>
        <v>覇翼の聖蛇竜 ケツァクアトル</v>
      </c>
      <c r="G19" s="8" t="str">
        <f>VLOOKUP(E19,[1]characters!$A:$J,10,FALSE)</f>
        <v>PremiumN</v>
      </c>
      <c r="H19" s="8">
        <f>VLOOKUP(E19,[1]characters!$A:$I,9,FALSE)</f>
        <v>5</v>
      </c>
      <c r="I19" s="8" t="str">
        <f>VLOOKUP(E19,[1]characters!$A:$H,8,FALSE)</f>
        <v>green</v>
      </c>
      <c r="J19" s="8" t="str">
        <f>VLOOKUP(E19,[1]characters!$A:$K,11,FALSE)</f>
        <v>hp</v>
      </c>
      <c r="K19" s="8" t="str">
        <f>VLOOKUP(E19,[1]characters!$A:$M,13,FALSE)</f>
        <v>dragon</v>
      </c>
      <c r="L19" s="36">
        <f t="shared" si="2"/>
        <v>1910</v>
      </c>
      <c r="M19" s="38">
        <f>IFERROR(VLOOKUP(E19,bug_conf_sheet!$A:$H,3,FALSE),VLOOKUP("other",bug_conf_sheet!$A:$H,3,FALSE))</f>
        <v>1</v>
      </c>
      <c r="N19" s="38">
        <f>IFERROR(VLOOKUP(E19,bug_conf_sheet!$A:$H,4,FALSE),VLOOKUP("other",bug_conf_sheet!$A:$H,4,FALSE))</f>
        <v>0</v>
      </c>
      <c r="O19" s="38">
        <f>IFERROR(VLOOKUP(E19,bug_conf_sheet!$A:$H,5,FALSE),VLOOKUP("other",bug_conf_sheet!$A:$H,5,FALSE))</f>
        <v>0</v>
      </c>
      <c r="P19" s="38">
        <f>IFERROR(VLOOKUP(E19,bug_conf_sheet!$A:$H,6,FALSE),VLOOKUP("other",bug_conf_sheet!$A:$H,6,FALSE))</f>
        <v>0</v>
      </c>
      <c r="Q19" s="38">
        <f>IFERROR(VLOOKUP(E19,bug_conf_sheet!$A:$H,7,FALSE),VLOOKUP("other",bug_conf_sheet!$A:$H,7,FALSE))</f>
        <v>0</v>
      </c>
      <c r="R19" s="38">
        <f>IFERROR(VLOOKUP(E19,bug_conf_sheet!$A:$H,8,FALSE),VLOOKUP("other",bug_conf_sheet!$A:$H,8,FALSE))</f>
        <v>1</v>
      </c>
    </row>
    <row r="20" spans="2:18" ht="21" hidden="1" customHeight="1">
      <c r="B20" s="2">
        <v>1886</v>
      </c>
      <c r="C20" s="8" t="str">
        <f t="shared" si="1"/>
        <v>PremiumN5</v>
      </c>
      <c r="E20" s="5">
        <v>222</v>
      </c>
      <c r="F20" s="8" t="str">
        <f>VLOOKUP(E20,[1]characters!$A:$C,3,FALSE)</f>
        <v>避光の鉄鎖宰相 ルキフグス</v>
      </c>
      <c r="G20" s="8" t="str">
        <f>VLOOKUP(E20,[1]characters!$A:$J,10,FALSE)</f>
        <v>PremiumN</v>
      </c>
      <c r="H20" s="8">
        <f>VLOOKUP(E20,[1]characters!$A:$I,9,FALSE)</f>
        <v>5</v>
      </c>
      <c r="I20" s="8" t="str">
        <f>VLOOKUP(E20,[1]characters!$A:$H,8,FALSE)</f>
        <v>blue</v>
      </c>
      <c r="J20" s="8" t="str">
        <f>VLOOKUP(E20,[1]characters!$A:$K,11,FALSE)</f>
        <v>balance</v>
      </c>
      <c r="K20" s="8" t="str">
        <f>VLOOKUP(E20,[1]characters!$A:$M,13,FALSE)</f>
        <v>god</v>
      </c>
      <c r="L20" s="36">
        <f t="shared" si="2"/>
        <v>1910</v>
      </c>
      <c r="M20" s="38">
        <f>IFERROR(VLOOKUP(E20,bug_conf_sheet!$A:$H,3,FALSE),VLOOKUP("other",bug_conf_sheet!$A:$H,3,FALSE))</f>
        <v>1</v>
      </c>
      <c r="N20" s="38">
        <f>IFERROR(VLOOKUP(E20,bug_conf_sheet!$A:$H,4,FALSE),VLOOKUP("other",bug_conf_sheet!$A:$H,4,FALSE))</f>
        <v>0</v>
      </c>
      <c r="O20" s="38">
        <f>IFERROR(VLOOKUP(E20,bug_conf_sheet!$A:$H,5,FALSE),VLOOKUP("other",bug_conf_sheet!$A:$H,5,FALSE))</f>
        <v>0</v>
      </c>
      <c r="P20" s="38">
        <f>IFERROR(VLOOKUP(E20,bug_conf_sheet!$A:$H,6,FALSE),VLOOKUP("other",bug_conf_sheet!$A:$H,6,FALSE))</f>
        <v>0</v>
      </c>
      <c r="Q20" s="38">
        <f>IFERROR(VLOOKUP(E20,bug_conf_sheet!$A:$H,7,FALSE),VLOOKUP("other",bug_conf_sheet!$A:$H,7,FALSE))</f>
        <v>0</v>
      </c>
      <c r="R20" s="38">
        <f>IFERROR(VLOOKUP(E20,bug_conf_sheet!$A:$H,8,FALSE),VLOOKUP("other",bug_conf_sheet!$A:$H,8,FALSE))</f>
        <v>1</v>
      </c>
    </row>
    <row r="21" spans="2:18" ht="21" hidden="1" customHeight="1">
      <c r="B21" s="2">
        <v>1886</v>
      </c>
      <c r="C21" s="8" t="str">
        <f t="shared" si="1"/>
        <v>PremiumN5</v>
      </c>
      <c r="E21" s="5">
        <v>225</v>
      </c>
      <c r="F21" s="8" t="str">
        <f>VLOOKUP(E21,[1]characters!$A:$C,3,FALSE)</f>
        <v>咆哮の巨獅腕 ヘラクレス</v>
      </c>
      <c r="G21" s="8" t="str">
        <f>VLOOKUP(E21,[1]characters!$A:$J,10,FALSE)</f>
        <v>PremiumN</v>
      </c>
      <c r="H21" s="8">
        <f>VLOOKUP(E21,[1]characters!$A:$I,9,FALSE)</f>
        <v>5</v>
      </c>
      <c r="I21" s="8" t="str">
        <f>VLOOKUP(E21,[1]characters!$A:$H,8,FALSE)</f>
        <v>yellow</v>
      </c>
      <c r="J21" s="8" t="str">
        <f>VLOOKUP(E21,[1]characters!$A:$K,11,FALSE)</f>
        <v>balance</v>
      </c>
      <c r="K21" s="8" t="str">
        <f>VLOOKUP(E21,[1]characters!$A:$M,13,FALSE)</f>
        <v>human</v>
      </c>
      <c r="L21" s="36">
        <f t="shared" si="2"/>
        <v>1910</v>
      </c>
      <c r="M21" s="38">
        <f>IFERROR(VLOOKUP(E21,bug_conf_sheet!$A:$H,3,FALSE),VLOOKUP("other",bug_conf_sheet!$A:$H,3,FALSE))</f>
        <v>1</v>
      </c>
      <c r="N21" s="38">
        <f>IFERROR(VLOOKUP(E21,bug_conf_sheet!$A:$H,4,FALSE),VLOOKUP("other",bug_conf_sheet!$A:$H,4,FALSE))</f>
        <v>0</v>
      </c>
      <c r="O21" s="38">
        <f>IFERROR(VLOOKUP(E21,bug_conf_sheet!$A:$H,5,FALSE),VLOOKUP("other",bug_conf_sheet!$A:$H,5,FALSE))</f>
        <v>0</v>
      </c>
      <c r="P21" s="38">
        <f>IFERROR(VLOOKUP(E21,bug_conf_sheet!$A:$H,6,FALSE),VLOOKUP("other",bug_conf_sheet!$A:$H,6,FALSE))</f>
        <v>0</v>
      </c>
      <c r="Q21" s="38">
        <f>IFERROR(VLOOKUP(E21,bug_conf_sheet!$A:$H,7,FALSE),VLOOKUP("other",bug_conf_sheet!$A:$H,7,FALSE))</f>
        <v>0</v>
      </c>
      <c r="R21" s="38">
        <f>IFERROR(VLOOKUP(E21,bug_conf_sheet!$A:$H,8,FALSE),VLOOKUP("other",bug_conf_sheet!$A:$H,8,FALSE))</f>
        <v>1</v>
      </c>
    </row>
    <row r="22" spans="2:18" ht="21" hidden="1" customHeight="1">
      <c r="B22" s="2">
        <v>1886</v>
      </c>
      <c r="C22" s="8" t="str">
        <f t="shared" si="1"/>
        <v>PremiumS5</v>
      </c>
      <c r="E22" s="5">
        <v>228</v>
      </c>
      <c r="F22" s="8" t="str">
        <f>VLOOKUP(E22,[1]characters!$A:$C,3,FALSE)</f>
        <v>殲滅の掃射砲 アレス</v>
      </c>
      <c r="G22" s="8" t="str">
        <f>VLOOKUP(E22,[1]characters!$A:$J,10,FALSE)</f>
        <v>PremiumS</v>
      </c>
      <c r="H22" s="8">
        <f>VLOOKUP(E22,[1]characters!$A:$I,9,FALSE)</f>
        <v>5</v>
      </c>
      <c r="I22" s="8" t="str">
        <f>VLOOKUP(E22,[1]characters!$A:$H,8,FALSE)</f>
        <v>red</v>
      </c>
      <c r="J22" s="8" t="str">
        <f>VLOOKUP(E22,[1]characters!$A:$K,11,FALSE)</f>
        <v>attack</v>
      </c>
      <c r="K22" s="8" t="str">
        <f>VLOOKUP(E22,[1]characters!$A:$M,13,FALSE)</f>
        <v>god</v>
      </c>
      <c r="L22" s="36">
        <f t="shared" si="2"/>
        <v>1910</v>
      </c>
      <c r="M22" s="38">
        <f>IFERROR(VLOOKUP(E22,bug_conf_sheet!$A:$H,3,FALSE),VLOOKUP("other",bug_conf_sheet!$A:$H,3,FALSE))</f>
        <v>1</v>
      </c>
      <c r="N22" s="38">
        <f>IFERROR(VLOOKUP(E22,bug_conf_sheet!$A:$H,4,FALSE),VLOOKUP("other",bug_conf_sheet!$A:$H,4,FALSE))</f>
        <v>0</v>
      </c>
      <c r="O22" s="38">
        <f>IFERROR(VLOOKUP(E22,bug_conf_sheet!$A:$H,5,FALSE),VLOOKUP("other",bug_conf_sheet!$A:$H,5,FALSE))</f>
        <v>0</v>
      </c>
      <c r="P22" s="38">
        <f>IFERROR(VLOOKUP(E22,bug_conf_sheet!$A:$H,6,FALSE),VLOOKUP("other",bug_conf_sheet!$A:$H,6,FALSE))</f>
        <v>0</v>
      </c>
      <c r="Q22" s="38">
        <f>IFERROR(VLOOKUP(E22,bug_conf_sheet!$A:$H,7,FALSE),VLOOKUP("other",bug_conf_sheet!$A:$H,7,FALSE))</f>
        <v>0</v>
      </c>
      <c r="R22" s="38">
        <f>IFERROR(VLOOKUP(E22,bug_conf_sheet!$A:$H,8,FALSE),VLOOKUP("other",bug_conf_sheet!$A:$H,8,FALSE))</f>
        <v>1</v>
      </c>
    </row>
    <row r="23" spans="2:18" ht="21" hidden="1" customHeight="1">
      <c r="B23" s="2">
        <v>1886</v>
      </c>
      <c r="C23" s="8" t="str">
        <f t="shared" si="1"/>
        <v>PremiumS5</v>
      </c>
      <c r="E23" s="5">
        <v>231</v>
      </c>
      <c r="F23" s="8" t="str">
        <f>VLOOKUP(E23,[1]characters!$A:$C,3,FALSE)</f>
        <v>必中の咬銃 ヨルムンガンド</v>
      </c>
      <c r="G23" s="8" t="str">
        <f>VLOOKUP(E23,[1]characters!$A:$J,10,FALSE)</f>
        <v>PremiumS</v>
      </c>
      <c r="H23" s="8">
        <f>VLOOKUP(E23,[1]characters!$A:$I,9,FALSE)</f>
        <v>5</v>
      </c>
      <c r="I23" s="8" t="str">
        <f>VLOOKUP(E23,[1]characters!$A:$H,8,FALSE)</f>
        <v>green</v>
      </c>
      <c r="J23" s="8" t="str">
        <f>VLOOKUP(E23,[1]characters!$A:$K,11,FALSE)</f>
        <v>technical</v>
      </c>
      <c r="K23" s="8" t="str">
        <f>VLOOKUP(E23,[1]characters!$A:$M,13,FALSE)</f>
        <v>dragon</v>
      </c>
      <c r="L23" s="36">
        <f t="shared" si="2"/>
        <v>1910</v>
      </c>
      <c r="M23" s="38">
        <f>IFERROR(VLOOKUP(E23,bug_conf_sheet!$A:$H,3,FALSE),VLOOKUP("other",bug_conf_sheet!$A:$H,3,FALSE))</f>
        <v>1</v>
      </c>
      <c r="N23" s="38">
        <f>IFERROR(VLOOKUP(E23,bug_conf_sheet!$A:$H,4,FALSE),VLOOKUP("other",bug_conf_sheet!$A:$H,4,FALSE))</f>
        <v>0</v>
      </c>
      <c r="O23" s="38">
        <f>IFERROR(VLOOKUP(E23,bug_conf_sheet!$A:$H,5,FALSE),VLOOKUP("other",bug_conf_sheet!$A:$H,5,FALSE))</f>
        <v>0</v>
      </c>
      <c r="P23" s="38">
        <f>IFERROR(VLOOKUP(E23,bug_conf_sheet!$A:$H,6,FALSE),VLOOKUP("other",bug_conf_sheet!$A:$H,6,FALSE))</f>
        <v>0</v>
      </c>
      <c r="Q23" s="38">
        <f>IFERROR(VLOOKUP(E23,bug_conf_sheet!$A:$H,7,FALSE),VLOOKUP("other",bug_conf_sheet!$A:$H,7,FALSE))</f>
        <v>0</v>
      </c>
      <c r="R23" s="38">
        <f>IFERROR(VLOOKUP(E23,bug_conf_sheet!$A:$H,8,FALSE),VLOOKUP("other",bug_conf_sheet!$A:$H,8,FALSE))</f>
        <v>1</v>
      </c>
    </row>
    <row r="24" spans="2:18" ht="21" hidden="1" customHeight="1">
      <c r="B24" s="2">
        <v>1886</v>
      </c>
      <c r="C24" s="8" t="str">
        <f t="shared" si="1"/>
        <v>PremiumS5</v>
      </c>
      <c r="E24" s="5">
        <v>234</v>
      </c>
      <c r="F24" s="8" t="str">
        <f>VLOOKUP(E24,[1]characters!$A:$C,3,FALSE)</f>
        <v>精密なる照準 パーシヴァル</v>
      </c>
      <c r="G24" s="8" t="str">
        <f>VLOOKUP(E24,[1]characters!$A:$J,10,FALSE)</f>
        <v>PremiumS</v>
      </c>
      <c r="H24" s="8">
        <f>VLOOKUP(E24,[1]characters!$A:$I,9,FALSE)</f>
        <v>5</v>
      </c>
      <c r="I24" s="8" t="str">
        <f>VLOOKUP(E24,[1]characters!$A:$H,8,FALSE)</f>
        <v>blue</v>
      </c>
      <c r="J24" s="8" t="str">
        <f>VLOOKUP(E24,[1]characters!$A:$K,11,FALSE)</f>
        <v>technical</v>
      </c>
      <c r="K24" s="8" t="str">
        <f>VLOOKUP(E24,[1]characters!$A:$M,13,FALSE)</f>
        <v>human</v>
      </c>
      <c r="L24" s="36">
        <f t="shared" si="2"/>
        <v>1910</v>
      </c>
      <c r="M24" s="38">
        <f>IFERROR(VLOOKUP(E24,bug_conf_sheet!$A:$H,3,FALSE),VLOOKUP("other",bug_conf_sheet!$A:$H,3,FALSE))</f>
        <v>1</v>
      </c>
      <c r="N24" s="38">
        <f>IFERROR(VLOOKUP(E24,bug_conf_sheet!$A:$H,4,FALSE),VLOOKUP("other",bug_conf_sheet!$A:$H,4,FALSE))</f>
        <v>0</v>
      </c>
      <c r="O24" s="38">
        <f>IFERROR(VLOOKUP(E24,bug_conf_sheet!$A:$H,5,FALSE),VLOOKUP("other",bug_conf_sheet!$A:$H,5,FALSE))</f>
        <v>0</v>
      </c>
      <c r="P24" s="38">
        <f>IFERROR(VLOOKUP(E24,bug_conf_sheet!$A:$H,6,FALSE),VLOOKUP("other",bug_conf_sheet!$A:$H,6,FALSE))</f>
        <v>0</v>
      </c>
      <c r="Q24" s="38">
        <f>IFERROR(VLOOKUP(E24,bug_conf_sheet!$A:$H,7,FALSE),VLOOKUP("other",bug_conf_sheet!$A:$H,7,FALSE))</f>
        <v>0</v>
      </c>
      <c r="R24" s="38">
        <f>IFERROR(VLOOKUP(E24,bug_conf_sheet!$A:$H,8,FALSE),VLOOKUP("other",bug_conf_sheet!$A:$H,8,FALSE))</f>
        <v>1</v>
      </c>
    </row>
    <row r="25" spans="2:18" ht="21" hidden="1" customHeight="1">
      <c r="B25" s="2">
        <v>1886</v>
      </c>
      <c r="C25" s="8" t="str">
        <f t="shared" si="1"/>
        <v>PremiumS5</v>
      </c>
      <c r="E25" s="5">
        <v>237</v>
      </c>
      <c r="F25" s="8" t="str">
        <f>VLOOKUP(E25,[1]characters!$A:$C,3,FALSE)</f>
        <v>森羅万象の神母 イザナミ</v>
      </c>
      <c r="G25" s="8" t="str">
        <f>VLOOKUP(E25,[1]characters!$A:$J,10,FALSE)</f>
        <v>PremiumS</v>
      </c>
      <c r="H25" s="8">
        <f>VLOOKUP(E25,[1]characters!$A:$I,9,FALSE)</f>
        <v>5</v>
      </c>
      <c r="I25" s="8" t="str">
        <f>VLOOKUP(E25,[1]characters!$A:$H,8,FALSE)</f>
        <v>yellow</v>
      </c>
      <c r="J25" s="8" t="str">
        <f>VLOOKUP(E25,[1]characters!$A:$K,11,FALSE)</f>
        <v>attack</v>
      </c>
      <c r="K25" s="8" t="str">
        <f>VLOOKUP(E25,[1]characters!$A:$M,13,FALSE)</f>
        <v>god</v>
      </c>
      <c r="L25" s="36">
        <f t="shared" si="2"/>
        <v>1910</v>
      </c>
      <c r="M25" s="38">
        <f>IFERROR(VLOOKUP(E25,bug_conf_sheet!$A:$H,3,FALSE),VLOOKUP("other",bug_conf_sheet!$A:$H,3,FALSE))</f>
        <v>1</v>
      </c>
      <c r="N25" s="38">
        <f>IFERROR(VLOOKUP(E25,bug_conf_sheet!$A:$H,4,FALSE),VLOOKUP("other",bug_conf_sheet!$A:$H,4,FALSE))</f>
        <v>0</v>
      </c>
      <c r="O25" s="38">
        <f>IFERROR(VLOOKUP(E25,bug_conf_sheet!$A:$H,5,FALSE),VLOOKUP("other",bug_conf_sheet!$A:$H,5,FALSE))</f>
        <v>0</v>
      </c>
      <c r="P25" s="38">
        <f>IFERROR(VLOOKUP(E25,bug_conf_sheet!$A:$H,6,FALSE),VLOOKUP("other",bug_conf_sheet!$A:$H,6,FALSE))</f>
        <v>0</v>
      </c>
      <c r="Q25" s="38">
        <f>IFERROR(VLOOKUP(E25,bug_conf_sheet!$A:$H,7,FALSE),VLOOKUP("other",bug_conf_sheet!$A:$H,7,FALSE))</f>
        <v>0</v>
      </c>
      <c r="R25" s="38">
        <f>IFERROR(VLOOKUP(E25,bug_conf_sheet!$A:$H,8,FALSE),VLOOKUP("other",bug_conf_sheet!$A:$H,8,FALSE))</f>
        <v>1</v>
      </c>
    </row>
    <row r="26" spans="2:18" ht="21" hidden="1" customHeight="1">
      <c r="B26" s="2">
        <v>1886</v>
      </c>
      <c r="C26" s="8" t="str">
        <f t="shared" si="1"/>
        <v>PremiumS5</v>
      </c>
      <c r="E26" s="5">
        <v>240</v>
      </c>
      <c r="F26" s="8" t="str">
        <f>VLOOKUP(E26,[1]characters!$A:$C,3,FALSE)</f>
        <v>轟炎の天使 ウリエル・スレイヤー</v>
      </c>
      <c r="G26" s="8" t="str">
        <f>VLOOKUP(E26,[1]characters!$A:$J,10,FALSE)</f>
        <v>PremiumS</v>
      </c>
      <c r="H26" s="8">
        <f>VLOOKUP(E26,[1]characters!$A:$I,9,FALSE)</f>
        <v>5</v>
      </c>
      <c r="I26" s="8" t="str">
        <f>VLOOKUP(E26,[1]characters!$A:$H,8,FALSE)</f>
        <v>red</v>
      </c>
      <c r="J26" s="8" t="str">
        <f>VLOOKUP(E26,[1]characters!$A:$K,11,FALSE)</f>
        <v>hp</v>
      </c>
      <c r="K26" s="8" t="str">
        <f>VLOOKUP(E26,[1]characters!$A:$M,13,FALSE)</f>
        <v>machine</v>
      </c>
      <c r="L26" s="36">
        <f t="shared" si="2"/>
        <v>1910</v>
      </c>
      <c r="M26" s="38">
        <f>IFERROR(VLOOKUP(E26,bug_conf_sheet!$A:$H,3,FALSE),VLOOKUP("other",bug_conf_sheet!$A:$H,3,FALSE))</f>
        <v>1</v>
      </c>
      <c r="N26" s="38">
        <f>IFERROR(VLOOKUP(E26,bug_conf_sheet!$A:$H,4,FALSE),VLOOKUP("other",bug_conf_sheet!$A:$H,4,FALSE))</f>
        <v>0</v>
      </c>
      <c r="O26" s="38">
        <f>IFERROR(VLOOKUP(E26,bug_conf_sheet!$A:$H,5,FALSE),VLOOKUP("other",bug_conf_sheet!$A:$H,5,FALSE))</f>
        <v>0</v>
      </c>
      <c r="P26" s="38">
        <f>IFERROR(VLOOKUP(E26,bug_conf_sheet!$A:$H,6,FALSE),VLOOKUP("other",bug_conf_sheet!$A:$H,6,FALSE))</f>
        <v>0</v>
      </c>
      <c r="Q26" s="38">
        <f>IFERROR(VLOOKUP(E26,bug_conf_sheet!$A:$H,7,FALSE),VLOOKUP("other",bug_conf_sheet!$A:$H,7,FALSE))</f>
        <v>0</v>
      </c>
      <c r="R26" s="38">
        <f>IFERROR(VLOOKUP(E26,bug_conf_sheet!$A:$H,8,FALSE),VLOOKUP("other",bug_conf_sheet!$A:$H,8,FALSE))</f>
        <v>1</v>
      </c>
    </row>
    <row r="27" spans="2:18" ht="21" hidden="1" customHeight="1">
      <c r="B27" s="2">
        <v>1886</v>
      </c>
      <c r="C27" s="8" t="str">
        <f t="shared" si="1"/>
        <v>PremiumS5</v>
      </c>
      <c r="E27" s="5">
        <v>243</v>
      </c>
      <c r="F27" s="8" t="str">
        <f>VLOOKUP(E27,[1]characters!$A:$C,3,FALSE)</f>
        <v>万花の天使 ガブリエル・ブルーム</v>
      </c>
      <c r="G27" s="8" t="str">
        <f>VLOOKUP(E27,[1]characters!$A:$J,10,FALSE)</f>
        <v>PremiumS</v>
      </c>
      <c r="H27" s="8">
        <f>VLOOKUP(E27,[1]characters!$A:$I,9,FALSE)</f>
        <v>5</v>
      </c>
      <c r="I27" s="8" t="str">
        <f>VLOOKUP(E27,[1]characters!$A:$H,8,FALSE)</f>
        <v>green</v>
      </c>
      <c r="J27" s="8" t="str">
        <f>VLOOKUP(E27,[1]characters!$A:$K,11,FALSE)</f>
        <v>balance</v>
      </c>
      <c r="K27" s="8" t="str">
        <f>VLOOKUP(E27,[1]characters!$A:$M,13,FALSE)</f>
        <v>machine</v>
      </c>
      <c r="L27" s="36">
        <f t="shared" si="2"/>
        <v>1910</v>
      </c>
      <c r="M27" s="38">
        <f>IFERROR(VLOOKUP(E27,bug_conf_sheet!$A:$H,3,FALSE),VLOOKUP("other",bug_conf_sheet!$A:$H,3,FALSE))</f>
        <v>1</v>
      </c>
      <c r="N27" s="38">
        <f>IFERROR(VLOOKUP(E27,bug_conf_sheet!$A:$H,4,FALSE),VLOOKUP("other",bug_conf_sheet!$A:$H,4,FALSE))</f>
        <v>0</v>
      </c>
      <c r="O27" s="38">
        <f>IFERROR(VLOOKUP(E27,bug_conf_sheet!$A:$H,5,FALSE),VLOOKUP("other",bug_conf_sheet!$A:$H,5,FALSE))</f>
        <v>0</v>
      </c>
      <c r="P27" s="38">
        <f>IFERROR(VLOOKUP(E27,bug_conf_sheet!$A:$H,6,FALSE),VLOOKUP("other",bug_conf_sheet!$A:$H,6,FALSE))</f>
        <v>0</v>
      </c>
      <c r="Q27" s="38">
        <f>IFERROR(VLOOKUP(E27,bug_conf_sheet!$A:$H,7,FALSE),VLOOKUP("other",bug_conf_sheet!$A:$H,7,FALSE))</f>
        <v>0</v>
      </c>
      <c r="R27" s="38">
        <f>IFERROR(VLOOKUP(E27,bug_conf_sheet!$A:$H,8,FALSE),VLOOKUP("other",bug_conf_sheet!$A:$H,8,FALSE))</f>
        <v>1</v>
      </c>
    </row>
    <row r="28" spans="2:18" ht="21" hidden="1" customHeight="1">
      <c r="B28" s="2">
        <v>1886</v>
      </c>
      <c r="C28" s="8" t="str">
        <f t="shared" si="1"/>
        <v>PremiumS5</v>
      </c>
      <c r="E28" s="5">
        <v>246</v>
      </c>
      <c r="F28" s="8" t="str">
        <f>VLOOKUP(E28,[1]characters!$A:$C,3,FALSE)</f>
        <v>真癒の天使 ラファエル・メディカ</v>
      </c>
      <c r="G28" s="8" t="str">
        <f>VLOOKUP(E28,[1]characters!$A:$J,10,FALSE)</f>
        <v>PremiumS</v>
      </c>
      <c r="H28" s="8">
        <f>VLOOKUP(E28,[1]characters!$A:$I,9,FALSE)</f>
        <v>5</v>
      </c>
      <c r="I28" s="8" t="str">
        <f>VLOOKUP(E28,[1]characters!$A:$H,8,FALSE)</f>
        <v>blue</v>
      </c>
      <c r="J28" s="8" t="str">
        <f>VLOOKUP(E28,[1]characters!$A:$K,11,FALSE)</f>
        <v>balance</v>
      </c>
      <c r="K28" s="8" t="str">
        <f>VLOOKUP(E28,[1]characters!$A:$M,13,FALSE)</f>
        <v>machine</v>
      </c>
      <c r="L28" s="36">
        <f t="shared" si="2"/>
        <v>1910</v>
      </c>
      <c r="M28" s="38">
        <f>IFERROR(VLOOKUP(E28,bug_conf_sheet!$A:$H,3,FALSE),VLOOKUP("other",bug_conf_sheet!$A:$H,3,FALSE))</f>
        <v>1</v>
      </c>
      <c r="N28" s="38">
        <f>IFERROR(VLOOKUP(E28,bug_conf_sheet!$A:$H,4,FALSE),VLOOKUP("other",bug_conf_sheet!$A:$H,4,FALSE))</f>
        <v>0</v>
      </c>
      <c r="O28" s="38">
        <f>IFERROR(VLOOKUP(E28,bug_conf_sheet!$A:$H,5,FALSE),VLOOKUP("other",bug_conf_sheet!$A:$H,5,FALSE))</f>
        <v>0</v>
      </c>
      <c r="P28" s="38">
        <f>IFERROR(VLOOKUP(E28,bug_conf_sheet!$A:$H,6,FALSE),VLOOKUP("other",bug_conf_sheet!$A:$H,6,FALSE))</f>
        <v>0</v>
      </c>
      <c r="Q28" s="38">
        <f>IFERROR(VLOOKUP(E28,bug_conf_sheet!$A:$H,7,FALSE),VLOOKUP("other",bug_conf_sheet!$A:$H,7,FALSE))</f>
        <v>0</v>
      </c>
      <c r="R28" s="38">
        <f>IFERROR(VLOOKUP(E28,bug_conf_sheet!$A:$H,8,FALSE),VLOOKUP("other",bug_conf_sheet!$A:$H,8,FALSE))</f>
        <v>1</v>
      </c>
    </row>
    <row r="29" spans="2:18" ht="21" hidden="1" customHeight="1">
      <c r="B29" s="2">
        <v>1886</v>
      </c>
      <c r="C29" s="8" t="str">
        <f t="shared" si="1"/>
        <v>PremiumS5</v>
      </c>
      <c r="E29" s="6">
        <v>249</v>
      </c>
      <c r="F29" s="8" t="str">
        <f>VLOOKUP(E29,[1]characters!$A:$C,3,FALSE)</f>
        <v>雷電の天使 ミカエル・ゲイナー</v>
      </c>
      <c r="G29" s="8" t="str">
        <f>VLOOKUP(E29,[1]characters!$A:$J,10,FALSE)</f>
        <v>PremiumS</v>
      </c>
      <c r="H29" s="8">
        <f>VLOOKUP(E29,[1]characters!$A:$I,9,FALSE)</f>
        <v>5</v>
      </c>
      <c r="I29" s="8" t="str">
        <f>VLOOKUP(E29,[1]characters!$A:$H,8,FALSE)</f>
        <v>yellow</v>
      </c>
      <c r="J29" s="8" t="str">
        <f>VLOOKUP(E29,[1]characters!$A:$K,11,FALSE)</f>
        <v>attack</v>
      </c>
      <c r="K29" s="8" t="str">
        <f>VLOOKUP(E29,[1]characters!$A:$M,13,FALSE)</f>
        <v>machine</v>
      </c>
      <c r="L29" s="36">
        <f t="shared" si="2"/>
        <v>1910</v>
      </c>
      <c r="M29" s="38">
        <f>IFERROR(VLOOKUP(E29,bug_conf_sheet!$A:$H,3,FALSE),VLOOKUP("other",bug_conf_sheet!$A:$H,3,FALSE))</f>
        <v>1</v>
      </c>
      <c r="N29" s="38">
        <f>IFERROR(VLOOKUP(E29,bug_conf_sheet!$A:$H,4,FALSE),VLOOKUP("other",bug_conf_sheet!$A:$H,4,FALSE))</f>
        <v>0</v>
      </c>
      <c r="O29" s="38">
        <f>IFERROR(VLOOKUP(E29,bug_conf_sheet!$A:$H,5,FALSE),VLOOKUP("other",bug_conf_sheet!$A:$H,5,FALSE))</f>
        <v>0</v>
      </c>
      <c r="P29" s="38">
        <f>IFERROR(VLOOKUP(E29,bug_conf_sheet!$A:$H,6,FALSE),VLOOKUP("other",bug_conf_sheet!$A:$H,6,FALSE))</f>
        <v>0</v>
      </c>
      <c r="Q29" s="38">
        <f>IFERROR(VLOOKUP(E29,bug_conf_sheet!$A:$H,7,FALSE),VLOOKUP("other",bug_conf_sheet!$A:$H,7,FALSE))</f>
        <v>0</v>
      </c>
      <c r="R29" s="38">
        <f>IFERROR(VLOOKUP(E29,bug_conf_sheet!$A:$H,8,FALSE),VLOOKUP("other",bug_conf_sheet!$A:$H,8,FALSE))</f>
        <v>1</v>
      </c>
    </row>
    <row r="30" spans="2:18" ht="21" hidden="1" customHeight="1">
      <c r="B30" s="2">
        <v>1886</v>
      </c>
      <c r="C30" s="8" t="str">
        <f t="shared" si="1"/>
        <v>PremiumS5</v>
      </c>
      <c r="E30" s="6">
        <v>252</v>
      </c>
      <c r="F30" s="8" t="str">
        <f>VLOOKUP(E30,[1]characters!$A:$C,3,FALSE)</f>
        <v>強欲の沸騰 マンモン</v>
      </c>
      <c r="G30" s="8" t="str">
        <f>VLOOKUP(E30,[1]characters!$A:$J,10,FALSE)</f>
        <v>PremiumS</v>
      </c>
      <c r="H30" s="8">
        <f>VLOOKUP(E30,[1]characters!$A:$I,9,FALSE)</f>
        <v>5</v>
      </c>
      <c r="I30" s="8" t="str">
        <f>VLOOKUP(E30,[1]characters!$A:$H,8,FALSE)</f>
        <v>red</v>
      </c>
      <c r="J30" s="8" t="str">
        <f>VLOOKUP(E30,[1]characters!$A:$K,11,FALSE)</f>
        <v>balance</v>
      </c>
      <c r="K30" s="8" t="str">
        <f>VLOOKUP(E30,[1]characters!$A:$M,13,FALSE)</f>
        <v>god</v>
      </c>
      <c r="L30" s="36">
        <f t="shared" si="2"/>
        <v>1910</v>
      </c>
      <c r="M30" s="38">
        <f>IFERROR(VLOOKUP(E30,bug_conf_sheet!$A:$H,3,FALSE),VLOOKUP("other",bug_conf_sheet!$A:$H,3,FALSE))</f>
        <v>1</v>
      </c>
      <c r="N30" s="38">
        <f>IFERROR(VLOOKUP(E30,bug_conf_sheet!$A:$H,4,FALSE),VLOOKUP("other",bug_conf_sheet!$A:$H,4,FALSE))</f>
        <v>0</v>
      </c>
      <c r="O30" s="38">
        <f>IFERROR(VLOOKUP(E30,bug_conf_sheet!$A:$H,5,FALSE),VLOOKUP("other",bug_conf_sheet!$A:$H,5,FALSE))</f>
        <v>0</v>
      </c>
      <c r="P30" s="38">
        <f>IFERROR(VLOOKUP(E30,bug_conf_sheet!$A:$H,6,FALSE),VLOOKUP("other",bug_conf_sheet!$A:$H,6,FALSE))</f>
        <v>0</v>
      </c>
      <c r="Q30" s="38">
        <f>IFERROR(VLOOKUP(E30,bug_conf_sheet!$A:$H,7,FALSE),VLOOKUP("other",bug_conf_sheet!$A:$H,7,FALSE))</f>
        <v>0</v>
      </c>
      <c r="R30" s="38">
        <f>IFERROR(VLOOKUP(E30,bug_conf_sheet!$A:$H,8,FALSE),VLOOKUP("other",bug_conf_sheet!$A:$H,8,FALSE))</f>
        <v>1</v>
      </c>
    </row>
    <row r="31" spans="2:18" ht="21" hidden="1" customHeight="1">
      <c r="B31" s="2">
        <v>1886</v>
      </c>
      <c r="C31" s="8" t="str">
        <f t="shared" si="1"/>
        <v>PremiumS5</v>
      </c>
      <c r="E31" s="6">
        <v>255</v>
      </c>
      <c r="F31" s="8" t="str">
        <f>VLOOKUP(E31,[1]characters!$A:$C,3,FALSE)</f>
        <v>怠惰の頂点 ベルフェゴール</v>
      </c>
      <c r="G31" s="8" t="str">
        <f>VLOOKUP(E31,[1]characters!$A:$J,10,FALSE)</f>
        <v>PremiumS</v>
      </c>
      <c r="H31" s="8">
        <f>VLOOKUP(E31,[1]characters!$A:$I,9,FALSE)</f>
        <v>5</v>
      </c>
      <c r="I31" s="8" t="str">
        <f>VLOOKUP(E31,[1]characters!$A:$H,8,FALSE)</f>
        <v>green</v>
      </c>
      <c r="J31" s="8" t="str">
        <f>VLOOKUP(E31,[1]characters!$A:$K,11,FALSE)</f>
        <v>technical</v>
      </c>
      <c r="K31" s="8" t="str">
        <f>VLOOKUP(E31,[1]characters!$A:$M,13,FALSE)</f>
        <v>god</v>
      </c>
      <c r="L31" s="36">
        <f t="shared" si="2"/>
        <v>1910</v>
      </c>
      <c r="M31" s="38">
        <f>IFERROR(VLOOKUP(E31,bug_conf_sheet!$A:$H,3,FALSE),VLOOKUP("other",bug_conf_sheet!$A:$H,3,FALSE))</f>
        <v>1</v>
      </c>
      <c r="N31" s="38">
        <f>IFERROR(VLOOKUP(E31,bug_conf_sheet!$A:$H,4,FALSE),VLOOKUP("other",bug_conf_sheet!$A:$H,4,FALSE))</f>
        <v>0</v>
      </c>
      <c r="O31" s="38">
        <f>IFERROR(VLOOKUP(E31,bug_conf_sheet!$A:$H,5,FALSE),VLOOKUP("other",bug_conf_sheet!$A:$H,5,FALSE))</f>
        <v>0</v>
      </c>
      <c r="P31" s="38">
        <f>IFERROR(VLOOKUP(E31,bug_conf_sheet!$A:$H,6,FALSE),VLOOKUP("other",bug_conf_sheet!$A:$H,6,FALSE))</f>
        <v>0</v>
      </c>
      <c r="Q31" s="38">
        <f>IFERROR(VLOOKUP(E31,bug_conf_sheet!$A:$H,7,FALSE),VLOOKUP("other",bug_conf_sheet!$A:$H,7,FALSE))</f>
        <v>0</v>
      </c>
      <c r="R31" s="38">
        <f>IFERROR(VLOOKUP(E31,bug_conf_sheet!$A:$H,8,FALSE),VLOOKUP("other",bug_conf_sheet!$A:$H,8,FALSE))</f>
        <v>1</v>
      </c>
    </row>
    <row r="32" spans="2:18" ht="21" hidden="1" customHeight="1">
      <c r="B32" s="2">
        <v>1886</v>
      </c>
      <c r="C32" s="8" t="str">
        <f t="shared" si="1"/>
        <v>PremiumS5</v>
      </c>
      <c r="E32" s="6">
        <v>258</v>
      </c>
      <c r="F32" s="8" t="str">
        <f>VLOOKUP(E32,[1]characters!$A:$C,3,FALSE)</f>
        <v>色欲の源流 アスモデウス</v>
      </c>
      <c r="G32" s="8" t="str">
        <f>VLOOKUP(E32,[1]characters!$A:$J,10,FALSE)</f>
        <v>PremiumS</v>
      </c>
      <c r="H32" s="8">
        <f>VLOOKUP(E32,[1]characters!$A:$I,9,FALSE)</f>
        <v>5</v>
      </c>
      <c r="I32" s="8" t="str">
        <f>VLOOKUP(E32,[1]characters!$A:$H,8,FALSE)</f>
        <v>blue</v>
      </c>
      <c r="J32" s="8" t="str">
        <f>VLOOKUP(E32,[1]characters!$A:$K,11,FALSE)</f>
        <v>attack</v>
      </c>
      <c r="K32" s="8" t="str">
        <f>VLOOKUP(E32,[1]characters!$A:$M,13,FALSE)</f>
        <v>god</v>
      </c>
      <c r="L32" s="36">
        <f t="shared" si="2"/>
        <v>1910</v>
      </c>
      <c r="M32" s="38">
        <f>IFERROR(VLOOKUP(E32,bug_conf_sheet!$A:$H,3,FALSE),VLOOKUP("other",bug_conf_sheet!$A:$H,3,FALSE))</f>
        <v>1</v>
      </c>
      <c r="N32" s="38">
        <f>IFERROR(VLOOKUP(E32,bug_conf_sheet!$A:$H,4,FALSE),VLOOKUP("other",bug_conf_sheet!$A:$H,4,FALSE))</f>
        <v>0</v>
      </c>
      <c r="O32" s="38">
        <f>IFERROR(VLOOKUP(E32,bug_conf_sheet!$A:$H,5,FALSE),VLOOKUP("other",bug_conf_sheet!$A:$H,5,FALSE))</f>
        <v>0</v>
      </c>
      <c r="P32" s="38">
        <f>IFERROR(VLOOKUP(E32,bug_conf_sheet!$A:$H,6,FALSE),VLOOKUP("other",bug_conf_sheet!$A:$H,6,FALSE))</f>
        <v>0</v>
      </c>
      <c r="Q32" s="38">
        <f>IFERROR(VLOOKUP(E32,bug_conf_sheet!$A:$H,7,FALSE),VLOOKUP("other",bug_conf_sheet!$A:$H,7,FALSE))</f>
        <v>0</v>
      </c>
      <c r="R32" s="38">
        <f>IFERROR(VLOOKUP(E32,bug_conf_sheet!$A:$H,8,FALSE),VLOOKUP("other",bug_conf_sheet!$A:$H,8,FALSE))</f>
        <v>1</v>
      </c>
    </row>
    <row r="33" spans="2:18" ht="21" hidden="1" customHeight="1">
      <c r="B33" s="2">
        <v>1886</v>
      </c>
      <c r="C33" s="8" t="str">
        <f t="shared" si="1"/>
        <v>PremiumS5</v>
      </c>
      <c r="E33" s="9">
        <v>261</v>
      </c>
      <c r="F33" s="8" t="str">
        <f>VLOOKUP(E33,[1]characters!$A:$C,3,FALSE)</f>
        <v>輪廻の蛇龍 ウロボロス</v>
      </c>
      <c r="G33" s="8" t="str">
        <f>VLOOKUP(E33,[1]characters!$A:$J,10,FALSE)</f>
        <v>PremiumS</v>
      </c>
      <c r="H33" s="8">
        <f>VLOOKUP(E33,[1]characters!$A:$I,9,FALSE)</f>
        <v>5</v>
      </c>
      <c r="I33" s="8" t="str">
        <f>VLOOKUP(E33,[1]characters!$A:$H,8,FALSE)</f>
        <v>yellow</v>
      </c>
      <c r="J33" s="8" t="str">
        <f>VLOOKUP(E33,[1]characters!$A:$K,11,FALSE)</f>
        <v>balance</v>
      </c>
      <c r="K33" s="8" t="str">
        <f>VLOOKUP(E33,[1]characters!$A:$M,13,FALSE)</f>
        <v>dragon</v>
      </c>
      <c r="L33" s="36">
        <f t="shared" si="2"/>
        <v>1910</v>
      </c>
      <c r="M33" s="38">
        <f>IFERROR(VLOOKUP(E33,bug_conf_sheet!$A:$H,3,FALSE),VLOOKUP("other",bug_conf_sheet!$A:$H,3,FALSE))</f>
        <v>1</v>
      </c>
      <c r="N33" s="38">
        <f>IFERROR(VLOOKUP(E33,bug_conf_sheet!$A:$H,4,FALSE),VLOOKUP("other",bug_conf_sheet!$A:$H,4,FALSE))</f>
        <v>0</v>
      </c>
      <c r="O33" s="38">
        <f>IFERROR(VLOOKUP(E33,bug_conf_sheet!$A:$H,5,FALSE),VLOOKUP("other",bug_conf_sheet!$A:$H,5,FALSE))</f>
        <v>0</v>
      </c>
      <c r="P33" s="38">
        <f>IFERROR(VLOOKUP(E33,bug_conf_sheet!$A:$H,6,FALSE),VLOOKUP("other",bug_conf_sheet!$A:$H,6,FALSE))</f>
        <v>0</v>
      </c>
      <c r="Q33" s="38">
        <f>IFERROR(VLOOKUP(E33,bug_conf_sheet!$A:$H,7,FALSE),VLOOKUP("other",bug_conf_sheet!$A:$H,7,FALSE))</f>
        <v>0</v>
      </c>
      <c r="R33" s="38">
        <f>IFERROR(VLOOKUP(E33,bug_conf_sheet!$A:$H,8,FALSE),VLOOKUP("other",bug_conf_sheet!$A:$H,8,FALSE))</f>
        <v>1</v>
      </c>
    </row>
    <row r="34" spans="2:18" ht="21" customHeight="1">
      <c r="B34" s="2">
        <v>1886</v>
      </c>
      <c r="C34" s="8" t="str">
        <f t="shared" si="1"/>
        <v>PremiumSS5</v>
      </c>
      <c r="E34" s="6">
        <v>321</v>
      </c>
      <c r="F34" s="8" t="str">
        <f>VLOOKUP(E34,[1]characters!$A:$C,3,FALSE)</f>
        <v>巌鉄の烈志士 近藤勇</v>
      </c>
      <c r="G34" s="8" t="str">
        <f>VLOOKUP(E34,[1]characters!$A:$J,10,FALSE)</f>
        <v>PremiumSS</v>
      </c>
      <c r="H34" s="8">
        <f>VLOOKUP(E34,[1]characters!$A:$I,9,FALSE)</f>
        <v>5</v>
      </c>
      <c r="I34" s="8" t="str">
        <f>VLOOKUP(E34,[1]characters!$A:$H,8,FALSE)</f>
        <v>red</v>
      </c>
      <c r="J34" s="8" t="str">
        <f>VLOOKUP(E34,[1]characters!$A:$K,11,FALSE)</f>
        <v>hp</v>
      </c>
      <c r="K34" s="8" t="str">
        <f>VLOOKUP(E34,[1]characters!$A:$M,13,FALSE)</f>
        <v>human</v>
      </c>
      <c r="L34" s="36">
        <f>ROUND(100000*0.04/22,0)</f>
        <v>182</v>
      </c>
      <c r="M34" s="38">
        <f>IFERROR(VLOOKUP(E34,bug_conf_sheet!$A:$H,3,FALSE),VLOOKUP("other",bug_conf_sheet!$A:$H,3,FALSE))</f>
        <v>1</v>
      </c>
      <c r="N34" s="38">
        <f>IFERROR(VLOOKUP(E34,bug_conf_sheet!$A:$H,4,FALSE),VLOOKUP("other",bug_conf_sheet!$A:$H,4,FALSE))</f>
        <v>0</v>
      </c>
      <c r="O34" s="38">
        <f>IFERROR(VLOOKUP(E34,bug_conf_sheet!$A:$H,5,FALSE),VLOOKUP("other",bug_conf_sheet!$A:$H,5,FALSE))</f>
        <v>0</v>
      </c>
      <c r="P34" s="38">
        <f>IFERROR(VLOOKUP(E34,bug_conf_sheet!$A:$H,6,FALSE),VLOOKUP("other",bug_conf_sheet!$A:$H,6,FALSE))</f>
        <v>0</v>
      </c>
      <c r="Q34" s="38">
        <f>IFERROR(VLOOKUP(E34,bug_conf_sheet!$A:$H,7,FALSE),VLOOKUP("other",bug_conf_sheet!$A:$H,7,FALSE))</f>
        <v>0</v>
      </c>
      <c r="R34" s="38">
        <f>IFERROR(VLOOKUP(E34,bug_conf_sheet!$A:$H,8,FALSE),VLOOKUP("other",bug_conf_sheet!$A:$H,8,FALSE))</f>
        <v>1</v>
      </c>
    </row>
    <row r="35" spans="2:18" ht="21" customHeight="1">
      <c r="B35" s="2">
        <v>1886</v>
      </c>
      <c r="C35" s="8" t="str">
        <f t="shared" si="1"/>
        <v>PremiumSS5</v>
      </c>
      <c r="E35" s="6">
        <v>323</v>
      </c>
      <c r="F35" s="8" t="str">
        <f>VLOOKUP(E35,[1]characters!$A:$C,3,FALSE)</f>
        <v>流麗の愛志士 土方歳三</v>
      </c>
      <c r="G35" s="8" t="str">
        <f>VLOOKUP(E35,[1]characters!$A:$J,10,FALSE)</f>
        <v>PremiumSS</v>
      </c>
      <c r="H35" s="8">
        <f>VLOOKUP(E35,[1]characters!$A:$I,9,FALSE)</f>
        <v>5</v>
      </c>
      <c r="I35" s="8" t="str">
        <f>VLOOKUP(E35,[1]characters!$A:$H,8,FALSE)</f>
        <v>green</v>
      </c>
      <c r="J35" s="8" t="str">
        <f>VLOOKUP(E35,[1]characters!$A:$K,11,FALSE)</f>
        <v>attack</v>
      </c>
      <c r="K35" s="8" t="str">
        <f>VLOOKUP(E35,[1]characters!$A:$M,13,FALSE)</f>
        <v>human</v>
      </c>
      <c r="L35" s="36">
        <f t="shared" ref="L35:L37" si="3">ROUND(100000*0.04/22,0)</f>
        <v>182</v>
      </c>
      <c r="M35" s="38">
        <f>IFERROR(VLOOKUP(E35,bug_conf_sheet!$A:$H,3,FALSE),VLOOKUP("other",bug_conf_sheet!$A:$H,3,FALSE))</f>
        <v>1</v>
      </c>
      <c r="N35" s="38">
        <f>IFERROR(VLOOKUP(E35,bug_conf_sheet!$A:$H,4,FALSE),VLOOKUP("other",bug_conf_sheet!$A:$H,4,FALSE))</f>
        <v>0</v>
      </c>
      <c r="O35" s="38">
        <f>IFERROR(VLOOKUP(E35,bug_conf_sheet!$A:$H,5,FALSE),VLOOKUP("other",bug_conf_sheet!$A:$H,5,FALSE))</f>
        <v>0</v>
      </c>
      <c r="P35" s="38">
        <f>IFERROR(VLOOKUP(E35,bug_conf_sheet!$A:$H,6,FALSE),VLOOKUP("other",bug_conf_sheet!$A:$H,6,FALSE))</f>
        <v>0</v>
      </c>
      <c r="Q35" s="38">
        <f>IFERROR(VLOOKUP(E35,bug_conf_sheet!$A:$H,7,FALSE),VLOOKUP("other",bug_conf_sheet!$A:$H,7,FALSE))</f>
        <v>0</v>
      </c>
      <c r="R35" s="38">
        <f>IFERROR(VLOOKUP(E35,bug_conf_sheet!$A:$H,8,FALSE),VLOOKUP("other",bug_conf_sheet!$A:$H,8,FALSE))</f>
        <v>1</v>
      </c>
    </row>
    <row r="36" spans="2:18" ht="21" customHeight="1">
      <c r="B36" s="2">
        <v>1886</v>
      </c>
      <c r="C36" s="8" t="str">
        <f t="shared" si="1"/>
        <v>PremiumSS5</v>
      </c>
      <c r="E36" s="6">
        <v>325</v>
      </c>
      <c r="F36" s="8" t="str">
        <f>VLOOKUP(E36,[1]characters!$A:$C,3,FALSE)</f>
        <v>天賦の凛志士 沖田総司</v>
      </c>
      <c r="G36" s="8" t="str">
        <f>VLOOKUP(E36,[1]characters!$A:$J,10,FALSE)</f>
        <v>PremiumSS</v>
      </c>
      <c r="H36" s="8">
        <f>VLOOKUP(E36,[1]characters!$A:$I,9,FALSE)</f>
        <v>5</v>
      </c>
      <c r="I36" s="8" t="str">
        <f>VLOOKUP(E36,[1]characters!$A:$H,8,FALSE)</f>
        <v>blue</v>
      </c>
      <c r="J36" s="8" t="str">
        <f>VLOOKUP(E36,[1]characters!$A:$K,11,FALSE)</f>
        <v>balance</v>
      </c>
      <c r="K36" s="8" t="str">
        <f>VLOOKUP(E36,[1]characters!$A:$M,13,FALSE)</f>
        <v>human</v>
      </c>
      <c r="L36" s="36">
        <f t="shared" si="3"/>
        <v>182</v>
      </c>
      <c r="M36" s="38">
        <f>IFERROR(VLOOKUP(E36,bug_conf_sheet!$A:$H,3,FALSE),VLOOKUP("other",bug_conf_sheet!$A:$H,3,FALSE))</f>
        <v>1</v>
      </c>
      <c r="N36" s="38">
        <f>IFERROR(VLOOKUP(E36,bug_conf_sheet!$A:$H,4,FALSE),VLOOKUP("other",bug_conf_sheet!$A:$H,4,FALSE))</f>
        <v>0</v>
      </c>
      <c r="O36" s="38">
        <f>IFERROR(VLOOKUP(E36,bug_conf_sheet!$A:$H,5,FALSE),VLOOKUP("other",bug_conf_sheet!$A:$H,5,FALSE))</f>
        <v>0</v>
      </c>
      <c r="P36" s="38">
        <f>IFERROR(VLOOKUP(E36,bug_conf_sheet!$A:$H,6,FALSE),VLOOKUP("other",bug_conf_sheet!$A:$H,6,FALSE))</f>
        <v>0</v>
      </c>
      <c r="Q36" s="38">
        <f>IFERROR(VLOOKUP(E36,bug_conf_sheet!$A:$H,7,FALSE),VLOOKUP("other",bug_conf_sheet!$A:$H,7,FALSE))</f>
        <v>0</v>
      </c>
      <c r="R36" s="38">
        <f>IFERROR(VLOOKUP(E36,bug_conf_sheet!$A:$H,8,FALSE),VLOOKUP("other",bug_conf_sheet!$A:$H,8,FALSE))</f>
        <v>1</v>
      </c>
    </row>
    <row r="37" spans="2:18" ht="21" customHeight="1">
      <c r="B37" s="2">
        <v>1886</v>
      </c>
      <c r="C37" s="8" t="str">
        <f t="shared" si="1"/>
        <v>PremiumSS5</v>
      </c>
      <c r="E37" s="6">
        <v>327</v>
      </c>
      <c r="F37" s="8" t="str">
        <f>VLOOKUP(E37,[1]characters!$A:$C,3,FALSE)</f>
        <v>千殺の妖志士 斎藤一</v>
      </c>
      <c r="G37" s="8" t="str">
        <f>VLOOKUP(E37,[1]characters!$A:$J,10,FALSE)</f>
        <v>PremiumSS</v>
      </c>
      <c r="H37" s="8">
        <f>VLOOKUP(E37,[1]characters!$A:$I,9,FALSE)</f>
        <v>5</v>
      </c>
      <c r="I37" s="8" t="str">
        <f>VLOOKUP(E37,[1]characters!$A:$H,8,FALSE)</f>
        <v>yellow</v>
      </c>
      <c r="J37" s="8" t="str">
        <f>VLOOKUP(E37,[1]characters!$A:$K,11,FALSE)</f>
        <v>technical</v>
      </c>
      <c r="K37" s="8" t="str">
        <f>VLOOKUP(E37,[1]characters!$A:$M,13,FALSE)</f>
        <v>human</v>
      </c>
      <c r="L37" s="36">
        <f t="shared" si="3"/>
        <v>182</v>
      </c>
      <c r="M37" s="38">
        <f>IFERROR(VLOOKUP(E37,bug_conf_sheet!$A:$H,3,FALSE),VLOOKUP("other",bug_conf_sheet!$A:$H,3,FALSE))</f>
        <v>1</v>
      </c>
      <c r="N37" s="38">
        <f>IFERROR(VLOOKUP(E37,bug_conf_sheet!$A:$H,4,FALSE),VLOOKUP("other",bug_conf_sheet!$A:$H,4,FALSE))</f>
        <v>0</v>
      </c>
      <c r="O37" s="38">
        <f>IFERROR(VLOOKUP(E37,bug_conf_sheet!$A:$H,5,FALSE),VLOOKUP("other",bug_conf_sheet!$A:$H,5,FALSE))</f>
        <v>0</v>
      </c>
      <c r="P37" s="38">
        <f>IFERROR(VLOOKUP(E37,bug_conf_sheet!$A:$H,6,FALSE),VLOOKUP("other",bug_conf_sheet!$A:$H,6,FALSE))</f>
        <v>0</v>
      </c>
      <c r="Q37" s="38">
        <f>IFERROR(VLOOKUP(E37,bug_conf_sheet!$A:$H,7,FALSE),VLOOKUP("other",bug_conf_sheet!$A:$H,7,FALSE))</f>
        <v>0</v>
      </c>
      <c r="R37" s="38">
        <f>IFERROR(VLOOKUP(E37,bug_conf_sheet!$A:$H,8,FALSE),VLOOKUP("other",bug_conf_sheet!$A:$H,8,FALSE))</f>
        <v>1</v>
      </c>
    </row>
    <row r="38" spans="2:18" ht="21" hidden="1" customHeight="1">
      <c r="B38" s="2">
        <v>1886</v>
      </c>
      <c r="C38" s="8" t="str">
        <f t="shared" si="1"/>
        <v>PremiumS5</v>
      </c>
      <c r="E38" s="6">
        <v>382</v>
      </c>
      <c r="F38" s="8" t="str">
        <f>VLOOKUP(E38,[1]characters!$A:$C,3,FALSE)</f>
        <v>激情の愛炎 バハムート</v>
      </c>
      <c r="G38" s="8" t="str">
        <f>VLOOKUP(E38,[1]characters!$A:$J,10,FALSE)</f>
        <v>PremiumS</v>
      </c>
      <c r="H38" s="8">
        <f>VLOOKUP(E38,[1]characters!$A:$I,9,FALSE)</f>
        <v>5</v>
      </c>
      <c r="I38" s="8" t="str">
        <f>VLOOKUP(E38,[1]characters!$A:$H,8,FALSE)</f>
        <v>red</v>
      </c>
      <c r="J38" s="8" t="str">
        <f>VLOOKUP(E38,[1]characters!$A:$K,11,FALSE)</f>
        <v>technical</v>
      </c>
      <c r="K38" s="8" t="str">
        <f>VLOOKUP(E38,[1]characters!$A:$M,13,FALSE)</f>
        <v>dragon</v>
      </c>
      <c r="L38" s="36">
        <f>ROUND(100000*0.955/50,0)</f>
        <v>1910</v>
      </c>
      <c r="M38" s="38">
        <f>IFERROR(VLOOKUP(E38,bug_conf_sheet!$A:$H,3,FALSE),VLOOKUP("other",bug_conf_sheet!$A:$H,3,FALSE))</f>
        <v>1</v>
      </c>
      <c r="N38" s="38">
        <f>IFERROR(VLOOKUP(E38,bug_conf_sheet!$A:$H,4,FALSE),VLOOKUP("other",bug_conf_sheet!$A:$H,4,FALSE))</f>
        <v>0</v>
      </c>
      <c r="O38" s="38">
        <f>IFERROR(VLOOKUP(E38,bug_conf_sheet!$A:$H,5,FALSE),VLOOKUP("other",bug_conf_sheet!$A:$H,5,FALSE))</f>
        <v>0</v>
      </c>
      <c r="P38" s="38">
        <f>IFERROR(VLOOKUP(E38,bug_conf_sheet!$A:$H,6,FALSE),VLOOKUP("other",bug_conf_sheet!$A:$H,6,FALSE))</f>
        <v>0</v>
      </c>
      <c r="Q38" s="38">
        <f>IFERROR(VLOOKUP(E38,bug_conf_sheet!$A:$H,7,FALSE),VLOOKUP("other",bug_conf_sheet!$A:$H,7,FALSE))</f>
        <v>0</v>
      </c>
      <c r="R38" s="38">
        <f>IFERROR(VLOOKUP(E38,bug_conf_sheet!$A:$H,8,FALSE),VLOOKUP("other",bug_conf_sheet!$A:$H,8,FALSE))</f>
        <v>1</v>
      </c>
    </row>
    <row r="39" spans="2:18" ht="21" customHeight="1">
      <c r="B39" s="2">
        <v>1886</v>
      </c>
      <c r="C39" s="8" t="str">
        <f t="shared" si="1"/>
        <v>PremiumSS5</v>
      </c>
      <c r="E39" s="6">
        <v>384</v>
      </c>
      <c r="F39" s="8" t="str">
        <f>VLOOKUP(E39,[1]characters!$A:$C,3,FALSE)</f>
        <v>破国の呑龍 ヤマタノオロチ</v>
      </c>
      <c r="G39" s="8" t="str">
        <f>VLOOKUP(E39,[1]characters!$A:$J,10,FALSE)</f>
        <v>PremiumSS</v>
      </c>
      <c r="H39" s="8">
        <f>VLOOKUP(E39,[1]characters!$A:$I,9,FALSE)</f>
        <v>5</v>
      </c>
      <c r="I39" s="8" t="str">
        <f>VLOOKUP(E39,[1]characters!$A:$H,8,FALSE)</f>
        <v>green</v>
      </c>
      <c r="J39" s="8" t="str">
        <f>VLOOKUP(E39,[1]characters!$A:$K,11,FALSE)</f>
        <v>hp</v>
      </c>
      <c r="K39" s="8" t="str">
        <f>VLOOKUP(E39,[1]characters!$A:$M,13,FALSE)</f>
        <v>dragon</v>
      </c>
      <c r="L39" s="36">
        <f t="shared" ref="L39:L40" si="4">ROUND(100000*0.04/22,0)</f>
        <v>182</v>
      </c>
      <c r="M39" s="38">
        <f>IFERROR(VLOOKUP(E39,bug_conf_sheet!$A:$H,3,FALSE),VLOOKUP("other",bug_conf_sheet!$A:$H,3,FALSE))</f>
        <v>1</v>
      </c>
      <c r="N39" s="38">
        <f>IFERROR(VLOOKUP(E39,bug_conf_sheet!$A:$H,4,FALSE),VLOOKUP("other",bug_conf_sheet!$A:$H,4,FALSE))</f>
        <v>0</v>
      </c>
      <c r="O39" s="38">
        <f>IFERROR(VLOOKUP(E39,bug_conf_sheet!$A:$H,5,FALSE),VLOOKUP("other",bug_conf_sheet!$A:$H,5,FALSE))</f>
        <v>0</v>
      </c>
      <c r="P39" s="38">
        <f>IFERROR(VLOOKUP(E39,bug_conf_sheet!$A:$H,6,FALSE),VLOOKUP("other",bug_conf_sheet!$A:$H,6,FALSE))</f>
        <v>0</v>
      </c>
      <c r="Q39" s="38">
        <f>IFERROR(VLOOKUP(E39,bug_conf_sheet!$A:$H,7,FALSE),VLOOKUP("other",bug_conf_sheet!$A:$H,7,FALSE))</f>
        <v>0</v>
      </c>
      <c r="R39" s="38">
        <f>IFERROR(VLOOKUP(E39,bug_conf_sheet!$A:$H,8,FALSE),VLOOKUP("other",bug_conf_sheet!$A:$H,8,FALSE))</f>
        <v>1</v>
      </c>
    </row>
    <row r="40" spans="2:18" ht="21" customHeight="1">
      <c r="B40" s="2">
        <v>1886</v>
      </c>
      <c r="C40" s="8" t="str">
        <f t="shared" si="1"/>
        <v>PremiumSS5</v>
      </c>
      <c r="E40" s="6">
        <v>386</v>
      </c>
      <c r="F40" s="8" t="str">
        <f>VLOOKUP(E40,[1]characters!$A:$C,3,FALSE)</f>
        <v>氾乱の海龍 リヴァイアサン</v>
      </c>
      <c r="G40" s="8" t="str">
        <f>VLOOKUP(E40,[1]characters!$A:$J,10,FALSE)</f>
        <v>PremiumSS</v>
      </c>
      <c r="H40" s="8">
        <f>VLOOKUP(E40,[1]characters!$A:$I,9,FALSE)</f>
        <v>5</v>
      </c>
      <c r="I40" s="8" t="str">
        <f>VLOOKUP(E40,[1]characters!$A:$H,8,FALSE)</f>
        <v>blue</v>
      </c>
      <c r="J40" s="8" t="str">
        <f>VLOOKUP(E40,[1]characters!$A:$K,11,FALSE)</f>
        <v>balance</v>
      </c>
      <c r="K40" s="8" t="str">
        <f>VLOOKUP(E40,[1]characters!$A:$M,13,FALSE)</f>
        <v>dragon</v>
      </c>
      <c r="L40" s="36">
        <f t="shared" si="4"/>
        <v>182</v>
      </c>
      <c r="M40" s="38">
        <f>IFERROR(VLOOKUP(E40,bug_conf_sheet!$A:$H,3,FALSE),VLOOKUP("other",bug_conf_sheet!$A:$H,3,FALSE))</f>
        <v>1</v>
      </c>
      <c r="N40" s="38">
        <f>IFERROR(VLOOKUP(E40,bug_conf_sheet!$A:$H,4,FALSE),VLOOKUP("other",bug_conf_sheet!$A:$H,4,FALSE))</f>
        <v>0</v>
      </c>
      <c r="O40" s="38">
        <f>IFERROR(VLOOKUP(E40,bug_conf_sheet!$A:$H,5,FALSE),VLOOKUP("other",bug_conf_sheet!$A:$H,5,FALSE))</f>
        <v>0</v>
      </c>
      <c r="P40" s="38">
        <f>IFERROR(VLOOKUP(E40,bug_conf_sheet!$A:$H,6,FALSE),VLOOKUP("other",bug_conf_sheet!$A:$H,6,FALSE))</f>
        <v>0</v>
      </c>
      <c r="Q40" s="38">
        <f>IFERROR(VLOOKUP(E40,bug_conf_sheet!$A:$H,7,FALSE),VLOOKUP("other",bug_conf_sheet!$A:$H,7,FALSE))</f>
        <v>0</v>
      </c>
      <c r="R40" s="38">
        <f>IFERROR(VLOOKUP(E40,bug_conf_sheet!$A:$H,8,FALSE),VLOOKUP("other",bug_conf_sheet!$A:$H,8,FALSE))</f>
        <v>1</v>
      </c>
    </row>
    <row r="41" spans="2:18" ht="21" hidden="1" customHeight="1">
      <c r="B41" s="2">
        <v>1886</v>
      </c>
      <c r="C41" s="8" t="str">
        <f t="shared" si="1"/>
        <v>PremiumS5</v>
      </c>
      <c r="E41" s="6">
        <v>389</v>
      </c>
      <c r="F41" s="8" t="str">
        <f>VLOOKUP(E41,[1]characters!$A:$C,3,FALSE)</f>
        <v>操神の愛姫 スフィンクス</v>
      </c>
      <c r="G41" s="8" t="str">
        <f>VLOOKUP(E41,[1]characters!$A:$J,10,FALSE)</f>
        <v>PremiumS</v>
      </c>
      <c r="H41" s="8">
        <f>VLOOKUP(E41,[1]characters!$A:$I,9,FALSE)</f>
        <v>5</v>
      </c>
      <c r="I41" s="8" t="str">
        <f>VLOOKUP(E41,[1]characters!$A:$H,8,FALSE)</f>
        <v>yellow</v>
      </c>
      <c r="J41" s="8" t="str">
        <f>VLOOKUP(E41,[1]characters!$A:$K,11,FALSE)</f>
        <v>heal</v>
      </c>
      <c r="K41" s="8" t="str">
        <f>VLOOKUP(E41,[1]characters!$A:$M,13,FALSE)</f>
        <v>animal</v>
      </c>
      <c r="L41" s="36">
        <f>ROUND(100000*0.955/50,0)</f>
        <v>1910</v>
      </c>
      <c r="M41" s="38">
        <f>IFERROR(VLOOKUP(E41,bug_conf_sheet!$A:$H,3,FALSE),VLOOKUP("other",bug_conf_sheet!$A:$H,3,FALSE))</f>
        <v>1</v>
      </c>
      <c r="N41" s="38">
        <f>IFERROR(VLOOKUP(E41,bug_conf_sheet!$A:$H,4,FALSE),VLOOKUP("other",bug_conf_sheet!$A:$H,4,FALSE))</f>
        <v>0</v>
      </c>
      <c r="O41" s="38">
        <f>IFERROR(VLOOKUP(E41,bug_conf_sheet!$A:$H,5,FALSE),VLOOKUP("other",bug_conf_sheet!$A:$H,5,FALSE))</f>
        <v>0</v>
      </c>
      <c r="P41" s="38">
        <f>IFERROR(VLOOKUP(E41,bug_conf_sheet!$A:$H,6,FALSE),VLOOKUP("other",bug_conf_sheet!$A:$H,6,FALSE))</f>
        <v>0</v>
      </c>
      <c r="Q41" s="38">
        <f>IFERROR(VLOOKUP(E41,bug_conf_sheet!$A:$H,7,FALSE),VLOOKUP("other",bug_conf_sheet!$A:$H,7,FALSE))</f>
        <v>0</v>
      </c>
      <c r="R41" s="38">
        <f>IFERROR(VLOOKUP(E41,bug_conf_sheet!$A:$H,8,FALSE),VLOOKUP("other",bug_conf_sheet!$A:$H,8,FALSE))</f>
        <v>1</v>
      </c>
    </row>
    <row r="42" spans="2:18" ht="21" customHeight="1">
      <c r="B42" s="2">
        <v>1886</v>
      </c>
      <c r="C42" s="8" t="str">
        <f t="shared" si="1"/>
        <v>PremiumSS5</v>
      </c>
      <c r="E42" s="6">
        <v>391</v>
      </c>
      <c r="F42" s="8" t="str">
        <f>VLOOKUP(E42,[1]characters!$A:$C,3,FALSE)</f>
        <v>燕翼の旅人 親指姫</v>
      </c>
      <c r="G42" s="8" t="str">
        <f>VLOOKUP(E42,[1]characters!$A:$J,10,FALSE)</f>
        <v>PremiumSS</v>
      </c>
      <c r="H42" s="8">
        <f>VLOOKUP(E42,[1]characters!$A:$I,9,FALSE)</f>
        <v>5</v>
      </c>
      <c r="I42" s="8" t="str">
        <f>VLOOKUP(E42,[1]characters!$A:$H,8,FALSE)</f>
        <v>red</v>
      </c>
      <c r="J42" s="8" t="str">
        <f>VLOOKUP(E42,[1]characters!$A:$K,11,FALSE)</f>
        <v>heal</v>
      </c>
      <c r="K42" s="8" t="str">
        <f>VLOOKUP(E42,[1]characters!$A:$M,13,FALSE)</f>
        <v>human</v>
      </c>
      <c r="L42" s="36">
        <f>ROUND(100000*0.04/22,0)</f>
        <v>182</v>
      </c>
      <c r="M42" s="38">
        <f>IFERROR(VLOOKUP(E42,bug_conf_sheet!$A:$H,3,FALSE),VLOOKUP("other",bug_conf_sheet!$A:$H,3,FALSE))</f>
        <v>1</v>
      </c>
      <c r="N42" s="38">
        <f>IFERROR(VLOOKUP(E42,bug_conf_sheet!$A:$H,4,FALSE),VLOOKUP("other",bug_conf_sheet!$A:$H,4,FALSE))</f>
        <v>0</v>
      </c>
      <c r="O42" s="38">
        <f>IFERROR(VLOOKUP(E42,bug_conf_sheet!$A:$H,5,FALSE),VLOOKUP("other",bug_conf_sheet!$A:$H,5,FALSE))</f>
        <v>0</v>
      </c>
      <c r="P42" s="38">
        <f>IFERROR(VLOOKUP(E42,bug_conf_sheet!$A:$H,6,FALSE),VLOOKUP("other",bug_conf_sheet!$A:$H,6,FALSE))</f>
        <v>0</v>
      </c>
      <c r="Q42" s="38">
        <f>IFERROR(VLOOKUP(E42,bug_conf_sheet!$A:$H,7,FALSE),VLOOKUP("other",bug_conf_sheet!$A:$H,7,FALSE))</f>
        <v>0</v>
      </c>
      <c r="R42" s="38">
        <f>IFERROR(VLOOKUP(E42,bug_conf_sheet!$A:$H,8,FALSE),VLOOKUP("other",bug_conf_sheet!$A:$H,8,FALSE))</f>
        <v>1</v>
      </c>
    </row>
    <row r="43" spans="2:18" ht="21" hidden="1" customHeight="1">
      <c r="B43" s="2">
        <v>1886</v>
      </c>
      <c r="C43" s="8" t="str">
        <f t="shared" si="1"/>
        <v>PremiumS5</v>
      </c>
      <c r="E43" s="6">
        <v>394</v>
      </c>
      <c r="F43" s="8" t="str">
        <f>VLOOKUP(E43,[1]characters!$A:$C,3,FALSE)</f>
        <v>影求の悪童 ピーターパン</v>
      </c>
      <c r="G43" s="8" t="str">
        <f>VLOOKUP(E43,[1]characters!$A:$J,10,FALSE)</f>
        <v>PremiumS</v>
      </c>
      <c r="H43" s="8">
        <f>VLOOKUP(E43,[1]characters!$A:$I,9,FALSE)</f>
        <v>5</v>
      </c>
      <c r="I43" s="8" t="str">
        <f>VLOOKUP(E43,[1]characters!$A:$H,8,FALSE)</f>
        <v>green</v>
      </c>
      <c r="J43" s="8" t="str">
        <f>VLOOKUP(E43,[1]characters!$A:$K,11,FALSE)</f>
        <v>attack</v>
      </c>
      <c r="K43" s="8" t="str">
        <f>VLOOKUP(E43,[1]characters!$A:$M,13,FALSE)</f>
        <v>human</v>
      </c>
      <c r="L43" s="36">
        <f t="shared" ref="L43:L44" si="5">ROUND(100000*0.955/50,0)</f>
        <v>1910</v>
      </c>
      <c r="M43" s="38">
        <f>IFERROR(VLOOKUP(E43,bug_conf_sheet!$A:$H,3,FALSE),VLOOKUP("other",bug_conf_sheet!$A:$H,3,FALSE))</f>
        <v>1</v>
      </c>
      <c r="N43" s="38">
        <f>IFERROR(VLOOKUP(E43,bug_conf_sheet!$A:$H,4,FALSE),VLOOKUP("other",bug_conf_sheet!$A:$H,4,FALSE))</f>
        <v>0</v>
      </c>
      <c r="O43" s="38">
        <f>IFERROR(VLOOKUP(E43,bug_conf_sheet!$A:$H,5,FALSE),VLOOKUP("other",bug_conf_sheet!$A:$H,5,FALSE))</f>
        <v>0</v>
      </c>
      <c r="P43" s="38">
        <f>IFERROR(VLOOKUP(E43,bug_conf_sheet!$A:$H,6,FALSE),VLOOKUP("other",bug_conf_sheet!$A:$H,6,FALSE))</f>
        <v>0</v>
      </c>
      <c r="Q43" s="38">
        <f>IFERROR(VLOOKUP(E43,bug_conf_sheet!$A:$H,7,FALSE),VLOOKUP("other",bug_conf_sheet!$A:$H,7,FALSE))</f>
        <v>0</v>
      </c>
      <c r="R43" s="38">
        <f>IFERROR(VLOOKUP(E43,bug_conf_sheet!$A:$H,8,FALSE),VLOOKUP("other",bug_conf_sheet!$A:$H,8,FALSE))</f>
        <v>1</v>
      </c>
    </row>
    <row r="44" spans="2:18" ht="21" hidden="1" customHeight="1">
      <c r="B44" s="2">
        <v>1886</v>
      </c>
      <c r="C44" s="8" t="str">
        <f t="shared" si="1"/>
        <v>PremiumS5</v>
      </c>
      <c r="E44" s="6">
        <v>397</v>
      </c>
      <c r="F44" s="8" t="str">
        <f>VLOOKUP(E44,[1]characters!$A:$C,3,FALSE)</f>
        <v>禁断の追箱 乙姫</v>
      </c>
      <c r="G44" s="8" t="str">
        <f>VLOOKUP(E44,[1]characters!$A:$J,10,FALSE)</f>
        <v>PremiumS</v>
      </c>
      <c r="H44" s="8">
        <f>VLOOKUP(E44,[1]characters!$A:$I,9,FALSE)</f>
        <v>5</v>
      </c>
      <c r="I44" s="8" t="str">
        <f>VLOOKUP(E44,[1]characters!$A:$H,8,FALSE)</f>
        <v>blue</v>
      </c>
      <c r="J44" s="8" t="str">
        <f>VLOOKUP(E44,[1]characters!$A:$K,11,FALSE)</f>
        <v>hp</v>
      </c>
      <c r="K44" s="8" t="str">
        <f>VLOOKUP(E44,[1]characters!$A:$M,13,FALSE)</f>
        <v>human</v>
      </c>
      <c r="L44" s="36">
        <f t="shared" si="5"/>
        <v>1910</v>
      </c>
      <c r="M44" s="38">
        <f>IFERROR(VLOOKUP(E44,bug_conf_sheet!$A:$H,3,FALSE),VLOOKUP("other",bug_conf_sheet!$A:$H,3,FALSE))</f>
        <v>1</v>
      </c>
      <c r="N44" s="38">
        <f>IFERROR(VLOOKUP(E44,bug_conf_sheet!$A:$H,4,FALSE),VLOOKUP("other",bug_conf_sheet!$A:$H,4,FALSE))</f>
        <v>0</v>
      </c>
      <c r="O44" s="38">
        <f>IFERROR(VLOOKUP(E44,bug_conf_sheet!$A:$H,5,FALSE),VLOOKUP("other",bug_conf_sheet!$A:$H,5,FALSE))</f>
        <v>0</v>
      </c>
      <c r="P44" s="38">
        <f>IFERROR(VLOOKUP(E44,bug_conf_sheet!$A:$H,6,FALSE),VLOOKUP("other",bug_conf_sheet!$A:$H,6,FALSE))</f>
        <v>0</v>
      </c>
      <c r="Q44" s="38">
        <f>IFERROR(VLOOKUP(E44,bug_conf_sheet!$A:$H,7,FALSE),VLOOKUP("other",bug_conf_sheet!$A:$H,7,FALSE))</f>
        <v>0</v>
      </c>
      <c r="R44" s="38">
        <f>IFERROR(VLOOKUP(E44,bug_conf_sheet!$A:$H,8,FALSE),VLOOKUP("other",bug_conf_sheet!$A:$H,8,FALSE))</f>
        <v>1</v>
      </c>
    </row>
    <row r="45" spans="2:18" ht="21" customHeight="1">
      <c r="B45" s="2">
        <v>1886</v>
      </c>
      <c r="C45" s="8" t="str">
        <f t="shared" si="1"/>
        <v>PremiumSS5</v>
      </c>
      <c r="E45" s="6">
        <v>399</v>
      </c>
      <c r="F45" s="8" t="str">
        <f>VLOOKUP(E45,[1]characters!$A:$C,3,FALSE)</f>
        <v>信愛の兄妹 ヘンゼル＆グレーテル</v>
      </c>
      <c r="G45" s="8" t="str">
        <f>VLOOKUP(E45,[1]characters!$A:$J,10,FALSE)</f>
        <v>PremiumSS</v>
      </c>
      <c r="H45" s="8">
        <f>VLOOKUP(E45,[1]characters!$A:$I,9,FALSE)</f>
        <v>5</v>
      </c>
      <c r="I45" s="8" t="str">
        <f>VLOOKUP(E45,[1]characters!$A:$H,8,FALSE)</f>
        <v>yellow</v>
      </c>
      <c r="J45" s="8" t="str">
        <f>VLOOKUP(E45,[1]characters!$A:$K,11,FALSE)</f>
        <v>balance</v>
      </c>
      <c r="K45" s="8" t="str">
        <f>VLOOKUP(E45,[1]characters!$A:$M,13,FALSE)</f>
        <v>human</v>
      </c>
      <c r="L45" s="36">
        <f>ROUND(100000*0.04/22,0)</f>
        <v>182</v>
      </c>
      <c r="M45" s="38">
        <f>IFERROR(VLOOKUP(E45,bug_conf_sheet!$A:$H,3,FALSE),VLOOKUP("other",bug_conf_sheet!$A:$H,3,FALSE))</f>
        <v>1</v>
      </c>
      <c r="N45" s="38">
        <f>IFERROR(VLOOKUP(E45,bug_conf_sheet!$A:$H,4,FALSE),VLOOKUP("other",bug_conf_sheet!$A:$H,4,FALSE))</f>
        <v>0</v>
      </c>
      <c r="O45" s="38">
        <f>IFERROR(VLOOKUP(E45,bug_conf_sheet!$A:$H,5,FALSE),VLOOKUP("other",bug_conf_sheet!$A:$H,5,FALSE))</f>
        <v>0</v>
      </c>
      <c r="P45" s="38">
        <f>IFERROR(VLOOKUP(E45,bug_conf_sheet!$A:$H,6,FALSE),VLOOKUP("other",bug_conf_sheet!$A:$H,6,FALSE))</f>
        <v>0</v>
      </c>
      <c r="Q45" s="38">
        <f>IFERROR(VLOOKUP(E45,bug_conf_sheet!$A:$H,7,FALSE),VLOOKUP("other",bug_conf_sheet!$A:$H,7,FALSE))</f>
        <v>0</v>
      </c>
      <c r="R45" s="38">
        <f>IFERROR(VLOOKUP(E45,bug_conf_sheet!$A:$H,8,FALSE),VLOOKUP("other",bug_conf_sheet!$A:$H,8,FALSE))</f>
        <v>1</v>
      </c>
    </row>
    <row r="46" spans="2:18" ht="21" hidden="1" customHeight="1">
      <c r="B46" s="2">
        <v>1886</v>
      </c>
      <c r="C46" s="8" t="str">
        <f t="shared" si="1"/>
        <v>PremiumS5</v>
      </c>
      <c r="E46" s="6">
        <v>402</v>
      </c>
      <c r="F46" s="8" t="str">
        <f>VLOOKUP(E46,[1]characters!$A:$C,3,FALSE)</f>
        <v>天災の神狼 フェンリル</v>
      </c>
      <c r="G46" s="8" t="str">
        <f>VLOOKUP(E46,[1]characters!$A:$J,10,FALSE)</f>
        <v>PremiumS</v>
      </c>
      <c r="H46" s="8">
        <f>VLOOKUP(E46,[1]characters!$A:$I,9,FALSE)</f>
        <v>5</v>
      </c>
      <c r="I46" s="8" t="str">
        <f>VLOOKUP(E46,[1]characters!$A:$H,8,FALSE)</f>
        <v>red</v>
      </c>
      <c r="J46" s="8" t="str">
        <f>VLOOKUP(E46,[1]characters!$A:$K,11,FALSE)</f>
        <v>attack</v>
      </c>
      <c r="K46" s="8" t="str">
        <f>VLOOKUP(E46,[1]characters!$A:$M,13,FALSE)</f>
        <v>animal</v>
      </c>
      <c r="L46" s="36">
        <f>ROUND(100000*0.955/50,0)</f>
        <v>1910</v>
      </c>
      <c r="M46" s="38">
        <f>IFERROR(VLOOKUP(E46,bug_conf_sheet!$A:$H,3,FALSE),VLOOKUP("other",bug_conf_sheet!$A:$H,3,FALSE))</f>
        <v>1</v>
      </c>
      <c r="N46" s="38">
        <f>IFERROR(VLOOKUP(E46,bug_conf_sheet!$A:$H,4,FALSE),VLOOKUP("other",bug_conf_sheet!$A:$H,4,FALSE))</f>
        <v>0</v>
      </c>
      <c r="O46" s="38">
        <f>IFERROR(VLOOKUP(E46,bug_conf_sheet!$A:$H,5,FALSE),VLOOKUP("other",bug_conf_sheet!$A:$H,5,FALSE))</f>
        <v>0</v>
      </c>
      <c r="P46" s="38">
        <f>IFERROR(VLOOKUP(E46,bug_conf_sheet!$A:$H,6,FALSE),VLOOKUP("other",bug_conf_sheet!$A:$H,6,FALSE))</f>
        <v>0</v>
      </c>
      <c r="Q46" s="38">
        <f>IFERROR(VLOOKUP(E46,bug_conf_sheet!$A:$H,7,FALSE),VLOOKUP("other",bug_conf_sheet!$A:$H,7,FALSE))</f>
        <v>0</v>
      </c>
      <c r="R46" s="38">
        <f>IFERROR(VLOOKUP(E46,bug_conf_sheet!$A:$H,8,FALSE),VLOOKUP("other",bug_conf_sheet!$A:$H,8,FALSE))</f>
        <v>1</v>
      </c>
    </row>
    <row r="47" spans="2:18" ht="21" customHeight="1">
      <c r="B47" s="2">
        <v>1886</v>
      </c>
      <c r="C47" s="8" t="str">
        <f t="shared" si="1"/>
        <v>PremiumSS5</v>
      </c>
      <c r="E47" s="6">
        <v>404</v>
      </c>
      <c r="F47" s="8" t="str">
        <f>VLOOKUP(E47,[1]characters!$A:$C,3,FALSE)</f>
        <v>空襲の神眼 八咫烏</v>
      </c>
      <c r="G47" s="8" t="str">
        <f>VLOOKUP(E47,[1]characters!$A:$J,10,FALSE)</f>
        <v>PremiumSS</v>
      </c>
      <c r="H47" s="8">
        <f>VLOOKUP(E47,[1]characters!$A:$I,9,FALSE)</f>
        <v>5</v>
      </c>
      <c r="I47" s="8" t="str">
        <f>VLOOKUP(E47,[1]characters!$A:$H,8,FALSE)</f>
        <v>green</v>
      </c>
      <c r="J47" s="8" t="str">
        <f>VLOOKUP(E47,[1]characters!$A:$K,11,FALSE)</f>
        <v>balance</v>
      </c>
      <c r="K47" s="8" t="str">
        <f>VLOOKUP(E47,[1]characters!$A:$M,13,FALSE)</f>
        <v>animal</v>
      </c>
      <c r="L47" s="36">
        <f>ROUND(100000*0.04/22,0)</f>
        <v>182</v>
      </c>
      <c r="M47" s="38">
        <f>IFERROR(VLOOKUP(E47,bug_conf_sheet!$A:$H,3,FALSE),VLOOKUP("other",bug_conf_sheet!$A:$H,3,FALSE))</f>
        <v>1</v>
      </c>
      <c r="N47" s="38">
        <f>IFERROR(VLOOKUP(E47,bug_conf_sheet!$A:$H,4,FALSE),VLOOKUP("other",bug_conf_sheet!$A:$H,4,FALSE))</f>
        <v>0</v>
      </c>
      <c r="O47" s="38">
        <f>IFERROR(VLOOKUP(E47,bug_conf_sheet!$A:$H,5,FALSE),VLOOKUP("other",bug_conf_sheet!$A:$H,5,FALSE))</f>
        <v>0</v>
      </c>
      <c r="P47" s="38">
        <f>IFERROR(VLOOKUP(E47,bug_conf_sheet!$A:$H,6,FALSE),VLOOKUP("other",bug_conf_sheet!$A:$H,6,FALSE))</f>
        <v>0</v>
      </c>
      <c r="Q47" s="38">
        <f>IFERROR(VLOOKUP(E47,bug_conf_sheet!$A:$H,7,FALSE),VLOOKUP("other",bug_conf_sheet!$A:$H,7,FALSE))</f>
        <v>0</v>
      </c>
      <c r="R47" s="38">
        <f>IFERROR(VLOOKUP(E47,bug_conf_sheet!$A:$H,8,FALSE),VLOOKUP("other",bug_conf_sheet!$A:$H,8,FALSE))</f>
        <v>1</v>
      </c>
    </row>
    <row r="48" spans="2:18" ht="21" hidden="1" customHeight="1">
      <c r="B48" s="2">
        <v>1886</v>
      </c>
      <c r="C48" s="8" t="str">
        <f t="shared" si="1"/>
        <v>PremiumS5</v>
      </c>
      <c r="E48" s="6">
        <v>407</v>
      </c>
      <c r="F48" s="8" t="str">
        <f>VLOOKUP(E48,[1]characters!$A:$C,3,FALSE)</f>
        <v>蠱惑の飛刀 エキドナ</v>
      </c>
      <c r="G48" s="8" t="str">
        <f>VLOOKUP(E48,[1]characters!$A:$J,10,FALSE)</f>
        <v>PremiumS</v>
      </c>
      <c r="H48" s="8">
        <f>VLOOKUP(E48,[1]characters!$A:$I,9,FALSE)</f>
        <v>5</v>
      </c>
      <c r="I48" s="8" t="str">
        <f>VLOOKUP(E48,[1]characters!$A:$H,8,FALSE)</f>
        <v>blue</v>
      </c>
      <c r="J48" s="8" t="str">
        <f>VLOOKUP(E48,[1]characters!$A:$K,11,FALSE)</f>
        <v>technical</v>
      </c>
      <c r="K48" s="8" t="str">
        <f>VLOOKUP(E48,[1]characters!$A:$M,13,FALSE)</f>
        <v>animal</v>
      </c>
      <c r="L48" s="36">
        <f>ROUND(100000*0.955/50,0)</f>
        <v>1910</v>
      </c>
      <c r="M48" s="38">
        <f>IFERROR(VLOOKUP(E48,bug_conf_sheet!$A:$H,3,FALSE),VLOOKUP("other",bug_conf_sheet!$A:$H,3,FALSE))</f>
        <v>1</v>
      </c>
      <c r="N48" s="38">
        <f>IFERROR(VLOOKUP(E48,bug_conf_sheet!$A:$H,4,FALSE),VLOOKUP("other",bug_conf_sheet!$A:$H,4,FALSE))</f>
        <v>0</v>
      </c>
      <c r="O48" s="38">
        <f>IFERROR(VLOOKUP(E48,bug_conf_sheet!$A:$H,5,FALSE),VLOOKUP("other",bug_conf_sheet!$A:$H,5,FALSE))</f>
        <v>0</v>
      </c>
      <c r="P48" s="38">
        <f>IFERROR(VLOOKUP(E48,bug_conf_sheet!$A:$H,6,FALSE),VLOOKUP("other",bug_conf_sheet!$A:$H,6,FALSE))</f>
        <v>0</v>
      </c>
      <c r="Q48" s="38">
        <f>IFERROR(VLOOKUP(E48,bug_conf_sheet!$A:$H,7,FALSE),VLOOKUP("other",bug_conf_sheet!$A:$H,7,FALSE))</f>
        <v>0</v>
      </c>
      <c r="R48" s="38">
        <f>IFERROR(VLOOKUP(E48,bug_conf_sheet!$A:$H,8,FALSE),VLOOKUP("other",bug_conf_sheet!$A:$H,8,FALSE))</f>
        <v>1</v>
      </c>
    </row>
    <row r="49" spans="2:18" ht="21" customHeight="1">
      <c r="B49" s="2">
        <v>1886</v>
      </c>
      <c r="C49" s="8" t="str">
        <f t="shared" si="1"/>
        <v>PremiumSS5</v>
      </c>
      <c r="E49" s="6">
        <v>409</v>
      </c>
      <c r="F49" s="8" t="str">
        <f>VLOOKUP(E49,[1]characters!$A:$C,3,FALSE)</f>
        <v>天眼の皇貴魔 アスタロト</v>
      </c>
      <c r="G49" s="8" t="str">
        <f>VLOOKUP(E49,[1]characters!$A:$J,10,FALSE)</f>
        <v>PremiumSS</v>
      </c>
      <c r="H49" s="8">
        <f>VLOOKUP(E49,[1]characters!$A:$I,9,FALSE)</f>
        <v>5</v>
      </c>
      <c r="I49" s="8" t="str">
        <f>VLOOKUP(E49,[1]characters!$A:$H,8,FALSE)</f>
        <v>yellow</v>
      </c>
      <c r="J49" s="8" t="str">
        <f>VLOOKUP(E49,[1]characters!$A:$K,11,FALSE)</f>
        <v>attack</v>
      </c>
      <c r="K49" s="8" t="str">
        <f>VLOOKUP(E49,[1]characters!$A:$M,13,FALSE)</f>
        <v>god</v>
      </c>
      <c r="L49" s="36">
        <f t="shared" ref="L49:L50" si="6">ROUND(100000*0.04/22,0)</f>
        <v>182</v>
      </c>
      <c r="M49" s="38">
        <f>IFERROR(VLOOKUP(E49,bug_conf_sheet!$A:$H,3,FALSE),VLOOKUP("other",bug_conf_sheet!$A:$H,3,FALSE))</f>
        <v>1</v>
      </c>
      <c r="N49" s="38">
        <f>IFERROR(VLOOKUP(E49,bug_conf_sheet!$A:$H,4,FALSE),VLOOKUP("other",bug_conf_sheet!$A:$H,4,FALSE))</f>
        <v>0</v>
      </c>
      <c r="O49" s="38">
        <f>IFERROR(VLOOKUP(E49,bug_conf_sheet!$A:$H,5,FALSE),VLOOKUP("other",bug_conf_sheet!$A:$H,5,FALSE))</f>
        <v>0</v>
      </c>
      <c r="P49" s="38">
        <f>IFERROR(VLOOKUP(E49,bug_conf_sheet!$A:$H,6,FALSE),VLOOKUP("other",bug_conf_sheet!$A:$H,6,FALSE))</f>
        <v>0</v>
      </c>
      <c r="Q49" s="38">
        <f>IFERROR(VLOOKUP(E49,bug_conf_sheet!$A:$H,7,FALSE),VLOOKUP("other",bug_conf_sheet!$A:$H,7,FALSE))</f>
        <v>0</v>
      </c>
      <c r="R49" s="38">
        <f>IFERROR(VLOOKUP(E49,bug_conf_sheet!$A:$H,8,FALSE),VLOOKUP("other",bug_conf_sheet!$A:$H,8,FALSE))</f>
        <v>1</v>
      </c>
    </row>
    <row r="50" spans="2:18" ht="21" customHeight="1">
      <c r="B50" s="2">
        <v>1886</v>
      </c>
      <c r="C50" s="8" t="str">
        <f t="shared" si="1"/>
        <v>PremiumSS5</v>
      </c>
      <c r="E50" s="6">
        <v>435</v>
      </c>
      <c r="F50" s="8" t="str">
        <f>VLOOKUP(E50,[1]characters!$A:$C,3,FALSE)</f>
        <v>曝弾の密偵 D.R.T.H.</v>
      </c>
      <c r="G50" s="8" t="str">
        <f>VLOOKUP(E50,[1]characters!$A:$J,10,FALSE)</f>
        <v>PremiumSS</v>
      </c>
      <c r="H50" s="8">
        <f>VLOOKUP(E50,[1]characters!$A:$I,9,FALSE)</f>
        <v>5</v>
      </c>
      <c r="I50" s="8" t="str">
        <f>VLOOKUP(E50,[1]characters!$A:$H,8,FALSE)</f>
        <v>red</v>
      </c>
      <c r="J50" s="8" t="str">
        <f>VLOOKUP(E50,[1]characters!$A:$K,11,FALSE)</f>
        <v>balance</v>
      </c>
      <c r="K50" s="8" t="str">
        <f>VLOOKUP(E50,[1]characters!$A:$M,13,FALSE)</f>
        <v>human</v>
      </c>
      <c r="L50" s="36">
        <f t="shared" si="6"/>
        <v>182</v>
      </c>
      <c r="M50" s="38">
        <f>IFERROR(VLOOKUP(E50,bug_conf_sheet!$A:$H,3,FALSE),VLOOKUP("other",bug_conf_sheet!$A:$H,3,FALSE))</f>
        <v>1</v>
      </c>
      <c r="N50" s="38">
        <f>IFERROR(VLOOKUP(E50,bug_conf_sheet!$A:$H,4,FALSE),VLOOKUP("other",bug_conf_sheet!$A:$H,4,FALSE))</f>
        <v>0</v>
      </c>
      <c r="O50" s="38">
        <f>IFERROR(VLOOKUP(E50,bug_conf_sheet!$A:$H,5,FALSE),VLOOKUP("other",bug_conf_sheet!$A:$H,5,FALSE))</f>
        <v>0</v>
      </c>
      <c r="P50" s="38">
        <f>IFERROR(VLOOKUP(E50,bug_conf_sheet!$A:$H,6,FALSE),VLOOKUP("other",bug_conf_sheet!$A:$H,6,FALSE))</f>
        <v>0</v>
      </c>
      <c r="Q50" s="38">
        <f>IFERROR(VLOOKUP(E50,bug_conf_sheet!$A:$H,7,FALSE),VLOOKUP("other",bug_conf_sheet!$A:$H,7,FALSE))</f>
        <v>0</v>
      </c>
      <c r="R50" s="38">
        <f>IFERROR(VLOOKUP(E50,bug_conf_sheet!$A:$H,8,FALSE),VLOOKUP("other",bug_conf_sheet!$A:$H,8,FALSE))</f>
        <v>1</v>
      </c>
    </row>
    <row r="51" spans="2:18" ht="21" hidden="1" customHeight="1">
      <c r="B51" s="2">
        <v>1886</v>
      </c>
      <c r="C51" s="8" t="str">
        <f t="shared" si="1"/>
        <v>PremiumS5</v>
      </c>
      <c r="E51" s="6">
        <v>438</v>
      </c>
      <c r="F51" s="8" t="str">
        <f>VLOOKUP(E51,[1]characters!$A:$C,3,FALSE)</f>
        <v>記憶の奪還 カカシ</v>
      </c>
      <c r="G51" s="8" t="str">
        <f>VLOOKUP(E51,[1]characters!$A:$J,10,FALSE)</f>
        <v>PremiumS</v>
      </c>
      <c r="H51" s="8">
        <f>VLOOKUP(E51,[1]characters!$A:$I,9,FALSE)</f>
        <v>5</v>
      </c>
      <c r="I51" s="8" t="str">
        <f>VLOOKUP(E51,[1]characters!$A:$H,8,FALSE)</f>
        <v>green</v>
      </c>
      <c r="J51" s="8" t="str">
        <f>VLOOKUP(E51,[1]characters!$A:$K,11,FALSE)</f>
        <v>technical</v>
      </c>
      <c r="K51" s="8" t="str">
        <f>VLOOKUP(E51,[1]characters!$A:$M,13,FALSE)</f>
        <v>human</v>
      </c>
      <c r="L51" s="36">
        <f t="shared" ref="L51:L52" si="7">ROUND(100000*0.955/50,0)</f>
        <v>1910</v>
      </c>
      <c r="M51" s="38">
        <f>IFERROR(VLOOKUP(E51,bug_conf_sheet!$A:$H,3,FALSE),VLOOKUP("other",bug_conf_sheet!$A:$H,3,FALSE))</f>
        <v>1</v>
      </c>
      <c r="N51" s="38">
        <f>IFERROR(VLOOKUP(E51,bug_conf_sheet!$A:$H,4,FALSE),VLOOKUP("other",bug_conf_sheet!$A:$H,4,FALSE))</f>
        <v>0</v>
      </c>
      <c r="O51" s="38">
        <f>IFERROR(VLOOKUP(E51,bug_conf_sheet!$A:$H,5,FALSE),VLOOKUP("other",bug_conf_sheet!$A:$H,5,FALSE))</f>
        <v>0</v>
      </c>
      <c r="P51" s="38">
        <f>IFERROR(VLOOKUP(E51,bug_conf_sheet!$A:$H,6,FALSE),VLOOKUP("other",bug_conf_sheet!$A:$H,6,FALSE))</f>
        <v>0</v>
      </c>
      <c r="Q51" s="38">
        <f>IFERROR(VLOOKUP(E51,bug_conf_sheet!$A:$H,7,FALSE),VLOOKUP("other",bug_conf_sheet!$A:$H,7,FALSE))</f>
        <v>0</v>
      </c>
      <c r="R51" s="38">
        <f>IFERROR(VLOOKUP(E51,bug_conf_sheet!$A:$H,8,FALSE),VLOOKUP("other",bug_conf_sheet!$A:$H,8,FALSE))</f>
        <v>1</v>
      </c>
    </row>
    <row r="52" spans="2:18" ht="21" hidden="1" customHeight="1">
      <c r="B52" s="2">
        <v>1886</v>
      </c>
      <c r="C52" s="8" t="str">
        <f t="shared" si="1"/>
        <v>PremiumS5</v>
      </c>
      <c r="E52" s="6">
        <v>441</v>
      </c>
      <c r="F52" s="8" t="str">
        <f>VLOOKUP(E52,[1]characters!$A:$C,3,FALSE)</f>
        <v>求心の錻装 ブリキロガー</v>
      </c>
      <c r="G52" s="8" t="str">
        <f>VLOOKUP(E52,[1]characters!$A:$J,10,FALSE)</f>
        <v>PremiumS</v>
      </c>
      <c r="H52" s="8">
        <f>VLOOKUP(E52,[1]characters!$A:$I,9,FALSE)</f>
        <v>5</v>
      </c>
      <c r="I52" s="8" t="str">
        <f>VLOOKUP(E52,[1]characters!$A:$H,8,FALSE)</f>
        <v>blue</v>
      </c>
      <c r="J52" s="8" t="str">
        <f>VLOOKUP(E52,[1]characters!$A:$K,11,FALSE)</f>
        <v>attack</v>
      </c>
      <c r="K52" s="8" t="str">
        <f>VLOOKUP(E52,[1]characters!$A:$M,13,FALSE)</f>
        <v>machine</v>
      </c>
      <c r="L52" s="36">
        <f t="shared" si="7"/>
        <v>1910</v>
      </c>
      <c r="M52" s="38">
        <f>IFERROR(VLOOKUP(E52,bug_conf_sheet!$A:$H,3,FALSE),VLOOKUP("other",bug_conf_sheet!$A:$H,3,FALSE))</f>
        <v>1</v>
      </c>
      <c r="N52" s="38">
        <f>IFERROR(VLOOKUP(E52,bug_conf_sheet!$A:$H,4,FALSE),VLOOKUP("other",bug_conf_sheet!$A:$H,4,FALSE))</f>
        <v>0</v>
      </c>
      <c r="O52" s="38">
        <f>IFERROR(VLOOKUP(E52,bug_conf_sheet!$A:$H,5,FALSE),VLOOKUP("other",bug_conf_sheet!$A:$H,5,FALSE))</f>
        <v>0</v>
      </c>
      <c r="P52" s="38">
        <f>IFERROR(VLOOKUP(E52,bug_conf_sheet!$A:$H,6,FALSE),VLOOKUP("other",bug_conf_sheet!$A:$H,6,FALSE))</f>
        <v>0</v>
      </c>
      <c r="Q52" s="38">
        <f>IFERROR(VLOOKUP(E52,bug_conf_sheet!$A:$H,7,FALSE),VLOOKUP("other",bug_conf_sheet!$A:$H,7,FALSE))</f>
        <v>0</v>
      </c>
      <c r="R52" s="38">
        <f>IFERROR(VLOOKUP(E52,bug_conf_sheet!$A:$H,8,FALSE),VLOOKUP("other",bug_conf_sheet!$A:$H,8,FALSE))</f>
        <v>1</v>
      </c>
    </row>
    <row r="53" spans="2:18" ht="21" customHeight="1">
      <c r="B53" s="2">
        <v>1886</v>
      </c>
      <c r="C53" s="8" t="str">
        <f t="shared" si="1"/>
        <v>PremiumSS5</v>
      </c>
      <c r="E53" s="6">
        <v>443</v>
      </c>
      <c r="F53" s="8" t="str">
        <f>VLOOKUP(E53,[1]characters!$A:$C,3,FALSE)</f>
        <v>勇機結集 ブレイブリー・ライオン</v>
      </c>
      <c r="G53" s="8" t="str">
        <f>VLOOKUP(E53,[1]characters!$A:$J,10,FALSE)</f>
        <v>PremiumSS</v>
      </c>
      <c r="H53" s="8">
        <f>VLOOKUP(E53,[1]characters!$A:$I,9,FALSE)</f>
        <v>5</v>
      </c>
      <c r="I53" s="8" t="str">
        <f>VLOOKUP(E53,[1]characters!$A:$H,8,FALSE)</f>
        <v>yellow</v>
      </c>
      <c r="J53" s="8" t="str">
        <f>VLOOKUP(E53,[1]characters!$A:$K,11,FALSE)</f>
        <v>hp</v>
      </c>
      <c r="K53" s="8" t="str">
        <f>VLOOKUP(E53,[1]characters!$A:$M,13,FALSE)</f>
        <v>animal</v>
      </c>
      <c r="L53" s="36">
        <f>ROUND(100000*0.04/22,0)</f>
        <v>182</v>
      </c>
      <c r="M53" s="38">
        <f>IFERROR(VLOOKUP(E53,bug_conf_sheet!$A:$H,3,FALSE),VLOOKUP("other",bug_conf_sheet!$A:$H,3,FALSE))</f>
        <v>1</v>
      </c>
      <c r="N53" s="38">
        <f>IFERROR(VLOOKUP(E53,bug_conf_sheet!$A:$H,4,FALSE),VLOOKUP("other",bug_conf_sheet!$A:$H,4,FALSE))</f>
        <v>0</v>
      </c>
      <c r="O53" s="38">
        <f>IFERROR(VLOOKUP(E53,bug_conf_sheet!$A:$H,5,FALSE),VLOOKUP("other",bug_conf_sheet!$A:$H,5,FALSE))</f>
        <v>0</v>
      </c>
      <c r="P53" s="38">
        <f>IFERROR(VLOOKUP(E53,bug_conf_sheet!$A:$H,6,FALSE),VLOOKUP("other",bug_conf_sheet!$A:$H,6,FALSE))</f>
        <v>0</v>
      </c>
      <c r="Q53" s="38">
        <f>IFERROR(VLOOKUP(E53,bug_conf_sheet!$A:$H,7,FALSE),VLOOKUP("other",bug_conf_sheet!$A:$H,7,FALSE))</f>
        <v>0</v>
      </c>
      <c r="R53" s="38">
        <f>IFERROR(VLOOKUP(E53,bug_conf_sheet!$A:$H,8,FALSE),VLOOKUP("other",bug_conf_sheet!$A:$H,8,FALSE))</f>
        <v>1</v>
      </c>
    </row>
    <row r="54" spans="2:18" ht="21" hidden="1" customHeight="1">
      <c r="B54" s="2">
        <v>1886</v>
      </c>
      <c r="C54" s="8" t="str">
        <f t="shared" si="1"/>
        <v>PremiumS5</v>
      </c>
      <c r="E54" s="9">
        <v>464</v>
      </c>
      <c r="F54" s="8" t="str">
        <f>VLOOKUP(E54,[1]characters!$A:$C,3,FALSE)</f>
        <v>円熟の弾導 ガウェイン</v>
      </c>
      <c r="G54" s="8" t="str">
        <f>VLOOKUP(E54,[1]characters!$A:$J,10,FALSE)</f>
        <v>PremiumS</v>
      </c>
      <c r="H54" s="8">
        <f>VLOOKUP(E54,[1]characters!$A:$I,9,FALSE)</f>
        <v>5</v>
      </c>
      <c r="I54" s="8" t="str">
        <f>VLOOKUP(E54,[1]characters!$A:$H,8,FALSE)</f>
        <v>red</v>
      </c>
      <c r="J54" s="8" t="str">
        <f>VLOOKUP(E54,[1]characters!$A:$K,11,FALSE)</f>
        <v>hp</v>
      </c>
      <c r="K54" s="8" t="str">
        <f>VLOOKUP(E54,[1]characters!$A:$M,13,FALSE)</f>
        <v>human</v>
      </c>
      <c r="L54" s="36">
        <f>ROUND(100000*0.955/50,0)</f>
        <v>1910</v>
      </c>
      <c r="M54" s="38">
        <f>IFERROR(VLOOKUP(E54,bug_conf_sheet!$A:$H,3,FALSE),VLOOKUP("other",bug_conf_sheet!$A:$H,3,FALSE))</f>
        <v>1</v>
      </c>
      <c r="N54" s="38">
        <f>IFERROR(VLOOKUP(E54,bug_conf_sheet!$A:$H,4,FALSE),VLOOKUP("other",bug_conf_sheet!$A:$H,4,FALSE))</f>
        <v>0</v>
      </c>
      <c r="O54" s="38">
        <f>IFERROR(VLOOKUP(E54,bug_conf_sheet!$A:$H,5,FALSE),VLOOKUP("other",bug_conf_sheet!$A:$H,5,FALSE))</f>
        <v>0</v>
      </c>
      <c r="P54" s="38">
        <f>IFERROR(VLOOKUP(E54,bug_conf_sheet!$A:$H,6,FALSE),VLOOKUP("other",bug_conf_sheet!$A:$H,6,FALSE))</f>
        <v>0</v>
      </c>
      <c r="Q54" s="38">
        <f>IFERROR(VLOOKUP(E54,bug_conf_sheet!$A:$H,7,FALSE),VLOOKUP("other",bug_conf_sheet!$A:$H,7,FALSE))</f>
        <v>0</v>
      </c>
      <c r="R54" s="38">
        <f>IFERROR(VLOOKUP(E54,bug_conf_sheet!$A:$H,8,FALSE),VLOOKUP("other",bug_conf_sheet!$A:$H,8,FALSE))</f>
        <v>1</v>
      </c>
    </row>
    <row r="55" spans="2:18" ht="21" customHeight="1">
      <c r="B55" s="2">
        <v>1886</v>
      </c>
      <c r="C55" s="8" t="str">
        <f t="shared" si="1"/>
        <v>PremiumSS5</v>
      </c>
      <c r="E55" s="6">
        <v>466</v>
      </c>
      <c r="F55" s="8" t="str">
        <f>VLOOKUP(E55,[1]characters!$A:$C,3,FALSE)</f>
        <v>真断の勇覇 ランスロット</v>
      </c>
      <c r="G55" s="8" t="str">
        <f>VLOOKUP(E55,[1]characters!$A:$J,10,FALSE)</f>
        <v>PremiumSS</v>
      </c>
      <c r="H55" s="8">
        <f>VLOOKUP(E55,[1]characters!$A:$I,9,FALSE)</f>
        <v>5</v>
      </c>
      <c r="I55" s="8" t="str">
        <f>VLOOKUP(E55,[1]characters!$A:$H,8,FALSE)</f>
        <v>green</v>
      </c>
      <c r="J55" s="8" t="str">
        <f>VLOOKUP(E55,[1]characters!$A:$K,11,FALSE)</f>
        <v>balance</v>
      </c>
      <c r="K55" s="8" t="str">
        <f>VLOOKUP(E55,[1]characters!$A:$M,13,FALSE)</f>
        <v>human</v>
      </c>
      <c r="L55" s="36">
        <f t="shared" ref="L55:L56" si="8">ROUND(100000*0.04/22,0)</f>
        <v>182</v>
      </c>
      <c r="M55" s="38">
        <f>IFERROR(VLOOKUP(E55,bug_conf_sheet!$A:$H,3,FALSE),VLOOKUP("other",bug_conf_sheet!$A:$H,3,FALSE))</f>
        <v>1</v>
      </c>
      <c r="N55" s="38">
        <f>IFERROR(VLOOKUP(E55,bug_conf_sheet!$A:$H,4,FALSE),VLOOKUP("other",bug_conf_sheet!$A:$H,4,FALSE))</f>
        <v>0</v>
      </c>
      <c r="O55" s="38">
        <f>IFERROR(VLOOKUP(E55,bug_conf_sheet!$A:$H,5,FALSE),VLOOKUP("other",bug_conf_sheet!$A:$H,5,FALSE))</f>
        <v>0</v>
      </c>
      <c r="P55" s="38">
        <f>IFERROR(VLOOKUP(E55,bug_conf_sheet!$A:$H,6,FALSE),VLOOKUP("other",bug_conf_sheet!$A:$H,6,FALSE))</f>
        <v>0</v>
      </c>
      <c r="Q55" s="38">
        <f>IFERROR(VLOOKUP(E55,bug_conf_sheet!$A:$H,7,FALSE),VLOOKUP("other",bug_conf_sheet!$A:$H,7,FALSE))</f>
        <v>0</v>
      </c>
      <c r="R55" s="38">
        <f>IFERROR(VLOOKUP(E55,bug_conf_sheet!$A:$H,8,FALSE),VLOOKUP("other",bug_conf_sheet!$A:$H,8,FALSE))</f>
        <v>1</v>
      </c>
    </row>
    <row r="56" spans="2:18" ht="21" customHeight="1">
      <c r="B56" s="2">
        <v>1886</v>
      </c>
      <c r="C56" s="8" t="str">
        <f t="shared" si="1"/>
        <v>PremiumSS5</v>
      </c>
      <c r="E56" s="6">
        <v>468</v>
      </c>
      <c r="F56" s="8" t="str">
        <f>VLOOKUP(E56,[1]characters!$A:$C,3,FALSE)</f>
        <v>憎愛の尖鋒 モルドレッド</v>
      </c>
      <c r="G56" s="8" t="str">
        <f>VLOOKUP(E56,[1]characters!$A:$J,10,FALSE)</f>
        <v>PremiumSS</v>
      </c>
      <c r="H56" s="8">
        <f>VLOOKUP(E56,[1]characters!$A:$I,9,FALSE)</f>
        <v>5</v>
      </c>
      <c r="I56" s="8" t="str">
        <f>VLOOKUP(E56,[1]characters!$A:$H,8,FALSE)</f>
        <v>blue</v>
      </c>
      <c r="J56" s="8" t="str">
        <f>VLOOKUP(E56,[1]characters!$A:$K,11,FALSE)</f>
        <v>technical</v>
      </c>
      <c r="K56" s="8" t="str">
        <f>VLOOKUP(E56,[1]characters!$A:$M,13,FALSE)</f>
        <v>human</v>
      </c>
      <c r="L56" s="36">
        <f t="shared" si="8"/>
        <v>182</v>
      </c>
      <c r="M56" s="38">
        <f>IFERROR(VLOOKUP(E56,bug_conf_sheet!$A:$H,3,FALSE),VLOOKUP("other",bug_conf_sheet!$A:$H,3,FALSE))</f>
        <v>1</v>
      </c>
      <c r="N56" s="38">
        <f>IFERROR(VLOOKUP(E56,bug_conf_sheet!$A:$H,4,FALSE),VLOOKUP("other",bug_conf_sheet!$A:$H,4,FALSE))</f>
        <v>0</v>
      </c>
      <c r="O56" s="38">
        <f>IFERROR(VLOOKUP(E56,bug_conf_sheet!$A:$H,5,FALSE),VLOOKUP("other",bug_conf_sheet!$A:$H,5,FALSE))</f>
        <v>0</v>
      </c>
      <c r="P56" s="38">
        <f>IFERROR(VLOOKUP(E56,bug_conf_sheet!$A:$H,6,FALSE),VLOOKUP("other",bug_conf_sheet!$A:$H,6,FALSE))</f>
        <v>0</v>
      </c>
      <c r="Q56" s="38">
        <f>IFERROR(VLOOKUP(E56,bug_conf_sheet!$A:$H,7,FALSE),VLOOKUP("other",bug_conf_sheet!$A:$H,7,FALSE))</f>
        <v>0</v>
      </c>
      <c r="R56" s="38">
        <f>IFERROR(VLOOKUP(E56,bug_conf_sheet!$A:$H,8,FALSE),VLOOKUP("other",bug_conf_sheet!$A:$H,8,FALSE))</f>
        <v>1</v>
      </c>
    </row>
    <row r="57" spans="2:18" ht="21" hidden="1" customHeight="1">
      <c r="B57" s="2">
        <v>1886</v>
      </c>
      <c r="C57" s="8" t="str">
        <f t="shared" si="1"/>
        <v>PremiumS5</v>
      </c>
      <c r="E57" s="6">
        <v>471</v>
      </c>
      <c r="F57" s="8" t="str">
        <f>VLOOKUP(E57,[1]characters!$A:$C,3,FALSE)</f>
        <v>不可避の爆激 トリスタン</v>
      </c>
      <c r="G57" s="8" t="str">
        <f>VLOOKUP(E57,[1]characters!$A:$J,10,FALSE)</f>
        <v>PremiumS</v>
      </c>
      <c r="H57" s="8">
        <f>VLOOKUP(E57,[1]characters!$A:$I,9,FALSE)</f>
        <v>5</v>
      </c>
      <c r="I57" s="8" t="str">
        <f>VLOOKUP(E57,[1]characters!$A:$H,8,FALSE)</f>
        <v>yellow</v>
      </c>
      <c r="J57" s="8" t="str">
        <f>VLOOKUP(E57,[1]characters!$A:$K,11,FALSE)</f>
        <v>attack</v>
      </c>
      <c r="K57" s="8" t="str">
        <f>VLOOKUP(E57,[1]characters!$A:$M,13,FALSE)</f>
        <v>human</v>
      </c>
      <c r="L57" s="36">
        <f>ROUND(100000*0.955/50,0)</f>
        <v>1910</v>
      </c>
      <c r="M57" s="38">
        <f>IFERROR(VLOOKUP(E57,bug_conf_sheet!$A:$H,3,FALSE),VLOOKUP("other",bug_conf_sheet!$A:$H,3,FALSE))</f>
        <v>1</v>
      </c>
      <c r="N57" s="38">
        <f>IFERROR(VLOOKUP(E57,bug_conf_sheet!$A:$H,4,FALSE),VLOOKUP("other",bug_conf_sheet!$A:$H,4,FALSE))</f>
        <v>0</v>
      </c>
      <c r="O57" s="38">
        <f>IFERROR(VLOOKUP(E57,bug_conf_sheet!$A:$H,5,FALSE),VLOOKUP("other",bug_conf_sheet!$A:$H,5,FALSE))</f>
        <v>0</v>
      </c>
      <c r="P57" s="38">
        <f>IFERROR(VLOOKUP(E57,bug_conf_sheet!$A:$H,6,FALSE),VLOOKUP("other",bug_conf_sheet!$A:$H,6,FALSE))</f>
        <v>0</v>
      </c>
      <c r="Q57" s="38">
        <f>IFERROR(VLOOKUP(E57,bug_conf_sheet!$A:$H,7,FALSE),VLOOKUP("other",bug_conf_sheet!$A:$H,7,FALSE))</f>
        <v>0</v>
      </c>
      <c r="R57" s="38">
        <f>IFERROR(VLOOKUP(E57,bug_conf_sheet!$A:$H,8,FALSE),VLOOKUP("other",bug_conf_sheet!$A:$H,8,FALSE))</f>
        <v>1</v>
      </c>
    </row>
    <row r="58" spans="2:18" ht="21" customHeight="1">
      <c r="B58" s="2">
        <v>1886</v>
      </c>
      <c r="C58" s="8" t="str">
        <f t="shared" si="1"/>
        <v>PremiumSS5</v>
      </c>
      <c r="E58" s="6">
        <v>475</v>
      </c>
      <c r="F58" s="8" t="str">
        <f>VLOOKUP(E58,[1]characters!$A:$C,3,FALSE)</f>
        <v>緋王 キング・ドライグ</v>
      </c>
      <c r="G58" s="8" t="str">
        <f>VLOOKUP(E58,[1]characters!$A:$J,10,FALSE)</f>
        <v>PremiumSS</v>
      </c>
      <c r="H58" s="8">
        <f>VLOOKUP(E58,[1]characters!$A:$I,9,FALSE)</f>
        <v>5</v>
      </c>
      <c r="I58" s="8" t="str">
        <f>VLOOKUP(E58,[1]characters!$A:$H,8,FALSE)</f>
        <v>red</v>
      </c>
      <c r="J58" s="8" t="str">
        <f>VLOOKUP(E58,[1]characters!$A:$K,11,FALSE)</f>
        <v>attack</v>
      </c>
      <c r="K58" s="8" t="str">
        <f>VLOOKUP(E58,[1]characters!$A:$M,13,FALSE)</f>
        <v>dragon</v>
      </c>
      <c r="L58" s="36">
        <f>ROUND(100000*0.04/22,0)</f>
        <v>182</v>
      </c>
      <c r="M58" s="38">
        <f>IFERROR(VLOOKUP(E58,bug_conf_sheet!$A:$H,3,FALSE),VLOOKUP("other",bug_conf_sheet!$A:$H,3,FALSE))</f>
        <v>1</v>
      </c>
      <c r="N58" s="38">
        <f>IFERROR(VLOOKUP(E58,bug_conf_sheet!$A:$H,4,FALSE),VLOOKUP("other",bug_conf_sheet!$A:$H,4,FALSE))</f>
        <v>0</v>
      </c>
      <c r="O58" s="38">
        <f>IFERROR(VLOOKUP(E58,bug_conf_sheet!$A:$H,5,FALSE),VLOOKUP("other",bug_conf_sheet!$A:$H,5,FALSE))</f>
        <v>0</v>
      </c>
      <c r="P58" s="38">
        <f>IFERROR(VLOOKUP(E58,bug_conf_sheet!$A:$H,6,FALSE),VLOOKUP("other",bug_conf_sheet!$A:$H,6,FALSE))</f>
        <v>0</v>
      </c>
      <c r="Q58" s="38">
        <f>IFERROR(VLOOKUP(E58,bug_conf_sheet!$A:$H,7,FALSE),VLOOKUP("other",bug_conf_sheet!$A:$H,7,FALSE))</f>
        <v>0</v>
      </c>
      <c r="R58" s="38">
        <f>IFERROR(VLOOKUP(E58,bug_conf_sheet!$A:$H,8,FALSE),VLOOKUP("other",bug_conf_sheet!$A:$H,8,FALSE))</f>
        <v>1</v>
      </c>
    </row>
    <row r="59" spans="2:18" ht="21" hidden="1" customHeight="1">
      <c r="B59" s="2">
        <v>1886</v>
      </c>
      <c r="C59" s="8" t="str">
        <f t="shared" si="1"/>
        <v>PremiumS5</v>
      </c>
      <c r="E59" s="6">
        <v>478</v>
      </c>
      <c r="F59" s="8" t="str">
        <f>VLOOKUP(E59,[1]characters!$A:$C,3,FALSE)</f>
        <v>時計仕掛けの愛羽妖精 ファータ</v>
      </c>
      <c r="G59" s="8" t="str">
        <f>VLOOKUP(E59,[1]characters!$A:$J,10,FALSE)</f>
        <v>PremiumS</v>
      </c>
      <c r="H59" s="8">
        <f>VLOOKUP(E59,[1]characters!$A:$I,9,FALSE)</f>
        <v>5</v>
      </c>
      <c r="I59" s="8" t="str">
        <f>VLOOKUP(E59,[1]characters!$A:$H,8,FALSE)</f>
        <v>green</v>
      </c>
      <c r="J59" s="8" t="str">
        <f>VLOOKUP(E59,[1]characters!$A:$K,11,FALSE)</f>
        <v>heal</v>
      </c>
      <c r="K59" s="8" t="str">
        <f>VLOOKUP(E59,[1]characters!$A:$M,13,FALSE)</f>
        <v>unknown</v>
      </c>
      <c r="L59" s="36">
        <f>ROUND(100000*0.955/50,0)</f>
        <v>1910</v>
      </c>
      <c r="M59" s="38">
        <f>IFERROR(VLOOKUP(E59,bug_conf_sheet!$A:$H,3,FALSE),VLOOKUP("other",bug_conf_sheet!$A:$H,3,FALSE))</f>
        <v>1</v>
      </c>
      <c r="N59" s="38">
        <f>IFERROR(VLOOKUP(E59,bug_conf_sheet!$A:$H,4,FALSE),VLOOKUP("other",bug_conf_sheet!$A:$H,4,FALSE))</f>
        <v>0</v>
      </c>
      <c r="O59" s="38">
        <f>IFERROR(VLOOKUP(E59,bug_conf_sheet!$A:$H,5,FALSE),VLOOKUP("other",bug_conf_sheet!$A:$H,5,FALSE))</f>
        <v>0</v>
      </c>
      <c r="P59" s="38">
        <f>IFERROR(VLOOKUP(E59,bug_conf_sheet!$A:$H,6,FALSE),VLOOKUP("other",bug_conf_sheet!$A:$H,6,FALSE))</f>
        <v>0</v>
      </c>
      <c r="Q59" s="38">
        <f>IFERROR(VLOOKUP(E59,bug_conf_sheet!$A:$H,7,FALSE),VLOOKUP("other",bug_conf_sheet!$A:$H,7,FALSE))</f>
        <v>0</v>
      </c>
      <c r="R59" s="38">
        <f>IFERROR(VLOOKUP(E59,bug_conf_sheet!$A:$H,8,FALSE),VLOOKUP("other",bug_conf_sheet!$A:$H,8,FALSE))</f>
        <v>1</v>
      </c>
    </row>
    <row r="60" spans="2:18" ht="21" customHeight="1">
      <c r="B60" s="2">
        <v>1886</v>
      </c>
      <c r="C60" s="8" t="str">
        <f t="shared" si="1"/>
        <v>PremiumSS5</v>
      </c>
      <c r="E60" s="6">
        <v>480</v>
      </c>
      <c r="F60" s="8" t="str">
        <f>VLOOKUP(E60,[1]characters!$A:$C,3,FALSE)</f>
        <v>夢幻の愚者フール</v>
      </c>
      <c r="G60" s="8" t="str">
        <f>VLOOKUP(E60,[1]characters!$A:$J,10,FALSE)</f>
        <v>PremiumSS</v>
      </c>
      <c r="H60" s="8">
        <f>VLOOKUP(E60,[1]characters!$A:$I,9,FALSE)</f>
        <v>5</v>
      </c>
      <c r="I60" s="8" t="str">
        <f>VLOOKUP(E60,[1]characters!$A:$H,8,FALSE)</f>
        <v>blue</v>
      </c>
      <c r="J60" s="8" t="str">
        <f>VLOOKUP(E60,[1]characters!$A:$K,11,FALSE)</f>
        <v>technical</v>
      </c>
      <c r="K60" s="8" t="str">
        <f>VLOOKUP(E60,[1]characters!$A:$M,13,FALSE)</f>
        <v>god</v>
      </c>
      <c r="L60" s="36">
        <f>ROUND(100000*0.04/22,0)</f>
        <v>182</v>
      </c>
      <c r="M60" s="38">
        <f>IFERROR(VLOOKUP(E60,bug_conf_sheet!$A:$H,3,FALSE),VLOOKUP("other",bug_conf_sheet!$A:$H,3,FALSE))</f>
        <v>1</v>
      </c>
      <c r="N60" s="38">
        <f>IFERROR(VLOOKUP(E60,bug_conf_sheet!$A:$H,4,FALSE),VLOOKUP("other",bug_conf_sheet!$A:$H,4,FALSE))</f>
        <v>0</v>
      </c>
      <c r="O60" s="38">
        <f>IFERROR(VLOOKUP(E60,bug_conf_sheet!$A:$H,5,FALSE),VLOOKUP("other",bug_conf_sheet!$A:$H,5,FALSE))</f>
        <v>0</v>
      </c>
      <c r="P60" s="38">
        <f>IFERROR(VLOOKUP(E60,bug_conf_sheet!$A:$H,6,FALSE),VLOOKUP("other",bug_conf_sheet!$A:$H,6,FALSE))</f>
        <v>0</v>
      </c>
      <c r="Q60" s="38">
        <f>IFERROR(VLOOKUP(E60,bug_conf_sheet!$A:$H,7,FALSE),VLOOKUP("other",bug_conf_sheet!$A:$H,7,FALSE))</f>
        <v>0</v>
      </c>
      <c r="R60" s="38">
        <f>IFERROR(VLOOKUP(E60,bug_conf_sheet!$A:$H,8,FALSE),VLOOKUP("other",bug_conf_sheet!$A:$H,8,FALSE))</f>
        <v>1</v>
      </c>
    </row>
    <row r="61" spans="2:18" ht="21" hidden="1" customHeight="1">
      <c r="B61" s="2">
        <v>1886</v>
      </c>
      <c r="C61" s="8" t="str">
        <f t="shared" si="1"/>
        <v>PremiumS5</v>
      </c>
      <c r="E61" s="6">
        <v>483</v>
      </c>
      <c r="F61" s="8" t="str">
        <f>VLOOKUP(E61,[1]characters!$A:$C,3,FALSE)</f>
        <v xml:space="preserve">命経死遂 沢庵宗彭 </v>
      </c>
      <c r="G61" s="8" t="str">
        <f>VLOOKUP(E61,[1]characters!$A:$J,10,FALSE)</f>
        <v>PremiumS</v>
      </c>
      <c r="H61" s="8">
        <f>VLOOKUP(E61,[1]characters!$A:$I,9,FALSE)</f>
        <v>5</v>
      </c>
      <c r="I61" s="8" t="str">
        <f>VLOOKUP(E61,[1]characters!$A:$H,8,FALSE)</f>
        <v>yellow</v>
      </c>
      <c r="J61" s="8" t="str">
        <f>VLOOKUP(E61,[1]characters!$A:$K,11,FALSE)</f>
        <v>hp</v>
      </c>
      <c r="K61" s="8" t="str">
        <f>VLOOKUP(E61,[1]characters!$A:$M,13,FALSE)</f>
        <v>human</v>
      </c>
      <c r="L61" s="36">
        <f>ROUND(100000*0.955/50,0)</f>
        <v>1910</v>
      </c>
      <c r="M61" s="38">
        <f>IFERROR(VLOOKUP(E61,bug_conf_sheet!$A:$H,3,FALSE),VLOOKUP("other",bug_conf_sheet!$A:$H,3,FALSE))</f>
        <v>1</v>
      </c>
      <c r="N61" s="38">
        <f>IFERROR(VLOOKUP(E61,bug_conf_sheet!$A:$H,4,FALSE),VLOOKUP("other",bug_conf_sheet!$A:$H,4,FALSE))</f>
        <v>0</v>
      </c>
      <c r="O61" s="38">
        <f>IFERROR(VLOOKUP(E61,bug_conf_sheet!$A:$H,5,FALSE),VLOOKUP("other",bug_conf_sheet!$A:$H,5,FALSE))</f>
        <v>0</v>
      </c>
      <c r="P61" s="38">
        <f>IFERROR(VLOOKUP(E61,bug_conf_sheet!$A:$H,6,FALSE),VLOOKUP("other",bug_conf_sheet!$A:$H,6,FALSE))</f>
        <v>0</v>
      </c>
      <c r="Q61" s="38">
        <f>IFERROR(VLOOKUP(E61,bug_conf_sheet!$A:$H,7,FALSE),VLOOKUP("other",bug_conf_sheet!$A:$H,7,FALSE))</f>
        <v>0</v>
      </c>
      <c r="R61" s="38">
        <f>IFERROR(VLOOKUP(E61,bug_conf_sheet!$A:$H,8,FALSE),VLOOKUP("other",bug_conf_sheet!$A:$H,8,FALSE))</f>
        <v>1</v>
      </c>
    </row>
    <row r="62" spans="2:18" ht="21" customHeight="1">
      <c r="B62" s="2">
        <v>1886</v>
      </c>
      <c r="C62" s="8" t="str">
        <f t="shared" si="1"/>
        <v>PremiumSS5</v>
      </c>
      <c r="E62" s="6">
        <v>493</v>
      </c>
      <c r="F62" s="8" t="str">
        <f>VLOOKUP(E62,[1]characters!$A:$C,3,FALSE)</f>
        <v>跋扈の機脚 ブートレグ・ペロー</v>
      </c>
      <c r="G62" s="8" t="str">
        <f>VLOOKUP(E62,[1]characters!$A:$J,10,FALSE)</f>
        <v>PremiumSS</v>
      </c>
      <c r="H62" s="8">
        <f>VLOOKUP(E62,[1]characters!$A:$I,9,FALSE)</f>
        <v>5</v>
      </c>
      <c r="I62" s="8" t="str">
        <f>VLOOKUP(E62,[1]characters!$A:$H,8,FALSE)</f>
        <v>red</v>
      </c>
      <c r="J62" s="8" t="str">
        <f>VLOOKUP(E62,[1]characters!$A:$K,11,FALSE)</f>
        <v>hp</v>
      </c>
      <c r="K62" s="8" t="str">
        <f>VLOOKUP(E62,[1]characters!$A:$M,13,FALSE)</f>
        <v>animal</v>
      </c>
      <c r="L62" s="36">
        <f t="shared" ref="L62:L63" si="9">ROUND(100000*0.04/22,0)</f>
        <v>182</v>
      </c>
      <c r="M62" s="38">
        <f>IFERROR(VLOOKUP(E62,bug_conf_sheet!$A:$H,3,FALSE),VLOOKUP("other",bug_conf_sheet!$A:$H,3,FALSE))</f>
        <v>1</v>
      </c>
      <c r="N62" s="38">
        <f>IFERROR(VLOOKUP(E62,bug_conf_sheet!$A:$H,4,FALSE),VLOOKUP("other",bug_conf_sheet!$A:$H,4,FALSE))</f>
        <v>0</v>
      </c>
      <c r="O62" s="38">
        <f>IFERROR(VLOOKUP(E62,bug_conf_sheet!$A:$H,5,FALSE),VLOOKUP("other",bug_conf_sheet!$A:$H,5,FALSE))</f>
        <v>0</v>
      </c>
      <c r="P62" s="38">
        <f>IFERROR(VLOOKUP(E62,bug_conf_sheet!$A:$H,6,FALSE),VLOOKUP("other",bug_conf_sheet!$A:$H,6,FALSE))</f>
        <v>0</v>
      </c>
      <c r="Q62" s="38">
        <f>IFERROR(VLOOKUP(E62,bug_conf_sheet!$A:$H,7,FALSE),VLOOKUP("other",bug_conf_sheet!$A:$H,7,FALSE))</f>
        <v>0</v>
      </c>
      <c r="R62" s="38">
        <f>IFERROR(VLOOKUP(E62,bug_conf_sheet!$A:$H,8,FALSE),VLOOKUP("other",bug_conf_sheet!$A:$H,8,FALSE))</f>
        <v>1</v>
      </c>
    </row>
    <row r="63" spans="2:18" ht="21" customHeight="1">
      <c r="B63" s="2">
        <v>1886</v>
      </c>
      <c r="C63" s="8" t="str">
        <f t="shared" si="1"/>
        <v>PremiumSS5</v>
      </c>
      <c r="E63" s="6">
        <v>495</v>
      </c>
      <c r="F63" s="8" t="str">
        <f>VLOOKUP(E63,[1]characters!$A:$C,3,FALSE)</f>
        <v>鼠災呼ぶ笛音 ハーメルン</v>
      </c>
      <c r="G63" s="8" t="str">
        <f>VLOOKUP(E63,[1]characters!$A:$J,10,FALSE)</f>
        <v>PremiumSS</v>
      </c>
      <c r="H63" s="8">
        <f>VLOOKUP(E63,[1]characters!$A:$I,9,FALSE)</f>
        <v>5</v>
      </c>
      <c r="I63" s="8" t="str">
        <f>VLOOKUP(E63,[1]characters!$A:$H,8,FALSE)</f>
        <v>green</v>
      </c>
      <c r="J63" s="8" t="str">
        <f>VLOOKUP(E63,[1]characters!$A:$K,11,FALSE)</f>
        <v>technical</v>
      </c>
      <c r="K63" s="8" t="str">
        <f>VLOOKUP(E63,[1]characters!$A:$M,13,FALSE)</f>
        <v>human</v>
      </c>
      <c r="L63" s="36">
        <f t="shared" si="9"/>
        <v>182</v>
      </c>
      <c r="M63" s="38">
        <f>IFERROR(VLOOKUP(E63,bug_conf_sheet!$A:$H,3,FALSE),VLOOKUP("other",bug_conf_sheet!$A:$H,3,FALSE))</f>
        <v>1</v>
      </c>
      <c r="N63" s="38">
        <f>IFERROR(VLOOKUP(E63,bug_conf_sheet!$A:$H,4,FALSE),VLOOKUP("other",bug_conf_sheet!$A:$H,4,FALSE))</f>
        <v>0</v>
      </c>
      <c r="O63" s="38">
        <f>IFERROR(VLOOKUP(E63,bug_conf_sheet!$A:$H,5,FALSE),VLOOKUP("other",bug_conf_sheet!$A:$H,5,FALSE))</f>
        <v>0</v>
      </c>
      <c r="P63" s="38">
        <f>IFERROR(VLOOKUP(E63,bug_conf_sheet!$A:$H,6,FALSE),VLOOKUP("other",bug_conf_sheet!$A:$H,6,FALSE))</f>
        <v>0</v>
      </c>
      <c r="Q63" s="38">
        <f>IFERROR(VLOOKUP(E63,bug_conf_sheet!$A:$H,7,FALSE),VLOOKUP("other",bug_conf_sheet!$A:$H,7,FALSE))</f>
        <v>0</v>
      </c>
      <c r="R63" s="38">
        <f>IFERROR(VLOOKUP(E63,bug_conf_sheet!$A:$H,8,FALSE),VLOOKUP("other",bug_conf_sheet!$A:$H,8,FALSE))</f>
        <v>1</v>
      </c>
    </row>
    <row r="64" spans="2:18" ht="21" hidden="1" customHeight="1">
      <c r="B64" s="2">
        <v>1886</v>
      </c>
      <c r="C64" s="8" t="str">
        <f t="shared" si="1"/>
        <v>PremiumS5</v>
      </c>
      <c r="E64" s="6">
        <v>498</v>
      </c>
      <c r="F64" s="8" t="str">
        <f>VLOOKUP(E64,[1]characters!$A:$C,3,FALSE)</f>
        <v>自愛の高魔 エスタブ</v>
      </c>
      <c r="G64" s="8" t="str">
        <f>VLOOKUP(E64,[1]characters!$A:$J,10,FALSE)</f>
        <v>PremiumS</v>
      </c>
      <c r="H64" s="8">
        <f>VLOOKUP(E64,[1]characters!$A:$I,9,FALSE)</f>
        <v>5</v>
      </c>
      <c r="I64" s="8" t="str">
        <f>VLOOKUP(E64,[1]characters!$A:$H,8,FALSE)</f>
        <v>blue</v>
      </c>
      <c r="J64" s="8" t="str">
        <f>VLOOKUP(E64,[1]characters!$A:$K,11,FALSE)</f>
        <v>attack</v>
      </c>
      <c r="K64" s="8" t="str">
        <f>VLOOKUP(E64,[1]characters!$A:$M,13,FALSE)</f>
        <v>human</v>
      </c>
      <c r="L64" s="36">
        <f>ROUND(100000*0.955/50,0)</f>
        <v>1910</v>
      </c>
      <c r="M64" s="38">
        <f>IFERROR(VLOOKUP(E64,bug_conf_sheet!$A:$H,3,FALSE),VLOOKUP("other",bug_conf_sheet!$A:$H,3,FALSE))</f>
        <v>1</v>
      </c>
      <c r="N64" s="38">
        <f>IFERROR(VLOOKUP(E64,bug_conf_sheet!$A:$H,4,FALSE),VLOOKUP("other",bug_conf_sheet!$A:$H,4,FALSE))</f>
        <v>0</v>
      </c>
      <c r="O64" s="38">
        <f>IFERROR(VLOOKUP(E64,bug_conf_sheet!$A:$H,5,FALSE),VLOOKUP("other",bug_conf_sheet!$A:$H,5,FALSE))</f>
        <v>0</v>
      </c>
      <c r="P64" s="38">
        <f>IFERROR(VLOOKUP(E64,bug_conf_sheet!$A:$H,6,FALSE),VLOOKUP("other",bug_conf_sheet!$A:$H,6,FALSE))</f>
        <v>0</v>
      </c>
      <c r="Q64" s="38">
        <f>IFERROR(VLOOKUP(E64,bug_conf_sheet!$A:$H,7,FALSE),VLOOKUP("other",bug_conf_sheet!$A:$H,7,FALSE))</f>
        <v>0</v>
      </c>
      <c r="R64" s="38">
        <f>IFERROR(VLOOKUP(E64,bug_conf_sheet!$A:$H,8,FALSE),VLOOKUP("other",bug_conf_sheet!$A:$H,8,FALSE))</f>
        <v>1</v>
      </c>
    </row>
    <row r="65" spans="2:18" ht="21" customHeight="1">
      <c r="B65" s="2">
        <v>1886</v>
      </c>
      <c r="C65" s="8" t="str">
        <f t="shared" si="1"/>
        <v>PremiumSS5</v>
      </c>
      <c r="E65" s="6">
        <v>500</v>
      </c>
      <c r="F65" s="8" t="str">
        <f>VLOOKUP(E65,[1]characters!$A:$C,3,FALSE)</f>
        <v>脈動の禁髪 ラプンツェル</v>
      </c>
      <c r="G65" s="8" t="str">
        <f>VLOOKUP(E65,[1]characters!$A:$J,10,FALSE)</f>
        <v>PremiumSS</v>
      </c>
      <c r="H65" s="8">
        <f>VLOOKUP(E65,[1]characters!$A:$I,9,FALSE)</f>
        <v>5</v>
      </c>
      <c r="I65" s="8" t="str">
        <f>VLOOKUP(E65,[1]characters!$A:$H,8,FALSE)</f>
        <v>yellow</v>
      </c>
      <c r="J65" s="8" t="str">
        <f>VLOOKUP(E65,[1]characters!$A:$K,11,FALSE)</f>
        <v>balance</v>
      </c>
      <c r="K65" s="8" t="str">
        <f>VLOOKUP(E65,[1]characters!$A:$M,13,FALSE)</f>
        <v>human</v>
      </c>
      <c r="L65" s="36">
        <f t="shared" ref="L65:L66" si="10">ROUND(100000*0.04/22,0)</f>
        <v>182</v>
      </c>
      <c r="M65" s="38">
        <f>IFERROR(VLOOKUP(E65,bug_conf_sheet!$A:$H,3,FALSE),VLOOKUP("other",bug_conf_sheet!$A:$H,3,FALSE))</f>
        <v>1</v>
      </c>
      <c r="N65" s="38">
        <f>IFERROR(VLOOKUP(E65,bug_conf_sheet!$A:$H,4,FALSE),VLOOKUP("other",bug_conf_sheet!$A:$H,4,FALSE))</f>
        <v>0</v>
      </c>
      <c r="O65" s="38">
        <f>IFERROR(VLOOKUP(E65,bug_conf_sheet!$A:$H,5,FALSE),VLOOKUP("other",bug_conf_sheet!$A:$H,5,FALSE))</f>
        <v>0</v>
      </c>
      <c r="P65" s="38">
        <f>IFERROR(VLOOKUP(E65,bug_conf_sheet!$A:$H,6,FALSE),VLOOKUP("other",bug_conf_sheet!$A:$H,6,FALSE))</f>
        <v>0</v>
      </c>
      <c r="Q65" s="38">
        <f>IFERROR(VLOOKUP(E65,bug_conf_sheet!$A:$H,7,FALSE),VLOOKUP("other",bug_conf_sheet!$A:$H,7,FALSE))</f>
        <v>0</v>
      </c>
      <c r="R65" s="38">
        <f>IFERROR(VLOOKUP(E65,bug_conf_sheet!$A:$H,8,FALSE),VLOOKUP("other",bug_conf_sheet!$A:$H,8,FALSE))</f>
        <v>1</v>
      </c>
    </row>
    <row r="66" spans="2:18" ht="21" customHeight="1">
      <c r="B66" s="2">
        <v>1886</v>
      </c>
      <c r="C66" s="8" t="str">
        <f t="shared" si="1"/>
        <v>PremiumSS5</v>
      </c>
      <c r="E66" s="6">
        <v>587</v>
      </c>
      <c r="F66" s="8" t="str">
        <f>VLOOKUP(E66,[1]characters!$A:$C,3,FALSE)</f>
        <v>原初の煉鋼巨刃 ユミル</v>
      </c>
      <c r="G66" s="8" t="str">
        <f>VLOOKUP(E66,[1]characters!$A:$J,10,FALSE)</f>
        <v>PremiumSS</v>
      </c>
      <c r="H66" s="8">
        <f>VLOOKUP(E66,[1]characters!$A:$I,9,FALSE)</f>
        <v>5</v>
      </c>
      <c r="I66" s="8" t="str">
        <f>VLOOKUP(E66,[1]characters!$A:$H,8,FALSE)</f>
        <v>red</v>
      </c>
      <c r="J66" s="8" t="str">
        <f>VLOOKUP(E66,[1]characters!$A:$K,11,FALSE)</f>
        <v>hp</v>
      </c>
      <c r="K66" s="8" t="str">
        <f>VLOOKUP(E66,[1]characters!$A:$M,13,FALSE)</f>
        <v>machine</v>
      </c>
      <c r="L66" s="36">
        <f t="shared" si="10"/>
        <v>182</v>
      </c>
      <c r="M66" s="38">
        <f>IFERROR(VLOOKUP(E66,bug_conf_sheet!$A:$H,3,FALSE),VLOOKUP("other",bug_conf_sheet!$A:$H,3,FALSE))</f>
        <v>1</v>
      </c>
      <c r="N66" s="38">
        <f>IFERROR(VLOOKUP(E66,bug_conf_sheet!$A:$H,4,FALSE),VLOOKUP("other",bug_conf_sheet!$A:$H,4,FALSE))</f>
        <v>0</v>
      </c>
      <c r="O66" s="38">
        <f>IFERROR(VLOOKUP(E66,bug_conf_sheet!$A:$H,5,FALSE),VLOOKUP("other",bug_conf_sheet!$A:$H,5,FALSE))</f>
        <v>0</v>
      </c>
      <c r="P66" s="38">
        <f>IFERROR(VLOOKUP(E66,bug_conf_sheet!$A:$H,6,FALSE),VLOOKUP("other",bug_conf_sheet!$A:$H,6,FALSE))</f>
        <v>0</v>
      </c>
      <c r="Q66" s="38">
        <f>IFERROR(VLOOKUP(E66,bug_conf_sheet!$A:$H,7,FALSE),VLOOKUP("other",bug_conf_sheet!$A:$H,7,FALSE))</f>
        <v>0</v>
      </c>
      <c r="R66" s="38">
        <f>IFERROR(VLOOKUP(E66,bug_conf_sheet!$A:$H,8,FALSE),VLOOKUP("other",bug_conf_sheet!$A:$H,8,FALSE))</f>
        <v>1</v>
      </c>
    </row>
    <row r="67" spans="2:18" ht="21" hidden="1" customHeight="1">
      <c r="B67" s="2">
        <v>1886</v>
      </c>
      <c r="C67" s="8" t="str">
        <f t="shared" ref="C67:C74" si="11">D67&amp;G67&amp;H67</f>
        <v>PremiumS5</v>
      </c>
      <c r="E67" s="6">
        <v>590</v>
      </c>
      <c r="F67" s="8" t="str">
        <f>VLOOKUP(E67,[1]characters!$A:$C,3,FALSE)</f>
        <v>永遠を廻る呪い ニーベルゲン</v>
      </c>
      <c r="G67" s="8" t="str">
        <f>VLOOKUP(E67,[1]characters!$A:$J,10,FALSE)</f>
        <v>PremiumS</v>
      </c>
      <c r="H67" s="8">
        <f>VLOOKUP(E67,[1]characters!$A:$I,9,FALSE)</f>
        <v>5</v>
      </c>
      <c r="I67" s="8" t="str">
        <f>VLOOKUP(E67,[1]characters!$A:$H,8,FALSE)</f>
        <v>green</v>
      </c>
      <c r="J67" s="8" t="str">
        <f>VLOOKUP(E67,[1]characters!$A:$K,11,FALSE)</f>
        <v>balance</v>
      </c>
      <c r="K67" s="8" t="str">
        <f>VLOOKUP(E67,[1]characters!$A:$M,13,FALSE)</f>
        <v>unknown</v>
      </c>
      <c r="L67" s="36">
        <f t="shared" ref="L67:L68" si="12">ROUND(100000*0.955/50,0)</f>
        <v>1910</v>
      </c>
      <c r="M67" s="38">
        <f>IFERROR(VLOOKUP(E67,bug_conf_sheet!$A:$H,3,FALSE),VLOOKUP("other",bug_conf_sheet!$A:$H,3,FALSE))</f>
        <v>1</v>
      </c>
      <c r="N67" s="38">
        <f>IFERROR(VLOOKUP(E67,bug_conf_sheet!$A:$H,4,FALSE),VLOOKUP("other",bug_conf_sheet!$A:$H,4,FALSE))</f>
        <v>0</v>
      </c>
      <c r="O67" s="38">
        <f>IFERROR(VLOOKUP(E67,bug_conf_sheet!$A:$H,5,FALSE),VLOOKUP("other",bug_conf_sheet!$A:$H,5,FALSE))</f>
        <v>0</v>
      </c>
      <c r="P67" s="38">
        <f>IFERROR(VLOOKUP(E67,bug_conf_sheet!$A:$H,6,FALSE),VLOOKUP("other",bug_conf_sheet!$A:$H,6,FALSE))</f>
        <v>0</v>
      </c>
      <c r="Q67" s="38">
        <f>IFERROR(VLOOKUP(E67,bug_conf_sheet!$A:$H,7,FALSE),VLOOKUP("other",bug_conf_sheet!$A:$H,7,FALSE))</f>
        <v>0</v>
      </c>
      <c r="R67" s="38">
        <f>IFERROR(VLOOKUP(E67,bug_conf_sheet!$A:$H,8,FALSE),VLOOKUP("other",bug_conf_sheet!$A:$H,8,FALSE))</f>
        <v>1</v>
      </c>
    </row>
    <row r="68" spans="2:18" ht="21" hidden="1" customHeight="1">
      <c r="B68" s="2">
        <v>1886</v>
      </c>
      <c r="C68" s="8" t="str">
        <f t="shared" si="11"/>
        <v>PremiumS5</v>
      </c>
      <c r="E68" s="6">
        <v>593</v>
      </c>
      <c r="F68" s="8" t="str">
        <f>VLOOKUP(E68,[1]characters!$A:$C,3,FALSE)</f>
        <v>妄執する邪毒龍 ファフニール</v>
      </c>
      <c r="G68" s="8" t="str">
        <f>VLOOKUP(E68,[1]characters!$A:$J,10,FALSE)</f>
        <v>PremiumS</v>
      </c>
      <c r="H68" s="8">
        <f>VLOOKUP(E68,[1]characters!$A:$I,9,FALSE)</f>
        <v>5</v>
      </c>
      <c r="I68" s="8" t="str">
        <f>VLOOKUP(E68,[1]characters!$A:$H,8,FALSE)</f>
        <v>blue</v>
      </c>
      <c r="J68" s="8" t="str">
        <f>VLOOKUP(E68,[1]characters!$A:$K,11,FALSE)</f>
        <v>technical</v>
      </c>
      <c r="K68" s="8" t="str">
        <f>VLOOKUP(E68,[1]characters!$A:$M,13,FALSE)</f>
        <v>dragon</v>
      </c>
      <c r="L68" s="36">
        <f t="shared" si="12"/>
        <v>1910</v>
      </c>
      <c r="M68" s="38">
        <f>IFERROR(VLOOKUP(E68,bug_conf_sheet!$A:$H,3,FALSE),VLOOKUP("other",bug_conf_sheet!$A:$H,3,FALSE))</f>
        <v>1</v>
      </c>
      <c r="N68" s="38">
        <f>IFERROR(VLOOKUP(E68,bug_conf_sheet!$A:$H,4,FALSE),VLOOKUP("other",bug_conf_sheet!$A:$H,4,FALSE))</f>
        <v>0</v>
      </c>
      <c r="O68" s="38">
        <f>IFERROR(VLOOKUP(E68,bug_conf_sheet!$A:$H,5,FALSE),VLOOKUP("other",bug_conf_sheet!$A:$H,5,FALSE))</f>
        <v>0</v>
      </c>
      <c r="P68" s="38">
        <f>IFERROR(VLOOKUP(E68,bug_conf_sheet!$A:$H,6,FALSE),VLOOKUP("other",bug_conf_sheet!$A:$H,6,FALSE))</f>
        <v>0</v>
      </c>
      <c r="Q68" s="38">
        <f>IFERROR(VLOOKUP(E68,bug_conf_sheet!$A:$H,7,FALSE),VLOOKUP("other",bug_conf_sheet!$A:$H,7,FALSE))</f>
        <v>0</v>
      </c>
      <c r="R68" s="38">
        <f>IFERROR(VLOOKUP(E68,bug_conf_sheet!$A:$H,8,FALSE),VLOOKUP("other",bug_conf_sheet!$A:$H,8,FALSE))</f>
        <v>1</v>
      </c>
    </row>
    <row r="69" spans="2:18" ht="21" customHeight="1">
      <c r="B69" s="2">
        <v>1886</v>
      </c>
      <c r="C69" s="8" t="str">
        <f t="shared" si="11"/>
        <v>PremiumSS5</v>
      </c>
      <c r="E69" s="6">
        <v>595</v>
      </c>
      <c r="F69" s="8" t="str">
        <f>VLOOKUP(E69,[1]characters!$A:$C,3,FALSE)</f>
        <v>光華なる神域 アルフヘイム</v>
      </c>
      <c r="G69" s="8" t="str">
        <f>VLOOKUP(E69,[1]characters!$A:$J,10,FALSE)</f>
        <v>PremiumSS</v>
      </c>
      <c r="H69" s="8">
        <f>VLOOKUP(E69,[1]characters!$A:$I,9,FALSE)</f>
        <v>5</v>
      </c>
      <c r="I69" s="8" t="str">
        <f>VLOOKUP(E69,[1]characters!$A:$H,8,FALSE)</f>
        <v>yellow</v>
      </c>
      <c r="J69" s="8" t="str">
        <f>VLOOKUP(E69,[1]characters!$A:$K,11,FALSE)</f>
        <v>attack</v>
      </c>
      <c r="K69" s="8" t="str">
        <f>VLOOKUP(E69,[1]characters!$A:$M,13,FALSE)</f>
        <v>dragon</v>
      </c>
      <c r="L69" s="36">
        <f>ROUND(100000*0.04/22,0)</f>
        <v>182</v>
      </c>
      <c r="M69" s="38">
        <f>IFERROR(VLOOKUP(E69,bug_conf_sheet!$A:$H,3,FALSE),VLOOKUP("other",bug_conf_sheet!$A:$H,3,FALSE))</f>
        <v>1</v>
      </c>
      <c r="N69" s="38">
        <f>IFERROR(VLOOKUP(E69,bug_conf_sheet!$A:$H,4,FALSE),VLOOKUP("other",bug_conf_sheet!$A:$H,4,FALSE))</f>
        <v>0</v>
      </c>
      <c r="O69" s="38">
        <f>IFERROR(VLOOKUP(E69,bug_conf_sheet!$A:$H,5,FALSE),VLOOKUP("other",bug_conf_sheet!$A:$H,5,FALSE))</f>
        <v>0</v>
      </c>
      <c r="P69" s="38">
        <f>IFERROR(VLOOKUP(E69,bug_conf_sheet!$A:$H,6,FALSE),VLOOKUP("other",bug_conf_sheet!$A:$H,6,FALSE))</f>
        <v>0</v>
      </c>
      <c r="Q69" s="38">
        <f>IFERROR(VLOOKUP(E69,bug_conf_sheet!$A:$H,7,FALSE),VLOOKUP("other",bug_conf_sheet!$A:$H,7,FALSE))</f>
        <v>0</v>
      </c>
      <c r="R69" s="38">
        <f>IFERROR(VLOOKUP(E69,bug_conf_sheet!$A:$H,8,FALSE),VLOOKUP("other",bug_conf_sheet!$A:$H,8,FALSE))</f>
        <v>1</v>
      </c>
    </row>
    <row r="70" spans="2:18" ht="21" hidden="1" customHeight="1">
      <c r="B70" s="2">
        <v>1886</v>
      </c>
      <c r="C70" s="8" t="str">
        <f t="shared" si="11"/>
        <v>PremiumS5</v>
      </c>
      <c r="E70" s="6">
        <v>598</v>
      </c>
      <c r="F70" s="8" t="str">
        <f>VLOOKUP(E70,[1]characters!$A:$C,3,FALSE)</f>
        <v>焼燃の情熱 ムスペルヘイム</v>
      </c>
      <c r="G70" s="8" t="str">
        <f>VLOOKUP(E70,[1]characters!$A:$J,10,FALSE)</f>
        <v>PremiumS</v>
      </c>
      <c r="H70" s="8">
        <f>VLOOKUP(E70,[1]characters!$A:$I,9,FALSE)</f>
        <v>5</v>
      </c>
      <c r="I70" s="8" t="str">
        <f>VLOOKUP(E70,[1]characters!$A:$H,8,FALSE)</f>
        <v>red</v>
      </c>
      <c r="J70" s="8" t="str">
        <f>VLOOKUP(E70,[1]characters!$A:$K,11,FALSE)</f>
        <v>balance</v>
      </c>
      <c r="K70" s="8" t="str">
        <f>VLOOKUP(E70,[1]characters!$A:$M,13,FALSE)</f>
        <v>human</v>
      </c>
      <c r="L70" s="36">
        <f t="shared" ref="L70:L71" si="13">ROUND(100000*0.955/50,0)</f>
        <v>1910</v>
      </c>
      <c r="M70" s="38">
        <f>IFERROR(VLOOKUP(E70,bug_conf_sheet!$A:$H,3,FALSE),VLOOKUP("other",bug_conf_sheet!$A:$H,3,FALSE))</f>
        <v>1</v>
      </c>
      <c r="N70" s="38">
        <f>IFERROR(VLOOKUP(E70,bug_conf_sheet!$A:$H,4,FALSE),VLOOKUP("other",bug_conf_sheet!$A:$H,4,FALSE))</f>
        <v>0</v>
      </c>
      <c r="O70" s="38">
        <f>IFERROR(VLOOKUP(E70,bug_conf_sheet!$A:$H,5,FALSE),VLOOKUP("other",bug_conf_sheet!$A:$H,5,FALSE))</f>
        <v>0</v>
      </c>
      <c r="P70" s="38">
        <f>IFERROR(VLOOKUP(E70,bug_conf_sheet!$A:$H,6,FALSE),VLOOKUP("other",bug_conf_sheet!$A:$H,6,FALSE))</f>
        <v>0</v>
      </c>
      <c r="Q70" s="38">
        <f>IFERROR(VLOOKUP(E70,bug_conf_sheet!$A:$H,7,FALSE),VLOOKUP("other",bug_conf_sheet!$A:$H,7,FALSE))</f>
        <v>0</v>
      </c>
      <c r="R70" s="38">
        <f>IFERROR(VLOOKUP(E70,bug_conf_sheet!$A:$H,8,FALSE),VLOOKUP("other",bug_conf_sheet!$A:$H,8,FALSE))</f>
        <v>1</v>
      </c>
    </row>
    <row r="71" spans="2:18" ht="21" hidden="1" customHeight="1">
      <c r="B71" s="2">
        <v>1886</v>
      </c>
      <c r="C71" s="8" t="str">
        <f t="shared" si="11"/>
        <v>PremiumS5</v>
      </c>
      <c r="E71" s="6">
        <v>601</v>
      </c>
      <c r="F71" s="8" t="str">
        <f>VLOOKUP(E71,[1]characters!$A:$C,3,FALSE)</f>
        <v>界根蝕む悪食 ニーズヘッグ</v>
      </c>
      <c r="G71" s="8" t="str">
        <f>VLOOKUP(E71,[1]characters!$A:$J,10,FALSE)</f>
        <v>PremiumS</v>
      </c>
      <c r="H71" s="8">
        <f>VLOOKUP(E71,[1]characters!$A:$I,9,FALSE)</f>
        <v>5</v>
      </c>
      <c r="I71" s="8" t="str">
        <f>VLOOKUP(E71,[1]characters!$A:$H,8,FALSE)</f>
        <v>green</v>
      </c>
      <c r="J71" s="8" t="str">
        <f>VLOOKUP(E71,[1]characters!$A:$K,11,FALSE)</f>
        <v>attack</v>
      </c>
      <c r="K71" s="8" t="str">
        <f>VLOOKUP(E71,[1]characters!$A:$M,13,FALSE)</f>
        <v>dragon</v>
      </c>
      <c r="L71" s="36">
        <f t="shared" si="13"/>
        <v>1910</v>
      </c>
      <c r="M71" s="38">
        <f>IFERROR(VLOOKUP(E71,bug_conf_sheet!$A:$H,3,FALSE),VLOOKUP("other",bug_conf_sheet!$A:$H,3,FALSE))</f>
        <v>1</v>
      </c>
      <c r="N71" s="38">
        <f>IFERROR(VLOOKUP(E71,bug_conf_sheet!$A:$H,4,FALSE),VLOOKUP("other",bug_conf_sheet!$A:$H,4,FALSE))</f>
        <v>0</v>
      </c>
      <c r="O71" s="38">
        <f>IFERROR(VLOOKUP(E71,bug_conf_sheet!$A:$H,5,FALSE),VLOOKUP("other",bug_conf_sheet!$A:$H,5,FALSE))</f>
        <v>0</v>
      </c>
      <c r="P71" s="38">
        <f>IFERROR(VLOOKUP(E71,bug_conf_sheet!$A:$H,6,FALSE),VLOOKUP("other",bug_conf_sheet!$A:$H,6,FALSE))</f>
        <v>0</v>
      </c>
      <c r="Q71" s="38">
        <f>IFERROR(VLOOKUP(E71,bug_conf_sheet!$A:$H,7,FALSE),VLOOKUP("other",bug_conf_sheet!$A:$H,7,FALSE))</f>
        <v>0</v>
      </c>
      <c r="R71" s="38">
        <f>IFERROR(VLOOKUP(E71,bug_conf_sheet!$A:$H,8,FALSE),VLOOKUP("other",bug_conf_sheet!$A:$H,8,FALSE))</f>
        <v>1</v>
      </c>
    </row>
    <row r="72" spans="2:18" ht="21" customHeight="1">
      <c r="B72" s="2">
        <v>1886</v>
      </c>
      <c r="C72" s="8" t="str">
        <f t="shared" si="11"/>
        <v>PremiumSS5</v>
      </c>
      <c r="E72" s="6">
        <v>603</v>
      </c>
      <c r="F72" s="8" t="str">
        <f>VLOOKUP(E72,[1]characters!$A:$C,3,FALSE)</f>
        <v>掌愛の豊穣女神 フレイヤ</v>
      </c>
      <c r="G72" s="8" t="str">
        <f>VLOOKUP(E72,[1]characters!$A:$J,10,FALSE)</f>
        <v>PremiumSS</v>
      </c>
      <c r="H72" s="8">
        <f>VLOOKUP(E72,[1]characters!$A:$I,9,FALSE)</f>
        <v>5</v>
      </c>
      <c r="I72" s="8" t="str">
        <f>VLOOKUP(E72,[1]characters!$A:$H,8,FALSE)</f>
        <v>blue</v>
      </c>
      <c r="J72" s="8" t="str">
        <f>VLOOKUP(E72,[1]characters!$A:$K,11,FALSE)</f>
        <v>heal</v>
      </c>
      <c r="K72" s="8" t="str">
        <f>VLOOKUP(E72,[1]characters!$A:$M,13,FALSE)</f>
        <v>animal</v>
      </c>
      <c r="L72" s="36">
        <f>ROUND(100000*0.04/22,0)</f>
        <v>182</v>
      </c>
      <c r="M72" s="38">
        <f>IFERROR(VLOOKUP(E72,bug_conf_sheet!$A:$H,3,FALSE),VLOOKUP("other",bug_conf_sheet!$A:$H,3,FALSE))</f>
        <v>1</v>
      </c>
      <c r="N72" s="38">
        <f>IFERROR(VLOOKUP(E72,bug_conf_sheet!$A:$H,4,FALSE),VLOOKUP("other",bug_conf_sheet!$A:$H,4,FALSE))</f>
        <v>0</v>
      </c>
      <c r="O72" s="38">
        <f>IFERROR(VLOOKUP(E72,bug_conf_sheet!$A:$H,5,FALSE),VLOOKUP("other",bug_conf_sheet!$A:$H,5,FALSE))</f>
        <v>0</v>
      </c>
      <c r="P72" s="38">
        <f>IFERROR(VLOOKUP(E72,bug_conf_sheet!$A:$H,6,FALSE),VLOOKUP("other",bug_conf_sheet!$A:$H,6,FALSE))</f>
        <v>0</v>
      </c>
      <c r="Q72" s="38">
        <f>IFERROR(VLOOKUP(E72,bug_conf_sheet!$A:$H,7,FALSE),VLOOKUP("other",bug_conf_sheet!$A:$H,7,FALSE))</f>
        <v>0</v>
      </c>
      <c r="R72" s="38">
        <f>IFERROR(VLOOKUP(E72,bug_conf_sheet!$A:$H,8,FALSE),VLOOKUP("other",bug_conf_sheet!$A:$H,8,FALSE))</f>
        <v>1</v>
      </c>
    </row>
    <row r="73" spans="2:18" ht="21" hidden="1" customHeight="1">
      <c r="B73" s="2">
        <v>1886</v>
      </c>
      <c r="C73" s="8" t="str">
        <f t="shared" si="11"/>
        <v>PremiumS5</v>
      </c>
      <c r="E73" s="6">
        <v>606</v>
      </c>
      <c r="F73" s="8" t="str">
        <f>VLOOKUP(E73,[1]characters!$A:$C,3,FALSE)</f>
        <v>冀望の光芒 バルドル</v>
      </c>
      <c r="G73" s="8" t="str">
        <f>VLOOKUP(E73,[1]characters!$A:$J,10,FALSE)</f>
        <v>PremiumS</v>
      </c>
      <c r="H73" s="8">
        <f>VLOOKUP(E73,[1]characters!$A:$I,9,FALSE)</f>
        <v>5</v>
      </c>
      <c r="I73" s="8" t="str">
        <f>VLOOKUP(E73,[1]characters!$A:$H,8,FALSE)</f>
        <v>yellow</v>
      </c>
      <c r="J73" s="8" t="str">
        <f>VLOOKUP(E73,[1]characters!$A:$K,11,FALSE)</f>
        <v>heal</v>
      </c>
      <c r="K73" s="8" t="str">
        <f>VLOOKUP(E73,[1]characters!$A:$M,13,FALSE)</f>
        <v>god</v>
      </c>
      <c r="L73" s="36">
        <f>ROUND(100000*0.955/50,0)</f>
        <v>1910</v>
      </c>
      <c r="M73" s="38">
        <f>IFERROR(VLOOKUP(E73,bug_conf_sheet!$A:$H,3,FALSE),VLOOKUP("other",bug_conf_sheet!$A:$H,3,FALSE))</f>
        <v>1</v>
      </c>
      <c r="N73" s="38">
        <f>IFERROR(VLOOKUP(E73,bug_conf_sheet!$A:$H,4,FALSE),VLOOKUP("other",bug_conf_sheet!$A:$H,4,FALSE))</f>
        <v>0</v>
      </c>
      <c r="O73" s="38">
        <f>IFERROR(VLOOKUP(E73,bug_conf_sheet!$A:$H,5,FALSE),VLOOKUP("other",bug_conf_sheet!$A:$H,5,FALSE))</f>
        <v>0</v>
      </c>
      <c r="P73" s="38">
        <f>IFERROR(VLOOKUP(E73,bug_conf_sheet!$A:$H,6,FALSE),VLOOKUP("other",bug_conf_sheet!$A:$H,6,FALSE))</f>
        <v>0</v>
      </c>
      <c r="Q73" s="38">
        <f>IFERROR(VLOOKUP(E73,bug_conf_sheet!$A:$H,7,FALSE),VLOOKUP("other",bug_conf_sheet!$A:$H,7,FALSE))</f>
        <v>0</v>
      </c>
      <c r="R73" s="38">
        <f>IFERROR(VLOOKUP(E73,bug_conf_sheet!$A:$H,8,FALSE),VLOOKUP("other",bug_conf_sheet!$A:$H,8,FALSE))</f>
        <v>1</v>
      </c>
    </row>
    <row r="74" spans="2:18" ht="21" customHeight="1">
      <c r="B74" s="2">
        <v>1886</v>
      </c>
      <c r="C74" s="8" t="str">
        <f t="shared" si="11"/>
        <v>PremiumSS5</v>
      </c>
      <c r="E74" s="6">
        <v>620</v>
      </c>
      <c r="F74" s="8" t="str">
        <f>VLOOKUP(E74,[1]characters!$A:$C,3,FALSE)</f>
        <v>奇跡の調和 メビウス</v>
      </c>
      <c r="G74" s="8" t="str">
        <f>VLOOKUP(E74,[1]characters!$A:$J,10,FALSE)</f>
        <v>PremiumSS</v>
      </c>
      <c r="H74" s="8">
        <f>VLOOKUP(E74,[1]characters!$A:$I,9,FALSE)</f>
        <v>5</v>
      </c>
      <c r="I74" s="8" t="str">
        <f>VLOOKUP(E74,[1]characters!$A:$H,8,FALSE)</f>
        <v>blue</v>
      </c>
      <c r="J74" s="8" t="str">
        <f>VLOOKUP(E74,[1]characters!$A:$K,11,FALSE)</f>
        <v>balance</v>
      </c>
      <c r="K74" s="8" t="str">
        <f>VLOOKUP(E74,[1]characters!$A:$M,13,FALSE)</f>
        <v>human</v>
      </c>
      <c r="L74" s="36">
        <f>ROUND(100000*0.005,0)</f>
        <v>500</v>
      </c>
      <c r="M74" s="38">
        <f>IFERROR(VLOOKUP(E74,bug_conf_sheet!$A:$H,3,FALSE),VLOOKUP("other",bug_conf_sheet!$A:$H,3,FALSE))</f>
        <v>1</v>
      </c>
      <c r="N74" s="38">
        <f>IFERROR(VLOOKUP(E74,bug_conf_sheet!$A:$H,4,FALSE),VLOOKUP("other",bug_conf_sheet!$A:$H,4,FALSE))</f>
        <v>0</v>
      </c>
      <c r="O74" s="38">
        <f>IFERROR(VLOOKUP(E74,bug_conf_sheet!$A:$H,5,FALSE),VLOOKUP("other",bug_conf_sheet!$A:$H,5,FALSE))</f>
        <v>0</v>
      </c>
      <c r="P74" s="38">
        <f>IFERROR(VLOOKUP(E74,bug_conf_sheet!$A:$H,6,FALSE),VLOOKUP("other",bug_conf_sheet!$A:$H,6,FALSE))</f>
        <v>0</v>
      </c>
      <c r="Q74" s="38">
        <f>IFERROR(VLOOKUP(E74,bug_conf_sheet!$A:$H,7,FALSE),VLOOKUP("other",bug_conf_sheet!$A:$H,7,FALSE))</f>
        <v>0</v>
      </c>
      <c r="R74" s="38">
        <f>IFERROR(VLOOKUP(E74,bug_conf_sheet!$A:$H,8,FALSE),VLOOKUP("other",bug_conf_sheet!$A:$H,8,FALSE))</f>
        <v>1</v>
      </c>
    </row>
  </sheetData>
  <autoFilter ref="A1:R74">
    <filterColumn colId="6">
      <filters>
        <filter val="PremiumSS"/>
      </filters>
    </filterColumn>
  </autoFilter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8"/>
  <sheetViews>
    <sheetView showGridLines="0" tabSelected="1" workbookViewId="0">
      <pane ySplit="1" topLeftCell="A2" activePane="bottomLeft" state="frozen"/>
      <selection activeCell="M24" sqref="M24"/>
      <selection pane="bottomLeft" activeCell="F3" sqref="F3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  <row r="2" spans="1:11" ht="21" customHeight="1">
      <c r="A2" s="55"/>
      <c r="B2" s="56">
        <v>1880</v>
      </c>
      <c r="C2" s="56">
        <v>18801</v>
      </c>
      <c r="D2" s="56" t="s">
        <v>98</v>
      </c>
      <c r="E2" s="56">
        <v>125</v>
      </c>
      <c r="F2" s="56">
        <v>1</v>
      </c>
      <c r="G2" s="56">
        <v>1</v>
      </c>
      <c r="H2" s="56" t="s">
        <v>99</v>
      </c>
      <c r="I2" s="56" t="s">
        <v>103</v>
      </c>
      <c r="J2" s="56" t="s">
        <v>104</v>
      </c>
      <c r="K2" s="57" t="s">
        <v>105</v>
      </c>
    </row>
    <row r="3" spans="1:11" ht="21" customHeight="1">
      <c r="A3" s="55"/>
      <c r="B3" s="56">
        <v>1881</v>
      </c>
      <c r="C3" s="56">
        <v>18811</v>
      </c>
      <c r="D3" s="56" t="s">
        <v>100</v>
      </c>
      <c r="E3" s="56">
        <v>125</v>
      </c>
      <c r="F3" s="56">
        <v>3</v>
      </c>
      <c r="G3" s="56">
        <v>1</v>
      </c>
      <c r="H3" s="56" t="s">
        <v>101</v>
      </c>
      <c r="I3" s="56" t="s">
        <v>102</v>
      </c>
      <c r="J3" s="56" t="s">
        <v>104</v>
      </c>
      <c r="K3" s="57" t="s">
        <v>106</v>
      </c>
    </row>
    <row r="4" spans="1:11" ht="21" customHeight="1">
      <c r="A4" s="55"/>
      <c r="B4" s="56"/>
      <c r="C4" s="56"/>
      <c r="D4" s="56"/>
      <c r="E4" s="56"/>
      <c r="F4" s="56"/>
      <c r="G4" s="56"/>
      <c r="H4" s="56"/>
      <c r="I4" s="56"/>
      <c r="J4" s="56"/>
      <c r="K4" s="57"/>
    </row>
    <row r="5" spans="1:11" ht="21" customHeight="1">
      <c r="A5" s="55"/>
      <c r="B5" s="56"/>
      <c r="C5" s="56"/>
      <c r="D5" s="56"/>
      <c r="E5" s="56"/>
      <c r="F5" s="56"/>
      <c r="G5" s="56"/>
      <c r="H5" s="56"/>
      <c r="I5" s="56"/>
      <c r="J5" s="56"/>
      <c r="K5" s="57"/>
    </row>
    <row r="6" spans="1:11" ht="21" customHeight="1">
      <c r="A6" s="55"/>
      <c r="B6" s="56"/>
      <c r="C6" s="56"/>
      <c r="D6" s="56"/>
      <c r="E6" s="56"/>
      <c r="F6" s="56"/>
      <c r="G6" s="56"/>
      <c r="H6" s="56"/>
      <c r="I6" s="56"/>
      <c r="J6" s="56"/>
      <c r="K6" s="57"/>
    </row>
    <row r="7" spans="1:11" ht="21" customHeight="1">
      <c r="A7" s="55"/>
      <c r="B7" s="56"/>
      <c r="C7" s="56"/>
      <c r="D7" s="56"/>
      <c r="E7" s="56"/>
      <c r="F7" s="56"/>
      <c r="G7" s="56"/>
      <c r="H7" s="56"/>
      <c r="I7" s="56"/>
      <c r="J7" s="56"/>
      <c r="K7" s="57"/>
    </row>
    <row r="8" spans="1:11" ht="21" customHeight="1">
      <c r="A8" s="55"/>
      <c r="B8" s="56"/>
      <c r="C8" s="56"/>
      <c r="D8" s="56"/>
      <c r="E8" s="56"/>
      <c r="F8" s="56"/>
      <c r="G8" s="56"/>
      <c r="H8" s="56"/>
      <c r="I8" s="56"/>
      <c r="J8" s="56"/>
      <c r="K8" s="57"/>
    </row>
    <row r="9" spans="1:11" ht="21" customHeight="1">
      <c r="A9" s="55"/>
      <c r="B9" s="56"/>
      <c r="C9" s="56"/>
      <c r="D9" s="56"/>
      <c r="E9" s="56"/>
      <c r="F9" s="56"/>
      <c r="G9" s="56"/>
      <c r="H9" s="56"/>
      <c r="I9" s="56"/>
      <c r="J9" s="56"/>
      <c r="K9" s="57"/>
    </row>
    <row r="10" spans="1:11" ht="21" customHeight="1">
      <c r="A10" s="55"/>
      <c r="B10" s="56"/>
      <c r="C10" s="56"/>
      <c r="D10" s="56"/>
      <c r="E10" s="56"/>
      <c r="F10" s="56"/>
      <c r="G10" s="56"/>
      <c r="H10" s="56"/>
      <c r="I10" s="56"/>
      <c r="J10" s="56"/>
      <c r="K10" s="57"/>
    </row>
    <row r="11" spans="1:11" ht="21" customHeight="1">
      <c r="A11" s="55"/>
      <c r="B11" s="56"/>
      <c r="C11" s="56"/>
      <c r="D11" s="56"/>
      <c r="E11" s="56"/>
      <c r="F11" s="56"/>
      <c r="G11" s="56"/>
      <c r="H11" s="56"/>
      <c r="I11" s="56"/>
      <c r="J11" s="56"/>
      <c r="K11" s="57"/>
    </row>
    <row r="12" spans="1:11" ht="21" customHeight="1">
      <c r="A12" s="55"/>
      <c r="B12" s="56"/>
      <c r="C12" s="56"/>
      <c r="D12" s="56"/>
      <c r="E12" s="56"/>
      <c r="F12" s="56"/>
      <c r="G12" s="56"/>
      <c r="H12" s="56"/>
      <c r="I12" s="56"/>
      <c r="J12" s="56"/>
      <c r="K12" s="57"/>
    </row>
    <row r="13" spans="1:11" ht="21" customHeight="1">
      <c r="A13" s="55"/>
      <c r="B13" s="56"/>
      <c r="C13" s="56"/>
      <c r="D13" s="56"/>
      <c r="E13" s="56"/>
      <c r="F13" s="56"/>
      <c r="G13" s="56"/>
      <c r="H13" s="56"/>
      <c r="I13" s="56"/>
      <c r="J13" s="56"/>
      <c r="K13" s="57"/>
    </row>
    <row r="14" spans="1:11" ht="21" customHeight="1">
      <c r="A14" s="55"/>
      <c r="B14" s="56"/>
      <c r="C14" s="56"/>
      <c r="D14" s="56"/>
      <c r="E14" s="56"/>
      <c r="F14" s="56"/>
      <c r="G14" s="56"/>
      <c r="H14" s="56"/>
      <c r="I14" s="56"/>
      <c r="J14" s="56"/>
      <c r="K14" s="57"/>
    </row>
    <row r="15" spans="1:11" ht="21" customHeight="1">
      <c r="A15" s="55"/>
      <c r="B15" s="56"/>
      <c r="C15" s="56"/>
      <c r="D15" s="56"/>
      <c r="E15" s="56"/>
      <c r="F15" s="56"/>
      <c r="G15" s="56"/>
      <c r="H15" s="56"/>
      <c r="I15" s="56"/>
      <c r="J15" s="56"/>
      <c r="K15" s="57"/>
    </row>
    <row r="16" spans="1:11" ht="21" customHeight="1">
      <c r="A16" s="55"/>
      <c r="B16" s="56"/>
      <c r="C16" s="56"/>
      <c r="D16" s="56"/>
      <c r="E16" s="56"/>
      <c r="F16" s="56"/>
      <c r="G16" s="56"/>
      <c r="H16" s="56"/>
      <c r="I16" s="56"/>
      <c r="J16" s="56"/>
      <c r="K16" s="57"/>
    </row>
    <row r="17" spans="1:11" ht="21" customHeight="1">
      <c r="A17" s="55"/>
      <c r="B17" s="56"/>
      <c r="C17" s="56"/>
      <c r="D17" s="56"/>
      <c r="E17" s="56"/>
      <c r="F17" s="56"/>
      <c r="G17" s="56"/>
      <c r="H17" s="56"/>
      <c r="I17" s="56"/>
      <c r="J17" s="56"/>
      <c r="K17" s="57"/>
    </row>
    <row r="18" spans="1:11" ht="21" customHeight="1">
      <c r="A18" s="55"/>
      <c r="B18" s="56"/>
      <c r="C18" s="56"/>
      <c r="D18" s="56"/>
      <c r="E18" s="56"/>
      <c r="F18" s="56"/>
      <c r="G18" s="56"/>
      <c r="H18" s="56"/>
      <c r="I18" s="56"/>
      <c r="J18" s="56"/>
      <c r="K18" s="57"/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2"/>
  <sheetViews>
    <sheetView workbookViewId="0">
      <pane ySplit="1" topLeftCell="A2" activePane="bottomLeft" state="frozen"/>
      <selection pane="bottomLeft" activeCell="E11" sqref="E11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49" t="s">
        <v>80</v>
      </c>
      <c r="C1" s="39" t="s">
        <v>82</v>
      </c>
      <c r="D1" s="40" t="s">
        <v>13</v>
      </c>
      <c r="E1" s="40" t="s">
        <v>14</v>
      </c>
      <c r="F1" s="40" t="s">
        <v>15</v>
      </c>
      <c r="G1" s="40" t="s">
        <v>16</v>
      </c>
      <c r="H1" s="40" t="s">
        <v>17</v>
      </c>
    </row>
    <row r="2" spans="1:8">
      <c r="A2" s="6">
        <v>539</v>
      </c>
      <c r="B2" s="8" t="str">
        <f>IFERROR(VLOOKUP(A2,[1]characters!$A:$C,3,FALSE),"")</f>
        <v>初音ミク・アペンド</v>
      </c>
      <c r="C2" s="5">
        <v>60</v>
      </c>
      <c r="D2" s="5">
        <v>0</v>
      </c>
      <c r="E2" s="5">
        <v>0</v>
      </c>
      <c r="F2" s="5">
        <v>0</v>
      </c>
      <c r="G2" s="5">
        <v>0</v>
      </c>
      <c r="H2" s="16">
        <v>5</v>
      </c>
    </row>
    <row r="3" spans="1:8">
      <c r="A3" s="6">
        <v>540</v>
      </c>
      <c r="B3" s="8" t="str">
        <f>IFERROR(VLOOKUP(A3,[1]characters!$A:$C,3,FALSE),"")</f>
        <v>来訪の歌姫 初音ミク・アペンド</v>
      </c>
      <c r="C3" s="5">
        <v>80</v>
      </c>
      <c r="D3" s="5">
        <v>0</v>
      </c>
      <c r="E3" s="5">
        <v>0</v>
      </c>
      <c r="F3" s="5">
        <v>0</v>
      </c>
      <c r="G3" s="5">
        <v>0</v>
      </c>
      <c r="H3" s="16">
        <v>5</v>
      </c>
    </row>
    <row r="4" spans="1:8">
      <c r="A4" s="6">
        <v>545</v>
      </c>
      <c r="B4" s="8" t="str">
        <f>IFERROR(VLOOKUP(A4,[1]characters!$A:$C,3,FALSE),"")</f>
        <v>鏡音レン</v>
      </c>
      <c r="C4" s="5">
        <v>60</v>
      </c>
      <c r="D4" s="5">
        <v>0</v>
      </c>
      <c r="E4" s="5">
        <v>0</v>
      </c>
      <c r="F4" s="5">
        <v>0</v>
      </c>
      <c r="G4" s="5">
        <v>0</v>
      </c>
      <c r="H4" s="16">
        <v>5</v>
      </c>
    </row>
    <row r="5" spans="1:8">
      <c r="A5" s="6">
        <v>546</v>
      </c>
      <c r="B5" s="8" t="str">
        <f>IFERROR(VLOOKUP(A5,[1]characters!$A:$C,3,FALSE),"")</f>
        <v>残響の連符 鏡音レン</v>
      </c>
      <c r="C5" s="5">
        <v>80</v>
      </c>
      <c r="D5" s="5">
        <v>0</v>
      </c>
      <c r="E5" s="5">
        <v>0</v>
      </c>
      <c r="F5" s="5">
        <v>0</v>
      </c>
      <c r="G5" s="5">
        <v>0</v>
      </c>
      <c r="H5" s="16">
        <v>5</v>
      </c>
    </row>
    <row r="6" spans="1:8">
      <c r="A6" s="6">
        <v>547</v>
      </c>
      <c r="B6" s="8" t="str">
        <f>IFERROR(VLOOKUP(A6,[1]characters!$A:$C,3,FALSE),"")</f>
        <v>巡音ルカ</v>
      </c>
      <c r="C6" s="5">
        <v>40</v>
      </c>
      <c r="D6" s="5">
        <v>0</v>
      </c>
      <c r="E6" s="5">
        <v>0</v>
      </c>
      <c r="F6" s="5">
        <v>0</v>
      </c>
      <c r="G6" s="5">
        <v>0</v>
      </c>
      <c r="H6" s="16">
        <v>5</v>
      </c>
    </row>
    <row r="7" spans="1:8">
      <c r="A7" s="6">
        <v>548</v>
      </c>
      <c r="B7" s="8" t="str">
        <f>IFERROR(VLOOKUP(A7,[1]characters!$A:$C,3,FALSE),"")</f>
        <v>乱舞の音環 巡音ルカ</v>
      </c>
      <c r="C7" s="5">
        <v>60</v>
      </c>
      <c r="D7" s="5">
        <v>0</v>
      </c>
      <c r="E7" s="5">
        <v>0</v>
      </c>
      <c r="F7" s="5">
        <v>0</v>
      </c>
      <c r="G7" s="5">
        <v>0</v>
      </c>
      <c r="H7" s="16">
        <v>5</v>
      </c>
    </row>
    <row r="8" spans="1:8">
      <c r="A8" s="6">
        <v>551</v>
      </c>
      <c r="B8" s="8" t="str">
        <f>IFERROR(VLOOKUP(A8,[1]characters!$A:$C,3,FALSE),"")</f>
        <v>KAITO</v>
      </c>
      <c r="C8" s="5">
        <v>40</v>
      </c>
      <c r="D8" s="5">
        <v>0</v>
      </c>
      <c r="E8" s="5">
        <v>0</v>
      </c>
      <c r="F8" s="5">
        <v>0</v>
      </c>
      <c r="G8" s="5">
        <v>0</v>
      </c>
      <c r="H8" s="16">
        <v>5</v>
      </c>
    </row>
    <row r="9" spans="1:8">
      <c r="A9" s="6">
        <v>552</v>
      </c>
      <c r="B9" s="8" t="str">
        <f>IFERROR(VLOOKUP(A9,[1]characters!$A:$C,3,FALSE),"")</f>
        <v>愉悦の愛唱 KAITO</v>
      </c>
      <c r="C9" s="5">
        <v>60</v>
      </c>
      <c r="D9" s="5">
        <v>0</v>
      </c>
      <c r="E9" s="5">
        <v>0</v>
      </c>
      <c r="F9" s="5">
        <v>0</v>
      </c>
      <c r="G9" s="5">
        <v>0</v>
      </c>
      <c r="H9" s="16">
        <v>5</v>
      </c>
    </row>
    <row r="10" spans="1:8">
      <c r="A10" s="6"/>
      <c r="B10" s="8"/>
      <c r="C10" s="5"/>
      <c r="D10" s="5"/>
      <c r="E10" s="5"/>
      <c r="F10" s="5"/>
      <c r="G10" s="5"/>
      <c r="H10" s="16"/>
    </row>
    <row r="11" spans="1:8">
      <c r="A11" s="6"/>
      <c r="B11" s="8"/>
      <c r="C11" s="5"/>
      <c r="D11" s="5"/>
      <c r="E11" s="5"/>
      <c r="F11" s="5"/>
      <c r="G11" s="5"/>
      <c r="H11" s="16"/>
    </row>
    <row r="12" spans="1:8">
      <c r="A12" s="16" t="s">
        <v>86</v>
      </c>
      <c r="B12" s="8" t="str">
        <f>IFERROR(VLOOKUP(A12,[1]characters!$A:$C,3,FALSE),"")</f>
        <v/>
      </c>
      <c r="C12" s="5">
        <v>1</v>
      </c>
      <c r="D12" s="5">
        <v>0</v>
      </c>
      <c r="E12" s="5">
        <v>0</v>
      </c>
      <c r="F12" s="5">
        <v>0</v>
      </c>
      <c r="G12" s="5">
        <v>0</v>
      </c>
      <c r="H12" s="16">
        <v>1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24"/>
  <sheetViews>
    <sheetView workbookViewId="0">
      <selection activeCell="D17" sqref="D17"/>
    </sheetView>
  </sheetViews>
  <sheetFormatPr baseColWidth="12" defaultRowHeight="14" x14ac:dyDescent="0"/>
  <cols>
    <col min="1" max="3" width="12.83203125" customWidth="1"/>
  </cols>
  <sheetData>
    <row r="2" spans="1:8">
      <c r="A2" t="s">
        <v>85</v>
      </c>
    </row>
    <row r="3" spans="1:8">
      <c r="A3" s="41">
        <v>188</v>
      </c>
    </row>
    <row r="5" spans="1:8">
      <c r="A5" s="42" t="s">
        <v>88</v>
      </c>
      <c r="B5" s="43" t="str">
        <f>$A$3 &amp; "1"</f>
        <v>1881</v>
      </c>
      <c r="D5" s="42" t="s">
        <v>95</v>
      </c>
      <c r="E5" s="43" t="str">
        <f>$A$3 &amp; "2"</f>
        <v>1882</v>
      </c>
      <c r="G5" s="42" t="s">
        <v>84</v>
      </c>
      <c r="H5" s="43" t="str">
        <f>$A$3 &amp; "3"</f>
        <v>1883</v>
      </c>
    </row>
    <row r="6" spans="1:8">
      <c r="A6" s="44" t="s">
        <v>83</v>
      </c>
      <c r="B6" s="45"/>
      <c r="D6" s="44" t="s">
        <v>83</v>
      </c>
      <c r="E6" s="45"/>
      <c r="G6" s="44" t="s">
        <v>83</v>
      </c>
      <c r="H6" s="45"/>
    </row>
    <row r="7" spans="1:8">
      <c r="A7" s="47">
        <f>COUNTIFS(gacha_select_tables!$H:$H,"PremiumSSS",gacha_select_tables!$B:$B,B5)</f>
        <v>0</v>
      </c>
      <c r="B7" s="45"/>
      <c r="D7" s="47">
        <f>COUNTIFS(gacha_select_tables!$H:$H,"PremiumSSS",gacha_select_tables!$B:$B,E5)</f>
        <v>0</v>
      </c>
      <c r="E7" s="45"/>
      <c r="G7" s="47">
        <f>COUNTIF(gacha_settle_tables!G:G,"PremiumSSS")</f>
        <v>0</v>
      </c>
      <c r="H7" s="45"/>
    </row>
    <row r="8" spans="1:8">
      <c r="A8" s="44"/>
      <c r="B8" s="45"/>
      <c r="D8" s="44"/>
      <c r="E8" s="45"/>
      <c r="G8" s="44"/>
      <c r="H8" s="45"/>
    </row>
    <row r="9" spans="1:8">
      <c r="A9" s="44" t="s">
        <v>81</v>
      </c>
      <c r="B9" s="45"/>
      <c r="D9" s="44" t="s">
        <v>81</v>
      </c>
      <c r="E9" s="45"/>
      <c r="G9" s="44" t="s">
        <v>81</v>
      </c>
      <c r="H9" s="45"/>
    </row>
    <row r="10" spans="1:8">
      <c r="A10" s="47">
        <f>COUNTIFS(gacha_select_tables!$S:$S,"&gt;1",gacha_select_tables!$B:$B,B5)</f>
        <v>0</v>
      </c>
      <c r="B10" s="45"/>
      <c r="D10" s="47">
        <f>COUNTIFS(gacha_select_tables!$S:$S,"&gt;1", gacha_select_tables!$B:$B,E5)</f>
        <v>0</v>
      </c>
      <c r="E10" s="45"/>
      <c r="G10" s="47">
        <f>COUNTIF(gacha_settle_tables!$R:$R,"&gt;1")</f>
        <v>0</v>
      </c>
      <c r="H10" s="45"/>
    </row>
    <row r="11" spans="1:8">
      <c r="A11" s="44"/>
      <c r="B11" s="45"/>
      <c r="D11" s="44"/>
      <c r="E11" s="45"/>
      <c r="G11" s="44"/>
      <c r="H11" s="45"/>
    </row>
    <row r="12" spans="1:8">
      <c r="A12" s="44" t="s">
        <v>87</v>
      </c>
      <c r="B12" s="45"/>
      <c r="D12" s="44" t="s">
        <v>87</v>
      </c>
      <c r="E12" s="45"/>
      <c r="G12" s="44" t="s">
        <v>87</v>
      </c>
      <c r="H12" s="45"/>
    </row>
    <row r="13" spans="1:8">
      <c r="A13" s="48">
        <f>COUNTIFS(gacha_select_tables!$N:$N,"&gt;1",gacha_select_tables!$B:$B,B$5)</f>
        <v>0</v>
      </c>
      <c r="B13" s="46"/>
      <c r="D13" s="48">
        <f>COUNTIFS(gacha_select_tables!$N:$N,"&gt;1", gacha_select_tables!$B:$B,E$5)</f>
        <v>0</v>
      </c>
      <c r="E13" s="46"/>
      <c r="G13" s="48">
        <f>COUNTIF(gacha_settle_tables!$M:$M,"&gt;1")</f>
        <v>0</v>
      </c>
      <c r="H13" s="46"/>
    </row>
    <row r="16" spans="1:8">
      <c r="A16" s="42" t="s">
        <v>96</v>
      </c>
      <c r="B16" s="43" t="str">
        <f>$A$3 &amp; "3"</f>
        <v>1883</v>
      </c>
      <c r="D16" s="42" t="s">
        <v>97</v>
      </c>
      <c r="E16" s="43" t="str">
        <f>$A$3 &amp; "0"</f>
        <v>1880</v>
      </c>
    </row>
    <row r="17" spans="1:5">
      <c r="A17" s="44" t="s">
        <v>83</v>
      </c>
      <c r="B17" s="45"/>
      <c r="D17" s="44" t="s">
        <v>83</v>
      </c>
      <c r="E17" s="45"/>
    </row>
    <row r="18" spans="1:5">
      <c r="A18" s="47">
        <f>COUNTIFS(gacha_select_tables!$H:$H,"PremiumSSS",gacha_select_tables!$B:$B,B16)</f>
        <v>0</v>
      </c>
      <c r="B18" s="45"/>
      <c r="D18" s="47">
        <f>COUNTIFS(gacha_select_tables!$H:$H,"PremiumSSS",gacha_select_tables!$B:$B,E16)</f>
        <v>0</v>
      </c>
      <c r="E18" s="45"/>
    </row>
    <row r="19" spans="1:5">
      <c r="A19" s="44"/>
      <c r="B19" s="45"/>
      <c r="D19" s="44"/>
      <c r="E19" s="45"/>
    </row>
    <row r="20" spans="1:5">
      <c r="A20" s="44" t="s">
        <v>81</v>
      </c>
      <c r="B20" s="45"/>
      <c r="D20" s="44" t="s">
        <v>81</v>
      </c>
      <c r="E20" s="45"/>
    </row>
    <row r="21" spans="1:5">
      <c r="A21" s="47">
        <f>COUNTIFS(gacha_select_tables!$S:$S,"&gt;1",gacha_select_tables!$B:$B,B16)</f>
        <v>0</v>
      </c>
      <c r="B21" s="45"/>
      <c r="D21" s="47">
        <f>COUNTIFS(gacha_select_tables!$S:$S,"&gt;1", gacha_select_tables!$B:$B,E16)</f>
        <v>0</v>
      </c>
      <c r="E21" s="45"/>
    </row>
    <row r="22" spans="1:5">
      <c r="A22" s="44"/>
      <c r="B22" s="45"/>
      <c r="D22" s="44"/>
      <c r="E22" s="45"/>
    </row>
    <row r="23" spans="1:5">
      <c r="A23" s="44" t="s">
        <v>87</v>
      </c>
      <c r="B23" s="45"/>
      <c r="D23" s="44" t="s">
        <v>87</v>
      </c>
      <c r="E23" s="45"/>
    </row>
    <row r="24" spans="1:5">
      <c r="A24" s="48">
        <f>COUNTIFS(gacha_select_tables!$N:$N,"&gt;1",gacha_select_tables!$B:$B,B$16)</f>
        <v>0</v>
      </c>
      <c r="B24" s="46"/>
      <c r="D24" s="48">
        <f>COUNTIFS(gacha_select_tables!$N:$N,"&gt;1", gacha_select_tables!$B:$B,E$16)</f>
        <v>0</v>
      </c>
      <c r="E24" s="46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gacha_188_base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2016-02-16T10:42:11Z</dcterms:modified>
</cp:coreProperties>
</file>