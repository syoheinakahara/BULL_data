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2460" yWindow="1580" windowWidth="25360" windowHeight="15820" tabRatio="943" activeTab="2"/>
  </bookViews>
  <sheets>
    <sheet name="gacha_unit_tables_115" sheetId="83" r:id="rId1"/>
    <sheet name="gacha_unit_tables_116" sheetId="84" r:id="rId2"/>
    <sheet name="gacha_unit_tables_117" sheetId="85" r:id="rId3"/>
    <sheet name="gacha_unit_tables_115.tmp" sheetId="89" r:id="rId4"/>
    <sheet name="gacha_unit_tables_116.tmp" sheetId="88" r:id="rId5"/>
    <sheet name="gacha_unit_tables_117.tmp" sheetId="90" r:id="rId6"/>
    <sheet name="gacha_115_base" sheetId="91" r:id="rId7"/>
  </sheets>
  <externalReferences>
    <externalReference r:id="rId8"/>
  </externalReferences>
  <definedNames>
    <definedName name="_xlnm._FilterDatabase" localSheetId="6" hidden="1">gacha_115_base!$A$1:$B$69</definedName>
    <definedName name="_xlnm._FilterDatabase" localSheetId="0" hidden="1">gacha_unit_tables_115!$B$1:$M$255</definedName>
    <definedName name="_xlnm._FilterDatabase" localSheetId="1" hidden="1">gacha_unit_tables_116!$B$1:$M$245</definedName>
    <definedName name="_xlnm._FilterDatabase" localSheetId="2" hidden="1">gacha_unit_tables_117!$B$1:$M$245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55" i="85" l="1"/>
  <c r="H255" i="85"/>
  <c r="I255" i="85"/>
  <c r="C255" i="85"/>
  <c r="M255" i="85"/>
  <c r="K255" i="85"/>
  <c r="J255" i="85"/>
  <c r="F255" i="85"/>
  <c r="B255" i="85"/>
  <c r="A255" i="85"/>
  <c r="G254" i="85"/>
  <c r="H254" i="85"/>
  <c r="I254" i="85"/>
  <c r="C254" i="85"/>
  <c r="M254" i="85"/>
  <c r="K254" i="85"/>
  <c r="J254" i="85"/>
  <c r="F254" i="85"/>
  <c r="B254" i="85"/>
  <c r="A254" i="85"/>
  <c r="G253" i="85"/>
  <c r="H253" i="85"/>
  <c r="I253" i="85"/>
  <c r="C253" i="85"/>
  <c r="M253" i="85"/>
  <c r="K253" i="85"/>
  <c r="J253" i="85"/>
  <c r="F253" i="85"/>
  <c r="B253" i="85"/>
  <c r="A253" i="85"/>
  <c r="G252" i="85"/>
  <c r="H252" i="85"/>
  <c r="I252" i="85"/>
  <c r="C252" i="85"/>
  <c r="M252" i="85"/>
  <c r="K252" i="85"/>
  <c r="J252" i="85"/>
  <c r="F252" i="85"/>
  <c r="B252" i="85"/>
  <c r="A252" i="85"/>
  <c r="G251" i="85"/>
  <c r="H251" i="85"/>
  <c r="I251" i="85"/>
  <c r="C251" i="85"/>
  <c r="M251" i="85"/>
  <c r="K251" i="85"/>
  <c r="J251" i="85"/>
  <c r="F251" i="85"/>
  <c r="B251" i="85"/>
  <c r="A251" i="85"/>
  <c r="G250" i="85"/>
  <c r="H250" i="85"/>
  <c r="I250" i="85"/>
  <c r="C250" i="85"/>
  <c r="M250" i="85"/>
  <c r="K250" i="85"/>
  <c r="J250" i="85"/>
  <c r="F250" i="85"/>
  <c r="B250" i="85"/>
  <c r="A250" i="85"/>
  <c r="G249" i="85"/>
  <c r="H249" i="85"/>
  <c r="I249" i="85"/>
  <c r="C249" i="85"/>
  <c r="M249" i="85"/>
  <c r="K249" i="85"/>
  <c r="J249" i="85"/>
  <c r="F249" i="85"/>
  <c r="B249" i="85"/>
  <c r="A249" i="85"/>
  <c r="G248" i="85"/>
  <c r="H248" i="85"/>
  <c r="I248" i="85"/>
  <c r="C248" i="85"/>
  <c r="M248" i="85"/>
  <c r="K248" i="85"/>
  <c r="J248" i="85"/>
  <c r="F248" i="85"/>
  <c r="B248" i="85"/>
  <c r="A248" i="85"/>
  <c r="G247" i="85"/>
  <c r="H247" i="85"/>
  <c r="I247" i="85"/>
  <c r="C247" i="85"/>
  <c r="M247" i="85"/>
  <c r="K247" i="85"/>
  <c r="J247" i="85"/>
  <c r="F247" i="85"/>
  <c r="B247" i="85"/>
  <c r="A247" i="85"/>
  <c r="G246" i="85"/>
  <c r="H246" i="85"/>
  <c r="I246" i="85"/>
  <c r="C246" i="85"/>
  <c r="M246" i="85"/>
  <c r="K246" i="85"/>
  <c r="J246" i="85"/>
  <c r="F246" i="85"/>
  <c r="B246" i="85"/>
  <c r="A246" i="85"/>
  <c r="G245" i="85"/>
  <c r="H245" i="85"/>
  <c r="I245" i="85"/>
  <c r="C245" i="85"/>
  <c r="M245" i="85"/>
  <c r="K245" i="85"/>
  <c r="J245" i="85"/>
  <c r="F245" i="85"/>
  <c r="B245" i="85"/>
  <c r="A245" i="85"/>
  <c r="G244" i="85"/>
  <c r="H244" i="85"/>
  <c r="I244" i="85"/>
  <c r="C244" i="85"/>
  <c r="M244" i="85"/>
  <c r="K244" i="85"/>
  <c r="J244" i="85"/>
  <c r="F244" i="85"/>
  <c r="B244" i="85"/>
  <c r="A244" i="85"/>
  <c r="G243" i="85"/>
  <c r="H243" i="85"/>
  <c r="I243" i="85"/>
  <c r="C243" i="85"/>
  <c r="M243" i="85"/>
  <c r="K243" i="85"/>
  <c r="J243" i="85"/>
  <c r="F243" i="85"/>
  <c r="B243" i="85"/>
  <c r="A243" i="85"/>
  <c r="G242" i="85"/>
  <c r="H242" i="85"/>
  <c r="I242" i="85"/>
  <c r="C242" i="85"/>
  <c r="M242" i="85"/>
  <c r="K242" i="85"/>
  <c r="J242" i="85"/>
  <c r="F242" i="85"/>
  <c r="B242" i="85"/>
  <c r="A242" i="85"/>
  <c r="G241" i="85"/>
  <c r="H241" i="85"/>
  <c r="I241" i="85"/>
  <c r="C241" i="85"/>
  <c r="M241" i="85"/>
  <c r="K241" i="85"/>
  <c r="J241" i="85"/>
  <c r="F241" i="85"/>
  <c r="B241" i="85"/>
  <c r="A241" i="85"/>
  <c r="G240" i="85"/>
  <c r="H240" i="85"/>
  <c r="I240" i="85"/>
  <c r="C240" i="85"/>
  <c r="M240" i="85"/>
  <c r="K240" i="85"/>
  <c r="J240" i="85"/>
  <c r="F240" i="85"/>
  <c r="B240" i="85"/>
  <c r="A240" i="85"/>
  <c r="G239" i="85"/>
  <c r="H239" i="85"/>
  <c r="I239" i="85"/>
  <c r="C239" i="85"/>
  <c r="M239" i="85"/>
  <c r="K239" i="85"/>
  <c r="J239" i="85"/>
  <c r="F239" i="85"/>
  <c r="B239" i="85"/>
  <c r="A239" i="85"/>
  <c r="G238" i="85"/>
  <c r="H238" i="85"/>
  <c r="I238" i="85"/>
  <c r="C238" i="85"/>
  <c r="M238" i="85"/>
  <c r="K238" i="85"/>
  <c r="J238" i="85"/>
  <c r="F238" i="85"/>
  <c r="B238" i="85"/>
  <c r="A238" i="85"/>
  <c r="G237" i="85"/>
  <c r="H237" i="85"/>
  <c r="I237" i="85"/>
  <c r="C237" i="85"/>
  <c r="M237" i="85"/>
  <c r="K237" i="85"/>
  <c r="J237" i="85"/>
  <c r="F237" i="85"/>
  <c r="B237" i="85"/>
  <c r="A237" i="85"/>
  <c r="G236" i="85"/>
  <c r="H236" i="85"/>
  <c r="I236" i="85"/>
  <c r="C236" i="85"/>
  <c r="M236" i="85"/>
  <c r="K236" i="85"/>
  <c r="J236" i="85"/>
  <c r="F236" i="85"/>
  <c r="B236" i="85"/>
  <c r="A236" i="85"/>
  <c r="G235" i="85"/>
  <c r="H235" i="85"/>
  <c r="I235" i="85"/>
  <c r="C235" i="85"/>
  <c r="M235" i="85"/>
  <c r="K235" i="85"/>
  <c r="J235" i="85"/>
  <c r="F235" i="85"/>
  <c r="B235" i="85"/>
  <c r="A235" i="85"/>
  <c r="G234" i="85"/>
  <c r="H234" i="85"/>
  <c r="I234" i="85"/>
  <c r="C234" i="85"/>
  <c r="M234" i="85"/>
  <c r="K234" i="85"/>
  <c r="J234" i="85"/>
  <c r="F234" i="85"/>
  <c r="B234" i="85"/>
  <c r="A234" i="85"/>
  <c r="G233" i="85"/>
  <c r="H233" i="85"/>
  <c r="I233" i="85"/>
  <c r="C233" i="85"/>
  <c r="M233" i="85"/>
  <c r="K233" i="85"/>
  <c r="J233" i="85"/>
  <c r="F233" i="85"/>
  <c r="B233" i="85"/>
  <c r="A233" i="85"/>
  <c r="G232" i="85"/>
  <c r="H232" i="85"/>
  <c r="I232" i="85"/>
  <c r="C232" i="85"/>
  <c r="M232" i="85"/>
  <c r="K232" i="85"/>
  <c r="J232" i="85"/>
  <c r="F232" i="85"/>
  <c r="B232" i="85"/>
  <c r="A232" i="85"/>
  <c r="G231" i="85"/>
  <c r="H231" i="85"/>
  <c r="I231" i="85"/>
  <c r="C231" i="85"/>
  <c r="M231" i="85"/>
  <c r="K231" i="85"/>
  <c r="J231" i="85"/>
  <c r="F231" i="85"/>
  <c r="B231" i="85"/>
  <c r="A231" i="85"/>
  <c r="G230" i="85"/>
  <c r="H230" i="85"/>
  <c r="I230" i="85"/>
  <c r="C230" i="85"/>
  <c r="M230" i="85"/>
  <c r="K230" i="85"/>
  <c r="J230" i="85"/>
  <c r="F230" i="85"/>
  <c r="B230" i="85"/>
  <c r="A230" i="85"/>
  <c r="G229" i="85"/>
  <c r="H229" i="85"/>
  <c r="I229" i="85"/>
  <c r="C229" i="85"/>
  <c r="M229" i="85"/>
  <c r="K229" i="85"/>
  <c r="J229" i="85"/>
  <c r="F229" i="85"/>
  <c r="B229" i="85"/>
  <c r="A229" i="85"/>
  <c r="G228" i="85"/>
  <c r="H228" i="85"/>
  <c r="I228" i="85"/>
  <c r="C228" i="85"/>
  <c r="M228" i="85"/>
  <c r="K228" i="85"/>
  <c r="J228" i="85"/>
  <c r="F228" i="85"/>
  <c r="B228" i="85"/>
  <c r="A228" i="85"/>
  <c r="G227" i="85"/>
  <c r="H227" i="85"/>
  <c r="I227" i="85"/>
  <c r="C227" i="85"/>
  <c r="M227" i="85"/>
  <c r="K227" i="85"/>
  <c r="J227" i="85"/>
  <c r="F227" i="85"/>
  <c r="B227" i="85"/>
  <c r="A227" i="85"/>
  <c r="G226" i="85"/>
  <c r="H226" i="85"/>
  <c r="I226" i="85"/>
  <c r="C226" i="85"/>
  <c r="M226" i="85"/>
  <c r="K226" i="85"/>
  <c r="J226" i="85"/>
  <c r="F226" i="85"/>
  <c r="B226" i="85"/>
  <c r="A226" i="85"/>
  <c r="G225" i="85"/>
  <c r="H225" i="85"/>
  <c r="I225" i="85"/>
  <c r="C225" i="85"/>
  <c r="M225" i="85"/>
  <c r="K225" i="85"/>
  <c r="J225" i="85"/>
  <c r="F225" i="85"/>
  <c r="B225" i="85"/>
  <c r="A225" i="85"/>
  <c r="G224" i="85"/>
  <c r="H224" i="85"/>
  <c r="I224" i="85"/>
  <c r="C224" i="85"/>
  <c r="M224" i="85"/>
  <c r="K224" i="85"/>
  <c r="J224" i="85"/>
  <c r="F224" i="85"/>
  <c r="B224" i="85"/>
  <c r="A224" i="85"/>
  <c r="G223" i="85"/>
  <c r="H223" i="85"/>
  <c r="I223" i="85"/>
  <c r="C223" i="85"/>
  <c r="M223" i="85"/>
  <c r="K223" i="85"/>
  <c r="J223" i="85"/>
  <c r="F223" i="85"/>
  <c r="B223" i="85"/>
  <c r="A223" i="85"/>
  <c r="G222" i="85"/>
  <c r="H222" i="85"/>
  <c r="I222" i="85"/>
  <c r="C222" i="85"/>
  <c r="M222" i="85"/>
  <c r="K222" i="85"/>
  <c r="J222" i="85"/>
  <c r="F222" i="85"/>
  <c r="B222" i="85"/>
  <c r="A222" i="85"/>
  <c r="G221" i="85"/>
  <c r="H221" i="85"/>
  <c r="I221" i="85"/>
  <c r="C221" i="85"/>
  <c r="M221" i="85"/>
  <c r="K221" i="85"/>
  <c r="J221" i="85"/>
  <c r="F221" i="85"/>
  <c r="B221" i="85"/>
  <c r="A221" i="85"/>
  <c r="G220" i="85"/>
  <c r="H220" i="85"/>
  <c r="I220" i="85"/>
  <c r="C220" i="85"/>
  <c r="M220" i="85"/>
  <c r="K220" i="85"/>
  <c r="J220" i="85"/>
  <c r="F220" i="85"/>
  <c r="B220" i="85"/>
  <c r="A220" i="85"/>
  <c r="G219" i="85"/>
  <c r="H219" i="85"/>
  <c r="I219" i="85"/>
  <c r="C219" i="85"/>
  <c r="M219" i="85"/>
  <c r="K219" i="85"/>
  <c r="J219" i="85"/>
  <c r="F219" i="85"/>
  <c r="B219" i="85"/>
  <c r="A219" i="85"/>
  <c r="G218" i="85"/>
  <c r="H218" i="85"/>
  <c r="I218" i="85"/>
  <c r="C218" i="85"/>
  <c r="M218" i="85"/>
  <c r="K218" i="85"/>
  <c r="J218" i="85"/>
  <c r="F218" i="85"/>
  <c r="B218" i="85"/>
  <c r="A218" i="85"/>
  <c r="G217" i="85"/>
  <c r="H217" i="85"/>
  <c r="I217" i="85"/>
  <c r="C217" i="85"/>
  <c r="M217" i="85"/>
  <c r="K217" i="85"/>
  <c r="J217" i="85"/>
  <c r="F217" i="85"/>
  <c r="B217" i="85"/>
  <c r="A217" i="85"/>
  <c r="G216" i="85"/>
  <c r="H216" i="85"/>
  <c r="I216" i="85"/>
  <c r="C216" i="85"/>
  <c r="M216" i="85"/>
  <c r="K216" i="85"/>
  <c r="J216" i="85"/>
  <c r="F216" i="85"/>
  <c r="B216" i="85"/>
  <c r="A216" i="85"/>
  <c r="G215" i="85"/>
  <c r="H215" i="85"/>
  <c r="I215" i="85"/>
  <c r="C215" i="85"/>
  <c r="M215" i="85"/>
  <c r="K215" i="85"/>
  <c r="J215" i="85"/>
  <c r="F215" i="85"/>
  <c r="B215" i="85"/>
  <c r="A215" i="85"/>
  <c r="G214" i="85"/>
  <c r="H214" i="85"/>
  <c r="I214" i="85"/>
  <c r="C214" i="85"/>
  <c r="M214" i="85"/>
  <c r="K214" i="85"/>
  <c r="J214" i="85"/>
  <c r="F214" i="85"/>
  <c r="B214" i="85"/>
  <c r="A214" i="85"/>
  <c r="G213" i="85"/>
  <c r="H213" i="85"/>
  <c r="I213" i="85"/>
  <c r="C213" i="85"/>
  <c r="M213" i="85"/>
  <c r="K213" i="85"/>
  <c r="J213" i="85"/>
  <c r="F213" i="85"/>
  <c r="B213" i="85"/>
  <c r="A213" i="85"/>
  <c r="G212" i="85"/>
  <c r="H212" i="85"/>
  <c r="I212" i="85"/>
  <c r="C212" i="85"/>
  <c r="M212" i="85"/>
  <c r="K212" i="85"/>
  <c r="J212" i="85"/>
  <c r="F212" i="85"/>
  <c r="B212" i="85"/>
  <c r="A212" i="85"/>
  <c r="G211" i="85"/>
  <c r="H211" i="85"/>
  <c r="I211" i="85"/>
  <c r="C211" i="85"/>
  <c r="M211" i="85"/>
  <c r="K211" i="85"/>
  <c r="J211" i="85"/>
  <c r="F211" i="85"/>
  <c r="B211" i="85"/>
  <c r="A211" i="85"/>
  <c r="G210" i="85"/>
  <c r="H210" i="85"/>
  <c r="I210" i="85"/>
  <c r="C210" i="85"/>
  <c r="M210" i="85"/>
  <c r="K210" i="85"/>
  <c r="J210" i="85"/>
  <c r="F210" i="85"/>
  <c r="B210" i="85"/>
  <c r="A210" i="85"/>
  <c r="G209" i="85"/>
  <c r="H209" i="85"/>
  <c r="I209" i="85"/>
  <c r="C209" i="85"/>
  <c r="M209" i="85"/>
  <c r="K209" i="85"/>
  <c r="J209" i="85"/>
  <c r="F209" i="85"/>
  <c r="B209" i="85"/>
  <c r="A209" i="85"/>
  <c r="G208" i="85"/>
  <c r="H208" i="85"/>
  <c r="I208" i="85"/>
  <c r="C208" i="85"/>
  <c r="M208" i="85"/>
  <c r="K208" i="85"/>
  <c r="J208" i="85"/>
  <c r="F208" i="85"/>
  <c r="B208" i="85"/>
  <c r="A208" i="85"/>
  <c r="G207" i="85"/>
  <c r="H207" i="85"/>
  <c r="I207" i="85"/>
  <c r="C207" i="85"/>
  <c r="M207" i="85"/>
  <c r="K207" i="85"/>
  <c r="J207" i="85"/>
  <c r="F207" i="85"/>
  <c r="B207" i="85"/>
  <c r="A207" i="85"/>
  <c r="G206" i="85"/>
  <c r="H206" i="85"/>
  <c r="I206" i="85"/>
  <c r="C206" i="85"/>
  <c r="M206" i="85"/>
  <c r="K206" i="85"/>
  <c r="J206" i="85"/>
  <c r="F206" i="85"/>
  <c r="B206" i="85"/>
  <c r="A206" i="85"/>
  <c r="G205" i="85"/>
  <c r="H205" i="85"/>
  <c r="I205" i="85"/>
  <c r="C205" i="85"/>
  <c r="M205" i="85"/>
  <c r="K205" i="85"/>
  <c r="J205" i="85"/>
  <c r="F205" i="85"/>
  <c r="B205" i="85"/>
  <c r="A205" i="85"/>
  <c r="G204" i="85"/>
  <c r="H204" i="85"/>
  <c r="I204" i="85"/>
  <c r="C204" i="85"/>
  <c r="M204" i="85"/>
  <c r="K204" i="85"/>
  <c r="J204" i="85"/>
  <c r="F204" i="85"/>
  <c r="B204" i="85"/>
  <c r="A204" i="85"/>
  <c r="G203" i="85"/>
  <c r="H203" i="85"/>
  <c r="I203" i="85"/>
  <c r="C203" i="85"/>
  <c r="M203" i="85"/>
  <c r="K203" i="85"/>
  <c r="J203" i="85"/>
  <c r="F203" i="85"/>
  <c r="B203" i="85"/>
  <c r="A203" i="85"/>
  <c r="G202" i="85"/>
  <c r="H202" i="85"/>
  <c r="I202" i="85"/>
  <c r="C202" i="85"/>
  <c r="M202" i="85"/>
  <c r="K202" i="85"/>
  <c r="J202" i="85"/>
  <c r="F202" i="85"/>
  <c r="B202" i="85"/>
  <c r="A202" i="85"/>
  <c r="G201" i="85"/>
  <c r="H201" i="85"/>
  <c r="I201" i="85"/>
  <c r="C201" i="85"/>
  <c r="M201" i="85"/>
  <c r="K201" i="85"/>
  <c r="J201" i="85"/>
  <c r="F201" i="85"/>
  <c r="B201" i="85"/>
  <c r="A201" i="85"/>
  <c r="G200" i="85"/>
  <c r="H200" i="85"/>
  <c r="I200" i="85"/>
  <c r="C200" i="85"/>
  <c r="M200" i="85"/>
  <c r="K200" i="85"/>
  <c r="J200" i="85"/>
  <c r="F200" i="85"/>
  <c r="B200" i="85"/>
  <c r="A200" i="85"/>
  <c r="G199" i="85"/>
  <c r="H199" i="85"/>
  <c r="I199" i="85"/>
  <c r="C199" i="85"/>
  <c r="M199" i="85"/>
  <c r="K199" i="85"/>
  <c r="J199" i="85"/>
  <c r="F199" i="85"/>
  <c r="B199" i="85"/>
  <c r="A199" i="85"/>
  <c r="G198" i="85"/>
  <c r="H198" i="85"/>
  <c r="I198" i="85"/>
  <c r="C198" i="85"/>
  <c r="M198" i="85"/>
  <c r="K198" i="85"/>
  <c r="J198" i="85"/>
  <c r="F198" i="85"/>
  <c r="B198" i="85"/>
  <c r="A198" i="85"/>
  <c r="G197" i="85"/>
  <c r="H197" i="85"/>
  <c r="I197" i="85"/>
  <c r="C197" i="85"/>
  <c r="M197" i="85"/>
  <c r="K197" i="85"/>
  <c r="J197" i="85"/>
  <c r="F197" i="85"/>
  <c r="B197" i="85"/>
  <c r="A197" i="85"/>
  <c r="G196" i="85"/>
  <c r="H196" i="85"/>
  <c r="I196" i="85"/>
  <c r="C196" i="85"/>
  <c r="M196" i="85"/>
  <c r="K196" i="85"/>
  <c r="J196" i="85"/>
  <c r="F196" i="85"/>
  <c r="B196" i="85"/>
  <c r="A196" i="85"/>
  <c r="G195" i="85"/>
  <c r="H195" i="85"/>
  <c r="I195" i="85"/>
  <c r="C195" i="85"/>
  <c r="M195" i="85"/>
  <c r="K195" i="85"/>
  <c r="J195" i="85"/>
  <c r="F195" i="85"/>
  <c r="B195" i="85"/>
  <c r="A195" i="85"/>
  <c r="G194" i="85"/>
  <c r="H194" i="85"/>
  <c r="I194" i="85"/>
  <c r="C194" i="85"/>
  <c r="M194" i="85"/>
  <c r="K194" i="85"/>
  <c r="J194" i="85"/>
  <c r="F194" i="85"/>
  <c r="B194" i="85"/>
  <c r="A194" i="85"/>
  <c r="G193" i="85"/>
  <c r="H193" i="85"/>
  <c r="I193" i="85"/>
  <c r="C193" i="85"/>
  <c r="M193" i="85"/>
  <c r="K193" i="85"/>
  <c r="J193" i="85"/>
  <c r="F193" i="85"/>
  <c r="B193" i="85"/>
  <c r="A193" i="85"/>
  <c r="G192" i="85"/>
  <c r="H192" i="85"/>
  <c r="I192" i="85"/>
  <c r="C192" i="85"/>
  <c r="M192" i="85"/>
  <c r="K192" i="85"/>
  <c r="J192" i="85"/>
  <c r="F192" i="85"/>
  <c r="B192" i="85"/>
  <c r="A192" i="85"/>
  <c r="G191" i="85"/>
  <c r="H191" i="85"/>
  <c r="I191" i="85"/>
  <c r="C191" i="85"/>
  <c r="M191" i="85"/>
  <c r="K191" i="85"/>
  <c r="J191" i="85"/>
  <c r="F191" i="85"/>
  <c r="B191" i="85"/>
  <c r="A191" i="85"/>
  <c r="G190" i="85"/>
  <c r="H190" i="85"/>
  <c r="I190" i="85"/>
  <c r="C190" i="85"/>
  <c r="M190" i="85"/>
  <c r="K190" i="85"/>
  <c r="J190" i="85"/>
  <c r="F190" i="85"/>
  <c r="B190" i="85"/>
  <c r="A190" i="85"/>
  <c r="G189" i="85"/>
  <c r="H189" i="85"/>
  <c r="I189" i="85"/>
  <c r="C189" i="85"/>
  <c r="M189" i="85"/>
  <c r="K189" i="85"/>
  <c r="J189" i="85"/>
  <c r="F189" i="85"/>
  <c r="B189" i="85"/>
  <c r="A189" i="85"/>
  <c r="G188" i="85"/>
  <c r="H188" i="85"/>
  <c r="I188" i="85"/>
  <c r="C188" i="85"/>
  <c r="M188" i="85"/>
  <c r="K188" i="85"/>
  <c r="J188" i="85"/>
  <c r="F188" i="85"/>
  <c r="B188" i="85"/>
  <c r="A188" i="85"/>
  <c r="G187" i="85"/>
  <c r="H187" i="85"/>
  <c r="I187" i="85"/>
  <c r="C187" i="85"/>
  <c r="M187" i="85"/>
  <c r="K187" i="85"/>
  <c r="J187" i="85"/>
  <c r="F187" i="85"/>
  <c r="B187" i="85"/>
  <c r="A187" i="85"/>
  <c r="G186" i="85"/>
  <c r="H186" i="85"/>
  <c r="I186" i="85"/>
  <c r="C186" i="85"/>
  <c r="M186" i="85"/>
  <c r="K186" i="85"/>
  <c r="J186" i="85"/>
  <c r="F186" i="85"/>
  <c r="B186" i="85"/>
  <c r="A186" i="85"/>
  <c r="G185" i="85"/>
  <c r="H185" i="85"/>
  <c r="I185" i="85"/>
  <c r="C185" i="85"/>
  <c r="M185" i="85"/>
  <c r="K185" i="85"/>
  <c r="J185" i="85"/>
  <c r="F185" i="85"/>
  <c r="B185" i="85"/>
  <c r="A185" i="85"/>
  <c r="G184" i="85"/>
  <c r="H184" i="85"/>
  <c r="I184" i="85"/>
  <c r="C184" i="85"/>
  <c r="M184" i="85"/>
  <c r="K184" i="85"/>
  <c r="J184" i="85"/>
  <c r="F184" i="85"/>
  <c r="B184" i="85"/>
  <c r="A184" i="85"/>
  <c r="G183" i="85"/>
  <c r="H183" i="85"/>
  <c r="I183" i="85"/>
  <c r="C183" i="85"/>
  <c r="M183" i="85"/>
  <c r="K183" i="85"/>
  <c r="J183" i="85"/>
  <c r="F183" i="85"/>
  <c r="B183" i="85"/>
  <c r="A183" i="85"/>
  <c r="G182" i="85"/>
  <c r="H182" i="85"/>
  <c r="I182" i="85"/>
  <c r="C182" i="85"/>
  <c r="M182" i="85"/>
  <c r="K182" i="85"/>
  <c r="J182" i="85"/>
  <c r="F182" i="85"/>
  <c r="B182" i="85"/>
  <c r="A182" i="85"/>
  <c r="G181" i="85"/>
  <c r="H181" i="85"/>
  <c r="I181" i="85"/>
  <c r="C181" i="85"/>
  <c r="M181" i="85"/>
  <c r="K181" i="85"/>
  <c r="J181" i="85"/>
  <c r="F181" i="85"/>
  <c r="B181" i="85"/>
  <c r="A181" i="85"/>
  <c r="G180" i="85"/>
  <c r="H180" i="85"/>
  <c r="I180" i="85"/>
  <c r="C180" i="85"/>
  <c r="M180" i="85"/>
  <c r="K180" i="85"/>
  <c r="J180" i="85"/>
  <c r="F180" i="85"/>
  <c r="B180" i="85"/>
  <c r="A180" i="85"/>
  <c r="G179" i="85"/>
  <c r="H179" i="85"/>
  <c r="I179" i="85"/>
  <c r="C179" i="85"/>
  <c r="M179" i="85"/>
  <c r="K179" i="85"/>
  <c r="J179" i="85"/>
  <c r="F179" i="85"/>
  <c r="B179" i="85"/>
  <c r="A179" i="85"/>
  <c r="G178" i="85"/>
  <c r="H178" i="85"/>
  <c r="I178" i="85"/>
  <c r="C178" i="85"/>
  <c r="M178" i="85"/>
  <c r="K178" i="85"/>
  <c r="J178" i="85"/>
  <c r="F178" i="85"/>
  <c r="B178" i="85"/>
  <c r="A178" i="85"/>
  <c r="G177" i="85"/>
  <c r="H177" i="85"/>
  <c r="I177" i="85"/>
  <c r="C177" i="85"/>
  <c r="M177" i="85"/>
  <c r="K177" i="85"/>
  <c r="J177" i="85"/>
  <c r="F177" i="85"/>
  <c r="B177" i="85"/>
  <c r="A177" i="85"/>
  <c r="G176" i="85"/>
  <c r="H176" i="85"/>
  <c r="I176" i="85"/>
  <c r="C176" i="85"/>
  <c r="M176" i="85"/>
  <c r="K176" i="85"/>
  <c r="J176" i="85"/>
  <c r="F176" i="85"/>
  <c r="B176" i="85"/>
  <c r="A176" i="85"/>
  <c r="G175" i="85"/>
  <c r="H175" i="85"/>
  <c r="I175" i="85"/>
  <c r="C175" i="85"/>
  <c r="M175" i="85"/>
  <c r="K175" i="85"/>
  <c r="J175" i="85"/>
  <c r="F175" i="85"/>
  <c r="B175" i="85"/>
  <c r="A175" i="85"/>
  <c r="G174" i="85"/>
  <c r="H174" i="85"/>
  <c r="I174" i="85"/>
  <c r="C174" i="85"/>
  <c r="M174" i="85"/>
  <c r="K174" i="85"/>
  <c r="J174" i="85"/>
  <c r="F174" i="85"/>
  <c r="B174" i="85"/>
  <c r="A174" i="85"/>
  <c r="G173" i="85"/>
  <c r="H173" i="85"/>
  <c r="I173" i="85"/>
  <c r="C173" i="85"/>
  <c r="M173" i="85"/>
  <c r="K173" i="85"/>
  <c r="J173" i="85"/>
  <c r="F173" i="85"/>
  <c r="B173" i="85"/>
  <c r="A173" i="85"/>
  <c r="G172" i="85"/>
  <c r="H172" i="85"/>
  <c r="I172" i="85"/>
  <c r="C172" i="85"/>
  <c r="M172" i="85"/>
  <c r="K172" i="85"/>
  <c r="J172" i="85"/>
  <c r="F172" i="85"/>
  <c r="B172" i="85"/>
  <c r="A172" i="85"/>
  <c r="G171" i="85"/>
  <c r="H171" i="85"/>
  <c r="I171" i="85"/>
  <c r="C171" i="85"/>
  <c r="M171" i="85"/>
  <c r="K171" i="85"/>
  <c r="J171" i="85"/>
  <c r="F171" i="85"/>
  <c r="B171" i="85"/>
  <c r="A171" i="85"/>
  <c r="G170" i="85"/>
  <c r="H170" i="85"/>
  <c r="I170" i="85"/>
  <c r="C170" i="85"/>
  <c r="M170" i="85"/>
  <c r="K170" i="85"/>
  <c r="J170" i="85"/>
  <c r="F170" i="85"/>
  <c r="B170" i="85"/>
  <c r="A170" i="85"/>
  <c r="G169" i="85"/>
  <c r="H169" i="85"/>
  <c r="I169" i="85"/>
  <c r="C169" i="85"/>
  <c r="M169" i="85"/>
  <c r="K169" i="85"/>
  <c r="J169" i="85"/>
  <c r="F169" i="85"/>
  <c r="B169" i="85"/>
  <c r="A169" i="85"/>
  <c r="G168" i="85"/>
  <c r="H168" i="85"/>
  <c r="I168" i="85"/>
  <c r="C168" i="85"/>
  <c r="M168" i="85"/>
  <c r="K168" i="85"/>
  <c r="J168" i="85"/>
  <c r="F168" i="85"/>
  <c r="B168" i="85"/>
  <c r="A168" i="85"/>
  <c r="G167" i="85"/>
  <c r="H167" i="85"/>
  <c r="I167" i="85"/>
  <c r="C167" i="85"/>
  <c r="M167" i="85"/>
  <c r="K167" i="85"/>
  <c r="J167" i="85"/>
  <c r="F167" i="85"/>
  <c r="B167" i="85"/>
  <c r="A167" i="85"/>
  <c r="G166" i="85"/>
  <c r="H166" i="85"/>
  <c r="I166" i="85"/>
  <c r="C166" i="85"/>
  <c r="M166" i="85"/>
  <c r="K166" i="85"/>
  <c r="J166" i="85"/>
  <c r="F166" i="85"/>
  <c r="B166" i="85"/>
  <c r="A166" i="85"/>
  <c r="G165" i="85"/>
  <c r="H165" i="85"/>
  <c r="I165" i="85"/>
  <c r="C165" i="85"/>
  <c r="M165" i="85"/>
  <c r="K165" i="85"/>
  <c r="J165" i="85"/>
  <c r="F165" i="85"/>
  <c r="B165" i="85"/>
  <c r="A165" i="85"/>
  <c r="G164" i="85"/>
  <c r="H164" i="85"/>
  <c r="I164" i="85"/>
  <c r="C164" i="85"/>
  <c r="M164" i="85"/>
  <c r="K164" i="85"/>
  <c r="J164" i="85"/>
  <c r="F164" i="85"/>
  <c r="B164" i="85"/>
  <c r="A164" i="85"/>
  <c r="G163" i="85"/>
  <c r="H163" i="85"/>
  <c r="I163" i="85"/>
  <c r="C163" i="85"/>
  <c r="M163" i="85"/>
  <c r="K163" i="85"/>
  <c r="J163" i="85"/>
  <c r="F163" i="85"/>
  <c r="B163" i="85"/>
  <c r="A163" i="85"/>
  <c r="G162" i="85"/>
  <c r="H162" i="85"/>
  <c r="I162" i="85"/>
  <c r="C162" i="85"/>
  <c r="M162" i="85"/>
  <c r="K162" i="85"/>
  <c r="J162" i="85"/>
  <c r="F162" i="85"/>
  <c r="B162" i="85"/>
  <c r="A162" i="85"/>
  <c r="G161" i="85"/>
  <c r="H161" i="85"/>
  <c r="I161" i="85"/>
  <c r="C161" i="85"/>
  <c r="M161" i="85"/>
  <c r="K161" i="85"/>
  <c r="J161" i="85"/>
  <c r="F161" i="85"/>
  <c r="B161" i="85"/>
  <c r="A161" i="85"/>
  <c r="G160" i="85"/>
  <c r="H160" i="85"/>
  <c r="I160" i="85"/>
  <c r="C160" i="85"/>
  <c r="M160" i="85"/>
  <c r="K160" i="85"/>
  <c r="J160" i="85"/>
  <c r="F160" i="85"/>
  <c r="B160" i="85"/>
  <c r="A160" i="85"/>
  <c r="G159" i="85"/>
  <c r="H159" i="85"/>
  <c r="I159" i="85"/>
  <c r="C159" i="85"/>
  <c r="M159" i="85"/>
  <c r="K159" i="85"/>
  <c r="J159" i="85"/>
  <c r="F159" i="85"/>
  <c r="B159" i="85"/>
  <c r="A159" i="85"/>
  <c r="G158" i="85"/>
  <c r="H158" i="85"/>
  <c r="I158" i="85"/>
  <c r="C158" i="85"/>
  <c r="M158" i="85"/>
  <c r="K158" i="85"/>
  <c r="J158" i="85"/>
  <c r="F158" i="85"/>
  <c r="B158" i="85"/>
  <c r="A158" i="85"/>
  <c r="G157" i="85"/>
  <c r="H157" i="85"/>
  <c r="I157" i="85"/>
  <c r="C157" i="85"/>
  <c r="M157" i="85"/>
  <c r="K157" i="85"/>
  <c r="J157" i="85"/>
  <c r="F157" i="85"/>
  <c r="B157" i="85"/>
  <c r="A157" i="85"/>
  <c r="G156" i="85"/>
  <c r="H156" i="85"/>
  <c r="I156" i="85"/>
  <c r="C156" i="85"/>
  <c r="M156" i="85"/>
  <c r="K156" i="85"/>
  <c r="J156" i="85"/>
  <c r="F156" i="85"/>
  <c r="B156" i="85"/>
  <c r="A156" i="85"/>
  <c r="G155" i="85"/>
  <c r="H155" i="85"/>
  <c r="I155" i="85"/>
  <c r="C155" i="85"/>
  <c r="M155" i="85"/>
  <c r="K155" i="85"/>
  <c r="J155" i="85"/>
  <c r="F155" i="85"/>
  <c r="B155" i="85"/>
  <c r="A155" i="85"/>
  <c r="G154" i="85"/>
  <c r="H154" i="85"/>
  <c r="I154" i="85"/>
  <c r="C154" i="85"/>
  <c r="M154" i="85"/>
  <c r="K154" i="85"/>
  <c r="J154" i="85"/>
  <c r="F154" i="85"/>
  <c r="B154" i="85"/>
  <c r="A154" i="85"/>
  <c r="G153" i="85"/>
  <c r="H153" i="85"/>
  <c r="I153" i="85"/>
  <c r="C153" i="85"/>
  <c r="M153" i="85"/>
  <c r="K153" i="85"/>
  <c r="J153" i="85"/>
  <c r="F153" i="85"/>
  <c r="B153" i="85"/>
  <c r="A153" i="85"/>
  <c r="G152" i="85"/>
  <c r="H152" i="85"/>
  <c r="I152" i="85"/>
  <c r="C152" i="85"/>
  <c r="M152" i="85"/>
  <c r="K152" i="85"/>
  <c r="J152" i="85"/>
  <c r="F152" i="85"/>
  <c r="B152" i="85"/>
  <c r="A152" i="85"/>
  <c r="G151" i="85"/>
  <c r="H151" i="85"/>
  <c r="I151" i="85"/>
  <c r="C151" i="85"/>
  <c r="M151" i="85"/>
  <c r="K151" i="85"/>
  <c r="J151" i="85"/>
  <c r="F151" i="85"/>
  <c r="B151" i="85"/>
  <c r="A151" i="85"/>
  <c r="G150" i="85"/>
  <c r="H150" i="85"/>
  <c r="I150" i="85"/>
  <c r="C150" i="85"/>
  <c r="M150" i="85"/>
  <c r="K150" i="85"/>
  <c r="J150" i="85"/>
  <c r="F150" i="85"/>
  <c r="B150" i="85"/>
  <c r="A150" i="85"/>
  <c r="G149" i="85"/>
  <c r="H149" i="85"/>
  <c r="I149" i="85"/>
  <c r="C149" i="85"/>
  <c r="M149" i="85"/>
  <c r="K149" i="85"/>
  <c r="J149" i="85"/>
  <c r="F149" i="85"/>
  <c r="B149" i="85"/>
  <c r="A149" i="85"/>
  <c r="G148" i="85"/>
  <c r="H148" i="85"/>
  <c r="I148" i="85"/>
  <c r="C148" i="85"/>
  <c r="M148" i="85"/>
  <c r="K148" i="85"/>
  <c r="J148" i="85"/>
  <c r="F148" i="85"/>
  <c r="B148" i="85"/>
  <c r="A148" i="85"/>
  <c r="G147" i="85"/>
  <c r="H147" i="85"/>
  <c r="I147" i="85"/>
  <c r="C147" i="85"/>
  <c r="M147" i="85"/>
  <c r="K147" i="85"/>
  <c r="J147" i="85"/>
  <c r="F147" i="85"/>
  <c r="B147" i="85"/>
  <c r="A147" i="85"/>
  <c r="G146" i="85"/>
  <c r="H146" i="85"/>
  <c r="I146" i="85"/>
  <c r="C146" i="85"/>
  <c r="M146" i="85"/>
  <c r="K146" i="85"/>
  <c r="J146" i="85"/>
  <c r="F146" i="85"/>
  <c r="B146" i="85"/>
  <c r="A146" i="85"/>
  <c r="G145" i="85"/>
  <c r="H145" i="85"/>
  <c r="I145" i="85"/>
  <c r="C145" i="85"/>
  <c r="M145" i="85"/>
  <c r="K145" i="85"/>
  <c r="J145" i="85"/>
  <c r="F145" i="85"/>
  <c r="B145" i="85"/>
  <c r="A145" i="85"/>
  <c r="G144" i="85"/>
  <c r="H144" i="85"/>
  <c r="I144" i="85"/>
  <c r="C144" i="85"/>
  <c r="M144" i="85"/>
  <c r="K144" i="85"/>
  <c r="J144" i="85"/>
  <c r="F144" i="85"/>
  <c r="B144" i="85"/>
  <c r="A144" i="85"/>
  <c r="G143" i="85"/>
  <c r="H143" i="85"/>
  <c r="I143" i="85"/>
  <c r="C143" i="85"/>
  <c r="M143" i="85"/>
  <c r="K143" i="85"/>
  <c r="J143" i="85"/>
  <c r="F143" i="85"/>
  <c r="B143" i="85"/>
  <c r="A143" i="85"/>
  <c r="G142" i="85"/>
  <c r="H142" i="85"/>
  <c r="I142" i="85"/>
  <c r="C142" i="85"/>
  <c r="M142" i="85"/>
  <c r="K142" i="85"/>
  <c r="J142" i="85"/>
  <c r="F142" i="85"/>
  <c r="B142" i="85"/>
  <c r="A142" i="85"/>
  <c r="G141" i="85"/>
  <c r="H141" i="85"/>
  <c r="I141" i="85"/>
  <c r="C141" i="85"/>
  <c r="M141" i="85"/>
  <c r="K141" i="85"/>
  <c r="J141" i="85"/>
  <c r="F141" i="85"/>
  <c r="B141" i="85"/>
  <c r="A141" i="85"/>
  <c r="G140" i="85"/>
  <c r="H140" i="85"/>
  <c r="I140" i="85"/>
  <c r="C140" i="85"/>
  <c r="M140" i="85"/>
  <c r="K140" i="85"/>
  <c r="J140" i="85"/>
  <c r="F140" i="85"/>
  <c r="B140" i="85"/>
  <c r="A140" i="85"/>
  <c r="G139" i="85"/>
  <c r="H139" i="85"/>
  <c r="I139" i="85"/>
  <c r="C139" i="85"/>
  <c r="M139" i="85"/>
  <c r="K139" i="85"/>
  <c r="J139" i="85"/>
  <c r="F139" i="85"/>
  <c r="B139" i="85"/>
  <c r="A139" i="85"/>
  <c r="G138" i="85"/>
  <c r="H138" i="85"/>
  <c r="I138" i="85"/>
  <c r="C138" i="85"/>
  <c r="M138" i="85"/>
  <c r="K138" i="85"/>
  <c r="J138" i="85"/>
  <c r="F138" i="85"/>
  <c r="B138" i="85"/>
  <c r="A138" i="85"/>
  <c r="G137" i="85"/>
  <c r="H137" i="85"/>
  <c r="I137" i="85"/>
  <c r="C137" i="85"/>
  <c r="M137" i="85"/>
  <c r="K137" i="85"/>
  <c r="J137" i="85"/>
  <c r="F137" i="85"/>
  <c r="B137" i="85"/>
  <c r="A137" i="85"/>
  <c r="G136" i="85"/>
  <c r="H136" i="85"/>
  <c r="I136" i="85"/>
  <c r="C136" i="85"/>
  <c r="M136" i="85"/>
  <c r="K136" i="85"/>
  <c r="J136" i="85"/>
  <c r="F136" i="85"/>
  <c r="B136" i="85"/>
  <c r="A136" i="85"/>
  <c r="G135" i="85"/>
  <c r="H135" i="85"/>
  <c r="I135" i="85"/>
  <c r="C135" i="85"/>
  <c r="M135" i="85"/>
  <c r="K135" i="85"/>
  <c r="J135" i="85"/>
  <c r="F135" i="85"/>
  <c r="B135" i="85"/>
  <c r="A135" i="85"/>
  <c r="G134" i="85"/>
  <c r="H134" i="85"/>
  <c r="I134" i="85"/>
  <c r="C134" i="85"/>
  <c r="M134" i="85"/>
  <c r="K134" i="85"/>
  <c r="J134" i="85"/>
  <c r="F134" i="85"/>
  <c r="B134" i="85"/>
  <c r="A134" i="85"/>
  <c r="G133" i="85"/>
  <c r="H133" i="85"/>
  <c r="I133" i="85"/>
  <c r="C133" i="85"/>
  <c r="M133" i="85"/>
  <c r="K133" i="85"/>
  <c r="J133" i="85"/>
  <c r="F133" i="85"/>
  <c r="B133" i="85"/>
  <c r="A133" i="85"/>
  <c r="G132" i="85"/>
  <c r="H132" i="85"/>
  <c r="I132" i="85"/>
  <c r="C132" i="85"/>
  <c r="M132" i="85"/>
  <c r="K132" i="85"/>
  <c r="J132" i="85"/>
  <c r="F132" i="85"/>
  <c r="B132" i="85"/>
  <c r="A132" i="85"/>
  <c r="G131" i="85"/>
  <c r="H131" i="85"/>
  <c r="I131" i="85"/>
  <c r="C131" i="85"/>
  <c r="M131" i="85"/>
  <c r="K131" i="85"/>
  <c r="J131" i="85"/>
  <c r="F131" i="85"/>
  <c r="B131" i="85"/>
  <c r="A131" i="85"/>
  <c r="G130" i="85"/>
  <c r="H130" i="85"/>
  <c r="I130" i="85"/>
  <c r="C130" i="85"/>
  <c r="M130" i="85"/>
  <c r="K130" i="85"/>
  <c r="J130" i="85"/>
  <c r="F130" i="85"/>
  <c r="B130" i="85"/>
  <c r="A130" i="85"/>
  <c r="G129" i="85"/>
  <c r="H129" i="85"/>
  <c r="I129" i="85"/>
  <c r="C129" i="85"/>
  <c r="M129" i="85"/>
  <c r="K129" i="85"/>
  <c r="J129" i="85"/>
  <c r="F129" i="85"/>
  <c r="B129" i="85"/>
  <c r="A129" i="85"/>
  <c r="G128" i="85"/>
  <c r="H128" i="85"/>
  <c r="I128" i="85"/>
  <c r="C128" i="85"/>
  <c r="M128" i="85"/>
  <c r="K128" i="85"/>
  <c r="J128" i="85"/>
  <c r="F128" i="85"/>
  <c r="B128" i="85"/>
  <c r="A128" i="85"/>
  <c r="G127" i="85"/>
  <c r="H127" i="85"/>
  <c r="I127" i="85"/>
  <c r="C127" i="85"/>
  <c r="M127" i="85"/>
  <c r="K127" i="85"/>
  <c r="J127" i="85"/>
  <c r="F127" i="85"/>
  <c r="B127" i="85"/>
  <c r="A127" i="85"/>
  <c r="G126" i="85"/>
  <c r="H126" i="85"/>
  <c r="I126" i="85"/>
  <c r="C126" i="85"/>
  <c r="M126" i="85"/>
  <c r="K126" i="85"/>
  <c r="J126" i="85"/>
  <c r="F126" i="85"/>
  <c r="B126" i="85"/>
  <c r="A126" i="85"/>
  <c r="G125" i="85"/>
  <c r="H125" i="85"/>
  <c r="I125" i="85"/>
  <c r="C125" i="85"/>
  <c r="M125" i="85"/>
  <c r="K125" i="85"/>
  <c r="J125" i="85"/>
  <c r="F125" i="85"/>
  <c r="B125" i="85"/>
  <c r="A125" i="85"/>
  <c r="G124" i="85"/>
  <c r="H124" i="85"/>
  <c r="I124" i="85"/>
  <c r="C124" i="85"/>
  <c r="M124" i="85"/>
  <c r="K124" i="85"/>
  <c r="J124" i="85"/>
  <c r="F124" i="85"/>
  <c r="B124" i="85"/>
  <c r="A124" i="85"/>
  <c r="G123" i="85"/>
  <c r="H123" i="85"/>
  <c r="I123" i="85"/>
  <c r="C123" i="85"/>
  <c r="M123" i="85"/>
  <c r="K123" i="85"/>
  <c r="J123" i="85"/>
  <c r="F123" i="85"/>
  <c r="B123" i="85"/>
  <c r="A123" i="85"/>
  <c r="G122" i="85"/>
  <c r="H122" i="85"/>
  <c r="I122" i="85"/>
  <c r="C122" i="85"/>
  <c r="M122" i="85"/>
  <c r="K122" i="85"/>
  <c r="J122" i="85"/>
  <c r="F122" i="85"/>
  <c r="B122" i="85"/>
  <c r="A122" i="85"/>
  <c r="G121" i="85"/>
  <c r="H121" i="85"/>
  <c r="I121" i="85"/>
  <c r="C121" i="85"/>
  <c r="M121" i="85"/>
  <c r="K121" i="85"/>
  <c r="J121" i="85"/>
  <c r="F121" i="85"/>
  <c r="B121" i="85"/>
  <c r="A121" i="85"/>
  <c r="G120" i="85"/>
  <c r="H120" i="85"/>
  <c r="I120" i="85"/>
  <c r="C120" i="85"/>
  <c r="M120" i="85"/>
  <c r="K120" i="85"/>
  <c r="J120" i="85"/>
  <c r="F120" i="85"/>
  <c r="B120" i="85"/>
  <c r="A120" i="85"/>
  <c r="G119" i="85"/>
  <c r="H119" i="85"/>
  <c r="I119" i="85"/>
  <c r="C119" i="85"/>
  <c r="M119" i="85"/>
  <c r="K119" i="85"/>
  <c r="J119" i="85"/>
  <c r="F119" i="85"/>
  <c r="B119" i="85"/>
  <c r="A119" i="85"/>
  <c r="G118" i="85"/>
  <c r="H118" i="85"/>
  <c r="I118" i="85"/>
  <c r="C118" i="85"/>
  <c r="M118" i="85"/>
  <c r="K118" i="85"/>
  <c r="J118" i="85"/>
  <c r="F118" i="85"/>
  <c r="B118" i="85"/>
  <c r="A118" i="85"/>
  <c r="G117" i="85"/>
  <c r="H117" i="85"/>
  <c r="I117" i="85"/>
  <c r="C117" i="85"/>
  <c r="M117" i="85"/>
  <c r="K117" i="85"/>
  <c r="J117" i="85"/>
  <c r="F117" i="85"/>
  <c r="B117" i="85"/>
  <c r="A117" i="85"/>
  <c r="G116" i="85"/>
  <c r="H116" i="85"/>
  <c r="I116" i="85"/>
  <c r="C116" i="85"/>
  <c r="M116" i="85"/>
  <c r="K116" i="85"/>
  <c r="J116" i="85"/>
  <c r="F116" i="85"/>
  <c r="B116" i="85"/>
  <c r="A116" i="85"/>
  <c r="G115" i="85"/>
  <c r="H115" i="85"/>
  <c r="I115" i="85"/>
  <c r="C115" i="85"/>
  <c r="M115" i="85"/>
  <c r="K115" i="85"/>
  <c r="J115" i="85"/>
  <c r="F115" i="85"/>
  <c r="B115" i="85"/>
  <c r="A115" i="85"/>
  <c r="G114" i="85"/>
  <c r="H114" i="85"/>
  <c r="I114" i="85"/>
  <c r="C114" i="85"/>
  <c r="M114" i="85"/>
  <c r="K114" i="85"/>
  <c r="J114" i="85"/>
  <c r="F114" i="85"/>
  <c r="B114" i="85"/>
  <c r="A114" i="85"/>
  <c r="G113" i="85"/>
  <c r="H113" i="85"/>
  <c r="I113" i="85"/>
  <c r="C113" i="85"/>
  <c r="M113" i="85"/>
  <c r="K113" i="85"/>
  <c r="J113" i="85"/>
  <c r="F113" i="85"/>
  <c r="B113" i="85"/>
  <c r="A113" i="85"/>
  <c r="G112" i="85"/>
  <c r="H112" i="85"/>
  <c r="I112" i="85"/>
  <c r="C112" i="85"/>
  <c r="M112" i="85"/>
  <c r="K112" i="85"/>
  <c r="J112" i="85"/>
  <c r="F112" i="85"/>
  <c r="B112" i="85"/>
  <c r="A112" i="85"/>
  <c r="G111" i="85"/>
  <c r="H111" i="85"/>
  <c r="I111" i="85"/>
  <c r="C111" i="85"/>
  <c r="M111" i="85"/>
  <c r="K111" i="85"/>
  <c r="J111" i="85"/>
  <c r="F111" i="85"/>
  <c r="B111" i="85"/>
  <c r="A111" i="85"/>
  <c r="G110" i="85"/>
  <c r="H110" i="85"/>
  <c r="I110" i="85"/>
  <c r="C110" i="85"/>
  <c r="M110" i="85"/>
  <c r="K110" i="85"/>
  <c r="J110" i="85"/>
  <c r="F110" i="85"/>
  <c r="B110" i="85"/>
  <c r="A110" i="85"/>
  <c r="G109" i="85"/>
  <c r="H109" i="85"/>
  <c r="I109" i="85"/>
  <c r="C109" i="85"/>
  <c r="M109" i="85"/>
  <c r="K109" i="85"/>
  <c r="J109" i="85"/>
  <c r="F109" i="85"/>
  <c r="B109" i="85"/>
  <c r="A109" i="85"/>
  <c r="G108" i="85"/>
  <c r="H108" i="85"/>
  <c r="I108" i="85"/>
  <c r="C108" i="85"/>
  <c r="M108" i="85"/>
  <c r="K108" i="85"/>
  <c r="J108" i="85"/>
  <c r="F108" i="85"/>
  <c r="B108" i="85"/>
  <c r="A108" i="85"/>
  <c r="G107" i="85"/>
  <c r="H107" i="85"/>
  <c r="I107" i="85"/>
  <c r="C107" i="85"/>
  <c r="M107" i="85"/>
  <c r="K107" i="85"/>
  <c r="J107" i="85"/>
  <c r="F107" i="85"/>
  <c r="B107" i="85"/>
  <c r="A107" i="85"/>
  <c r="G106" i="85"/>
  <c r="H106" i="85"/>
  <c r="I106" i="85"/>
  <c r="C106" i="85"/>
  <c r="M106" i="85"/>
  <c r="K106" i="85"/>
  <c r="J106" i="85"/>
  <c r="F106" i="85"/>
  <c r="B106" i="85"/>
  <c r="A106" i="85"/>
  <c r="G105" i="85"/>
  <c r="H105" i="85"/>
  <c r="I105" i="85"/>
  <c r="C105" i="85"/>
  <c r="M105" i="85"/>
  <c r="K105" i="85"/>
  <c r="J105" i="85"/>
  <c r="F105" i="85"/>
  <c r="B105" i="85"/>
  <c r="A105" i="85"/>
  <c r="G104" i="85"/>
  <c r="H104" i="85"/>
  <c r="I104" i="85"/>
  <c r="C104" i="85"/>
  <c r="M104" i="85"/>
  <c r="K104" i="85"/>
  <c r="J104" i="85"/>
  <c r="F104" i="85"/>
  <c r="B104" i="85"/>
  <c r="A104" i="85"/>
  <c r="G103" i="85"/>
  <c r="H103" i="85"/>
  <c r="I103" i="85"/>
  <c r="C103" i="85"/>
  <c r="M103" i="85"/>
  <c r="K103" i="85"/>
  <c r="J103" i="85"/>
  <c r="F103" i="85"/>
  <c r="B103" i="85"/>
  <c r="A103" i="85"/>
  <c r="G102" i="85"/>
  <c r="H102" i="85"/>
  <c r="I102" i="85"/>
  <c r="C102" i="85"/>
  <c r="M102" i="85"/>
  <c r="K102" i="85"/>
  <c r="J102" i="85"/>
  <c r="F102" i="85"/>
  <c r="B102" i="85"/>
  <c r="A102" i="85"/>
  <c r="G101" i="85"/>
  <c r="H101" i="85"/>
  <c r="I101" i="85"/>
  <c r="C101" i="85"/>
  <c r="M101" i="85"/>
  <c r="K101" i="85"/>
  <c r="J101" i="85"/>
  <c r="F101" i="85"/>
  <c r="B101" i="85"/>
  <c r="A101" i="85"/>
  <c r="G100" i="85"/>
  <c r="H100" i="85"/>
  <c r="I100" i="85"/>
  <c r="C100" i="85"/>
  <c r="M100" i="85"/>
  <c r="K100" i="85"/>
  <c r="J100" i="85"/>
  <c r="F100" i="85"/>
  <c r="B100" i="85"/>
  <c r="A100" i="85"/>
  <c r="G99" i="85"/>
  <c r="H99" i="85"/>
  <c r="I99" i="85"/>
  <c r="C99" i="85"/>
  <c r="M99" i="85"/>
  <c r="K99" i="85"/>
  <c r="J99" i="85"/>
  <c r="F99" i="85"/>
  <c r="B99" i="85"/>
  <c r="A99" i="85"/>
  <c r="G98" i="85"/>
  <c r="H98" i="85"/>
  <c r="I98" i="85"/>
  <c r="C98" i="85"/>
  <c r="M98" i="85"/>
  <c r="K98" i="85"/>
  <c r="J98" i="85"/>
  <c r="F98" i="85"/>
  <c r="B98" i="85"/>
  <c r="A98" i="85"/>
  <c r="G97" i="85"/>
  <c r="H97" i="85"/>
  <c r="I97" i="85"/>
  <c r="C97" i="85"/>
  <c r="M97" i="85"/>
  <c r="K97" i="85"/>
  <c r="J97" i="85"/>
  <c r="F97" i="85"/>
  <c r="B97" i="85"/>
  <c r="A97" i="85"/>
  <c r="G96" i="85"/>
  <c r="H96" i="85"/>
  <c r="I96" i="85"/>
  <c r="C96" i="85"/>
  <c r="M96" i="85"/>
  <c r="K96" i="85"/>
  <c r="J96" i="85"/>
  <c r="F96" i="85"/>
  <c r="B96" i="85"/>
  <c r="A96" i="85"/>
  <c r="G95" i="85"/>
  <c r="H95" i="85"/>
  <c r="I95" i="85"/>
  <c r="C95" i="85"/>
  <c r="M95" i="85"/>
  <c r="K95" i="85"/>
  <c r="J95" i="85"/>
  <c r="F95" i="85"/>
  <c r="B95" i="85"/>
  <c r="A95" i="85"/>
  <c r="G94" i="85"/>
  <c r="H94" i="85"/>
  <c r="I94" i="85"/>
  <c r="C94" i="85"/>
  <c r="M94" i="85"/>
  <c r="K94" i="85"/>
  <c r="J94" i="85"/>
  <c r="F94" i="85"/>
  <c r="B94" i="85"/>
  <c r="A94" i="85"/>
  <c r="G93" i="85"/>
  <c r="H93" i="85"/>
  <c r="I93" i="85"/>
  <c r="C93" i="85"/>
  <c r="M93" i="85"/>
  <c r="K93" i="85"/>
  <c r="J93" i="85"/>
  <c r="F93" i="85"/>
  <c r="B93" i="85"/>
  <c r="A93" i="85"/>
  <c r="G92" i="85"/>
  <c r="H92" i="85"/>
  <c r="I92" i="85"/>
  <c r="C92" i="85"/>
  <c r="M92" i="85"/>
  <c r="K92" i="85"/>
  <c r="J92" i="85"/>
  <c r="F92" i="85"/>
  <c r="B92" i="85"/>
  <c r="A92" i="85"/>
  <c r="G91" i="85"/>
  <c r="H91" i="85"/>
  <c r="I91" i="85"/>
  <c r="C91" i="85"/>
  <c r="M91" i="85"/>
  <c r="K91" i="85"/>
  <c r="J91" i="85"/>
  <c r="F91" i="85"/>
  <c r="B91" i="85"/>
  <c r="A91" i="85"/>
  <c r="G90" i="85"/>
  <c r="H90" i="85"/>
  <c r="I90" i="85"/>
  <c r="C90" i="85"/>
  <c r="M90" i="85"/>
  <c r="K90" i="85"/>
  <c r="J90" i="85"/>
  <c r="F90" i="85"/>
  <c r="B90" i="85"/>
  <c r="A90" i="85"/>
  <c r="G89" i="85"/>
  <c r="H89" i="85"/>
  <c r="I89" i="85"/>
  <c r="C89" i="85"/>
  <c r="M89" i="85"/>
  <c r="K89" i="85"/>
  <c r="J89" i="85"/>
  <c r="F89" i="85"/>
  <c r="B89" i="85"/>
  <c r="A89" i="85"/>
  <c r="G88" i="85"/>
  <c r="H88" i="85"/>
  <c r="I88" i="85"/>
  <c r="C88" i="85"/>
  <c r="M88" i="85"/>
  <c r="K88" i="85"/>
  <c r="J88" i="85"/>
  <c r="F88" i="85"/>
  <c r="B88" i="85"/>
  <c r="A88" i="85"/>
  <c r="G87" i="85"/>
  <c r="H87" i="85"/>
  <c r="I87" i="85"/>
  <c r="C87" i="85"/>
  <c r="M87" i="85"/>
  <c r="K87" i="85"/>
  <c r="J87" i="85"/>
  <c r="F87" i="85"/>
  <c r="B87" i="85"/>
  <c r="A87" i="85"/>
  <c r="G86" i="85"/>
  <c r="H86" i="85"/>
  <c r="I86" i="85"/>
  <c r="C86" i="85"/>
  <c r="M86" i="85"/>
  <c r="K86" i="85"/>
  <c r="J86" i="85"/>
  <c r="F86" i="85"/>
  <c r="B86" i="85"/>
  <c r="A86" i="85"/>
  <c r="G85" i="85"/>
  <c r="H85" i="85"/>
  <c r="I85" i="85"/>
  <c r="C85" i="85"/>
  <c r="M85" i="85"/>
  <c r="K85" i="85"/>
  <c r="J85" i="85"/>
  <c r="F85" i="85"/>
  <c r="B85" i="85"/>
  <c r="A85" i="85"/>
  <c r="G84" i="85"/>
  <c r="H84" i="85"/>
  <c r="I84" i="85"/>
  <c r="C84" i="85"/>
  <c r="M84" i="85"/>
  <c r="K84" i="85"/>
  <c r="J84" i="85"/>
  <c r="F84" i="85"/>
  <c r="B84" i="85"/>
  <c r="A84" i="85"/>
  <c r="G83" i="85"/>
  <c r="H83" i="85"/>
  <c r="I83" i="85"/>
  <c r="C83" i="85"/>
  <c r="M83" i="85"/>
  <c r="K83" i="85"/>
  <c r="J83" i="85"/>
  <c r="F83" i="85"/>
  <c r="B83" i="85"/>
  <c r="A83" i="85"/>
  <c r="G82" i="85"/>
  <c r="H82" i="85"/>
  <c r="I82" i="85"/>
  <c r="C82" i="85"/>
  <c r="M82" i="85"/>
  <c r="K82" i="85"/>
  <c r="J82" i="85"/>
  <c r="F82" i="85"/>
  <c r="B82" i="85"/>
  <c r="A82" i="85"/>
  <c r="G81" i="85"/>
  <c r="H81" i="85"/>
  <c r="I81" i="85"/>
  <c r="C81" i="85"/>
  <c r="M81" i="85"/>
  <c r="K81" i="85"/>
  <c r="J81" i="85"/>
  <c r="F81" i="85"/>
  <c r="B81" i="85"/>
  <c r="A81" i="85"/>
  <c r="G80" i="85"/>
  <c r="H80" i="85"/>
  <c r="I80" i="85"/>
  <c r="C80" i="85"/>
  <c r="M80" i="85"/>
  <c r="K80" i="85"/>
  <c r="J80" i="85"/>
  <c r="F80" i="85"/>
  <c r="B80" i="85"/>
  <c r="A80" i="85"/>
  <c r="G79" i="85"/>
  <c r="H79" i="85"/>
  <c r="I79" i="85"/>
  <c r="C79" i="85"/>
  <c r="M79" i="85"/>
  <c r="K79" i="85"/>
  <c r="J79" i="85"/>
  <c r="F79" i="85"/>
  <c r="B79" i="85"/>
  <c r="A79" i="85"/>
  <c r="G78" i="85"/>
  <c r="H78" i="85"/>
  <c r="I78" i="85"/>
  <c r="C78" i="85"/>
  <c r="M78" i="85"/>
  <c r="K78" i="85"/>
  <c r="J78" i="85"/>
  <c r="F78" i="85"/>
  <c r="B78" i="85"/>
  <c r="A78" i="85"/>
  <c r="G77" i="85"/>
  <c r="H77" i="85"/>
  <c r="I77" i="85"/>
  <c r="C77" i="85"/>
  <c r="M77" i="85"/>
  <c r="K77" i="85"/>
  <c r="J77" i="85"/>
  <c r="F77" i="85"/>
  <c r="B77" i="85"/>
  <c r="A77" i="85"/>
  <c r="G76" i="85"/>
  <c r="H76" i="85"/>
  <c r="I76" i="85"/>
  <c r="C76" i="85"/>
  <c r="M76" i="85"/>
  <c r="K76" i="85"/>
  <c r="J76" i="85"/>
  <c r="F76" i="85"/>
  <c r="B76" i="85"/>
  <c r="A76" i="85"/>
  <c r="G75" i="85"/>
  <c r="H75" i="85"/>
  <c r="I75" i="85"/>
  <c r="C75" i="85"/>
  <c r="M75" i="85"/>
  <c r="K75" i="85"/>
  <c r="J75" i="85"/>
  <c r="F75" i="85"/>
  <c r="B75" i="85"/>
  <c r="A75" i="85"/>
  <c r="G74" i="85"/>
  <c r="H74" i="85"/>
  <c r="I74" i="85"/>
  <c r="C74" i="85"/>
  <c r="M74" i="85"/>
  <c r="K74" i="85"/>
  <c r="J74" i="85"/>
  <c r="F74" i="85"/>
  <c r="B74" i="85"/>
  <c r="A74" i="85"/>
  <c r="G73" i="85"/>
  <c r="H73" i="85"/>
  <c r="I73" i="85"/>
  <c r="C73" i="85"/>
  <c r="M73" i="85"/>
  <c r="K73" i="85"/>
  <c r="J73" i="85"/>
  <c r="F73" i="85"/>
  <c r="B73" i="85"/>
  <c r="A73" i="85"/>
  <c r="G72" i="85"/>
  <c r="H72" i="85"/>
  <c r="I72" i="85"/>
  <c r="C72" i="85"/>
  <c r="M72" i="85"/>
  <c r="K72" i="85"/>
  <c r="J72" i="85"/>
  <c r="F72" i="85"/>
  <c r="B72" i="85"/>
  <c r="A72" i="85"/>
  <c r="G71" i="85"/>
  <c r="H71" i="85"/>
  <c r="I71" i="85"/>
  <c r="C71" i="85"/>
  <c r="M71" i="85"/>
  <c r="K71" i="85"/>
  <c r="J71" i="85"/>
  <c r="F71" i="85"/>
  <c r="B71" i="85"/>
  <c r="A71" i="85"/>
  <c r="G70" i="85"/>
  <c r="H70" i="85"/>
  <c r="I70" i="85"/>
  <c r="C70" i="85"/>
  <c r="M70" i="85"/>
  <c r="K70" i="85"/>
  <c r="J70" i="85"/>
  <c r="F70" i="85"/>
  <c r="B70" i="85"/>
  <c r="A70" i="85"/>
  <c r="G69" i="85"/>
  <c r="H69" i="85"/>
  <c r="I69" i="85"/>
  <c r="C69" i="85"/>
  <c r="M69" i="85"/>
  <c r="K69" i="85"/>
  <c r="J69" i="85"/>
  <c r="F69" i="85"/>
  <c r="B69" i="85"/>
  <c r="A69" i="85"/>
  <c r="G68" i="85"/>
  <c r="H68" i="85"/>
  <c r="I68" i="85"/>
  <c r="C68" i="85"/>
  <c r="M68" i="85"/>
  <c r="K68" i="85"/>
  <c r="J68" i="85"/>
  <c r="F68" i="85"/>
  <c r="B68" i="85"/>
  <c r="A68" i="85"/>
  <c r="G67" i="85"/>
  <c r="H67" i="85"/>
  <c r="I67" i="85"/>
  <c r="C67" i="85"/>
  <c r="M67" i="85"/>
  <c r="K67" i="85"/>
  <c r="J67" i="85"/>
  <c r="F67" i="85"/>
  <c r="B67" i="85"/>
  <c r="A67" i="85"/>
  <c r="G66" i="85"/>
  <c r="H66" i="85"/>
  <c r="I66" i="85"/>
  <c r="C66" i="85"/>
  <c r="M66" i="85"/>
  <c r="K66" i="85"/>
  <c r="J66" i="85"/>
  <c r="F66" i="85"/>
  <c r="B66" i="85"/>
  <c r="A66" i="85"/>
  <c r="G65" i="85"/>
  <c r="H65" i="85"/>
  <c r="I65" i="85"/>
  <c r="C65" i="85"/>
  <c r="M65" i="85"/>
  <c r="K65" i="85"/>
  <c r="J65" i="85"/>
  <c r="F65" i="85"/>
  <c r="B65" i="85"/>
  <c r="A65" i="85"/>
  <c r="G64" i="85"/>
  <c r="H64" i="85"/>
  <c r="I64" i="85"/>
  <c r="C64" i="85"/>
  <c r="M64" i="85"/>
  <c r="K64" i="85"/>
  <c r="J64" i="85"/>
  <c r="F64" i="85"/>
  <c r="B64" i="85"/>
  <c r="A64" i="85"/>
  <c r="G63" i="85"/>
  <c r="H63" i="85"/>
  <c r="I63" i="85"/>
  <c r="C63" i="85"/>
  <c r="M63" i="85"/>
  <c r="K63" i="85"/>
  <c r="J63" i="85"/>
  <c r="F63" i="85"/>
  <c r="B63" i="85"/>
  <c r="A63" i="85"/>
  <c r="G62" i="85"/>
  <c r="H62" i="85"/>
  <c r="I62" i="85"/>
  <c r="C62" i="85"/>
  <c r="M62" i="85"/>
  <c r="K62" i="85"/>
  <c r="J62" i="85"/>
  <c r="F62" i="85"/>
  <c r="B62" i="85"/>
  <c r="A62" i="85"/>
  <c r="G61" i="85"/>
  <c r="H61" i="85"/>
  <c r="I61" i="85"/>
  <c r="C61" i="85"/>
  <c r="M61" i="85"/>
  <c r="K61" i="85"/>
  <c r="J61" i="85"/>
  <c r="F61" i="85"/>
  <c r="B61" i="85"/>
  <c r="A61" i="85"/>
  <c r="G60" i="85"/>
  <c r="H60" i="85"/>
  <c r="I60" i="85"/>
  <c r="C60" i="85"/>
  <c r="M60" i="85"/>
  <c r="K60" i="85"/>
  <c r="J60" i="85"/>
  <c r="F60" i="85"/>
  <c r="B60" i="85"/>
  <c r="A60" i="85"/>
  <c r="G59" i="85"/>
  <c r="H59" i="85"/>
  <c r="I59" i="85"/>
  <c r="C59" i="85"/>
  <c r="M59" i="85"/>
  <c r="K59" i="85"/>
  <c r="J59" i="85"/>
  <c r="F59" i="85"/>
  <c r="B59" i="85"/>
  <c r="A59" i="85"/>
  <c r="G58" i="85"/>
  <c r="H58" i="85"/>
  <c r="I58" i="85"/>
  <c r="C58" i="85"/>
  <c r="M58" i="85"/>
  <c r="K58" i="85"/>
  <c r="J58" i="85"/>
  <c r="F58" i="85"/>
  <c r="B58" i="85"/>
  <c r="A58" i="85"/>
  <c r="G57" i="85"/>
  <c r="H57" i="85"/>
  <c r="I57" i="85"/>
  <c r="C57" i="85"/>
  <c r="M57" i="85"/>
  <c r="K57" i="85"/>
  <c r="J57" i="85"/>
  <c r="F57" i="85"/>
  <c r="B57" i="85"/>
  <c r="A57" i="85"/>
  <c r="G56" i="85"/>
  <c r="H56" i="85"/>
  <c r="I56" i="85"/>
  <c r="C56" i="85"/>
  <c r="M56" i="85"/>
  <c r="K56" i="85"/>
  <c r="J56" i="85"/>
  <c r="F56" i="85"/>
  <c r="B56" i="85"/>
  <c r="A56" i="85"/>
  <c r="G55" i="85"/>
  <c r="H55" i="85"/>
  <c r="I55" i="85"/>
  <c r="C55" i="85"/>
  <c r="M55" i="85"/>
  <c r="K55" i="85"/>
  <c r="J55" i="85"/>
  <c r="F55" i="85"/>
  <c r="B55" i="85"/>
  <c r="A55" i="85"/>
  <c r="G54" i="85"/>
  <c r="H54" i="85"/>
  <c r="I54" i="85"/>
  <c r="C54" i="85"/>
  <c r="M54" i="85"/>
  <c r="K54" i="85"/>
  <c r="J54" i="85"/>
  <c r="F54" i="85"/>
  <c r="B54" i="85"/>
  <c r="A54" i="85"/>
  <c r="G53" i="85"/>
  <c r="H53" i="85"/>
  <c r="I53" i="85"/>
  <c r="C53" i="85"/>
  <c r="M53" i="85"/>
  <c r="K53" i="85"/>
  <c r="J53" i="85"/>
  <c r="F53" i="85"/>
  <c r="B53" i="85"/>
  <c r="A53" i="85"/>
  <c r="G52" i="85"/>
  <c r="H52" i="85"/>
  <c r="I52" i="85"/>
  <c r="C52" i="85"/>
  <c r="M52" i="85"/>
  <c r="K52" i="85"/>
  <c r="J52" i="85"/>
  <c r="F52" i="85"/>
  <c r="B52" i="85"/>
  <c r="A52" i="85"/>
  <c r="G51" i="85"/>
  <c r="H51" i="85"/>
  <c r="I51" i="85"/>
  <c r="C51" i="85"/>
  <c r="M51" i="85"/>
  <c r="K51" i="85"/>
  <c r="J51" i="85"/>
  <c r="F51" i="85"/>
  <c r="B51" i="85"/>
  <c r="A51" i="85"/>
  <c r="G50" i="85"/>
  <c r="H50" i="85"/>
  <c r="I50" i="85"/>
  <c r="C50" i="85"/>
  <c r="M50" i="85"/>
  <c r="K50" i="85"/>
  <c r="J50" i="85"/>
  <c r="F50" i="85"/>
  <c r="B50" i="85"/>
  <c r="A50" i="85"/>
  <c r="G49" i="85"/>
  <c r="H49" i="85"/>
  <c r="I49" i="85"/>
  <c r="C49" i="85"/>
  <c r="M49" i="85"/>
  <c r="K49" i="85"/>
  <c r="J49" i="85"/>
  <c r="F49" i="85"/>
  <c r="B49" i="85"/>
  <c r="A49" i="85"/>
  <c r="G48" i="85"/>
  <c r="H48" i="85"/>
  <c r="I48" i="85"/>
  <c r="C48" i="85"/>
  <c r="M48" i="85"/>
  <c r="K48" i="85"/>
  <c r="J48" i="85"/>
  <c r="F48" i="85"/>
  <c r="B48" i="85"/>
  <c r="A48" i="85"/>
  <c r="G47" i="85"/>
  <c r="H47" i="85"/>
  <c r="I47" i="85"/>
  <c r="C47" i="85"/>
  <c r="M47" i="85"/>
  <c r="K47" i="85"/>
  <c r="J47" i="85"/>
  <c r="F47" i="85"/>
  <c r="B47" i="85"/>
  <c r="A47" i="85"/>
  <c r="G46" i="85"/>
  <c r="H46" i="85"/>
  <c r="I46" i="85"/>
  <c r="C46" i="85"/>
  <c r="M46" i="85"/>
  <c r="K46" i="85"/>
  <c r="J46" i="85"/>
  <c r="F46" i="85"/>
  <c r="B46" i="85"/>
  <c r="A46" i="85"/>
  <c r="G45" i="85"/>
  <c r="H45" i="85"/>
  <c r="I45" i="85"/>
  <c r="C45" i="85"/>
  <c r="M45" i="85"/>
  <c r="K45" i="85"/>
  <c r="J45" i="85"/>
  <c r="F45" i="85"/>
  <c r="B45" i="85"/>
  <c r="A45" i="85"/>
  <c r="G44" i="85"/>
  <c r="H44" i="85"/>
  <c r="I44" i="85"/>
  <c r="C44" i="85"/>
  <c r="M44" i="85"/>
  <c r="K44" i="85"/>
  <c r="J44" i="85"/>
  <c r="F44" i="85"/>
  <c r="B44" i="85"/>
  <c r="A44" i="85"/>
  <c r="G43" i="85"/>
  <c r="H43" i="85"/>
  <c r="I43" i="85"/>
  <c r="C43" i="85"/>
  <c r="M43" i="85"/>
  <c r="K43" i="85"/>
  <c r="J43" i="85"/>
  <c r="F43" i="85"/>
  <c r="B43" i="85"/>
  <c r="A43" i="85"/>
  <c r="G42" i="85"/>
  <c r="H42" i="85"/>
  <c r="I42" i="85"/>
  <c r="C42" i="85"/>
  <c r="M42" i="85"/>
  <c r="K42" i="85"/>
  <c r="J42" i="85"/>
  <c r="F42" i="85"/>
  <c r="B42" i="85"/>
  <c r="A42" i="85"/>
  <c r="G41" i="85"/>
  <c r="H41" i="85"/>
  <c r="I41" i="85"/>
  <c r="C41" i="85"/>
  <c r="M41" i="85"/>
  <c r="K41" i="85"/>
  <c r="J41" i="85"/>
  <c r="F41" i="85"/>
  <c r="B41" i="85"/>
  <c r="A41" i="85"/>
  <c r="G40" i="85"/>
  <c r="H40" i="85"/>
  <c r="I40" i="85"/>
  <c r="C40" i="85"/>
  <c r="M40" i="85"/>
  <c r="K40" i="85"/>
  <c r="J40" i="85"/>
  <c r="F40" i="85"/>
  <c r="B40" i="85"/>
  <c r="A40" i="85"/>
  <c r="G39" i="85"/>
  <c r="H39" i="85"/>
  <c r="I39" i="85"/>
  <c r="C39" i="85"/>
  <c r="M39" i="85"/>
  <c r="K39" i="85"/>
  <c r="J39" i="85"/>
  <c r="F39" i="85"/>
  <c r="B39" i="85"/>
  <c r="A39" i="85"/>
  <c r="G38" i="85"/>
  <c r="H38" i="85"/>
  <c r="I38" i="85"/>
  <c r="C38" i="85"/>
  <c r="M38" i="85"/>
  <c r="K38" i="85"/>
  <c r="J38" i="85"/>
  <c r="F38" i="85"/>
  <c r="B38" i="85"/>
  <c r="A38" i="85"/>
  <c r="G37" i="85"/>
  <c r="H37" i="85"/>
  <c r="I37" i="85"/>
  <c r="C37" i="85"/>
  <c r="M37" i="85"/>
  <c r="K37" i="85"/>
  <c r="J37" i="85"/>
  <c r="F37" i="85"/>
  <c r="B37" i="85"/>
  <c r="A37" i="85"/>
  <c r="G36" i="85"/>
  <c r="H36" i="85"/>
  <c r="I36" i="85"/>
  <c r="C36" i="85"/>
  <c r="M36" i="85"/>
  <c r="K36" i="85"/>
  <c r="J36" i="85"/>
  <c r="F36" i="85"/>
  <c r="B36" i="85"/>
  <c r="A36" i="85"/>
  <c r="G35" i="85"/>
  <c r="H35" i="85"/>
  <c r="I35" i="85"/>
  <c r="C35" i="85"/>
  <c r="M35" i="85"/>
  <c r="K35" i="85"/>
  <c r="J35" i="85"/>
  <c r="F35" i="85"/>
  <c r="B35" i="85"/>
  <c r="A35" i="85"/>
  <c r="G34" i="85"/>
  <c r="H34" i="85"/>
  <c r="I34" i="85"/>
  <c r="C34" i="85"/>
  <c r="M34" i="85"/>
  <c r="K34" i="85"/>
  <c r="J34" i="85"/>
  <c r="F34" i="85"/>
  <c r="B34" i="85"/>
  <c r="A34" i="85"/>
  <c r="G33" i="85"/>
  <c r="H33" i="85"/>
  <c r="I33" i="85"/>
  <c r="C33" i="85"/>
  <c r="M33" i="85"/>
  <c r="K33" i="85"/>
  <c r="J33" i="85"/>
  <c r="F33" i="85"/>
  <c r="B33" i="85"/>
  <c r="A33" i="85"/>
  <c r="G32" i="85"/>
  <c r="H32" i="85"/>
  <c r="I32" i="85"/>
  <c r="C32" i="85"/>
  <c r="M32" i="85"/>
  <c r="K32" i="85"/>
  <c r="J32" i="85"/>
  <c r="F32" i="85"/>
  <c r="B32" i="85"/>
  <c r="A32" i="85"/>
  <c r="G31" i="85"/>
  <c r="H31" i="85"/>
  <c r="I31" i="85"/>
  <c r="C31" i="85"/>
  <c r="M31" i="85"/>
  <c r="K31" i="85"/>
  <c r="J31" i="85"/>
  <c r="F31" i="85"/>
  <c r="B31" i="85"/>
  <c r="A31" i="85"/>
  <c r="G30" i="85"/>
  <c r="H30" i="85"/>
  <c r="I30" i="85"/>
  <c r="C30" i="85"/>
  <c r="M30" i="85"/>
  <c r="K30" i="85"/>
  <c r="J30" i="85"/>
  <c r="F30" i="85"/>
  <c r="B30" i="85"/>
  <c r="A30" i="85"/>
  <c r="G29" i="85"/>
  <c r="H29" i="85"/>
  <c r="I29" i="85"/>
  <c r="C29" i="85"/>
  <c r="M29" i="85"/>
  <c r="K29" i="85"/>
  <c r="J29" i="85"/>
  <c r="F29" i="85"/>
  <c r="B29" i="85"/>
  <c r="A29" i="85"/>
  <c r="G28" i="85"/>
  <c r="H28" i="85"/>
  <c r="I28" i="85"/>
  <c r="C28" i="85"/>
  <c r="M28" i="85"/>
  <c r="K28" i="85"/>
  <c r="J28" i="85"/>
  <c r="F28" i="85"/>
  <c r="B28" i="85"/>
  <c r="A28" i="85"/>
  <c r="G27" i="85"/>
  <c r="H27" i="85"/>
  <c r="I27" i="85"/>
  <c r="C27" i="85"/>
  <c r="M27" i="85"/>
  <c r="K27" i="85"/>
  <c r="J27" i="85"/>
  <c r="F27" i="85"/>
  <c r="B27" i="85"/>
  <c r="A27" i="85"/>
  <c r="G26" i="85"/>
  <c r="H26" i="85"/>
  <c r="I26" i="85"/>
  <c r="C26" i="85"/>
  <c r="M26" i="85"/>
  <c r="K26" i="85"/>
  <c r="J26" i="85"/>
  <c r="F26" i="85"/>
  <c r="B26" i="85"/>
  <c r="A26" i="85"/>
  <c r="G25" i="85"/>
  <c r="H25" i="85"/>
  <c r="I25" i="85"/>
  <c r="C25" i="85"/>
  <c r="M25" i="85"/>
  <c r="K25" i="85"/>
  <c r="J25" i="85"/>
  <c r="F25" i="85"/>
  <c r="B25" i="85"/>
  <c r="A25" i="85"/>
  <c r="G24" i="85"/>
  <c r="H24" i="85"/>
  <c r="I24" i="85"/>
  <c r="C24" i="85"/>
  <c r="M24" i="85"/>
  <c r="K24" i="85"/>
  <c r="J24" i="85"/>
  <c r="F24" i="85"/>
  <c r="B24" i="85"/>
  <c r="A24" i="85"/>
  <c r="G23" i="85"/>
  <c r="H23" i="85"/>
  <c r="I23" i="85"/>
  <c r="C23" i="85"/>
  <c r="M23" i="85"/>
  <c r="K23" i="85"/>
  <c r="J23" i="85"/>
  <c r="F23" i="85"/>
  <c r="B23" i="85"/>
  <c r="A23" i="85"/>
  <c r="G22" i="85"/>
  <c r="H22" i="85"/>
  <c r="I22" i="85"/>
  <c r="C22" i="85"/>
  <c r="M22" i="85"/>
  <c r="K22" i="85"/>
  <c r="J22" i="85"/>
  <c r="F22" i="85"/>
  <c r="B22" i="85"/>
  <c r="A22" i="85"/>
  <c r="G21" i="85"/>
  <c r="H21" i="85"/>
  <c r="I21" i="85"/>
  <c r="C21" i="85"/>
  <c r="M21" i="85"/>
  <c r="K21" i="85"/>
  <c r="J21" i="85"/>
  <c r="F21" i="85"/>
  <c r="B21" i="85"/>
  <c r="A21" i="85"/>
  <c r="G20" i="85"/>
  <c r="H20" i="85"/>
  <c r="I20" i="85"/>
  <c r="C20" i="85"/>
  <c r="M20" i="85"/>
  <c r="K20" i="85"/>
  <c r="J20" i="85"/>
  <c r="F20" i="85"/>
  <c r="B20" i="85"/>
  <c r="A20" i="85"/>
  <c r="G19" i="85"/>
  <c r="H19" i="85"/>
  <c r="I19" i="85"/>
  <c r="C19" i="85"/>
  <c r="M19" i="85"/>
  <c r="K19" i="85"/>
  <c r="J19" i="85"/>
  <c r="F19" i="85"/>
  <c r="B19" i="85"/>
  <c r="A19" i="85"/>
  <c r="G18" i="85"/>
  <c r="H18" i="85"/>
  <c r="I18" i="85"/>
  <c r="C18" i="85"/>
  <c r="M18" i="85"/>
  <c r="K18" i="85"/>
  <c r="J18" i="85"/>
  <c r="F18" i="85"/>
  <c r="B18" i="85"/>
  <c r="A18" i="85"/>
  <c r="G17" i="85"/>
  <c r="H17" i="85"/>
  <c r="I17" i="85"/>
  <c r="C17" i="85"/>
  <c r="M17" i="85"/>
  <c r="K17" i="85"/>
  <c r="J17" i="85"/>
  <c r="F17" i="85"/>
  <c r="B17" i="85"/>
  <c r="A17" i="85"/>
  <c r="G16" i="85"/>
  <c r="H16" i="85"/>
  <c r="I16" i="85"/>
  <c r="C16" i="85"/>
  <c r="M16" i="85"/>
  <c r="K16" i="85"/>
  <c r="J16" i="85"/>
  <c r="F16" i="85"/>
  <c r="B16" i="85"/>
  <c r="A16" i="85"/>
  <c r="G15" i="85"/>
  <c r="H15" i="85"/>
  <c r="I15" i="85"/>
  <c r="C15" i="85"/>
  <c r="M15" i="85"/>
  <c r="K15" i="85"/>
  <c r="J15" i="85"/>
  <c r="F15" i="85"/>
  <c r="B15" i="85"/>
  <c r="A15" i="85"/>
  <c r="G14" i="85"/>
  <c r="H14" i="85"/>
  <c r="I14" i="85"/>
  <c r="C14" i="85"/>
  <c r="M14" i="85"/>
  <c r="K14" i="85"/>
  <c r="J14" i="85"/>
  <c r="F14" i="85"/>
  <c r="B14" i="85"/>
  <c r="A14" i="85"/>
  <c r="G13" i="85"/>
  <c r="H13" i="85"/>
  <c r="I13" i="85"/>
  <c r="C13" i="85"/>
  <c r="M13" i="85"/>
  <c r="K13" i="85"/>
  <c r="J13" i="85"/>
  <c r="F13" i="85"/>
  <c r="B13" i="85"/>
  <c r="A13" i="85"/>
  <c r="G12" i="85"/>
  <c r="H12" i="85"/>
  <c r="I12" i="85"/>
  <c r="C12" i="85"/>
  <c r="M12" i="85"/>
  <c r="K12" i="85"/>
  <c r="J12" i="85"/>
  <c r="F12" i="85"/>
  <c r="B12" i="85"/>
  <c r="A12" i="85"/>
  <c r="G11" i="85"/>
  <c r="H11" i="85"/>
  <c r="I11" i="85"/>
  <c r="C11" i="85"/>
  <c r="M11" i="85"/>
  <c r="K11" i="85"/>
  <c r="J11" i="85"/>
  <c r="F11" i="85"/>
  <c r="B11" i="85"/>
  <c r="A11" i="85"/>
  <c r="G10" i="85"/>
  <c r="H10" i="85"/>
  <c r="I10" i="85"/>
  <c r="C10" i="85"/>
  <c r="M10" i="85"/>
  <c r="K10" i="85"/>
  <c r="J10" i="85"/>
  <c r="F10" i="85"/>
  <c r="B10" i="85"/>
  <c r="A10" i="85"/>
  <c r="G9" i="85"/>
  <c r="H9" i="85"/>
  <c r="I9" i="85"/>
  <c r="C9" i="85"/>
  <c r="M9" i="85"/>
  <c r="K9" i="85"/>
  <c r="J9" i="85"/>
  <c r="F9" i="85"/>
  <c r="B9" i="85"/>
  <c r="A9" i="85"/>
  <c r="G8" i="85"/>
  <c r="H8" i="85"/>
  <c r="I8" i="85"/>
  <c r="C8" i="85"/>
  <c r="M8" i="85"/>
  <c r="K8" i="85"/>
  <c r="J8" i="85"/>
  <c r="F8" i="85"/>
  <c r="B8" i="85"/>
  <c r="A8" i="85"/>
  <c r="G7" i="85"/>
  <c r="H7" i="85"/>
  <c r="I7" i="85"/>
  <c r="C7" i="85"/>
  <c r="M7" i="85"/>
  <c r="K7" i="85"/>
  <c r="J7" i="85"/>
  <c r="F7" i="85"/>
  <c r="B7" i="85"/>
  <c r="A7" i="85"/>
  <c r="G6" i="85"/>
  <c r="H6" i="85"/>
  <c r="I6" i="85"/>
  <c r="C6" i="85"/>
  <c r="M6" i="85"/>
  <c r="K6" i="85"/>
  <c r="J6" i="85"/>
  <c r="F6" i="85"/>
  <c r="B6" i="85"/>
  <c r="A6" i="85"/>
  <c r="G5" i="85"/>
  <c r="H5" i="85"/>
  <c r="I5" i="85"/>
  <c r="C5" i="85"/>
  <c r="M5" i="85"/>
  <c r="K5" i="85"/>
  <c r="J5" i="85"/>
  <c r="F5" i="85"/>
  <c r="B5" i="85"/>
  <c r="A5" i="85"/>
  <c r="G4" i="85"/>
  <c r="H4" i="85"/>
  <c r="I4" i="85"/>
  <c r="C4" i="85"/>
  <c r="M4" i="85"/>
  <c r="K4" i="85"/>
  <c r="J4" i="85"/>
  <c r="F4" i="85"/>
  <c r="B4" i="85"/>
  <c r="A4" i="85"/>
  <c r="G3" i="85"/>
  <c r="H3" i="85"/>
  <c r="I3" i="85"/>
  <c r="C3" i="85"/>
  <c r="M3" i="85"/>
  <c r="K3" i="85"/>
  <c r="J3" i="85"/>
  <c r="F3" i="85"/>
  <c r="B3" i="85"/>
  <c r="A3" i="85"/>
  <c r="G2" i="85"/>
  <c r="H2" i="85"/>
  <c r="I2" i="85"/>
  <c r="C2" i="85"/>
  <c r="M2" i="85"/>
  <c r="K2" i="85"/>
  <c r="J2" i="85"/>
  <c r="F2" i="85"/>
  <c r="A2" i="85"/>
  <c r="G255" i="84"/>
  <c r="H255" i="84"/>
  <c r="I255" i="84"/>
  <c r="C255" i="84"/>
  <c r="M255" i="84"/>
  <c r="K255" i="84"/>
  <c r="J255" i="84"/>
  <c r="F255" i="84"/>
  <c r="B255" i="84"/>
  <c r="A255" i="84"/>
  <c r="G254" i="84"/>
  <c r="H254" i="84"/>
  <c r="I254" i="84"/>
  <c r="C254" i="84"/>
  <c r="M254" i="84"/>
  <c r="K254" i="84"/>
  <c r="J254" i="84"/>
  <c r="F254" i="84"/>
  <c r="B254" i="84"/>
  <c r="A254" i="84"/>
  <c r="G253" i="84"/>
  <c r="H253" i="84"/>
  <c r="I253" i="84"/>
  <c r="C253" i="84"/>
  <c r="M253" i="84"/>
  <c r="K253" i="84"/>
  <c r="J253" i="84"/>
  <c r="F253" i="84"/>
  <c r="B253" i="84"/>
  <c r="A253" i="84"/>
  <c r="G252" i="84"/>
  <c r="H252" i="84"/>
  <c r="I252" i="84"/>
  <c r="C252" i="84"/>
  <c r="M252" i="84"/>
  <c r="K252" i="84"/>
  <c r="J252" i="84"/>
  <c r="F252" i="84"/>
  <c r="B252" i="84"/>
  <c r="A252" i="84"/>
  <c r="G251" i="84"/>
  <c r="H251" i="84"/>
  <c r="I251" i="84"/>
  <c r="C251" i="84"/>
  <c r="M251" i="84"/>
  <c r="K251" i="84"/>
  <c r="J251" i="84"/>
  <c r="F251" i="84"/>
  <c r="B251" i="84"/>
  <c r="A251" i="84"/>
  <c r="G250" i="84"/>
  <c r="H250" i="84"/>
  <c r="I250" i="84"/>
  <c r="C250" i="84"/>
  <c r="M250" i="84"/>
  <c r="K250" i="84"/>
  <c r="J250" i="84"/>
  <c r="F250" i="84"/>
  <c r="B250" i="84"/>
  <c r="A250" i="84"/>
  <c r="G249" i="84"/>
  <c r="H249" i="84"/>
  <c r="I249" i="84"/>
  <c r="C249" i="84"/>
  <c r="M249" i="84"/>
  <c r="K249" i="84"/>
  <c r="J249" i="84"/>
  <c r="F249" i="84"/>
  <c r="B249" i="84"/>
  <c r="A249" i="84"/>
  <c r="G248" i="84"/>
  <c r="H248" i="84"/>
  <c r="I248" i="84"/>
  <c r="C248" i="84"/>
  <c r="M248" i="84"/>
  <c r="K248" i="84"/>
  <c r="J248" i="84"/>
  <c r="F248" i="84"/>
  <c r="B248" i="84"/>
  <c r="A248" i="84"/>
  <c r="G247" i="84"/>
  <c r="H247" i="84"/>
  <c r="I247" i="84"/>
  <c r="C247" i="84"/>
  <c r="M247" i="84"/>
  <c r="K247" i="84"/>
  <c r="J247" i="84"/>
  <c r="F247" i="84"/>
  <c r="B247" i="84"/>
  <c r="A247" i="84"/>
  <c r="G246" i="84"/>
  <c r="H246" i="84"/>
  <c r="I246" i="84"/>
  <c r="C246" i="84"/>
  <c r="M246" i="84"/>
  <c r="K246" i="84"/>
  <c r="J246" i="84"/>
  <c r="F246" i="84"/>
  <c r="B246" i="84"/>
  <c r="A246" i="84"/>
  <c r="G245" i="84"/>
  <c r="H245" i="84"/>
  <c r="I245" i="84"/>
  <c r="C245" i="84"/>
  <c r="M245" i="84"/>
  <c r="K245" i="84"/>
  <c r="J245" i="84"/>
  <c r="F245" i="84"/>
  <c r="B245" i="84"/>
  <c r="A245" i="84"/>
  <c r="G244" i="84"/>
  <c r="H244" i="84"/>
  <c r="I244" i="84"/>
  <c r="C244" i="84"/>
  <c r="M244" i="84"/>
  <c r="K244" i="84"/>
  <c r="J244" i="84"/>
  <c r="F244" i="84"/>
  <c r="B244" i="84"/>
  <c r="A244" i="84"/>
  <c r="G243" i="84"/>
  <c r="H243" i="84"/>
  <c r="I243" i="84"/>
  <c r="C243" i="84"/>
  <c r="M243" i="84"/>
  <c r="K243" i="84"/>
  <c r="J243" i="84"/>
  <c r="F243" i="84"/>
  <c r="B243" i="84"/>
  <c r="A243" i="84"/>
  <c r="G242" i="84"/>
  <c r="H242" i="84"/>
  <c r="I242" i="84"/>
  <c r="C242" i="84"/>
  <c r="M242" i="84"/>
  <c r="K242" i="84"/>
  <c r="J242" i="84"/>
  <c r="F242" i="84"/>
  <c r="B242" i="84"/>
  <c r="A242" i="84"/>
  <c r="G241" i="84"/>
  <c r="H241" i="84"/>
  <c r="I241" i="84"/>
  <c r="C241" i="84"/>
  <c r="M241" i="84"/>
  <c r="K241" i="84"/>
  <c r="J241" i="84"/>
  <c r="F241" i="84"/>
  <c r="B241" i="84"/>
  <c r="A241" i="84"/>
  <c r="G240" i="84"/>
  <c r="H240" i="84"/>
  <c r="I240" i="84"/>
  <c r="C240" i="84"/>
  <c r="M240" i="84"/>
  <c r="K240" i="84"/>
  <c r="J240" i="84"/>
  <c r="F240" i="84"/>
  <c r="B240" i="84"/>
  <c r="A240" i="84"/>
  <c r="G239" i="84"/>
  <c r="H239" i="84"/>
  <c r="I239" i="84"/>
  <c r="C239" i="84"/>
  <c r="M239" i="84"/>
  <c r="K239" i="84"/>
  <c r="J239" i="84"/>
  <c r="F239" i="84"/>
  <c r="B239" i="84"/>
  <c r="A239" i="84"/>
  <c r="G238" i="84"/>
  <c r="H238" i="84"/>
  <c r="I238" i="84"/>
  <c r="C238" i="84"/>
  <c r="M238" i="84"/>
  <c r="K238" i="84"/>
  <c r="J238" i="84"/>
  <c r="F238" i="84"/>
  <c r="B238" i="84"/>
  <c r="A238" i="84"/>
  <c r="G237" i="84"/>
  <c r="H237" i="84"/>
  <c r="I237" i="84"/>
  <c r="C237" i="84"/>
  <c r="M237" i="84"/>
  <c r="K237" i="84"/>
  <c r="J237" i="84"/>
  <c r="F237" i="84"/>
  <c r="B237" i="84"/>
  <c r="A237" i="84"/>
  <c r="G236" i="84"/>
  <c r="H236" i="84"/>
  <c r="I236" i="84"/>
  <c r="C236" i="84"/>
  <c r="M236" i="84"/>
  <c r="K236" i="84"/>
  <c r="J236" i="84"/>
  <c r="F236" i="84"/>
  <c r="B236" i="84"/>
  <c r="A236" i="84"/>
  <c r="G235" i="84"/>
  <c r="H235" i="84"/>
  <c r="I235" i="84"/>
  <c r="C235" i="84"/>
  <c r="M235" i="84"/>
  <c r="K235" i="84"/>
  <c r="J235" i="84"/>
  <c r="F235" i="84"/>
  <c r="B235" i="84"/>
  <c r="A235" i="84"/>
  <c r="G234" i="84"/>
  <c r="H234" i="84"/>
  <c r="I234" i="84"/>
  <c r="C234" i="84"/>
  <c r="M234" i="84"/>
  <c r="K234" i="84"/>
  <c r="J234" i="84"/>
  <c r="F234" i="84"/>
  <c r="B234" i="84"/>
  <c r="A234" i="84"/>
  <c r="G233" i="84"/>
  <c r="H233" i="84"/>
  <c r="I233" i="84"/>
  <c r="C233" i="84"/>
  <c r="M233" i="84"/>
  <c r="K233" i="84"/>
  <c r="J233" i="84"/>
  <c r="F233" i="84"/>
  <c r="B233" i="84"/>
  <c r="A233" i="84"/>
  <c r="G232" i="84"/>
  <c r="H232" i="84"/>
  <c r="I232" i="84"/>
  <c r="C232" i="84"/>
  <c r="M232" i="84"/>
  <c r="K232" i="84"/>
  <c r="J232" i="84"/>
  <c r="F232" i="84"/>
  <c r="B232" i="84"/>
  <c r="A232" i="84"/>
  <c r="G231" i="84"/>
  <c r="H231" i="84"/>
  <c r="I231" i="84"/>
  <c r="C231" i="84"/>
  <c r="M231" i="84"/>
  <c r="K231" i="84"/>
  <c r="J231" i="84"/>
  <c r="F231" i="84"/>
  <c r="B231" i="84"/>
  <c r="A231" i="84"/>
  <c r="G230" i="84"/>
  <c r="H230" i="84"/>
  <c r="I230" i="84"/>
  <c r="C230" i="84"/>
  <c r="M230" i="84"/>
  <c r="K230" i="84"/>
  <c r="J230" i="84"/>
  <c r="F230" i="84"/>
  <c r="B230" i="84"/>
  <c r="A230" i="84"/>
  <c r="G229" i="84"/>
  <c r="H229" i="84"/>
  <c r="I229" i="84"/>
  <c r="C229" i="84"/>
  <c r="M229" i="84"/>
  <c r="K229" i="84"/>
  <c r="J229" i="84"/>
  <c r="F229" i="84"/>
  <c r="B229" i="84"/>
  <c r="A229" i="84"/>
  <c r="G228" i="84"/>
  <c r="H228" i="84"/>
  <c r="I228" i="84"/>
  <c r="C228" i="84"/>
  <c r="M228" i="84"/>
  <c r="K228" i="84"/>
  <c r="J228" i="84"/>
  <c r="F228" i="84"/>
  <c r="B228" i="84"/>
  <c r="A228" i="84"/>
  <c r="G227" i="84"/>
  <c r="H227" i="84"/>
  <c r="I227" i="84"/>
  <c r="C227" i="84"/>
  <c r="M227" i="84"/>
  <c r="K227" i="84"/>
  <c r="J227" i="84"/>
  <c r="F227" i="84"/>
  <c r="B227" i="84"/>
  <c r="A227" i="84"/>
  <c r="G226" i="84"/>
  <c r="H226" i="84"/>
  <c r="I226" i="84"/>
  <c r="C226" i="84"/>
  <c r="M226" i="84"/>
  <c r="K226" i="84"/>
  <c r="J226" i="84"/>
  <c r="F226" i="84"/>
  <c r="B226" i="84"/>
  <c r="A226" i="84"/>
  <c r="G225" i="84"/>
  <c r="H225" i="84"/>
  <c r="I225" i="84"/>
  <c r="C225" i="84"/>
  <c r="M225" i="84"/>
  <c r="K225" i="84"/>
  <c r="J225" i="84"/>
  <c r="F225" i="84"/>
  <c r="B225" i="84"/>
  <c r="A225" i="84"/>
  <c r="G224" i="84"/>
  <c r="H224" i="84"/>
  <c r="I224" i="84"/>
  <c r="C224" i="84"/>
  <c r="M224" i="84"/>
  <c r="K224" i="84"/>
  <c r="J224" i="84"/>
  <c r="F224" i="84"/>
  <c r="B224" i="84"/>
  <c r="A224" i="84"/>
  <c r="G223" i="84"/>
  <c r="H223" i="84"/>
  <c r="I223" i="84"/>
  <c r="C223" i="84"/>
  <c r="M223" i="84"/>
  <c r="K223" i="84"/>
  <c r="J223" i="84"/>
  <c r="F223" i="84"/>
  <c r="B223" i="84"/>
  <c r="A223" i="84"/>
  <c r="G222" i="84"/>
  <c r="H222" i="84"/>
  <c r="I222" i="84"/>
  <c r="C222" i="84"/>
  <c r="M222" i="84"/>
  <c r="K222" i="84"/>
  <c r="J222" i="84"/>
  <c r="F222" i="84"/>
  <c r="B222" i="84"/>
  <c r="A222" i="84"/>
  <c r="G221" i="84"/>
  <c r="H221" i="84"/>
  <c r="I221" i="84"/>
  <c r="C221" i="84"/>
  <c r="M221" i="84"/>
  <c r="K221" i="84"/>
  <c r="J221" i="84"/>
  <c r="F221" i="84"/>
  <c r="B221" i="84"/>
  <c r="A221" i="84"/>
  <c r="G220" i="84"/>
  <c r="H220" i="84"/>
  <c r="I220" i="84"/>
  <c r="C220" i="84"/>
  <c r="M220" i="84"/>
  <c r="K220" i="84"/>
  <c r="J220" i="84"/>
  <c r="F220" i="84"/>
  <c r="B220" i="84"/>
  <c r="A220" i="84"/>
  <c r="G219" i="84"/>
  <c r="H219" i="84"/>
  <c r="I219" i="84"/>
  <c r="C219" i="84"/>
  <c r="M219" i="84"/>
  <c r="K219" i="84"/>
  <c r="J219" i="84"/>
  <c r="F219" i="84"/>
  <c r="B219" i="84"/>
  <c r="A219" i="84"/>
  <c r="G218" i="84"/>
  <c r="H218" i="84"/>
  <c r="I218" i="84"/>
  <c r="C218" i="84"/>
  <c r="M218" i="84"/>
  <c r="K218" i="84"/>
  <c r="J218" i="84"/>
  <c r="F218" i="84"/>
  <c r="B218" i="84"/>
  <c r="A218" i="84"/>
  <c r="G217" i="84"/>
  <c r="H217" i="84"/>
  <c r="I217" i="84"/>
  <c r="C217" i="84"/>
  <c r="M217" i="84"/>
  <c r="K217" i="84"/>
  <c r="J217" i="84"/>
  <c r="F217" i="84"/>
  <c r="B217" i="84"/>
  <c r="A217" i="84"/>
  <c r="G216" i="84"/>
  <c r="H216" i="84"/>
  <c r="I216" i="84"/>
  <c r="C216" i="84"/>
  <c r="M216" i="84"/>
  <c r="K216" i="84"/>
  <c r="J216" i="84"/>
  <c r="F216" i="84"/>
  <c r="B216" i="84"/>
  <c r="A216" i="84"/>
  <c r="G215" i="84"/>
  <c r="H215" i="84"/>
  <c r="I215" i="84"/>
  <c r="C215" i="84"/>
  <c r="M215" i="84"/>
  <c r="K215" i="84"/>
  <c r="J215" i="84"/>
  <c r="F215" i="84"/>
  <c r="B215" i="84"/>
  <c r="A215" i="84"/>
  <c r="G214" i="84"/>
  <c r="H214" i="84"/>
  <c r="I214" i="84"/>
  <c r="C214" i="84"/>
  <c r="M214" i="84"/>
  <c r="K214" i="84"/>
  <c r="J214" i="84"/>
  <c r="F214" i="84"/>
  <c r="B214" i="84"/>
  <c r="A214" i="84"/>
  <c r="G213" i="84"/>
  <c r="H213" i="84"/>
  <c r="I213" i="84"/>
  <c r="C213" i="84"/>
  <c r="M213" i="84"/>
  <c r="K213" i="84"/>
  <c r="J213" i="84"/>
  <c r="F213" i="84"/>
  <c r="B213" i="84"/>
  <c r="A213" i="84"/>
  <c r="G212" i="84"/>
  <c r="H212" i="84"/>
  <c r="I212" i="84"/>
  <c r="C212" i="84"/>
  <c r="M212" i="84"/>
  <c r="K212" i="84"/>
  <c r="J212" i="84"/>
  <c r="F212" i="84"/>
  <c r="B212" i="84"/>
  <c r="A212" i="84"/>
  <c r="G211" i="84"/>
  <c r="H211" i="84"/>
  <c r="I211" i="84"/>
  <c r="C211" i="84"/>
  <c r="M211" i="84"/>
  <c r="K211" i="84"/>
  <c r="J211" i="84"/>
  <c r="F211" i="84"/>
  <c r="B211" i="84"/>
  <c r="A211" i="84"/>
  <c r="G210" i="84"/>
  <c r="H210" i="84"/>
  <c r="I210" i="84"/>
  <c r="C210" i="84"/>
  <c r="M210" i="84"/>
  <c r="K210" i="84"/>
  <c r="J210" i="84"/>
  <c r="F210" i="84"/>
  <c r="B210" i="84"/>
  <c r="A210" i="84"/>
  <c r="G209" i="84"/>
  <c r="H209" i="84"/>
  <c r="I209" i="84"/>
  <c r="C209" i="84"/>
  <c r="M209" i="84"/>
  <c r="K209" i="84"/>
  <c r="J209" i="84"/>
  <c r="F209" i="84"/>
  <c r="B209" i="84"/>
  <c r="A209" i="84"/>
  <c r="G208" i="84"/>
  <c r="H208" i="84"/>
  <c r="I208" i="84"/>
  <c r="C208" i="84"/>
  <c r="M208" i="84"/>
  <c r="K208" i="84"/>
  <c r="J208" i="84"/>
  <c r="F208" i="84"/>
  <c r="B208" i="84"/>
  <c r="A208" i="84"/>
  <c r="G207" i="84"/>
  <c r="H207" i="84"/>
  <c r="I207" i="84"/>
  <c r="C207" i="84"/>
  <c r="M207" i="84"/>
  <c r="K207" i="84"/>
  <c r="J207" i="84"/>
  <c r="F207" i="84"/>
  <c r="B207" i="84"/>
  <c r="A207" i="84"/>
  <c r="G206" i="84"/>
  <c r="H206" i="84"/>
  <c r="I206" i="84"/>
  <c r="C206" i="84"/>
  <c r="M206" i="84"/>
  <c r="K206" i="84"/>
  <c r="J206" i="84"/>
  <c r="F206" i="84"/>
  <c r="B206" i="84"/>
  <c r="A206" i="84"/>
  <c r="G205" i="84"/>
  <c r="H205" i="84"/>
  <c r="I205" i="84"/>
  <c r="C205" i="84"/>
  <c r="M205" i="84"/>
  <c r="K205" i="84"/>
  <c r="J205" i="84"/>
  <c r="F205" i="84"/>
  <c r="B205" i="84"/>
  <c r="A205" i="84"/>
  <c r="G204" i="84"/>
  <c r="H204" i="84"/>
  <c r="I204" i="84"/>
  <c r="C204" i="84"/>
  <c r="M204" i="84"/>
  <c r="K204" i="84"/>
  <c r="J204" i="84"/>
  <c r="F204" i="84"/>
  <c r="B204" i="84"/>
  <c r="A204" i="84"/>
  <c r="G203" i="84"/>
  <c r="H203" i="84"/>
  <c r="I203" i="84"/>
  <c r="C203" i="84"/>
  <c r="M203" i="84"/>
  <c r="K203" i="84"/>
  <c r="J203" i="84"/>
  <c r="F203" i="84"/>
  <c r="B203" i="84"/>
  <c r="A203" i="84"/>
  <c r="G202" i="84"/>
  <c r="H202" i="84"/>
  <c r="I202" i="84"/>
  <c r="C202" i="84"/>
  <c r="M202" i="84"/>
  <c r="K202" i="84"/>
  <c r="J202" i="84"/>
  <c r="F202" i="84"/>
  <c r="B202" i="84"/>
  <c r="A202" i="84"/>
  <c r="G201" i="84"/>
  <c r="H201" i="84"/>
  <c r="I201" i="84"/>
  <c r="C201" i="84"/>
  <c r="M201" i="84"/>
  <c r="K201" i="84"/>
  <c r="J201" i="84"/>
  <c r="F201" i="84"/>
  <c r="B201" i="84"/>
  <c r="A201" i="84"/>
  <c r="G200" i="84"/>
  <c r="H200" i="84"/>
  <c r="I200" i="84"/>
  <c r="C200" i="84"/>
  <c r="M200" i="84"/>
  <c r="K200" i="84"/>
  <c r="J200" i="84"/>
  <c r="F200" i="84"/>
  <c r="B200" i="84"/>
  <c r="A200" i="84"/>
  <c r="G199" i="84"/>
  <c r="H199" i="84"/>
  <c r="I199" i="84"/>
  <c r="C199" i="84"/>
  <c r="M199" i="84"/>
  <c r="K199" i="84"/>
  <c r="J199" i="84"/>
  <c r="F199" i="84"/>
  <c r="B199" i="84"/>
  <c r="A199" i="84"/>
  <c r="G198" i="84"/>
  <c r="H198" i="84"/>
  <c r="I198" i="84"/>
  <c r="C198" i="84"/>
  <c r="M198" i="84"/>
  <c r="K198" i="84"/>
  <c r="J198" i="84"/>
  <c r="F198" i="84"/>
  <c r="B198" i="84"/>
  <c r="A198" i="84"/>
  <c r="G197" i="84"/>
  <c r="H197" i="84"/>
  <c r="I197" i="84"/>
  <c r="C197" i="84"/>
  <c r="M197" i="84"/>
  <c r="K197" i="84"/>
  <c r="J197" i="84"/>
  <c r="F197" i="84"/>
  <c r="B197" i="84"/>
  <c r="A197" i="84"/>
  <c r="G196" i="84"/>
  <c r="H196" i="84"/>
  <c r="I196" i="84"/>
  <c r="C196" i="84"/>
  <c r="M196" i="84"/>
  <c r="K196" i="84"/>
  <c r="J196" i="84"/>
  <c r="F196" i="84"/>
  <c r="B196" i="84"/>
  <c r="A196" i="84"/>
  <c r="G195" i="84"/>
  <c r="H195" i="84"/>
  <c r="I195" i="84"/>
  <c r="C195" i="84"/>
  <c r="M195" i="84"/>
  <c r="K195" i="84"/>
  <c r="J195" i="84"/>
  <c r="F195" i="84"/>
  <c r="B195" i="84"/>
  <c r="A195" i="84"/>
  <c r="G194" i="84"/>
  <c r="H194" i="84"/>
  <c r="I194" i="84"/>
  <c r="C194" i="84"/>
  <c r="M194" i="84"/>
  <c r="K194" i="84"/>
  <c r="J194" i="84"/>
  <c r="F194" i="84"/>
  <c r="B194" i="84"/>
  <c r="A194" i="84"/>
  <c r="G193" i="84"/>
  <c r="H193" i="84"/>
  <c r="I193" i="84"/>
  <c r="C193" i="84"/>
  <c r="M193" i="84"/>
  <c r="K193" i="84"/>
  <c r="J193" i="84"/>
  <c r="F193" i="84"/>
  <c r="B193" i="84"/>
  <c r="A193" i="84"/>
  <c r="G192" i="84"/>
  <c r="H192" i="84"/>
  <c r="I192" i="84"/>
  <c r="C192" i="84"/>
  <c r="M192" i="84"/>
  <c r="K192" i="84"/>
  <c r="J192" i="84"/>
  <c r="F192" i="84"/>
  <c r="B192" i="84"/>
  <c r="A192" i="84"/>
  <c r="G191" i="84"/>
  <c r="H191" i="84"/>
  <c r="I191" i="84"/>
  <c r="C191" i="84"/>
  <c r="M191" i="84"/>
  <c r="K191" i="84"/>
  <c r="J191" i="84"/>
  <c r="F191" i="84"/>
  <c r="B191" i="84"/>
  <c r="A191" i="84"/>
  <c r="G190" i="84"/>
  <c r="H190" i="84"/>
  <c r="I190" i="84"/>
  <c r="C190" i="84"/>
  <c r="M190" i="84"/>
  <c r="K190" i="84"/>
  <c r="J190" i="84"/>
  <c r="F190" i="84"/>
  <c r="B190" i="84"/>
  <c r="A190" i="84"/>
  <c r="G189" i="84"/>
  <c r="H189" i="84"/>
  <c r="I189" i="84"/>
  <c r="C189" i="84"/>
  <c r="M189" i="84"/>
  <c r="K189" i="84"/>
  <c r="J189" i="84"/>
  <c r="F189" i="84"/>
  <c r="B189" i="84"/>
  <c r="A189" i="84"/>
  <c r="G188" i="84"/>
  <c r="H188" i="84"/>
  <c r="I188" i="84"/>
  <c r="C188" i="84"/>
  <c r="M188" i="84"/>
  <c r="K188" i="84"/>
  <c r="J188" i="84"/>
  <c r="F188" i="84"/>
  <c r="B188" i="84"/>
  <c r="A188" i="84"/>
  <c r="G187" i="84"/>
  <c r="H187" i="84"/>
  <c r="I187" i="84"/>
  <c r="C187" i="84"/>
  <c r="M187" i="84"/>
  <c r="K187" i="84"/>
  <c r="J187" i="84"/>
  <c r="F187" i="84"/>
  <c r="B187" i="84"/>
  <c r="A187" i="84"/>
  <c r="G186" i="84"/>
  <c r="H186" i="84"/>
  <c r="I186" i="84"/>
  <c r="C186" i="84"/>
  <c r="M186" i="84"/>
  <c r="K186" i="84"/>
  <c r="J186" i="84"/>
  <c r="F186" i="84"/>
  <c r="B186" i="84"/>
  <c r="A186" i="84"/>
  <c r="G185" i="84"/>
  <c r="H185" i="84"/>
  <c r="I185" i="84"/>
  <c r="C185" i="84"/>
  <c r="M185" i="84"/>
  <c r="K185" i="84"/>
  <c r="J185" i="84"/>
  <c r="F185" i="84"/>
  <c r="B185" i="84"/>
  <c r="A185" i="84"/>
  <c r="G184" i="84"/>
  <c r="H184" i="84"/>
  <c r="I184" i="84"/>
  <c r="C184" i="84"/>
  <c r="M184" i="84"/>
  <c r="K184" i="84"/>
  <c r="J184" i="84"/>
  <c r="F184" i="84"/>
  <c r="B184" i="84"/>
  <c r="A184" i="84"/>
  <c r="G183" i="84"/>
  <c r="H183" i="84"/>
  <c r="I183" i="84"/>
  <c r="C183" i="84"/>
  <c r="M183" i="84"/>
  <c r="K183" i="84"/>
  <c r="J183" i="84"/>
  <c r="F183" i="84"/>
  <c r="B183" i="84"/>
  <c r="A183" i="84"/>
  <c r="G182" i="84"/>
  <c r="H182" i="84"/>
  <c r="I182" i="84"/>
  <c r="C182" i="84"/>
  <c r="M182" i="84"/>
  <c r="K182" i="84"/>
  <c r="J182" i="84"/>
  <c r="F182" i="84"/>
  <c r="B182" i="84"/>
  <c r="A182" i="84"/>
  <c r="G181" i="84"/>
  <c r="H181" i="84"/>
  <c r="I181" i="84"/>
  <c r="C181" i="84"/>
  <c r="M181" i="84"/>
  <c r="K181" i="84"/>
  <c r="J181" i="84"/>
  <c r="F181" i="84"/>
  <c r="B181" i="84"/>
  <c r="A181" i="84"/>
  <c r="G180" i="84"/>
  <c r="H180" i="84"/>
  <c r="I180" i="84"/>
  <c r="C180" i="84"/>
  <c r="M180" i="84"/>
  <c r="K180" i="84"/>
  <c r="J180" i="84"/>
  <c r="F180" i="84"/>
  <c r="B180" i="84"/>
  <c r="A180" i="84"/>
  <c r="G179" i="84"/>
  <c r="H179" i="84"/>
  <c r="I179" i="84"/>
  <c r="C179" i="84"/>
  <c r="M179" i="84"/>
  <c r="K179" i="84"/>
  <c r="J179" i="84"/>
  <c r="F179" i="84"/>
  <c r="B179" i="84"/>
  <c r="A179" i="84"/>
  <c r="G178" i="84"/>
  <c r="H178" i="84"/>
  <c r="I178" i="84"/>
  <c r="C178" i="84"/>
  <c r="M178" i="84"/>
  <c r="K178" i="84"/>
  <c r="J178" i="84"/>
  <c r="F178" i="84"/>
  <c r="B178" i="84"/>
  <c r="A178" i="84"/>
  <c r="G177" i="84"/>
  <c r="H177" i="84"/>
  <c r="I177" i="84"/>
  <c r="C177" i="84"/>
  <c r="M177" i="84"/>
  <c r="K177" i="84"/>
  <c r="J177" i="84"/>
  <c r="F177" i="84"/>
  <c r="B177" i="84"/>
  <c r="A177" i="84"/>
  <c r="G176" i="84"/>
  <c r="H176" i="84"/>
  <c r="I176" i="84"/>
  <c r="C176" i="84"/>
  <c r="M176" i="84"/>
  <c r="K176" i="84"/>
  <c r="J176" i="84"/>
  <c r="F176" i="84"/>
  <c r="B176" i="84"/>
  <c r="A176" i="84"/>
  <c r="G175" i="84"/>
  <c r="H175" i="84"/>
  <c r="I175" i="84"/>
  <c r="C175" i="84"/>
  <c r="M175" i="84"/>
  <c r="K175" i="84"/>
  <c r="J175" i="84"/>
  <c r="F175" i="84"/>
  <c r="B175" i="84"/>
  <c r="A175" i="84"/>
  <c r="G174" i="84"/>
  <c r="H174" i="84"/>
  <c r="I174" i="84"/>
  <c r="C174" i="84"/>
  <c r="M174" i="84"/>
  <c r="K174" i="84"/>
  <c r="J174" i="84"/>
  <c r="F174" i="84"/>
  <c r="B174" i="84"/>
  <c r="A174" i="84"/>
  <c r="G173" i="84"/>
  <c r="H173" i="84"/>
  <c r="I173" i="84"/>
  <c r="C173" i="84"/>
  <c r="M173" i="84"/>
  <c r="K173" i="84"/>
  <c r="J173" i="84"/>
  <c r="F173" i="84"/>
  <c r="B173" i="84"/>
  <c r="A173" i="84"/>
  <c r="G172" i="84"/>
  <c r="H172" i="84"/>
  <c r="I172" i="84"/>
  <c r="C172" i="84"/>
  <c r="M172" i="84"/>
  <c r="K172" i="84"/>
  <c r="J172" i="84"/>
  <c r="F172" i="84"/>
  <c r="B172" i="84"/>
  <c r="A172" i="84"/>
  <c r="G171" i="84"/>
  <c r="H171" i="84"/>
  <c r="I171" i="84"/>
  <c r="C171" i="84"/>
  <c r="M171" i="84"/>
  <c r="K171" i="84"/>
  <c r="J171" i="84"/>
  <c r="F171" i="84"/>
  <c r="B171" i="84"/>
  <c r="A171" i="84"/>
  <c r="G170" i="84"/>
  <c r="H170" i="84"/>
  <c r="I170" i="84"/>
  <c r="C170" i="84"/>
  <c r="M170" i="84"/>
  <c r="K170" i="84"/>
  <c r="J170" i="84"/>
  <c r="F170" i="84"/>
  <c r="B170" i="84"/>
  <c r="A170" i="84"/>
  <c r="G169" i="84"/>
  <c r="H169" i="84"/>
  <c r="I169" i="84"/>
  <c r="C169" i="84"/>
  <c r="M169" i="84"/>
  <c r="K169" i="84"/>
  <c r="J169" i="84"/>
  <c r="F169" i="84"/>
  <c r="B169" i="84"/>
  <c r="A169" i="84"/>
  <c r="G168" i="84"/>
  <c r="H168" i="84"/>
  <c r="I168" i="84"/>
  <c r="C168" i="84"/>
  <c r="M168" i="84"/>
  <c r="K168" i="84"/>
  <c r="J168" i="84"/>
  <c r="F168" i="84"/>
  <c r="B168" i="84"/>
  <c r="A168" i="84"/>
  <c r="G167" i="84"/>
  <c r="H167" i="84"/>
  <c r="I167" i="84"/>
  <c r="C167" i="84"/>
  <c r="M167" i="84"/>
  <c r="K167" i="84"/>
  <c r="J167" i="84"/>
  <c r="F167" i="84"/>
  <c r="B167" i="84"/>
  <c r="A167" i="84"/>
  <c r="G166" i="84"/>
  <c r="H166" i="84"/>
  <c r="I166" i="84"/>
  <c r="C166" i="84"/>
  <c r="M166" i="84"/>
  <c r="K166" i="84"/>
  <c r="J166" i="84"/>
  <c r="F166" i="84"/>
  <c r="B166" i="84"/>
  <c r="A166" i="84"/>
  <c r="G165" i="84"/>
  <c r="H165" i="84"/>
  <c r="I165" i="84"/>
  <c r="C165" i="84"/>
  <c r="M165" i="84"/>
  <c r="K165" i="84"/>
  <c r="J165" i="84"/>
  <c r="F165" i="84"/>
  <c r="B165" i="84"/>
  <c r="A165" i="84"/>
  <c r="G164" i="84"/>
  <c r="H164" i="84"/>
  <c r="I164" i="84"/>
  <c r="C164" i="84"/>
  <c r="M164" i="84"/>
  <c r="K164" i="84"/>
  <c r="J164" i="84"/>
  <c r="F164" i="84"/>
  <c r="B164" i="84"/>
  <c r="A164" i="84"/>
  <c r="G163" i="84"/>
  <c r="H163" i="84"/>
  <c r="I163" i="84"/>
  <c r="C163" i="84"/>
  <c r="M163" i="84"/>
  <c r="K163" i="84"/>
  <c r="J163" i="84"/>
  <c r="F163" i="84"/>
  <c r="B163" i="84"/>
  <c r="A163" i="84"/>
  <c r="G162" i="84"/>
  <c r="H162" i="84"/>
  <c r="I162" i="84"/>
  <c r="C162" i="84"/>
  <c r="M162" i="84"/>
  <c r="K162" i="84"/>
  <c r="J162" i="84"/>
  <c r="F162" i="84"/>
  <c r="B162" i="84"/>
  <c r="A162" i="84"/>
  <c r="G161" i="84"/>
  <c r="H161" i="84"/>
  <c r="I161" i="84"/>
  <c r="C161" i="84"/>
  <c r="M161" i="84"/>
  <c r="K161" i="84"/>
  <c r="J161" i="84"/>
  <c r="F161" i="84"/>
  <c r="B161" i="84"/>
  <c r="A161" i="84"/>
  <c r="G160" i="84"/>
  <c r="H160" i="84"/>
  <c r="I160" i="84"/>
  <c r="C160" i="84"/>
  <c r="M160" i="84"/>
  <c r="K160" i="84"/>
  <c r="J160" i="84"/>
  <c r="F160" i="84"/>
  <c r="B160" i="84"/>
  <c r="A160" i="84"/>
  <c r="G159" i="84"/>
  <c r="H159" i="84"/>
  <c r="I159" i="84"/>
  <c r="C159" i="84"/>
  <c r="M159" i="84"/>
  <c r="K159" i="84"/>
  <c r="J159" i="84"/>
  <c r="F159" i="84"/>
  <c r="B159" i="84"/>
  <c r="A159" i="84"/>
  <c r="G158" i="84"/>
  <c r="H158" i="84"/>
  <c r="I158" i="84"/>
  <c r="C158" i="84"/>
  <c r="M158" i="84"/>
  <c r="K158" i="84"/>
  <c r="J158" i="84"/>
  <c r="F158" i="84"/>
  <c r="B158" i="84"/>
  <c r="A158" i="84"/>
  <c r="G157" i="84"/>
  <c r="H157" i="84"/>
  <c r="I157" i="84"/>
  <c r="C157" i="84"/>
  <c r="M157" i="84"/>
  <c r="K157" i="84"/>
  <c r="J157" i="84"/>
  <c r="F157" i="84"/>
  <c r="B157" i="84"/>
  <c r="A157" i="84"/>
  <c r="G156" i="84"/>
  <c r="H156" i="84"/>
  <c r="I156" i="84"/>
  <c r="C156" i="84"/>
  <c r="M156" i="84"/>
  <c r="K156" i="84"/>
  <c r="J156" i="84"/>
  <c r="F156" i="84"/>
  <c r="B156" i="84"/>
  <c r="A156" i="84"/>
  <c r="G155" i="84"/>
  <c r="H155" i="84"/>
  <c r="I155" i="84"/>
  <c r="C155" i="84"/>
  <c r="M155" i="84"/>
  <c r="K155" i="84"/>
  <c r="J155" i="84"/>
  <c r="F155" i="84"/>
  <c r="B155" i="84"/>
  <c r="A155" i="84"/>
  <c r="G154" i="84"/>
  <c r="H154" i="84"/>
  <c r="I154" i="84"/>
  <c r="C154" i="84"/>
  <c r="M154" i="84"/>
  <c r="K154" i="84"/>
  <c r="J154" i="84"/>
  <c r="F154" i="84"/>
  <c r="B154" i="84"/>
  <c r="A154" i="84"/>
  <c r="G153" i="84"/>
  <c r="H153" i="84"/>
  <c r="I153" i="84"/>
  <c r="C153" i="84"/>
  <c r="M153" i="84"/>
  <c r="K153" i="84"/>
  <c r="J153" i="84"/>
  <c r="F153" i="84"/>
  <c r="B153" i="84"/>
  <c r="A153" i="84"/>
  <c r="G152" i="84"/>
  <c r="H152" i="84"/>
  <c r="I152" i="84"/>
  <c r="C152" i="84"/>
  <c r="M152" i="84"/>
  <c r="K152" i="84"/>
  <c r="J152" i="84"/>
  <c r="F152" i="84"/>
  <c r="B152" i="84"/>
  <c r="A152" i="84"/>
  <c r="G151" i="84"/>
  <c r="H151" i="84"/>
  <c r="I151" i="84"/>
  <c r="C151" i="84"/>
  <c r="M151" i="84"/>
  <c r="K151" i="84"/>
  <c r="J151" i="84"/>
  <c r="F151" i="84"/>
  <c r="B151" i="84"/>
  <c r="A151" i="84"/>
  <c r="G150" i="84"/>
  <c r="H150" i="84"/>
  <c r="I150" i="84"/>
  <c r="C150" i="84"/>
  <c r="M150" i="84"/>
  <c r="K150" i="84"/>
  <c r="J150" i="84"/>
  <c r="F150" i="84"/>
  <c r="B150" i="84"/>
  <c r="A150" i="84"/>
  <c r="G149" i="84"/>
  <c r="H149" i="84"/>
  <c r="I149" i="84"/>
  <c r="C149" i="84"/>
  <c r="M149" i="84"/>
  <c r="K149" i="84"/>
  <c r="J149" i="84"/>
  <c r="F149" i="84"/>
  <c r="B149" i="84"/>
  <c r="A149" i="84"/>
  <c r="G148" i="84"/>
  <c r="H148" i="84"/>
  <c r="I148" i="84"/>
  <c r="C148" i="84"/>
  <c r="M148" i="84"/>
  <c r="K148" i="84"/>
  <c r="J148" i="84"/>
  <c r="F148" i="84"/>
  <c r="B148" i="84"/>
  <c r="A148" i="84"/>
  <c r="G147" i="84"/>
  <c r="H147" i="84"/>
  <c r="I147" i="84"/>
  <c r="C147" i="84"/>
  <c r="M147" i="84"/>
  <c r="K147" i="84"/>
  <c r="J147" i="84"/>
  <c r="F147" i="84"/>
  <c r="B147" i="84"/>
  <c r="A147" i="84"/>
  <c r="G146" i="84"/>
  <c r="H146" i="84"/>
  <c r="I146" i="84"/>
  <c r="C146" i="84"/>
  <c r="M146" i="84"/>
  <c r="K146" i="84"/>
  <c r="J146" i="84"/>
  <c r="F146" i="84"/>
  <c r="B146" i="84"/>
  <c r="A146" i="84"/>
  <c r="G145" i="84"/>
  <c r="H145" i="84"/>
  <c r="I145" i="84"/>
  <c r="C145" i="84"/>
  <c r="M145" i="84"/>
  <c r="K145" i="84"/>
  <c r="J145" i="84"/>
  <c r="F145" i="84"/>
  <c r="B145" i="84"/>
  <c r="A145" i="84"/>
  <c r="G144" i="84"/>
  <c r="H144" i="84"/>
  <c r="I144" i="84"/>
  <c r="C144" i="84"/>
  <c r="M144" i="84"/>
  <c r="K144" i="84"/>
  <c r="J144" i="84"/>
  <c r="F144" i="84"/>
  <c r="B144" i="84"/>
  <c r="A144" i="84"/>
  <c r="G143" i="84"/>
  <c r="H143" i="84"/>
  <c r="I143" i="84"/>
  <c r="C143" i="84"/>
  <c r="M143" i="84"/>
  <c r="K143" i="84"/>
  <c r="J143" i="84"/>
  <c r="F143" i="84"/>
  <c r="B143" i="84"/>
  <c r="A143" i="84"/>
  <c r="G142" i="84"/>
  <c r="H142" i="84"/>
  <c r="I142" i="84"/>
  <c r="C142" i="84"/>
  <c r="M142" i="84"/>
  <c r="K142" i="84"/>
  <c r="J142" i="84"/>
  <c r="F142" i="84"/>
  <c r="B142" i="84"/>
  <c r="A142" i="84"/>
  <c r="G141" i="84"/>
  <c r="H141" i="84"/>
  <c r="I141" i="84"/>
  <c r="C141" i="84"/>
  <c r="M141" i="84"/>
  <c r="K141" i="84"/>
  <c r="J141" i="84"/>
  <c r="F141" i="84"/>
  <c r="B141" i="84"/>
  <c r="A141" i="84"/>
  <c r="G140" i="84"/>
  <c r="H140" i="84"/>
  <c r="I140" i="84"/>
  <c r="C140" i="84"/>
  <c r="M140" i="84"/>
  <c r="K140" i="84"/>
  <c r="J140" i="84"/>
  <c r="F140" i="84"/>
  <c r="B140" i="84"/>
  <c r="A140" i="84"/>
  <c r="G139" i="84"/>
  <c r="H139" i="84"/>
  <c r="I139" i="84"/>
  <c r="C139" i="84"/>
  <c r="M139" i="84"/>
  <c r="K139" i="84"/>
  <c r="J139" i="84"/>
  <c r="F139" i="84"/>
  <c r="B139" i="84"/>
  <c r="A139" i="84"/>
  <c r="G138" i="84"/>
  <c r="H138" i="84"/>
  <c r="I138" i="84"/>
  <c r="C138" i="84"/>
  <c r="M138" i="84"/>
  <c r="K138" i="84"/>
  <c r="J138" i="84"/>
  <c r="F138" i="84"/>
  <c r="B138" i="84"/>
  <c r="A138" i="84"/>
  <c r="G137" i="84"/>
  <c r="H137" i="84"/>
  <c r="I137" i="84"/>
  <c r="C137" i="84"/>
  <c r="M137" i="84"/>
  <c r="K137" i="84"/>
  <c r="J137" i="84"/>
  <c r="F137" i="84"/>
  <c r="B137" i="84"/>
  <c r="A137" i="84"/>
  <c r="G136" i="84"/>
  <c r="H136" i="84"/>
  <c r="I136" i="84"/>
  <c r="C136" i="84"/>
  <c r="M136" i="84"/>
  <c r="K136" i="84"/>
  <c r="J136" i="84"/>
  <c r="F136" i="84"/>
  <c r="B136" i="84"/>
  <c r="A136" i="84"/>
  <c r="G135" i="84"/>
  <c r="H135" i="84"/>
  <c r="I135" i="84"/>
  <c r="C135" i="84"/>
  <c r="M135" i="84"/>
  <c r="K135" i="84"/>
  <c r="J135" i="84"/>
  <c r="F135" i="84"/>
  <c r="B135" i="84"/>
  <c r="A135" i="84"/>
  <c r="G134" i="84"/>
  <c r="H134" i="84"/>
  <c r="I134" i="84"/>
  <c r="C134" i="84"/>
  <c r="M134" i="84"/>
  <c r="K134" i="84"/>
  <c r="J134" i="84"/>
  <c r="F134" i="84"/>
  <c r="B134" i="84"/>
  <c r="A134" i="84"/>
  <c r="G133" i="84"/>
  <c r="H133" i="84"/>
  <c r="I133" i="84"/>
  <c r="C133" i="84"/>
  <c r="M133" i="84"/>
  <c r="K133" i="84"/>
  <c r="J133" i="84"/>
  <c r="F133" i="84"/>
  <c r="B133" i="84"/>
  <c r="A133" i="84"/>
  <c r="G132" i="84"/>
  <c r="H132" i="84"/>
  <c r="I132" i="84"/>
  <c r="C132" i="84"/>
  <c r="M132" i="84"/>
  <c r="K132" i="84"/>
  <c r="J132" i="84"/>
  <c r="F132" i="84"/>
  <c r="B132" i="84"/>
  <c r="A132" i="84"/>
  <c r="G131" i="84"/>
  <c r="H131" i="84"/>
  <c r="I131" i="84"/>
  <c r="C131" i="84"/>
  <c r="M131" i="84"/>
  <c r="K131" i="84"/>
  <c r="J131" i="84"/>
  <c r="F131" i="84"/>
  <c r="B131" i="84"/>
  <c r="A131" i="84"/>
  <c r="G130" i="84"/>
  <c r="H130" i="84"/>
  <c r="I130" i="84"/>
  <c r="C130" i="84"/>
  <c r="M130" i="84"/>
  <c r="K130" i="84"/>
  <c r="J130" i="84"/>
  <c r="F130" i="84"/>
  <c r="B130" i="84"/>
  <c r="A130" i="84"/>
  <c r="G129" i="84"/>
  <c r="H129" i="84"/>
  <c r="I129" i="84"/>
  <c r="C129" i="84"/>
  <c r="M129" i="84"/>
  <c r="K129" i="84"/>
  <c r="J129" i="84"/>
  <c r="F129" i="84"/>
  <c r="B129" i="84"/>
  <c r="A129" i="84"/>
  <c r="G128" i="84"/>
  <c r="H128" i="84"/>
  <c r="I128" i="84"/>
  <c r="C128" i="84"/>
  <c r="M128" i="84"/>
  <c r="K128" i="84"/>
  <c r="J128" i="84"/>
  <c r="F128" i="84"/>
  <c r="B128" i="84"/>
  <c r="A128" i="84"/>
  <c r="G127" i="84"/>
  <c r="H127" i="84"/>
  <c r="I127" i="84"/>
  <c r="C127" i="84"/>
  <c r="M127" i="84"/>
  <c r="K127" i="84"/>
  <c r="J127" i="84"/>
  <c r="F127" i="84"/>
  <c r="B127" i="84"/>
  <c r="A127" i="84"/>
  <c r="G126" i="84"/>
  <c r="H126" i="84"/>
  <c r="I126" i="84"/>
  <c r="C126" i="84"/>
  <c r="M126" i="84"/>
  <c r="K126" i="84"/>
  <c r="J126" i="84"/>
  <c r="F126" i="84"/>
  <c r="B126" i="84"/>
  <c r="A126" i="84"/>
  <c r="G125" i="84"/>
  <c r="H125" i="84"/>
  <c r="I125" i="84"/>
  <c r="C125" i="84"/>
  <c r="M125" i="84"/>
  <c r="K125" i="84"/>
  <c r="J125" i="84"/>
  <c r="F125" i="84"/>
  <c r="B125" i="84"/>
  <c r="A125" i="84"/>
  <c r="G124" i="84"/>
  <c r="H124" i="84"/>
  <c r="I124" i="84"/>
  <c r="C124" i="84"/>
  <c r="M124" i="84"/>
  <c r="K124" i="84"/>
  <c r="J124" i="84"/>
  <c r="F124" i="84"/>
  <c r="B124" i="84"/>
  <c r="A124" i="84"/>
  <c r="G123" i="84"/>
  <c r="H123" i="84"/>
  <c r="I123" i="84"/>
  <c r="C123" i="84"/>
  <c r="M123" i="84"/>
  <c r="K123" i="84"/>
  <c r="J123" i="84"/>
  <c r="F123" i="84"/>
  <c r="B123" i="84"/>
  <c r="A123" i="84"/>
  <c r="G122" i="84"/>
  <c r="H122" i="84"/>
  <c r="I122" i="84"/>
  <c r="C122" i="84"/>
  <c r="M122" i="84"/>
  <c r="K122" i="84"/>
  <c r="J122" i="84"/>
  <c r="F122" i="84"/>
  <c r="B122" i="84"/>
  <c r="A122" i="84"/>
  <c r="G121" i="84"/>
  <c r="H121" i="84"/>
  <c r="I121" i="84"/>
  <c r="C121" i="84"/>
  <c r="M121" i="84"/>
  <c r="K121" i="84"/>
  <c r="J121" i="84"/>
  <c r="F121" i="84"/>
  <c r="B121" i="84"/>
  <c r="A121" i="84"/>
  <c r="G120" i="84"/>
  <c r="H120" i="84"/>
  <c r="I120" i="84"/>
  <c r="C120" i="84"/>
  <c r="M120" i="84"/>
  <c r="K120" i="84"/>
  <c r="J120" i="84"/>
  <c r="F120" i="84"/>
  <c r="B120" i="84"/>
  <c r="A120" i="84"/>
  <c r="G119" i="84"/>
  <c r="H119" i="84"/>
  <c r="I119" i="84"/>
  <c r="C119" i="84"/>
  <c r="M119" i="84"/>
  <c r="K119" i="84"/>
  <c r="J119" i="84"/>
  <c r="F119" i="84"/>
  <c r="B119" i="84"/>
  <c r="A119" i="84"/>
  <c r="G118" i="84"/>
  <c r="H118" i="84"/>
  <c r="I118" i="84"/>
  <c r="C118" i="84"/>
  <c r="M118" i="84"/>
  <c r="K118" i="84"/>
  <c r="J118" i="84"/>
  <c r="F118" i="84"/>
  <c r="B118" i="84"/>
  <c r="A118" i="84"/>
  <c r="G117" i="84"/>
  <c r="H117" i="84"/>
  <c r="I117" i="84"/>
  <c r="C117" i="84"/>
  <c r="M117" i="84"/>
  <c r="K117" i="84"/>
  <c r="J117" i="84"/>
  <c r="F117" i="84"/>
  <c r="B117" i="84"/>
  <c r="A117" i="84"/>
  <c r="G116" i="84"/>
  <c r="H116" i="84"/>
  <c r="I116" i="84"/>
  <c r="C116" i="84"/>
  <c r="M116" i="84"/>
  <c r="K116" i="84"/>
  <c r="J116" i="84"/>
  <c r="F116" i="84"/>
  <c r="B116" i="84"/>
  <c r="A116" i="84"/>
  <c r="G115" i="84"/>
  <c r="H115" i="84"/>
  <c r="I115" i="84"/>
  <c r="C115" i="84"/>
  <c r="M115" i="84"/>
  <c r="K115" i="84"/>
  <c r="J115" i="84"/>
  <c r="F115" i="84"/>
  <c r="B115" i="84"/>
  <c r="A115" i="84"/>
  <c r="G114" i="84"/>
  <c r="H114" i="84"/>
  <c r="I114" i="84"/>
  <c r="C114" i="84"/>
  <c r="M114" i="84"/>
  <c r="K114" i="84"/>
  <c r="J114" i="84"/>
  <c r="F114" i="84"/>
  <c r="B114" i="84"/>
  <c r="A114" i="84"/>
  <c r="G113" i="84"/>
  <c r="H113" i="84"/>
  <c r="I113" i="84"/>
  <c r="C113" i="84"/>
  <c r="M113" i="84"/>
  <c r="K113" i="84"/>
  <c r="J113" i="84"/>
  <c r="F113" i="84"/>
  <c r="B113" i="84"/>
  <c r="A113" i="84"/>
  <c r="G112" i="84"/>
  <c r="H112" i="84"/>
  <c r="I112" i="84"/>
  <c r="C112" i="84"/>
  <c r="M112" i="84"/>
  <c r="K112" i="84"/>
  <c r="J112" i="84"/>
  <c r="F112" i="84"/>
  <c r="B112" i="84"/>
  <c r="A112" i="84"/>
  <c r="G111" i="84"/>
  <c r="H111" i="84"/>
  <c r="I111" i="84"/>
  <c r="C111" i="84"/>
  <c r="M111" i="84"/>
  <c r="K111" i="84"/>
  <c r="J111" i="84"/>
  <c r="F111" i="84"/>
  <c r="B111" i="84"/>
  <c r="A111" i="84"/>
  <c r="G110" i="84"/>
  <c r="H110" i="84"/>
  <c r="I110" i="84"/>
  <c r="C110" i="84"/>
  <c r="M110" i="84"/>
  <c r="K110" i="84"/>
  <c r="J110" i="84"/>
  <c r="F110" i="84"/>
  <c r="B110" i="84"/>
  <c r="A110" i="84"/>
  <c r="G109" i="84"/>
  <c r="H109" i="84"/>
  <c r="I109" i="84"/>
  <c r="C109" i="84"/>
  <c r="M109" i="84"/>
  <c r="K109" i="84"/>
  <c r="J109" i="84"/>
  <c r="F109" i="84"/>
  <c r="B109" i="84"/>
  <c r="A109" i="84"/>
  <c r="G108" i="84"/>
  <c r="H108" i="84"/>
  <c r="I108" i="84"/>
  <c r="C108" i="84"/>
  <c r="M108" i="84"/>
  <c r="K108" i="84"/>
  <c r="J108" i="84"/>
  <c r="F108" i="84"/>
  <c r="B108" i="84"/>
  <c r="A108" i="84"/>
  <c r="G107" i="84"/>
  <c r="H107" i="84"/>
  <c r="I107" i="84"/>
  <c r="C107" i="84"/>
  <c r="M107" i="84"/>
  <c r="K107" i="84"/>
  <c r="J107" i="84"/>
  <c r="F107" i="84"/>
  <c r="B107" i="84"/>
  <c r="A107" i="84"/>
  <c r="G106" i="84"/>
  <c r="H106" i="84"/>
  <c r="I106" i="84"/>
  <c r="C106" i="84"/>
  <c r="M106" i="84"/>
  <c r="K106" i="84"/>
  <c r="J106" i="84"/>
  <c r="F106" i="84"/>
  <c r="B106" i="84"/>
  <c r="A106" i="84"/>
  <c r="G105" i="84"/>
  <c r="H105" i="84"/>
  <c r="I105" i="84"/>
  <c r="C105" i="84"/>
  <c r="M105" i="84"/>
  <c r="K105" i="84"/>
  <c r="J105" i="84"/>
  <c r="F105" i="84"/>
  <c r="B105" i="84"/>
  <c r="A105" i="84"/>
  <c r="G104" i="84"/>
  <c r="H104" i="84"/>
  <c r="I104" i="84"/>
  <c r="C104" i="84"/>
  <c r="M104" i="84"/>
  <c r="K104" i="84"/>
  <c r="J104" i="84"/>
  <c r="F104" i="84"/>
  <c r="B104" i="84"/>
  <c r="A104" i="84"/>
  <c r="G103" i="84"/>
  <c r="H103" i="84"/>
  <c r="I103" i="84"/>
  <c r="C103" i="84"/>
  <c r="M103" i="84"/>
  <c r="K103" i="84"/>
  <c r="J103" i="84"/>
  <c r="F103" i="84"/>
  <c r="B103" i="84"/>
  <c r="A103" i="84"/>
  <c r="G102" i="84"/>
  <c r="H102" i="84"/>
  <c r="I102" i="84"/>
  <c r="C102" i="84"/>
  <c r="M102" i="84"/>
  <c r="K102" i="84"/>
  <c r="J102" i="84"/>
  <c r="F102" i="84"/>
  <c r="B102" i="84"/>
  <c r="A102" i="84"/>
  <c r="G101" i="84"/>
  <c r="H101" i="84"/>
  <c r="I101" i="84"/>
  <c r="C101" i="84"/>
  <c r="M101" i="84"/>
  <c r="K101" i="84"/>
  <c r="J101" i="84"/>
  <c r="F101" i="84"/>
  <c r="B101" i="84"/>
  <c r="A101" i="84"/>
  <c r="G100" i="84"/>
  <c r="H100" i="84"/>
  <c r="I100" i="84"/>
  <c r="C100" i="84"/>
  <c r="M100" i="84"/>
  <c r="K100" i="84"/>
  <c r="J100" i="84"/>
  <c r="F100" i="84"/>
  <c r="B100" i="84"/>
  <c r="A100" i="84"/>
  <c r="G99" i="84"/>
  <c r="H99" i="84"/>
  <c r="I99" i="84"/>
  <c r="C99" i="84"/>
  <c r="M99" i="84"/>
  <c r="K99" i="84"/>
  <c r="J99" i="84"/>
  <c r="F99" i="84"/>
  <c r="B99" i="84"/>
  <c r="A99" i="84"/>
  <c r="G98" i="84"/>
  <c r="H98" i="84"/>
  <c r="I98" i="84"/>
  <c r="C98" i="84"/>
  <c r="M98" i="84"/>
  <c r="K98" i="84"/>
  <c r="J98" i="84"/>
  <c r="F98" i="84"/>
  <c r="B98" i="84"/>
  <c r="A98" i="84"/>
  <c r="G97" i="84"/>
  <c r="H97" i="84"/>
  <c r="I97" i="84"/>
  <c r="C97" i="84"/>
  <c r="M97" i="84"/>
  <c r="K97" i="84"/>
  <c r="J97" i="84"/>
  <c r="F97" i="84"/>
  <c r="B97" i="84"/>
  <c r="A97" i="84"/>
  <c r="G96" i="84"/>
  <c r="H96" i="84"/>
  <c r="I96" i="84"/>
  <c r="C96" i="84"/>
  <c r="M96" i="84"/>
  <c r="K96" i="84"/>
  <c r="J96" i="84"/>
  <c r="F96" i="84"/>
  <c r="B96" i="84"/>
  <c r="A96" i="84"/>
  <c r="G95" i="84"/>
  <c r="H95" i="84"/>
  <c r="I95" i="84"/>
  <c r="C95" i="84"/>
  <c r="M95" i="84"/>
  <c r="K95" i="84"/>
  <c r="J95" i="84"/>
  <c r="F95" i="84"/>
  <c r="B95" i="84"/>
  <c r="A95" i="84"/>
  <c r="G94" i="84"/>
  <c r="H94" i="84"/>
  <c r="I94" i="84"/>
  <c r="C94" i="84"/>
  <c r="M94" i="84"/>
  <c r="K94" i="84"/>
  <c r="J94" i="84"/>
  <c r="F94" i="84"/>
  <c r="B94" i="84"/>
  <c r="A94" i="84"/>
  <c r="G93" i="84"/>
  <c r="H93" i="84"/>
  <c r="I93" i="84"/>
  <c r="C93" i="84"/>
  <c r="M93" i="84"/>
  <c r="K93" i="84"/>
  <c r="J93" i="84"/>
  <c r="F93" i="84"/>
  <c r="B93" i="84"/>
  <c r="A93" i="84"/>
  <c r="G92" i="84"/>
  <c r="H92" i="84"/>
  <c r="I92" i="84"/>
  <c r="C92" i="84"/>
  <c r="M92" i="84"/>
  <c r="K92" i="84"/>
  <c r="J92" i="84"/>
  <c r="F92" i="84"/>
  <c r="B92" i="84"/>
  <c r="A92" i="84"/>
  <c r="G91" i="84"/>
  <c r="H91" i="84"/>
  <c r="I91" i="84"/>
  <c r="C91" i="84"/>
  <c r="M91" i="84"/>
  <c r="K91" i="84"/>
  <c r="J91" i="84"/>
  <c r="F91" i="84"/>
  <c r="B91" i="84"/>
  <c r="A91" i="84"/>
  <c r="G90" i="84"/>
  <c r="H90" i="84"/>
  <c r="I90" i="84"/>
  <c r="C90" i="84"/>
  <c r="M90" i="84"/>
  <c r="K90" i="84"/>
  <c r="J90" i="84"/>
  <c r="F90" i="84"/>
  <c r="B90" i="84"/>
  <c r="A90" i="84"/>
  <c r="G89" i="84"/>
  <c r="H89" i="84"/>
  <c r="I89" i="84"/>
  <c r="C89" i="84"/>
  <c r="M89" i="84"/>
  <c r="K89" i="84"/>
  <c r="J89" i="84"/>
  <c r="F89" i="84"/>
  <c r="B89" i="84"/>
  <c r="A89" i="84"/>
  <c r="G88" i="84"/>
  <c r="H88" i="84"/>
  <c r="I88" i="84"/>
  <c r="C88" i="84"/>
  <c r="M88" i="84"/>
  <c r="K88" i="84"/>
  <c r="J88" i="84"/>
  <c r="F88" i="84"/>
  <c r="B88" i="84"/>
  <c r="A88" i="84"/>
  <c r="G87" i="84"/>
  <c r="H87" i="84"/>
  <c r="I87" i="84"/>
  <c r="C87" i="84"/>
  <c r="M87" i="84"/>
  <c r="K87" i="84"/>
  <c r="J87" i="84"/>
  <c r="F87" i="84"/>
  <c r="B87" i="84"/>
  <c r="A87" i="84"/>
  <c r="G86" i="84"/>
  <c r="H86" i="84"/>
  <c r="I86" i="84"/>
  <c r="C86" i="84"/>
  <c r="M86" i="84"/>
  <c r="K86" i="84"/>
  <c r="J86" i="84"/>
  <c r="F86" i="84"/>
  <c r="B86" i="84"/>
  <c r="A86" i="84"/>
  <c r="G85" i="84"/>
  <c r="H85" i="84"/>
  <c r="I85" i="84"/>
  <c r="C85" i="84"/>
  <c r="M85" i="84"/>
  <c r="K85" i="84"/>
  <c r="J85" i="84"/>
  <c r="F85" i="84"/>
  <c r="B85" i="84"/>
  <c r="A85" i="84"/>
  <c r="G84" i="84"/>
  <c r="H84" i="84"/>
  <c r="I84" i="84"/>
  <c r="C84" i="84"/>
  <c r="M84" i="84"/>
  <c r="K84" i="84"/>
  <c r="J84" i="84"/>
  <c r="F84" i="84"/>
  <c r="B84" i="84"/>
  <c r="A84" i="84"/>
  <c r="G83" i="84"/>
  <c r="H83" i="84"/>
  <c r="I83" i="84"/>
  <c r="C83" i="84"/>
  <c r="M83" i="84"/>
  <c r="K83" i="84"/>
  <c r="J83" i="84"/>
  <c r="F83" i="84"/>
  <c r="B83" i="84"/>
  <c r="A83" i="84"/>
  <c r="G82" i="84"/>
  <c r="H82" i="84"/>
  <c r="I82" i="84"/>
  <c r="C82" i="84"/>
  <c r="M82" i="84"/>
  <c r="K82" i="84"/>
  <c r="J82" i="84"/>
  <c r="F82" i="84"/>
  <c r="B82" i="84"/>
  <c r="A82" i="84"/>
  <c r="G81" i="84"/>
  <c r="H81" i="84"/>
  <c r="I81" i="84"/>
  <c r="C81" i="84"/>
  <c r="M81" i="84"/>
  <c r="K81" i="84"/>
  <c r="J81" i="84"/>
  <c r="F81" i="84"/>
  <c r="B81" i="84"/>
  <c r="A81" i="84"/>
  <c r="G80" i="84"/>
  <c r="H80" i="84"/>
  <c r="I80" i="84"/>
  <c r="C80" i="84"/>
  <c r="M80" i="84"/>
  <c r="K80" i="84"/>
  <c r="J80" i="84"/>
  <c r="F80" i="84"/>
  <c r="B80" i="84"/>
  <c r="A80" i="84"/>
  <c r="G79" i="84"/>
  <c r="H79" i="84"/>
  <c r="I79" i="84"/>
  <c r="C79" i="84"/>
  <c r="M79" i="84"/>
  <c r="K79" i="84"/>
  <c r="J79" i="84"/>
  <c r="F79" i="84"/>
  <c r="B79" i="84"/>
  <c r="A79" i="84"/>
  <c r="G78" i="84"/>
  <c r="H78" i="84"/>
  <c r="I78" i="84"/>
  <c r="C78" i="84"/>
  <c r="M78" i="84"/>
  <c r="K78" i="84"/>
  <c r="J78" i="84"/>
  <c r="F78" i="84"/>
  <c r="B78" i="84"/>
  <c r="A78" i="84"/>
  <c r="G77" i="84"/>
  <c r="H77" i="84"/>
  <c r="I77" i="84"/>
  <c r="C77" i="84"/>
  <c r="M77" i="84"/>
  <c r="K77" i="84"/>
  <c r="J77" i="84"/>
  <c r="F77" i="84"/>
  <c r="B77" i="84"/>
  <c r="A77" i="84"/>
  <c r="G76" i="84"/>
  <c r="H76" i="84"/>
  <c r="I76" i="84"/>
  <c r="C76" i="84"/>
  <c r="M76" i="84"/>
  <c r="K76" i="84"/>
  <c r="J76" i="84"/>
  <c r="F76" i="84"/>
  <c r="B76" i="84"/>
  <c r="A76" i="84"/>
  <c r="G75" i="84"/>
  <c r="H75" i="84"/>
  <c r="I75" i="84"/>
  <c r="C75" i="84"/>
  <c r="M75" i="84"/>
  <c r="K75" i="84"/>
  <c r="J75" i="84"/>
  <c r="F75" i="84"/>
  <c r="B75" i="84"/>
  <c r="A75" i="84"/>
  <c r="G74" i="84"/>
  <c r="H74" i="84"/>
  <c r="I74" i="84"/>
  <c r="C74" i="84"/>
  <c r="M74" i="84"/>
  <c r="K74" i="84"/>
  <c r="J74" i="84"/>
  <c r="F74" i="84"/>
  <c r="B74" i="84"/>
  <c r="A74" i="84"/>
  <c r="G73" i="84"/>
  <c r="H73" i="84"/>
  <c r="I73" i="84"/>
  <c r="C73" i="84"/>
  <c r="M73" i="84"/>
  <c r="K73" i="84"/>
  <c r="J73" i="84"/>
  <c r="F73" i="84"/>
  <c r="B73" i="84"/>
  <c r="A73" i="84"/>
  <c r="G72" i="84"/>
  <c r="H72" i="84"/>
  <c r="I72" i="84"/>
  <c r="C72" i="84"/>
  <c r="M72" i="84"/>
  <c r="K72" i="84"/>
  <c r="J72" i="84"/>
  <c r="F72" i="84"/>
  <c r="B72" i="84"/>
  <c r="A72" i="84"/>
  <c r="G71" i="84"/>
  <c r="H71" i="84"/>
  <c r="I71" i="84"/>
  <c r="C71" i="84"/>
  <c r="M71" i="84"/>
  <c r="K71" i="84"/>
  <c r="J71" i="84"/>
  <c r="F71" i="84"/>
  <c r="B71" i="84"/>
  <c r="A71" i="84"/>
  <c r="G70" i="84"/>
  <c r="H70" i="84"/>
  <c r="I70" i="84"/>
  <c r="C70" i="84"/>
  <c r="M70" i="84"/>
  <c r="K70" i="84"/>
  <c r="J70" i="84"/>
  <c r="F70" i="84"/>
  <c r="B70" i="84"/>
  <c r="A70" i="84"/>
  <c r="G69" i="84"/>
  <c r="H69" i="84"/>
  <c r="I69" i="84"/>
  <c r="C69" i="84"/>
  <c r="M69" i="84"/>
  <c r="K69" i="84"/>
  <c r="J69" i="84"/>
  <c r="F69" i="84"/>
  <c r="B69" i="84"/>
  <c r="A69" i="84"/>
  <c r="G68" i="84"/>
  <c r="H68" i="84"/>
  <c r="I68" i="84"/>
  <c r="C68" i="84"/>
  <c r="M68" i="84"/>
  <c r="K68" i="84"/>
  <c r="J68" i="84"/>
  <c r="F68" i="84"/>
  <c r="B68" i="84"/>
  <c r="A68" i="84"/>
  <c r="G67" i="84"/>
  <c r="H67" i="84"/>
  <c r="I67" i="84"/>
  <c r="C67" i="84"/>
  <c r="M67" i="84"/>
  <c r="K67" i="84"/>
  <c r="J67" i="84"/>
  <c r="F67" i="84"/>
  <c r="B67" i="84"/>
  <c r="A67" i="84"/>
  <c r="G66" i="84"/>
  <c r="H66" i="84"/>
  <c r="I66" i="84"/>
  <c r="C66" i="84"/>
  <c r="M66" i="84"/>
  <c r="K66" i="84"/>
  <c r="J66" i="84"/>
  <c r="F66" i="84"/>
  <c r="B66" i="84"/>
  <c r="A66" i="84"/>
  <c r="G65" i="84"/>
  <c r="H65" i="84"/>
  <c r="I65" i="84"/>
  <c r="C65" i="84"/>
  <c r="M65" i="84"/>
  <c r="K65" i="84"/>
  <c r="J65" i="84"/>
  <c r="F65" i="84"/>
  <c r="B65" i="84"/>
  <c r="A65" i="84"/>
  <c r="G64" i="84"/>
  <c r="H64" i="84"/>
  <c r="I64" i="84"/>
  <c r="C64" i="84"/>
  <c r="M64" i="84"/>
  <c r="K64" i="84"/>
  <c r="J64" i="84"/>
  <c r="F64" i="84"/>
  <c r="B64" i="84"/>
  <c r="A64" i="84"/>
  <c r="G63" i="84"/>
  <c r="H63" i="84"/>
  <c r="I63" i="84"/>
  <c r="C63" i="84"/>
  <c r="M63" i="84"/>
  <c r="K63" i="84"/>
  <c r="J63" i="84"/>
  <c r="F63" i="84"/>
  <c r="B63" i="84"/>
  <c r="A63" i="84"/>
  <c r="G62" i="84"/>
  <c r="H62" i="84"/>
  <c r="I62" i="84"/>
  <c r="C62" i="84"/>
  <c r="M62" i="84"/>
  <c r="K62" i="84"/>
  <c r="J62" i="84"/>
  <c r="F62" i="84"/>
  <c r="B62" i="84"/>
  <c r="A62" i="84"/>
  <c r="G61" i="84"/>
  <c r="H61" i="84"/>
  <c r="I61" i="84"/>
  <c r="C61" i="84"/>
  <c r="M61" i="84"/>
  <c r="K61" i="84"/>
  <c r="J61" i="84"/>
  <c r="F61" i="84"/>
  <c r="B61" i="84"/>
  <c r="A61" i="84"/>
  <c r="G60" i="84"/>
  <c r="H60" i="84"/>
  <c r="I60" i="84"/>
  <c r="C60" i="84"/>
  <c r="M60" i="84"/>
  <c r="K60" i="84"/>
  <c r="J60" i="84"/>
  <c r="F60" i="84"/>
  <c r="B60" i="84"/>
  <c r="A60" i="84"/>
  <c r="G59" i="84"/>
  <c r="H59" i="84"/>
  <c r="I59" i="84"/>
  <c r="C59" i="84"/>
  <c r="M59" i="84"/>
  <c r="K59" i="84"/>
  <c r="J59" i="84"/>
  <c r="F59" i="84"/>
  <c r="B59" i="84"/>
  <c r="A59" i="84"/>
  <c r="G58" i="84"/>
  <c r="H58" i="84"/>
  <c r="I58" i="84"/>
  <c r="C58" i="84"/>
  <c r="M58" i="84"/>
  <c r="K58" i="84"/>
  <c r="J58" i="84"/>
  <c r="F58" i="84"/>
  <c r="B58" i="84"/>
  <c r="A58" i="84"/>
  <c r="G57" i="84"/>
  <c r="H57" i="84"/>
  <c r="I57" i="84"/>
  <c r="C57" i="84"/>
  <c r="M57" i="84"/>
  <c r="K57" i="84"/>
  <c r="J57" i="84"/>
  <c r="F57" i="84"/>
  <c r="B57" i="84"/>
  <c r="A57" i="84"/>
  <c r="G56" i="84"/>
  <c r="H56" i="84"/>
  <c r="I56" i="84"/>
  <c r="C56" i="84"/>
  <c r="M56" i="84"/>
  <c r="K56" i="84"/>
  <c r="J56" i="84"/>
  <c r="F56" i="84"/>
  <c r="B56" i="84"/>
  <c r="A56" i="84"/>
  <c r="G55" i="84"/>
  <c r="H55" i="84"/>
  <c r="I55" i="84"/>
  <c r="C55" i="84"/>
  <c r="M55" i="84"/>
  <c r="K55" i="84"/>
  <c r="J55" i="84"/>
  <c r="F55" i="84"/>
  <c r="B55" i="84"/>
  <c r="A55" i="84"/>
  <c r="G54" i="84"/>
  <c r="H54" i="84"/>
  <c r="I54" i="84"/>
  <c r="C54" i="84"/>
  <c r="M54" i="84"/>
  <c r="K54" i="84"/>
  <c r="J54" i="84"/>
  <c r="F54" i="84"/>
  <c r="B54" i="84"/>
  <c r="A54" i="84"/>
  <c r="G53" i="84"/>
  <c r="H53" i="84"/>
  <c r="I53" i="84"/>
  <c r="C53" i="84"/>
  <c r="M53" i="84"/>
  <c r="K53" i="84"/>
  <c r="J53" i="84"/>
  <c r="F53" i="84"/>
  <c r="B53" i="84"/>
  <c r="A53" i="84"/>
  <c r="G52" i="84"/>
  <c r="H52" i="84"/>
  <c r="I52" i="84"/>
  <c r="C52" i="84"/>
  <c r="M52" i="84"/>
  <c r="K52" i="84"/>
  <c r="J52" i="84"/>
  <c r="F52" i="84"/>
  <c r="B52" i="84"/>
  <c r="A52" i="84"/>
  <c r="G51" i="84"/>
  <c r="H51" i="84"/>
  <c r="I51" i="84"/>
  <c r="C51" i="84"/>
  <c r="M51" i="84"/>
  <c r="K51" i="84"/>
  <c r="J51" i="84"/>
  <c r="F51" i="84"/>
  <c r="B51" i="84"/>
  <c r="A51" i="84"/>
  <c r="G50" i="84"/>
  <c r="H50" i="84"/>
  <c r="I50" i="84"/>
  <c r="C50" i="84"/>
  <c r="M50" i="84"/>
  <c r="K50" i="84"/>
  <c r="J50" i="84"/>
  <c r="F50" i="84"/>
  <c r="B50" i="84"/>
  <c r="A50" i="84"/>
  <c r="G49" i="84"/>
  <c r="H49" i="84"/>
  <c r="I49" i="84"/>
  <c r="C49" i="84"/>
  <c r="M49" i="84"/>
  <c r="K49" i="84"/>
  <c r="J49" i="84"/>
  <c r="F49" i="84"/>
  <c r="B49" i="84"/>
  <c r="A49" i="84"/>
  <c r="G48" i="84"/>
  <c r="H48" i="84"/>
  <c r="I48" i="84"/>
  <c r="C48" i="84"/>
  <c r="M48" i="84"/>
  <c r="K48" i="84"/>
  <c r="J48" i="84"/>
  <c r="F48" i="84"/>
  <c r="B48" i="84"/>
  <c r="A48" i="84"/>
  <c r="G47" i="84"/>
  <c r="H47" i="84"/>
  <c r="I47" i="84"/>
  <c r="C47" i="84"/>
  <c r="M47" i="84"/>
  <c r="K47" i="84"/>
  <c r="J47" i="84"/>
  <c r="F47" i="84"/>
  <c r="B47" i="84"/>
  <c r="A47" i="84"/>
  <c r="G46" i="84"/>
  <c r="H46" i="84"/>
  <c r="I46" i="84"/>
  <c r="C46" i="84"/>
  <c r="M46" i="84"/>
  <c r="K46" i="84"/>
  <c r="J46" i="84"/>
  <c r="F46" i="84"/>
  <c r="B46" i="84"/>
  <c r="A46" i="84"/>
  <c r="G45" i="84"/>
  <c r="H45" i="84"/>
  <c r="I45" i="84"/>
  <c r="C45" i="84"/>
  <c r="M45" i="84"/>
  <c r="K45" i="84"/>
  <c r="J45" i="84"/>
  <c r="F45" i="84"/>
  <c r="B45" i="84"/>
  <c r="A45" i="84"/>
  <c r="G44" i="84"/>
  <c r="H44" i="84"/>
  <c r="I44" i="84"/>
  <c r="C44" i="84"/>
  <c r="M44" i="84"/>
  <c r="K44" i="84"/>
  <c r="J44" i="84"/>
  <c r="F44" i="84"/>
  <c r="B44" i="84"/>
  <c r="A44" i="84"/>
  <c r="G43" i="84"/>
  <c r="H43" i="84"/>
  <c r="I43" i="84"/>
  <c r="C43" i="84"/>
  <c r="M43" i="84"/>
  <c r="K43" i="84"/>
  <c r="J43" i="84"/>
  <c r="F43" i="84"/>
  <c r="B43" i="84"/>
  <c r="A43" i="84"/>
  <c r="G42" i="84"/>
  <c r="H42" i="84"/>
  <c r="I42" i="84"/>
  <c r="C42" i="84"/>
  <c r="M42" i="84"/>
  <c r="K42" i="84"/>
  <c r="J42" i="84"/>
  <c r="F42" i="84"/>
  <c r="B42" i="84"/>
  <c r="A42" i="84"/>
  <c r="G41" i="84"/>
  <c r="H41" i="84"/>
  <c r="I41" i="84"/>
  <c r="C41" i="84"/>
  <c r="M41" i="84"/>
  <c r="K41" i="84"/>
  <c r="J41" i="84"/>
  <c r="F41" i="84"/>
  <c r="B41" i="84"/>
  <c r="A41" i="84"/>
  <c r="G40" i="84"/>
  <c r="H40" i="84"/>
  <c r="I40" i="84"/>
  <c r="C40" i="84"/>
  <c r="M40" i="84"/>
  <c r="K40" i="84"/>
  <c r="J40" i="84"/>
  <c r="F40" i="84"/>
  <c r="B40" i="84"/>
  <c r="A40" i="84"/>
  <c r="G39" i="84"/>
  <c r="H39" i="84"/>
  <c r="I39" i="84"/>
  <c r="C39" i="84"/>
  <c r="M39" i="84"/>
  <c r="K39" i="84"/>
  <c r="J39" i="84"/>
  <c r="F39" i="84"/>
  <c r="B39" i="84"/>
  <c r="A39" i="84"/>
  <c r="G38" i="84"/>
  <c r="H38" i="84"/>
  <c r="I38" i="84"/>
  <c r="C38" i="84"/>
  <c r="M38" i="84"/>
  <c r="K38" i="84"/>
  <c r="J38" i="84"/>
  <c r="F38" i="84"/>
  <c r="B38" i="84"/>
  <c r="A38" i="84"/>
  <c r="G37" i="84"/>
  <c r="H37" i="84"/>
  <c r="I37" i="84"/>
  <c r="C37" i="84"/>
  <c r="M37" i="84"/>
  <c r="K37" i="84"/>
  <c r="J37" i="84"/>
  <c r="F37" i="84"/>
  <c r="B37" i="84"/>
  <c r="A37" i="84"/>
  <c r="G36" i="84"/>
  <c r="H36" i="84"/>
  <c r="I36" i="84"/>
  <c r="C36" i="84"/>
  <c r="M36" i="84"/>
  <c r="K36" i="84"/>
  <c r="J36" i="84"/>
  <c r="F36" i="84"/>
  <c r="B36" i="84"/>
  <c r="A36" i="84"/>
  <c r="G35" i="84"/>
  <c r="H35" i="84"/>
  <c r="I35" i="84"/>
  <c r="C35" i="84"/>
  <c r="M35" i="84"/>
  <c r="K35" i="84"/>
  <c r="J35" i="84"/>
  <c r="F35" i="84"/>
  <c r="B35" i="84"/>
  <c r="A35" i="84"/>
  <c r="G34" i="84"/>
  <c r="H34" i="84"/>
  <c r="I34" i="84"/>
  <c r="C34" i="84"/>
  <c r="M34" i="84"/>
  <c r="K34" i="84"/>
  <c r="J34" i="84"/>
  <c r="F34" i="84"/>
  <c r="B34" i="84"/>
  <c r="A34" i="84"/>
  <c r="G33" i="84"/>
  <c r="H33" i="84"/>
  <c r="I33" i="84"/>
  <c r="C33" i="84"/>
  <c r="M33" i="84"/>
  <c r="K33" i="84"/>
  <c r="J33" i="84"/>
  <c r="F33" i="84"/>
  <c r="B33" i="84"/>
  <c r="A33" i="84"/>
  <c r="G32" i="84"/>
  <c r="H32" i="84"/>
  <c r="I32" i="84"/>
  <c r="C32" i="84"/>
  <c r="M32" i="84"/>
  <c r="K32" i="84"/>
  <c r="J32" i="84"/>
  <c r="F32" i="84"/>
  <c r="B32" i="84"/>
  <c r="A32" i="84"/>
  <c r="G31" i="84"/>
  <c r="H31" i="84"/>
  <c r="I31" i="84"/>
  <c r="C31" i="84"/>
  <c r="M31" i="84"/>
  <c r="K31" i="84"/>
  <c r="J31" i="84"/>
  <c r="F31" i="84"/>
  <c r="B31" i="84"/>
  <c r="A31" i="84"/>
  <c r="G30" i="84"/>
  <c r="H30" i="84"/>
  <c r="I30" i="84"/>
  <c r="C30" i="84"/>
  <c r="M30" i="84"/>
  <c r="K30" i="84"/>
  <c r="J30" i="84"/>
  <c r="F30" i="84"/>
  <c r="B30" i="84"/>
  <c r="A30" i="84"/>
  <c r="G29" i="84"/>
  <c r="H29" i="84"/>
  <c r="I29" i="84"/>
  <c r="C29" i="84"/>
  <c r="M29" i="84"/>
  <c r="K29" i="84"/>
  <c r="J29" i="84"/>
  <c r="F29" i="84"/>
  <c r="B29" i="84"/>
  <c r="A29" i="84"/>
  <c r="G28" i="84"/>
  <c r="H28" i="84"/>
  <c r="I28" i="84"/>
  <c r="C28" i="84"/>
  <c r="M28" i="84"/>
  <c r="K28" i="84"/>
  <c r="J28" i="84"/>
  <c r="F28" i="84"/>
  <c r="B28" i="84"/>
  <c r="A28" i="84"/>
  <c r="G27" i="84"/>
  <c r="H27" i="84"/>
  <c r="I27" i="84"/>
  <c r="C27" i="84"/>
  <c r="M27" i="84"/>
  <c r="K27" i="84"/>
  <c r="J27" i="84"/>
  <c r="F27" i="84"/>
  <c r="B27" i="84"/>
  <c r="A27" i="84"/>
  <c r="G26" i="84"/>
  <c r="H26" i="84"/>
  <c r="I26" i="84"/>
  <c r="C26" i="84"/>
  <c r="M26" i="84"/>
  <c r="K26" i="84"/>
  <c r="J26" i="84"/>
  <c r="F26" i="84"/>
  <c r="B26" i="84"/>
  <c r="A26" i="84"/>
  <c r="G25" i="84"/>
  <c r="H25" i="84"/>
  <c r="I25" i="84"/>
  <c r="C25" i="84"/>
  <c r="M25" i="84"/>
  <c r="K25" i="84"/>
  <c r="J25" i="84"/>
  <c r="F25" i="84"/>
  <c r="B25" i="84"/>
  <c r="A25" i="84"/>
  <c r="G24" i="84"/>
  <c r="H24" i="84"/>
  <c r="I24" i="84"/>
  <c r="C24" i="84"/>
  <c r="M24" i="84"/>
  <c r="K24" i="84"/>
  <c r="J24" i="84"/>
  <c r="F24" i="84"/>
  <c r="B24" i="84"/>
  <c r="A24" i="84"/>
  <c r="G23" i="84"/>
  <c r="H23" i="84"/>
  <c r="I23" i="84"/>
  <c r="C23" i="84"/>
  <c r="M23" i="84"/>
  <c r="K23" i="84"/>
  <c r="J23" i="84"/>
  <c r="F23" i="84"/>
  <c r="B23" i="84"/>
  <c r="A23" i="84"/>
  <c r="G22" i="84"/>
  <c r="H22" i="84"/>
  <c r="I22" i="84"/>
  <c r="C22" i="84"/>
  <c r="M22" i="84"/>
  <c r="K22" i="84"/>
  <c r="J22" i="84"/>
  <c r="F22" i="84"/>
  <c r="B22" i="84"/>
  <c r="A22" i="84"/>
  <c r="G21" i="84"/>
  <c r="H21" i="84"/>
  <c r="I21" i="84"/>
  <c r="C21" i="84"/>
  <c r="M21" i="84"/>
  <c r="K21" i="84"/>
  <c r="J21" i="84"/>
  <c r="F21" i="84"/>
  <c r="B21" i="84"/>
  <c r="A21" i="84"/>
  <c r="G20" i="84"/>
  <c r="H20" i="84"/>
  <c r="I20" i="84"/>
  <c r="C20" i="84"/>
  <c r="M20" i="84"/>
  <c r="K20" i="84"/>
  <c r="J20" i="84"/>
  <c r="F20" i="84"/>
  <c r="B20" i="84"/>
  <c r="A20" i="84"/>
  <c r="G19" i="84"/>
  <c r="H19" i="84"/>
  <c r="I19" i="84"/>
  <c r="C19" i="84"/>
  <c r="M19" i="84"/>
  <c r="K19" i="84"/>
  <c r="J19" i="84"/>
  <c r="F19" i="84"/>
  <c r="B19" i="84"/>
  <c r="A19" i="84"/>
  <c r="G18" i="84"/>
  <c r="H18" i="84"/>
  <c r="I18" i="84"/>
  <c r="C18" i="84"/>
  <c r="M18" i="84"/>
  <c r="K18" i="84"/>
  <c r="J18" i="84"/>
  <c r="F18" i="84"/>
  <c r="B18" i="84"/>
  <c r="A18" i="84"/>
  <c r="G17" i="84"/>
  <c r="H17" i="84"/>
  <c r="I17" i="84"/>
  <c r="C17" i="84"/>
  <c r="M17" i="84"/>
  <c r="K17" i="84"/>
  <c r="J17" i="84"/>
  <c r="F17" i="84"/>
  <c r="B17" i="84"/>
  <c r="A17" i="84"/>
  <c r="G16" i="84"/>
  <c r="H16" i="84"/>
  <c r="I16" i="84"/>
  <c r="C16" i="84"/>
  <c r="M16" i="84"/>
  <c r="K16" i="84"/>
  <c r="J16" i="84"/>
  <c r="F16" i="84"/>
  <c r="B16" i="84"/>
  <c r="A16" i="84"/>
  <c r="G15" i="84"/>
  <c r="H15" i="84"/>
  <c r="I15" i="84"/>
  <c r="C15" i="84"/>
  <c r="M15" i="84"/>
  <c r="K15" i="84"/>
  <c r="J15" i="84"/>
  <c r="F15" i="84"/>
  <c r="B15" i="84"/>
  <c r="A15" i="84"/>
  <c r="G14" i="84"/>
  <c r="H14" i="84"/>
  <c r="I14" i="84"/>
  <c r="C14" i="84"/>
  <c r="M14" i="84"/>
  <c r="K14" i="84"/>
  <c r="J14" i="84"/>
  <c r="F14" i="84"/>
  <c r="B14" i="84"/>
  <c r="A14" i="84"/>
  <c r="G13" i="84"/>
  <c r="H13" i="84"/>
  <c r="I13" i="84"/>
  <c r="C13" i="84"/>
  <c r="M13" i="84"/>
  <c r="K13" i="84"/>
  <c r="J13" i="84"/>
  <c r="F13" i="84"/>
  <c r="B13" i="84"/>
  <c r="A13" i="84"/>
  <c r="G12" i="84"/>
  <c r="H12" i="84"/>
  <c r="I12" i="84"/>
  <c r="C12" i="84"/>
  <c r="M12" i="84"/>
  <c r="K12" i="84"/>
  <c r="J12" i="84"/>
  <c r="F12" i="84"/>
  <c r="B12" i="84"/>
  <c r="A12" i="84"/>
  <c r="G11" i="84"/>
  <c r="H11" i="84"/>
  <c r="I11" i="84"/>
  <c r="C11" i="84"/>
  <c r="M11" i="84"/>
  <c r="K11" i="84"/>
  <c r="J11" i="84"/>
  <c r="F11" i="84"/>
  <c r="B11" i="84"/>
  <c r="A11" i="84"/>
  <c r="G10" i="84"/>
  <c r="H10" i="84"/>
  <c r="I10" i="84"/>
  <c r="C10" i="84"/>
  <c r="M10" i="84"/>
  <c r="K10" i="84"/>
  <c r="J10" i="84"/>
  <c r="F10" i="84"/>
  <c r="B10" i="84"/>
  <c r="A10" i="84"/>
  <c r="G9" i="84"/>
  <c r="H9" i="84"/>
  <c r="I9" i="84"/>
  <c r="C9" i="84"/>
  <c r="M9" i="84"/>
  <c r="K9" i="84"/>
  <c r="J9" i="84"/>
  <c r="F9" i="84"/>
  <c r="B9" i="84"/>
  <c r="A9" i="84"/>
  <c r="G8" i="84"/>
  <c r="H8" i="84"/>
  <c r="I8" i="84"/>
  <c r="C8" i="84"/>
  <c r="M8" i="84"/>
  <c r="K8" i="84"/>
  <c r="J8" i="84"/>
  <c r="F8" i="84"/>
  <c r="B8" i="84"/>
  <c r="A8" i="84"/>
  <c r="G7" i="84"/>
  <c r="H7" i="84"/>
  <c r="I7" i="84"/>
  <c r="C7" i="84"/>
  <c r="M7" i="84"/>
  <c r="K7" i="84"/>
  <c r="J7" i="84"/>
  <c r="F7" i="84"/>
  <c r="B7" i="84"/>
  <c r="A7" i="84"/>
  <c r="G6" i="84"/>
  <c r="H6" i="84"/>
  <c r="I6" i="84"/>
  <c r="C6" i="84"/>
  <c r="M6" i="84"/>
  <c r="K6" i="84"/>
  <c r="J6" i="84"/>
  <c r="F6" i="84"/>
  <c r="B6" i="84"/>
  <c r="A6" i="84"/>
  <c r="G5" i="84"/>
  <c r="H5" i="84"/>
  <c r="I5" i="84"/>
  <c r="C5" i="84"/>
  <c r="M5" i="84"/>
  <c r="K5" i="84"/>
  <c r="J5" i="84"/>
  <c r="F5" i="84"/>
  <c r="B5" i="84"/>
  <c r="A5" i="84"/>
  <c r="G4" i="84"/>
  <c r="H4" i="84"/>
  <c r="I4" i="84"/>
  <c r="C4" i="84"/>
  <c r="M4" i="84"/>
  <c r="K4" i="84"/>
  <c r="J4" i="84"/>
  <c r="F4" i="84"/>
  <c r="B4" i="84"/>
  <c r="A4" i="84"/>
  <c r="G3" i="84"/>
  <c r="H3" i="84"/>
  <c r="I3" i="84"/>
  <c r="C3" i="84"/>
  <c r="M3" i="84"/>
  <c r="K3" i="84"/>
  <c r="J3" i="84"/>
  <c r="F3" i="84"/>
  <c r="B3" i="84"/>
  <c r="A3" i="84"/>
  <c r="G2" i="84"/>
  <c r="H2" i="84"/>
  <c r="I2" i="84"/>
  <c r="C2" i="84"/>
  <c r="M2" i="84"/>
  <c r="K2" i="84"/>
  <c r="J2" i="84"/>
  <c r="F2" i="84"/>
  <c r="A2" i="84"/>
  <c r="G3" i="83"/>
  <c r="H3" i="83"/>
  <c r="I3" i="83"/>
  <c r="C3" i="83"/>
  <c r="M3" i="83"/>
  <c r="G4" i="83"/>
  <c r="H4" i="83"/>
  <c r="I4" i="83"/>
  <c r="C4" i="83"/>
  <c r="M4" i="83"/>
  <c r="G5" i="83"/>
  <c r="H5" i="83"/>
  <c r="I5" i="83"/>
  <c r="C5" i="83"/>
  <c r="M5" i="83"/>
  <c r="G6" i="83"/>
  <c r="H6" i="83"/>
  <c r="I6" i="83"/>
  <c r="C6" i="83"/>
  <c r="M6" i="83"/>
  <c r="G7" i="83"/>
  <c r="H7" i="83"/>
  <c r="I7" i="83"/>
  <c r="C7" i="83"/>
  <c r="M7" i="83"/>
  <c r="G8" i="83"/>
  <c r="H8" i="83"/>
  <c r="I8" i="83"/>
  <c r="C8" i="83"/>
  <c r="M8" i="83"/>
  <c r="G9" i="83"/>
  <c r="H9" i="83"/>
  <c r="I9" i="83"/>
  <c r="C9" i="83"/>
  <c r="M9" i="83"/>
  <c r="G10" i="83"/>
  <c r="H10" i="83"/>
  <c r="I10" i="83"/>
  <c r="C10" i="83"/>
  <c r="M10" i="83"/>
  <c r="G11" i="83"/>
  <c r="H11" i="83"/>
  <c r="I11" i="83"/>
  <c r="C11" i="83"/>
  <c r="M11" i="83"/>
  <c r="G12" i="83"/>
  <c r="H12" i="83"/>
  <c r="I12" i="83"/>
  <c r="C12" i="83"/>
  <c r="M12" i="83"/>
  <c r="G13" i="83"/>
  <c r="H13" i="83"/>
  <c r="I13" i="83"/>
  <c r="C13" i="83"/>
  <c r="M13" i="83"/>
  <c r="G14" i="83"/>
  <c r="H14" i="83"/>
  <c r="I14" i="83"/>
  <c r="C14" i="83"/>
  <c r="M14" i="83"/>
  <c r="G15" i="83"/>
  <c r="H15" i="83"/>
  <c r="I15" i="83"/>
  <c r="C15" i="83"/>
  <c r="M15" i="83"/>
  <c r="G16" i="83"/>
  <c r="H16" i="83"/>
  <c r="I16" i="83"/>
  <c r="C16" i="83"/>
  <c r="M16" i="83"/>
  <c r="G17" i="83"/>
  <c r="H17" i="83"/>
  <c r="I17" i="83"/>
  <c r="C17" i="83"/>
  <c r="M17" i="83"/>
  <c r="G18" i="83"/>
  <c r="H18" i="83"/>
  <c r="I18" i="83"/>
  <c r="C18" i="83"/>
  <c r="M18" i="83"/>
  <c r="G19" i="83"/>
  <c r="H19" i="83"/>
  <c r="I19" i="83"/>
  <c r="C19" i="83"/>
  <c r="M19" i="83"/>
  <c r="G20" i="83"/>
  <c r="H20" i="83"/>
  <c r="I20" i="83"/>
  <c r="C20" i="83"/>
  <c r="M20" i="83"/>
  <c r="G21" i="83"/>
  <c r="H21" i="83"/>
  <c r="I21" i="83"/>
  <c r="C21" i="83"/>
  <c r="M21" i="83"/>
  <c r="G22" i="83"/>
  <c r="H22" i="83"/>
  <c r="I22" i="83"/>
  <c r="C22" i="83"/>
  <c r="M22" i="83"/>
  <c r="G23" i="83"/>
  <c r="H23" i="83"/>
  <c r="I23" i="83"/>
  <c r="C23" i="83"/>
  <c r="M23" i="83"/>
  <c r="G24" i="83"/>
  <c r="H24" i="83"/>
  <c r="I24" i="83"/>
  <c r="C24" i="83"/>
  <c r="M24" i="83"/>
  <c r="G25" i="83"/>
  <c r="H25" i="83"/>
  <c r="I25" i="83"/>
  <c r="C25" i="83"/>
  <c r="M25" i="83"/>
  <c r="G26" i="83"/>
  <c r="H26" i="83"/>
  <c r="I26" i="83"/>
  <c r="C26" i="83"/>
  <c r="M26" i="83"/>
  <c r="G27" i="83"/>
  <c r="H27" i="83"/>
  <c r="I27" i="83"/>
  <c r="C27" i="83"/>
  <c r="M27" i="83"/>
  <c r="G28" i="83"/>
  <c r="H28" i="83"/>
  <c r="I28" i="83"/>
  <c r="C28" i="83"/>
  <c r="M28" i="83"/>
  <c r="G29" i="83"/>
  <c r="H29" i="83"/>
  <c r="I29" i="83"/>
  <c r="C29" i="83"/>
  <c r="M29" i="83"/>
  <c r="G30" i="83"/>
  <c r="H30" i="83"/>
  <c r="I30" i="83"/>
  <c r="C30" i="83"/>
  <c r="M30" i="83"/>
  <c r="G31" i="83"/>
  <c r="H31" i="83"/>
  <c r="I31" i="83"/>
  <c r="C31" i="83"/>
  <c r="M31" i="83"/>
  <c r="G32" i="83"/>
  <c r="H32" i="83"/>
  <c r="I32" i="83"/>
  <c r="C32" i="83"/>
  <c r="M32" i="83"/>
  <c r="G33" i="83"/>
  <c r="H33" i="83"/>
  <c r="I33" i="83"/>
  <c r="C33" i="83"/>
  <c r="M33" i="83"/>
  <c r="G34" i="83"/>
  <c r="H34" i="83"/>
  <c r="I34" i="83"/>
  <c r="C34" i="83"/>
  <c r="M34" i="83"/>
  <c r="G35" i="83"/>
  <c r="H35" i="83"/>
  <c r="I35" i="83"/>
  <c r="C35" i="83"/>
  <c r="M35" i="83"/>
  <c r="G36" i="83"/>
  <c r="H36" i="83"/>
  <c r="I36" i="83"/>
  <c r="C36" i="83"/>
  <c r="M36" i="83"/>
  <c r="G37" i="83"/>
  <c r="H37" i="83"/>
  <c r="I37" i="83"/>
  <c r="C37" i="83"/>
  <c r="M37" i="83"/>
  <c r="G38" i="83"/>
  <c r="H38" i="83"/>
  <c r="I38" i="83"/>
  <c r="C38" i="83"/>
  <c r="M38" i="83"/>
  <c r="G39" i="83"/>
  <c r="H39" i="83"/>
  <c r="I39" i="83"/>
  <c r="C39" i="83"/>
  <c r="M39" i="83"/>
  <c r="G40" i="83"/>
  <c r="H40" i="83"/>
  <c r="I40" i="83"/>
  <c r="C40" i="83"/>
  <c r="M40" i="83"/>
  <c r="G41" i="83"/>
  <c r="H41" i="83"/>
  <c r="I41" i="83"/>
  <c r="C41" i="83"/>
  <c r="M41" i="83"/>
  <c r="G42" i="83"/>
  <c r="H42" i="83"/>
  <c r="I42" i="83"/>
  <c r="C42" i="83"/>
  <c r="M42" i="83"/>
  <c r="G43" i="83"/>
  <c r="H43" i="83"/>
  <c r="I43" i="83"/>
  <c r="C43" i="83"/>
  <c r="M43" i="83"/>
  <c r="G44" i="83"/>
  <c r="H44" i="83"/>
  <c r="I44" i="83"/>
  <c r="C44" i="83"/>
  <c r="M44" i="83"/>
  <c r="G45" i="83"/>
  <c r="H45" i="83"/>
  <c r="I45" i="83"/>
  <c r="C45" i="83"/>
  <c r="M45" i="83"/>
  <c r="G46" i="83"/>
  <c r="H46" i="83"/>
  <c r="I46" i="83"/>
  <c r="C46" i="83"/>
  <c r="M46" i="83"/>
  <c r="G47" i="83"/>
  <c r="H47" i="83"/>
  <c r="I47" i="83"/>
  <c r="C47" i="83"/>
  <c r="M47" i="83"/>
  <c r="G48" i="83"/>
  <c r="H48" i="83"/>
  <c r="I48" i="83"/>
  <c r="C48" i="83"/>
  <c r="M48" i="83"/>
  <c r="G49" i="83"/>
  <c r="H49" i="83"/>
  <c r="I49" i="83"/>
  <c r="C49" i="83"/>
  <c r="M49" i="83"/>
  <c r="G50" i="83"/>
  <c r="H50" i="83"/>
  <c r="I50" i="83"/>
  <c r="C50" i="83"/>
  <c r="M50" i="83"/>
  <c r="G51" i="83"/>
  <c r="H51" i="83"/>
  <c r="I51" i="83"/>
  <c r="C51" i="83"/>
  <c r="M51" i="83"/>
  <c r="G52" i="83"/>
  <c r="H52" i="83"/>
  <c r="I52" i="83"/>
  <c r="C52" i="83"/>
  <c r="M52" i="83"/>
  <c r="G53" i="83"/>
  <c r="H53" i="83"/>
  <c r="I53" i="83"/>
  <c r="C53" i="83"/>
  <c r="M53" i="83"/>
  <c r="G54" i="83"/>
  <c r="H54" i="83"/>
  <c r="I54" i="83"/>
  <c r="C54" i="83"/>
  <c r="M54" i="83"/>
  <c r="G55" i="83"/>
  <c r="H55" i="83"/>
  <c r="I55" i="83"/>
  <c r="C55" i="83"/>
  <c r="M55" i="83"/>
  <c r="G56" i="83"/>
  <c r="H56" i="83"/>
  <c r="I56" i="83"/>
  <c r="C56" i="83"/>
  <c r="M56" i="83"/>
  <c r="G57" i="83"/>
  <c r="H57" i="83"/>
  <c r="I57" i="83"/>
  <c r="C57" i="83"/>
  <c r="M57" i="83"/>
  <c r="G58" i="83"/>
  <c r="H58" i="83"/>
  <c r="I58" i="83"/>
  <c r="C58" i="83"/>
  <c r="M58" i="83"/>
  <c r="G59" i="83"/>
  <c r="H59" i="83"/>
  <c r="I59" i="83"/>
  <c r="C59" i="83"/>
  <c r="M59" i="83"/>
  <c r="G60" i="83"/>
  <c r="H60" i="83"/>
  <c r="I60" i="83"/>
  <c r="C60" i="83"/>
  <c r="M60" i="83"/>
  <c r="G61" i="83"/>
  <c r="H61" i="83"/>
  <c r="I61" i="83"/>
  <c r="C61" i="83"/>
  <c r="M61" i="83"/>
  <c r="G62" i="83"/>
  <c r="H62" i="83"/>
  <c r="I62" i="83"/>
  <c r="C62" i="83"/>
  <c r="M62" i="83"/>
  <c r="G63" i="83"/>
  <c r="H63" i="83"/>
  <c r="I63" i="83"/>
  <c r="C63" i="83"/>
  <c r="M63" i="83"/>
  <c r="G64" i="83"/>
  <c r="H64" i="83"/>
  <c r="I64" i="83"/>
  <c r="C64" i="83"/>
  <c r="M64" i="83"/>
  <c r="G65" i="83"/>
  <c r="H65" i="83"/>
  <c r="I65" i="83"/>
  <c r="C65" i="83"/>
  <c r="M65" i="83"/>
  <c r="G66" i="83"/>
  <c r="H66" i="83"/>
  <c r="I66" i="83"/>
  <c r="C66" i="83"/>
  <c r="M66" i="83"/>
  <c r="G67" i="83"/>
  <c r="H67" i="83"/>
  <c r="I67" i="83"/>
  <c r="C67" i="83"/>
  <c r="M67" i="83"/>
  <c r="G68" i="83"/>
  <c r="H68" i="83"/>
  <c r="I68" i="83"/>
  <c r="C68" i="83"/>
  <c r="M68" i="83"/>
  <c r="G69" i="83"/>
  <c r="H69" i="83"/>
  <c r="I69" i="83"/>
  <c r="C69" i="83"/>
  <c r="M69" i="83"/>
  <c r="G70" i="83"/>
  <c r="H70" i="83"/>
  <c r="I70" i="83"/>
  <c r="C70" i="83"/>
  <c r="M70" i="83"/>
  <c r="G71" i="83"/>
  <c r="H71" i="83"/>
  <c r="I71" i="83"/>
  <c r="C71" i="83"/>
  <c r="M71" i="83"/>
  <c r="G72" i="83"/>
  <c r="H72" i="83"/>
  <c r="I72" i="83"/>
  <c r="C72" i="83"/>
  <c r="M72" i="83"/>
  <c r="G73" i="83"/>
  <c r="H73" i="83"/>
  <c r="I73" i="83"/>
  <c r="C73" i="83"/>
  <c r="M73" i="83"/>
  <c r="G74" i="83"/>
  <c r="H74" i="83"/>
  <c r="I74" i="83"/>
  <c r="C74" i="83"/>
  <c r="M74" i="83"/>
  <c r="G75" i="83"/>
  <c r="H75" i="83"/>
  <c r="I75" i="83"/>
  <c r="C75" i="83"/>
  <c r="M75" i="83"/>
  <c r="G76" i="83"/>
  <c r="H76" i="83"/>
  <c r="I76" i="83"/>
  <c r="C76" i="83"/>
  <c r="M76" i="83"/>
  <c r="G77" i="83"/>
  <c r="H77" i="83"/>
  <c r="I77" i="83"/>
  <c r="C77" i="83"/>
  <c r="M77" i="83"/>
  <c r="G78" i="83"/>
  <c r="H78" i="83"/>
  <c r="I78" i="83"/>
  <c r="C78" i="83"/>
  <c r="M78" i="83"/>
  <c r="G79" i="83"/>
  <c r="H79" i="83"/>
  <c r="I79" i="83"/>
  <c r="C79" i="83"/>
  <c r="M79" i="83"/>
  <c r="G80" i="83"/>
  <c r="H80" i="83"/>
  <c r="I80" i="83"/>
  <c r="C80" i="83"/>
  <c r="M80" i="83"/>
  <c r="G81" i="83"/>
  <c r="H81" i="83"/>
  <c r="I81" i="83"/>
  <c r="C81" i="83"/>
  <c r="M81" i="83"/>
  <c r="G82" i="83"/>
  <c r="H82" i="83"/>
  <c r="I82" i="83"/>
  <c r="C82" i="83"/>
  <c r="M82" i="83"/>
  <c r="G83" i="83"/>
  <c r="H83" i="83"/>
  <c r="I83" i="83"/>
  <c r="C83" i="83"/>
  <c r="M83" i="83"/>
  <c r="G84" i="83"/>
  <c r="H84" i="83"/>
  <c r="I84" i="83"/>
  <c r="C84" i="83"/>
  <c r="M84" i="83"/>
  <c r="G85" i="83"/>
  <c r="H85" i="83"/>
  <c r="I85" i="83"/>
  <c r="C85" i="83"/>
  <c r="M85" i="83"/>
  <c r="G86" i="83"/>
  <c r="H86" i="83"/>
  <c r="I86" i="83"/>
  <c r="C86" i="83"/>
  <c r="M86" i="83"/>
  <c r="G87" i="83"/>
  <c r="H87" i="83"/>
  <c r="I87" i="83"/>
  <c r="C87" i="83"/>
  <c r="M87" i="83"/>
  <c r="G88" i="83"/>
  <c r="H88" i="83"/>
  <c r="I88" i="83"/>
  <c r="C88" i="83"/>
  <c r="M88" i="83"/>
  <c r="G89" i="83"/>
  <c r="H89" i="83"/>
  <c r="I89" i="83"/>
  <c r="C89" i="83"/>
  <c r="M89" i="83"/>
  <c r="G90" i="83"/>
  <c r="H90" i="83"/>
  <c r="I90" i="83"/>
  <c r="C90" i="83"/>
  <c r="M90" i="83"/>
  <c r="G91" i="83"/>
  <c r="H91" i="83"/>
  <c r="I91" i="83"/>
  <c r="C91" i="83"/>
  <c r="M91" i="83"/>
  <c r="G92" i="83"/>
  <c r="H92" i="83"/>
  <c r="I92" i="83"/>
  <c r="C92" i="83"/>
  <c r="M92" i="83"/>
  <c r="G93" i="83"/>
  <c r="H93" i="83"/>
  <c r="I93" i="83"/>
  <c r="C93" i="83"/>
  <c r="M93" i="83"/>
  <c r="G94" i="83"/>
  <c r="H94" i="83"/>
  <c r="I94" i="83"/>
  <c r="C94" i="83"/>
  <c r="M94" i="83"/>
  <c r="G95" i="83"/>
  <c r="H95" i="83"/>
  <c r="I95" i="83"/>
  <c r="C95" i="83"/>
  <c r="M95" i="83"/>
  <c r="G96" i="83"/>
  <c r="H96" i="83"/>
  <c r="I96" i="83"/>
  <c r="C96" i="83"/>
  <c r="M96" i="83"/>
  <c r="G97" i="83"/>
  <c r="H97" i="83"/>
  <c r="I97" i="83"/>
  <c r="C97" i="83"/>
  <c r="M97" i="83"/>
  <c r="G98" i="83"/>
  <c r="H98" i="83"/>
  <c r="I98" i="83"/>
  <c r="C98" i="83"/>
  <c r="M98" i="83"/>
  <c r="G99" i="83"/>
  <c r="H99" i="83"/>
  <c r="I99" i="83"/>
  <c r="C99" i="83"/>
  <c r="M99" i="83"/>
  <c r="G100" i="83"/>
  <c r="H100" i="83"/>
  <c r="I100" i="83"/>
  <c r="C100" i="83"/>
  <c r="M100" i="83"/>
  <c r="G101" i="83"/>
  <c r="H101" i="83"/>
  <c r="I101" i="83"/>
  <c r="C101" i="83"/>
  <c r="M101" i="83"/>
  <c r="G102" i="83"/>
  <c r="H102" i="83"/>
  <c r="I102" i="83"/>
  <c r="C102" i="83"/>
  <c r="M102" i="83"/>
  <c r="G103" i="83"/>
  <c r="H103" i="83"/>
  <c r="I103" i="83"/>
  <c r="C103" i="83"/>
  <c r="M103" i="83"/>
  <c r="G104" i="83"/>
  <c r="H104" i="83"/>
  <c r="I104" i="83"/>
  <c r="C104" i="83"/>
  <c r="M104" i="83"/>
  <c r="G105" i="83"/>
  <c r="H105" i="83"/>
  <c r="I105" i="83"/>
  <c r="C105" i="83"/>
  <c r="M105" i="83"/>
  <c r="G106" i="83"/>
  <c r="H106" i="83"/>
  <c r="I106" i="83"/>
  <c r="C106" i="83"/>
  <c r="M106" i="83"/>
  <c r="G107" i="83"/>
  <c r="H107" i="83"/>
  <c r="I107" i="83"/>
  <c r="C107" i="83"/>
  <c r="M107" i="83"/>
  <c r="G108" i="83"/>
  <c r="H108" i="83"/>
  <c r="I108" i="83"/>
  <c r="C108" i="83"/>
  <c r="M108" i="83"/>
  <c r="G109" i="83"/>
  <c r="H109" i="83"/>
  <c r="I109" i="83"/>
  <c r="C109" i="83"/>
  <c r="M109" i="83"/>
  <c r="G110" i="83"/>
  <c r="H110" i="83"/>
  <c r="I110" i="83"/>
  <c r="C110" i="83"/>
  <c r="M110" i="83"/>
  <c r="G111" i="83"/>
  <c r="H111" i="83"/>
  <c r="I111" i="83"/>
  <c r="C111" i="83"/>
  <c r="M111" i="83"/>
  <c r="G112" i="83"/>
  <c r="H112" i="83"/>
  <c r="I112" i="83"/>
  <c r="C112" i="83"/>
  <c r="M112" i="83"/>
  <c r="G113" i="83"/>
  <c r="H113" i="83"/>
  <c r="I113" i="83"/>
  <c r="C113" i="83"/>
  <c r="M113" i="83"/>
  <c r="G114" i="83"/>
  <c r="H114" i="83"/>
  <c r="I114" i="83"/>
  <c r="C114" i="83"/>
  <c r="M114" i="83"/>
  <c r="G115" i="83"/>
  <c r="H115" i="83"/>
  <c r="I115" i="83"/>
  <c r="C115" i="83"/>
  <c r="M115" i="83"/>
  <c r="G116" i="83"/>
  <c r="H116" i="83"/>
  <c r="I116" i="83"/>
  <c r="C116" i="83"/>
  <c r="M116" i="83"/>
  <c r="G117" i="83"/>
  <c r="H117" i="83"/>
  <c r="I117" i="83"/>
  <c r="C117" i="83"/>
  <c r="M117" i="83"/>
  <c r="G118" i="83"/>
  <c r="H118" i="83"/>
  <c r="I118" i="83"/>
  <c r="C118" i="83"/>
  <c r="M118" i="83"/>
  <c r="G119" i="83"/>
  <c r="H119" i="83"/>
  <c r="I119" i="83"/>
  <c r="C119" i="83"/>
  <c r="M119" i="83"/>
  <c r="G120" i="83"/>
  <c r="H120" i="83"/>
  <c r="I120" i="83"/>
  <c r="C120" i="83"/>
  <c r="M120" i="83"/>
  <c r="G121" i="83"/>
  <c r="H121" i="83"/>
  <c r="I121" i="83"/>
  <c r="C121" i="83"/>
  <c r="M121" i="83"/>
  <c r="G122" i="83"/>
  <c r="H122" i="83"/>
  <c r="I122" i="83"/>
  <c r="C122" i="83"/>
  <c r="M122" i="83"/>
  <c r="G123" i="83"/>
  <c r="H123" i="83"/>
  <c r="I123" i="83"/>
  <c r="C123" i="83"/>
  <c r="M123" i="83"/>
  <c r="G124" i="83"/>
  <c r="H124" i="83"/>
  <c r="I124" i="83"/>
  <c r="C124" i="83"/>
  <c r="M124" i="83"/>
  <c r="G125" i="83"/>
  <c r="H125" i="83"/>
  <c r="I125" i="83"/>
  <c r="C125" i="83"/>
  <c r="M125" i="83"/>
  <c r="G126" i="83"/>
  <c r="H126" i="83"/>
  <c r="I126" i="83"/>
  <c r="C126" i="83"/>
  <c r="M126" i="83"/>
  <c r="G127" i="83"/>
  <c r="H127" i="83"/>
  <c r="I127" i="83"/>
  <c r="C127" i="83"/>
  <c r="M127" i="83"/>
  <c r="G128" i="83"/>
  <c r="H128" i="83"/>
  <c r="I128" i="83"/>
  <c r="C128" i="83"/>
  <c r="M128" i="83"/>
  <c r="G129" i="83"/>
  <c r="H129" i="83"/>
  <c r="I129" i="83"/>
  <c r="C129" i="83"/>
  <c r="M129" i="83"/>
  <c r="G130" i="83"/>
  <c r="H130" i="83"/>
  <c r="I130" i="83"/>
  <c r="C130" i="83"/>
  <c r="M130" i="83"/>
  <c r="G131" i="83"/>
  <c r="H131" i="83"/>
  <c r="I131" i="83"/>
  <c r="C131" i="83"/>
  <c r="M131" i="83"/>
  <c r="G132" i="83"/>
  <c r="H132" i="83"/>
  <c r="I132" i="83"/>
  <c r="C132" i="83"/>
  <c r="M132" i="83"/>
  <c r="G133" i="83"/>
  <c r="H133" i="83"/>
  <c r="I133" i="83"/>
  <c r="C133" i="83"/>
  <c r="M133" i="83"/>
  <c r="G134" i="83"/>
  <c r="H134" i="83"/>
  <c r="I134" i="83"/>
  <c r="C134" i="83"/>
  <c r="M134" i="83"/>
  <c r="G135" i="83"/>
  <c r="H135" i="83"/>
  <c r="I135" i="83"/>
  <c r="C135" i="83"/>
  <c r="M135" i="83"/>
  <c r="G136" i="83"/>
  <c r="H136" i="83"/>
  <c r="I136" i="83"/>
  <c r="C136" i="83"/>
  <c r="M136" i="83"/>
  <c r="G137" i="83"/>
  <c r="H137" i="83"/>
  <c r="I137" i="83"/>
  <c r="C137" i="83"/>
  <c r="M137" i="83"/>
  <c r="G138" i="83"/>
  <c r="H138" i="83"/>
  <c r="I138" i="83"/>
  <c r="C138" i="83"/>
  <c r="M138" i="83"/>
  <c r="G139" i="83"/>
  <c r="H139" i="83"/>
  <c r="I139" i="83"/>
  <c r="C139" i="83"/>
  <c r="M139" i="83"/>
  <c r="G140" i="83"/>
  <c r="H140" i="83"/>
  <c r="I140" i="83"/>
  <c r="C140" i="83"/>
  <c r="M140" i="83"/>
  <c r="G141" i="83"/>
  <c r="H141" i="83"/>
  <c r="I141" i="83"/>
  <c r="C141" i="83"/>
  <c r="M141" i="83"/>
  <c r="G142" i="83"/>
  <c r="H142" i="83"/>
  <c r="I142" i="83"/>
  <c r="C142" i="83"/>
  <c r="M142" i="83"/>
  <c r="G143" i="83"/>
  <c r="H143" i="83"/>
  <c r="I143" i="83"/>
  <c r="C143" i="83"/>
  <c r="M143" i="83"/>
  <c r="G144" i="83"/>
  <c r="H144" i="83"/>
  <c r="I144" i="83"/>
  <c r="C144" i="83"/>
  <c r="M144" i="83"/>
  <c r="G145" i="83"/>
  <c r="H145" i="83"/>
  <c r="I145" i="83"/>
  <c r="C145" i="83"/>
  <c r="M145" i="83"/>
  <c r="G146" i="83"/>
  <c r="H146" i="83"/>
  <c r="I146" i="83"/>
  <c r="C146" i="83"/>
  <c r="M146" i="83"/>
  <c r="G147" i="83"/>
  <c r="H147" i="83"/>
  <c r="I147" i="83"/>
  <c r="C147" i="83"/>
  <c r="M147" i="83"/>
  <c r="G148" i="83"/>
  <c r="H148" i="83"/>
  <c r="I148" i="83"/>
  <c r="C148" i="83"/>
  <c r="M148" i="83"/>
  <c r="G149" i="83"/>
  <c r="H149" i="83"/>
  <c r="I149" i="83"/>
  <c r="C149" i="83"/>
  <c r="M149" i="83"/>
  <c r="G150" i="83"/>
  <c r="H150" i="83"/>
  <c r="I150" i="83"/>
  <c r="C150" i="83"/>
  <c r="M150" i="83"/>
  <c r="G151" i="83"/>
  <c r="H151" i="83"/>
  <c r="I151" i="83"/>
  <c r="C151" i="83"/>
  <c r="M151" i="83"/>
  <c r="G152" i="83"/>
  <c r="H152" i="83"/>
  <c r="I152" i="83"/>
  <c r="C152" i="83"/>
  <c r="M152" i="83"/>
  <c r="G153" i="83"/>
  <c r="H153" i="83"/>
  <c r="I153" i="83"/>
  <c r="C153" i="83"/>
  <c r="M153" i="83"/>
  <c r="G154" i="83"/>
  <c r="H154" i="83"/>
  <c r="I154" i="83"/>
  <c r="C154" i="83"/>
  <c r="M154" i="83"/>
  <c r="G155" i="83"/>
  <c r="H155" i="83"/>
  <c r="I155" i="83"/>
  <c r="C155" i="83"/>
  <c r="M155" i="83"/>
  <c r="G156" i="83"/>
  <c r="H156" i="83"/>
  <c r="I156" i="83"/>
  <c r="C156" i="83"/>
  <c r="M156" i="83"/>
  <c r="G157" i="83"/>
  <c r="H157" i="83"/>
  <c r="I157" i="83"/>
  <c r="C157" i="83"/>
  <c r="M157" i="83"/>
  <c r="G158" i="83"/>
  <c r="H158" i="83"/>
  <c r="I158" i="83"/>
  <c r="C158" i="83"/>
  <c r="M158" i="83"/>
  <c r="G159" i="83"/>
  <c r="H159" i="83"/>
  <c r="I159" i="83"/>
  <c r="C159" i="83"/>
  <c r="M159" i="83"/>
  <c r="G160" i="83"/>
  <c r="H160" i="83"/>
  <c r="I160" i="83"/>
  <c r="C160" i="83"/>
  <c r="M160" i="83"/>
  <c r="G161" i="83"/>
  <c r="H161" i="83"/>
  <c r="I161" i="83"/>
  <c r="C161" i="83"/>
  <c r="M161" i="83"/>
  <c r="G162" i="83"/>
  <c r="H162" i="83"/>
  <c r="I162" i="83"/>
  <c r="C162" i="83"/>
  <c r="M162" i="83"/>
  <c r="G163" i="83"/>
  <c r="H163" i="83"/>
  <c r="I163" i="83"/>
  <c r="C163" i="83"/>
  <c r="M163" i="83"/>
  <c r="G164" i="83"/>
  <c r="H164" i="83"/>
  <c r="I164" i="83"/>
  <c r="C164" i="83"/>
  <c r="M164" i="83"/>
  <c r="G165" i="83"/>
  <c r="H165" i="83"/>
  <c r="I165" i="83"/>
  <c r="C165" i="83"/>
  <c r="M165" i="83"/>
  <c r="G166" i="83"/>
  <c r="H166" i="83"/>
  <c r="I166" i="83"/>
  <c r="C166" i="83"/>
  <c r="M166" i="83"/>
  <c r="G167" i="83"/>
  <c r="H167" i="83"/>
  <c r="I167" i="83"/>
  <c r="C167" i="83"/>
  <c r="M167" i="83"/>
  <c r="G168" i="83"/>
  <c r="H168" i="83"/>
  <c r="I168" i="83"/>
  <c r="C168" i="83"/>
  <c r="M168" i="83"/>
  <c r="G169" i="83"/>
  <c r="H169" i="83"/>
  <c r="I169" i="83"/>
  <c r="C169" i="83"/>
  <c r="M169" i="83"/>
  <c r="G170" i="83"/>
  <c r="H170" i="83"/>
  <c r="I170" i="83"/>
  <c r="C170" i="83"/>
  <c r="M170" i="83"/>
  <c r="G171" i="83"/>
  <c r="H171" i="83"/>
  <c r="I171" i="83"/>
  <c r="C171" i="83"/>
  <c r="M171" i="83"/>
  <c r="G172" i="83"/>
  <c r="H172" i="83"/>
  <c r="I172" i="83"/>
  <c r="C172" i="83"/>
  <c r="M172" i="83"/>
  <c r="G173" i="83"/>
  <c r="H173" i="83"/>
  <c r="I173" i="83"/>
  <c r="C173" i="83"/>
  <c r="M173" i="83"/>
  <c r="G174" i="83"/>
  <c r="H174" i="83"/>
  <c r="I174" i="83"/>
  <c r="C174" i="83"/>
  <c r="M174" i="83"/>
  <c r="G175" i="83"/>
  <c r="H175" i="83"/>
  <c r="I175" i="83"/>
  <c r="C175" i="83"/>
  <c r="M175" i="83"/>
  <c r="G176" i="83"/>
  <c r="H176" i="83"/>
  <c r="I176" i="83"/>
  <c r="C176" i="83"/>
  <c r="M176" i="83"/>
  <c r="G177" i="83"/>
  <c r="H177" i="83"/>
  <c r="I177" i="83"/>
  <c r="C177" i="83"/>
  <c r="M177" i="83"/>
  <c r="G178" i="83"/>
  <c r="H178" i="83"/>
  <c r="I178" i="83"/>
  <c r="C178" i="83"/>
  <c r="M178" i="83"/>
  <c r="G179" i="83"/>
  <c r="H179" i="83"/>
  <c r="I179" i="83"/>
  <c r="C179" i="83"/>
  <c r="M179" i="83"/>
  <c r="G180" i="83"/>
  <c r="H180" i="83"/>
  <c r="I180" i="83"/>
  <c r="C180" i="83"/>
  <c r="M180" i="83"/>
  <c r="G181" i="83"/>
  <c r="H181" i="83"/>
  <c r="I181" i="83"/>
  <c r="C181" i="83"/>
  <c r="M181" i="83"/>
  <c r="G182" i="83"/>
  <c r="H182" i="83"/>
  <c r="I182" i="83"/>
  <c r="C182" i="83"/>
  <c r="M182" i="83"/>
  <c r="G183" i="83"/>
  <c r="H183" i="83"/>
  <c r="I183" i="83"/>
  <c r="C183" i="83"/>
  <c r="M183" i="83"/>
  <c r="G184" i="83"/>
  <c r="H184" i="83"/>
  <c r="I184" i="83"/>
  <c r="C184" i="83"/>
  <c r="M184" i="83"/>
  <c r="G185" i="83"/>
  <c r="H185" i="83"/>
  <c r="I185" i="83"/>
  <c r="C185" i="83"/>
  <c r="M185" i="83"/>
  <c r="G186" i="83"/>
  <c r="H186" i="83"/>
  <c r="I186" i="83"/>
  <c r="C186" i="83"/>
  <c r="M186" i="83"/>
  <c r="G187" i="83"/>
  <c r="H187" i="83"/>
  <c r="I187" i="83"/>
  <c r="C187" i="83"/>
  <c r="M187" i="83"/>
  <c r="G188" i="83"/>
  <c r="H188" i="83"/>
  <c r="I188" i="83"/>
  <c r="C188" i="83"/>
  <c r="M188" i="83"/>
  <c r="G189" i="83"/>
  <c r="H189" i="83"/>
  <c r="I189" i="83"/>
  <c r="C189" i="83"/>
  <c r="M189" i="83"/>
  <c r="G190" i="83"/>
  <c r="H190" i="83"/>
  <c r="I190" i="83"/>
  <c r="C190" i="83"/>
  <c r="M190" i="83"/>
  <c r="G191" i="83"/>
  <c r="H191" i="83"/>
  <c r="I191" i="83"/>
  <c r="C191" i="83"/>
  <c r="M191" i="83"/>
  <c r="G192" i="83"/>
  <c r="H192" i="83"/>
  <c r="I192" i="83"/>
  <c r="C192" i="83"/>
  <c r="M192" i="83"/>
  <c r="G193" i="83"/>
  <c r="H193" i="83"/>
  <c r="I193" i="83"/>
  <c r="C193" i="83"/>
  <c r="M193" i="83"/>
  <c r="G194" i="83"/>
  <c r="H194" i="83"/>
  <c r="I194" i="83"/>
  <c r="C194" i="83"/>
  <c r="M194" i="83"/>
  <c r="G195" i="83"/>
  <c r="H195" i="83"/>
  <c r="I195" i="83"/>
  <c r="C195" i="83"/>
  <c r="M195" i="83"/>
  <c r="G196" i="83"/>
  <c r="H196" i="83"/>
  <c r="I196" i="83"/>
  <c r="C196" i="83"/>
  <c r="M196" i="83"/>
  <c r="G197" i="83"/>
  <c r="H197" i="83"/>
  <c r="I197" i="83"/>
  <c r="C197" i="83"/>
  <c r="M197" i="83"/>
  <c r="G198" i="83"/>
  <c r="H198" i="83"/>
  <c r="I198" i="83"/>
  <c r="C198" i="83"/>
  <c r="M198" i="83"/>
  <c r="G199" i="83"/>
  <c r="H199" i="83"/>
  <c r="I199" i="83"/>
  <c r="C199" i="83"/>
  <c r="M199" i="83"/>
  <c r="G200" i="83"/>
  <c r="H200" i="83"/>
  <c r="I200" i="83"/>
  <c r="C200" i="83"/>
  <c r="M200" i="83"/>
  <c r="G201" i="83"/>
  <c r="H201" i="83"/>
  <c r="I201" i="83"/>
  <c r="C201" i="83"/>
  <c r="M201" i="83"/>
  <c r="G202" i="83"/>
  <c r="H202" i="83"/>
  <c r="I202" i="83"/>
  <c r="C202" i="83"/>
  <c r="M202" i="83"/>
  <c r="G203" i="83"/>
  <c r="H203" i="83"/>
  <c r="I203" i="83"/>
  <c r="C203" i="83"/>
  <c r="M203" i="83"/>
  <c r="G204" i="83"/>
  <c r="H204" i="83"/>
  <c r="I204" i="83"/>
  <c r="C204" i="83"/>
  <c r="M204" i="83"/>
  <c r="G205" i="83"/>
  <c r="H205" i="83"/>
  <c r="I205" i="83"/>
  <c r="C205" i="83"/>
  <c r="M205" i="83"/>
  <c r="G206" i="83"/>
  <c r="H206" i="83"/>
  <c r="I206" i="83"/>
  <c r="C206" i="83"/>
  <c r="M206" i="83"/>
  <c r="G207" i="83"/>
  <c r="H207" i="83"/>
  <c r="I207" i="83"/>
  <c r="C207" i="83"/>
  <c r="M207" i="83"/>
  <c r="G208" i="83"/>
  <c r="H208" i="83"/>
  <c r="I208" i="83"/>
  <c r="C208" i="83"/>
  <c r="M208" i="83"/>
  <c r="G209" i="83"/>
  <c r="H209" i="83"/>
  <c r="I209" i="83"/>
  <c r="C209" i="83"/>
  <c r="M209" i="83"/>
  <c r="G210" i="83"/>
  <c r="H210" i="83"/>
  <c r="I210" i="83"/>
  <c r="C210" i="83"/>
  <c r="M210" i="83"/>
  <c r="G211" i="83"/>
  <c r="H211" i="83"/>
  <c r="I211" i="83"/>
  <c r="C211" i="83"/>
  <c r="M211" i="83"/>
  <c r="G212" i="83"/>
  <c r="H212" i="83"/>
  <c r="I212" i="83"/>
  <c r="C212" i="83"/>
  <c r="M212" i="83"/>
  <c r="G213" i="83"/>
  <c r="H213" i="83"/>
  <c r="I213" i="83"/>
  <c r="C213" i="83"/>
  <c r="M213" i="83"/>
  <c r="G214" i="83"/>
  <c r="H214" i="83"/>
  <c r="I214" i="83"/>
  <c r="C214" i="83"/>
  <c r="M214" i="83"/>
  <c r="G215" i="83"/>
  <c r="H215" i="83"/>
  <c r="I215" i="83"/>
  <c r="C215" i="83"/>
  <c r="M215" i="83"/>
  <c r="G216" i="83"/>
  <c r="H216" i="83"/>
  <c r="I216" i="83"/>
  <c r="C216" i="83"/>
  <c r="M216" i="83"/>
  <c r="G217" i="83"/>
  <c r="H217" i="83"/>
  <c r="I217" i="83"/>
  <c r="C217" i="83"/>
  <c r="M217" i="83"/>
  <c r="G218" i="83"/>
  <c r="H218" i="83"/>
  <c r="I218" i="83"/>
  <c r="C218" i="83"/>
  <c r="M218" i="83"/>
  <c r="G219" i="83"/>
  <c r="H219" i="83"/>
  <c r="I219" i="83"/>
  <c r="C219" i="83"/>
  <c r="M219" i="83"/>
  <c r="G220" i="83"/>
  <c r="H220" i="83"/>
  <c r="I220" i="83"/>
  <c r="C220" i="83"/>
  <c r="M220" i="83"/>
  <c r="G221" i="83"/>
  <c r="H221" i="83"/>
  <c r="I221" i="83"/>
  <c r="C221" i="83"/>
  <c r="M221" i="83"/>
  <c r="G222" i="83"/>
  <c r="H222" i="83"/>
  <c r="I222" i="83"/>
  <c r="C222" i="83"/>
  <c r="M222" i="83"/>
  <c r="G223" i="83"/>
  <c r="H223" i="83"/>
  <c r="I223" i="83"/>
  <c r="C223" i="83"/>
  <c r="M223" i="83"/>
  <c r="G224" i="83"/>
  <c r="H224" i="83"/>
  <c r="I224" i="83"/>
  <c r="C224" i="83"/>
  <c r="M224" i="83"/>
  <c r="G225" i="83"/>
  <c r="H225" i="83"/>
  <c r="I225" i="83"/>
  <c r="C225" i="83"/>
  <c r="M225" i="83"/>
  <c r="G226" i="83"/>
  <c r="H226" i="83"/>
  <c r="I226" i="83"/>
  <c r="C226" i="83"/>
  <c r="M226" i="83"/>
  <c r="G227" i="83"/>
  <c r="H227" i="83"/>
  <c r="I227" i="83"/>
  <c r="C227" i="83"/>
  <c r="M227" i="83"/>
  <c r="G228" i="83"/>
  <c r="H228" i="83"/>
  <c r="I228" i="83"/>
  <c r="C228" i="83"/>
  <c r="M228" i="83"/>
  <c r="G229" i="83"/>
  <c r="H229" i="83"/>
  <c r="I229" i="83"/>
  <c r="C229" i="83"/>
  <c r="M229" i="83"/>
  <c r="G230" i="83"/>
  <c r="H230" i="83"/>
  <c r="I230" i="83"/>
  <c r="C230" i="83"/>
  <c r="M230" i="83"/>
  <c r="G231" i="83"/>
  <c r="H231" i="83"/>
  <c r="I231" i="83"/>
  <c r="C231" i="83"/>
  <c r="M231" i="83"/>
  <c r="G232" i="83"/>
  <c r="H232" i="83"/>
  <c r="I232" i="83"/>
  <c r="C232" i="83"/>
  <c r="M232" i="83"/>
  <c r="G233" i="83"/>
  <c r="H233" i="83"/>
  <c r="I233" i="83"/>
  <c r="C233" i="83"/>
  <c r="M233" i="83"/>
  <c r="G234" i="83"/>
  <c r="H234" i="83"/>
  <c r="I234" i="83"/>
  <c r="C234" i="83"/>
  <c r="M234" i="83"/>
  <c r="G235" i="83"/>
  <c r="H235" i="83"/>
  <c r="I235" i="83"/>
  <c r="C235" i="83"/>
  <c r="M235" i="83"/>
  <c r="G236" i="83"/>
  <c r="H236" i="83"/>
  <c r="I236" i="83"/>
  <c r="C236" i="83"/>
  <c r="M236" i="83"/>
  <c r="G237" i="83"/>
  <c r="H237" i="83"/>
  <c r="I237" i="83"/>
  <c r="C237" i="83"/>
  <c r="M237" i="83"/>
  <c r="G238" i="83"/>
  <c r="H238" i="83"/>
  <c r="I238" i="83"/>
  <c r="C238" i="83"/>
  <c r="M238" i="83"/>
  <c r="G239" i="83"/>
  <c r="H239" i="83"/>
  <c r="I239" i="83"/>
  <c r="C239" i="83"/>
  <c r="M239" i="83"/>
  <c r="G240" i="83"/>
  <c r="H240" i="83"/>
  <c r="I240" i="83"/>
  <c r="C240" i="83"/>
  <c r="M240" i="83"/>
  <c r="G241" i="83"/>
  <c r="H241" i="83"/>
  <c r="I241" i="83"/>
  <c r="C241" i="83"/>
  <c r="M241" i="83"/>
  <c r="G242" i="83"/>
  <c r="H242" i="83"/>
  <c r="I242" i="83"/>
  <c r="C242" i="83"/>
  <c r="M242" i="83"/>
  <c r="G243" i="83"/>
  <c r="H243" i="83"/>
  <c r="I243" i="83"/>
  <c r="C243" i="83"/>
  <c r="M243" i="83"/>
  <c r="G244" i="83"/>
  <c r="H244" i="83"/>
  <c r="I244" i="83"/>
  <c r="C244" i="83"/>
  <c r="M244" i="83"/>
  <c r="G245" i="83"/>
  <c r="H245" i="83"/>
  <c r="I245" i="83"/>
  <c r="C245" i="83"/>
  <c r="M245" i="83"/>
  <c r="G246" i="83"/>
  <c r="H246" i="83"/>
  <c r="I246" i="83"/>
  <c r="C246" i="83"/>
  <c r="M246" i="83"/>
  <c r="G247" i="83"/>
  <c r="H247" i="83"/>
  <c r="I247" i="83"/>
  <c r="C247" i="83"/>
  <c r="M247" i="83"/>
  <c r="G248" i="83"/>
  <c r="H248" i="83"/>
  <c r="I248" i="83"/>
  <c r="C248" i="83"/>
  <c r="M248" i="83"/>
  <c r="G249" i="83"/>
  <c r="H249" i="83"/>
  <c r="I249" i="83"/>
  <c r="C249" i="83"/>
  <c r="M249" i="83"/>
  <c r="G250" i="83"/>
  <c r="H250" i="83"/>
  <c r="I250" i="83"/>
  <c r="C250" i="83"/>
  <c r="M250" i="83"/>
  <c r="G251" i="83"/>
  <c r="H251" i="83"/>
  <c r="I251" i="83"/>
  <c r="C251" i="83"/>
  <c r="M251" i="83"/>
  <c r="G252" i="83"/>
  <c r="H252" i="83"/>
  <c r="I252" i="83"/>
  <c r="C252" i="83"/>
  <c r="M252" i="83"/>
  <c r="G253" i="83"/>
  <c r="H253" i="83"/>
  <c r="I253" i="83"/>
  <c r="C253" i="83"/>
  <c r="M253" i="83"/>
  <c r="G254" i="83"/>
  <c r="H254" i="83"/>
  <c r="I254" i="83"/>
  <c r="C254" i="83"/>
  <c r="M254" i="83"/>
  <c r="G255" i="83"/>
  <c r="H255" i="83"/>
  <c r="I255" i="83"/>
  <c r="C255" i="83"/>
  <c r="M255" i="83"/>
  <c r="G2" i="83"/>
  <c r="H2" i="83"/>
  <c r="I2" i="83"/>
  <c r="C2" i="83"/>
  <c r="M2" i="83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3" i="83"/>
  <c r="C1" i="90"/>
  <c r="A1" i="90"/>
  <c r="A256" i="90"/>
  <c r="B1" i="90"/>
  <c r="K256" i="90"/>
  <c r="J256" i="90"/>
  <c r="I256" i="90"/>
  <c r="H256" i="90"/>
  <c r="G256" i="90"/>
  <c r="F256" i="90"/>
  <c r="E256" i="90"/>
  <c r="D256" i="90"/>
  <c r="C256" i="90"/>
  <c r="B256" i="90"/>
  <c r="A255" i="90"/>
  <c r="K255" i="90"/>
  <c r="J255" i="90"/>
  <c r="I255" i="90"/>
  <c r="H255" i="90"/>
  <c r="G255" i="90"/>
  <c r="F255" i="90"/>
  <c r="E255" i="90"/>
  <c r="D255" i="90"/>
  <c r="C255" i="90"/>
  <c r="B255" i="90"/>
  <c r="A254" i="90"/>
  <c r="K254" i="90"/>
  <c r="J254" i="90"/>
  <c r="I254" i="90"/>
  <c r="H254" i="90"/>
  <c r="G254" i="90"/>
  <c r="F254" i="90"/>
  <c r="E254" i="90"/>
  <c r="D254" i="90"/>
  <c r="C254" i="90"/>
  <c r="B254" i="90"/>
  <c r="A253" i="90"/>
  <c r="K253" i="90"/>
  <c r="J253" i="90"/>
  <c r="I253" i="90"/>
  <c r="H253" i="90"/>
  <c r="G253" i="90"/>
  <c r="F253" i="90"/>
  <c r="E253" i="90"/>
  <c r="D253" i="90"/>
  <c r="C253" i="90"/>
  <c r="B253" i="90"/>
  <c r="A252" i="90"/>
  <c r="K252" i="90"/>
  <c r="J252" i="90"/>
  <c r="I252" i="90"/>
  <c r="H252" i="90"/>
  <c r="G252" i="90"/>
  <c r="F252" i="90"/>
  <c r="E252" i="90"/>
  <c r="D252" i="90"/>
  <c r="C252" i="90"/>
  <c r="B252" i="90"/>
  <c r="A251" i="90"/>
  <c r="K251" i="90"/>
  <c r="J251" i="90"/>
  <c r="I251" i="90"/>
  <c r="H251" i="90"/>
  <c r="G251" i="90"/>
  <c r="F251" i="90"/>
  <c r="E251" i="90"/>
  <c r="D251" i="90"/>
  <c r="C251" i="90"/>
  <c r="B251" i="90"/>
  <c r="A250" i="90"/>
  <c r="K250" i="90"/>
  <c r="J250" i="90"/>
  <c r="I250" i="90"/>
  <c r="H250" i="90"/>
  <c r="G250" i="90"/>
  <c r="F250" i="90"/>
  <c r="E250" i="90"/>
  <c r="D250" i="90"/>
  <c r="C250" i="90"/>
  <c r="B250" i="90"/>
  <c r="A249" i="90"/>
  <c r="K249" i="90"/>
  <c r="J249" i="90"/>
  <c r="I249" i="90"/>
  <c r="H249" i="90"/>
  <c r="G249" i="90"/>
  <c r="F249" i="90"/>
  <c r="E249" i="90"/>
  <c r="D249" i="90"/>
  <c r="C249" i="90"/>
  <c r="B249" i="90"/>
  <c r="A248" i="90"/>
  <c r="K248" i="90"/>
  <c r="J248" i="90"/>
  <c r="I248" i="90"/>
  <c r="H248" i="90"/>
  <c r="G248" i="90"/>
  <c r="F248" i="90"/>
  <c r="E248" i="90"/>
  <c r="D248" i="90"/>
  <c r="C248" i="90"/>
  <c r="B248" i="90"/>
  <c r="A247" i="90"/>
  <c r="K247" i="90"/>
  <c r="J247" i="90"/>
  <c r="I247" i="90"/>
  <c r="H247" i="90"/>
  <c r="G247" i="90"/>
  <c r="F247" i="90"/>
  <c r="E247" i="90"/>
  <c r="D247" i="90"/>
  <c r="C247" i="90"/>
  <c r="B247" i="90"/>
  <c r="A246" i="90"/>
  <c r="K246" i="90"/>
  <c r="J246" i="90"/>
  <c r="I246" i="90"/>
  <c r="H246" i="90"/>
  <c r="G246" i="90"/>
  <c r="F246" i="90"/>
  <c r="E246" i="90"/>
  <c r="D246" i="90"/>
  <c r="C246" i="90"/>
  <c r="B246" i="90"/>
  <c r="A245" i="90"/>
  <c r="K245" i="90"/>
  <c r="J245" i="90"/>
  <c r="I245" i="90"/>
  <c r="H245" i="90"/>
  <c r="G245" i="90"/>
  <c r="F245" i="90"/>
  <c r="E245" i="90"/>
  <c r="D245" i="90"/>
  <c r="C245" i="90"/>
  <c r="B245" i="90"/>
  <c r="A244" i="90"/>
  <c r="K244" i="90"/>
  <c r="J244" i="90"/>
  <c r="I244" i="90"/>
  <c r="H244" i="90"/>
  <c r="G244" i="90"/>
  <c r="F244" i="90"/>
  <c r="E244" i="90"/>
  <c r="D244" i="90"/>
  <c r="C244" i="90"/>
  <c r="B244" i="90"/>
  <c r="A243" i="90"/>
  <c r="K243" i="90"/>
  <c r="J243" i="90"/>
  <c r="I243" i="90"/>
  <c r="H243" i="90"/>
  <c r="G243" i="90"/>
  <c r="F243" i="90"/>
  <c r="E243" i="90"/>
  <c r="D243" i="90"/>
  <c r="C243" i="90"/>
  <c r="B243" i="90"/>
  <c r="A242" i="90"/>
  <c r="K242" i="90"/>
  <c r="J242" i="90"/>
  <c r="I242" i="90"/>
  <c r="H242" i="90"/>
  <c r="G242" i="90"/>
  <c r="F242" i="90"/>
  <c r="E242" i="90"/>
  <c r="D242" i="90"/>
  <c r="C242" i="90"/>
  <c r="B242" i="90"/>
  <c r="A241" i="90"/>
  <c r="K241" i="90"/>
  <c r="J241" i="90"/>
  <c r="I241" i="90"/>
  <c r="H241" i="90"/>
  <c r="G241" i="90"/>
  <c r="F241" i="90"/>
  <c r="E241" i="90"/>
  <c r="D241" i="90"/>
  <c r="C241" i="90"/>
  <c r="B241" i="90"/>
  <c r="A240" i="90"/>
  <c r="K240" i="90"/>
  <c r="J240" i="90"/>
  <c r="I240" i="90"/>
  <c r="H240" i="90"/>
  <c r="G240" i="90"/>
  <c r="F240" i="90"/>
  <c r="E240" i="90"/>
  <c r="D240" i="90"/>
  <c r="C240" i="90"/>
  <c r="B240" i="90"/>
  <c r="A239" i="90"/>
  <c r="K239" i="90"/>
  <c r="J239" i="90"/>
  <c r="I239" i="90"/>
  <c r="H239" i="90"/>
  <c r="G239" i="90"/>
  <c r="F239" i="90"/>
  <c r="E239" i="90"/>
  <c r="D239" i="90"/>
  <c r="C239" i="90"/>
  <c r="B239" i="90"/>
  <c r="A238" i="90"/>
  <c r="K238" i="90"/>
  <c r="J238" i="90"/>
  <c r="I238" i="90"/>
  <c r="H238" i="90"/>
  <c r="G238" i="90"/>
  <c r="F238" i="90"/>
  <c r="E238" i="90"/>
  <c r="D238" i="90"/>
  <c r="C238" i="90"/>
  <c r="B238" i="90"/>
  <c r="A237" i="90"/>
  <c r="K237" i="90"/>
  <c r="J237" i="90"/>
  <c r="I237" i="90"/>
  <c r="H237" i="90"/>
  <c r="G237" i="90"/>
  <c r="F237" i="90"/>
  <c r="E237" i="90"/>
  <c r="D237" i="90"/>
  <c r="C237" i="90"/>
  <c r="B237" i="90"/>
  <c r="A236" i="90"/>
  <c r="K236" i="90"/>
  <c r="J236" i="90"/>
  <c r="I236" i="90"/>
  <c r="H236" i="90"/>
  <c r="G236" i="90"/>
  <c r="F236" i="90"/>
  <c r="E236" i="90"/>
  <c r="D236" i="90"/>
  <c r="C236" i="90"/>
  <c r="B236" i="90"/>
  <c r="A235" i="90"/>
  <c r="K235" i="90"/>
  <c r="J235" i="90"/>
  <c r="I235" i="90"/>
  <c r="H235" i="90"/>
  <c r="G235" i="90"/>
  <c r="F235" i="90"/>
  <c r="E235" i="90"/>
  <c r="D235" i="90"/>
  <c r="C235" i="90"/>
  <c r="B235" i="90"/>
  <c r="A234" i="90"/>
  <c r="K234" i="90"/>
  <c r="J234" i="90"/>
  <c r="I234" i="90"/>
  <c r="H234" i="90"/>
  <c r="G234" i="90"/>
  <c r="F234" i="90"/>
  <c r="E234" i="90"/>
  <c r="D234" i="90"/>
  <c r="C234" i="90"/>
  <c r="B234" i="90"/>
  <c r="A233" i="90"/>
  <c r="K233" i="90"/>
  <c r="J233" i="90"/>
  <c r="I233" i="90"/>
  <c r="H233" i="90"/>
  <c r="G233" i="90"/>
  <c r="F233" i="90"/>
  <c r="E233" i="90"/>
  <c r="D233" i="90"/>
  <c r="C233" i="90"/>
  <c r="B233" i="90"/>
  <c r="A232" i="90"/>
  <c r="K232" i="90"/>
  <c r="J232" i="90"/>
  <c r="I232" i="90"/>
  <c r="H232" i="90"/>
  <c r="G232" i="90"/>
  <c r="F232" i="90"/>
  <c r="E232" i="90"/>
  <c r="D232" i="90"/>
  <c r="C232" i="90"/>
  <c r="B232" i="90"/>
  <c r="A231" i="90"/>
  <c r="K231" i="90"/>
  <c r="J231" i="90"/>
  <c r="I231" i="90"/>
  <c r="H231" i="90"/>
  <c r="G231" i="90"/>
  <c r="F231" i="90"/>
  <c r="E231" i="90"/>
  <c r="D231" i="90"/>
  <c r="C231" i="90"/>
  <c r="B231" i="90"/>
  <c r="A230" i="90"/>
  <c r="K230" i="90"/>
  <c r="J230" i="90"/>
  <c r="I230" i="90"/>
  <c r="H230" i="90"/>
  <c r="G230" i="90"/>
  <c r="F230" i="90"/>
  <c r="E230" i="90"/>
  <c r="D230" i="90"/>
  <c r="C230" i="90"/>
  <c r="B230" i="90"/>
  <c r="A229" i="90"/>
  <c r="K229" i="90"/>
  <c r="J229" i="90"/>
  <c r="I229" i="90"/>
  <c r="H229" i="90"/>
  <c r="G229" i="90"/>
  <c r="F229" i="90"/>
  <c r="E229" i="90"/>
  <c r="D229" i="90"/>
  <c r="C229" i="90"/>
  <c r="B229" i="90"/>
  <c r="A228" i="90"/>
  <c r="K228" i="90"/>
  <c r="J228" i="90"/>
  <c r="I228" i="90"/>
  <c r="H228" i="90"/>
  <c r="G228" i="90"/>
  <c r="F228" i="90"/>
  <c r="E228" i="90"/>
  <c r="D228" i="90"/>
  <c r="C228" i="90"/>
  <c r="B228" i="90"/>
  <c r="A227" i="90"/>
  <c r="K227" i="90"/>
  <c r="J227" i="90"/>
  <c r="I227" i="90"/>
  <c r="H227" i="90"/>
  <c r="G227" i="90"/>
  <c r="F227" i="90"/>
  <c r="E227" i="90"/>
  <c r="D227" i="90"/>
  <c r="C227" i="90"/>
  <c r="B227" i="90"/>
  <c r="A226" i="90"/>
  <c r="K226" i="90"/>
  <c r="J226" i="90"/>
  <c r="I226" i="90"/>
  <c r="H226" i="90"/>
  <c r="G226" i="90"/>
  <c r="F226" i="90"/>
  <c r="E226" i="90"/>
  <c r="D226" i="90"/>
  <c r="C226" i="90"/>
  <c r="B226" i="90"/>
  <c r="A225" i="90"/>
  <c r="K225" i="90"/>
  <c r="J225" i="90"/>
  <c r="I225" i="90"/>
  <c r="H225" i="90"/>
  <c r="G225" i="90"/>
  <c r="F225" i="90"/>
  <c r="E225" i="90"/>
  <c r="D225" i="90"/>
  <c r="C225" i="90"/>
  <c r="B225" i="90"/>
  <c r="A224" i="90"/>
  <c r="K224" i="90"/>
  <c r="J224" i="90"/>
  <c r="I224" i="90"/>
  <c r="H224" i="90"/>
  <c r="G224" i="90"/>
  <c r="F224" i="90"/>
  <c r="E224" i="90"/>
  <c r="D224" i="90"/>
  <c r="C224" i="90"/>
  <c r="B224" i="90"/>
  <c r="A223" i="90"/>
  <c r="K223" i="90"/>
  <c r="J223" i="90"/>
  <c r="I223" i="90"/>
  <c r="H223" i="90"/>
  <c r="G223" i="90"/>
  <c r="F223" i="90"/>
  <c r="E223" i="90"/>
  <c r="D223" i="90"/>
  <c r="C223" i="90"/>
  <c r="B223" i="90"/>
  <c r="A222" i="90"/>
  <c r="K222" i="90"/>
  <c r="J222" i="90"/>
  <c r="I222" i="90"/>
  <c r="H222" i="90"/>
  <c r="G222" i="90"/>
  <c r="F222" i="90"/>
  <c r="E222" i="90"/>
  <c r="D222" i="90"/>
  <c r="C222" i="90"/>
  <c r="B222" i="90"/>
  <c r="A221" i="90"/>
  <c r="K221" i="90"/>
  <c r="J221" i="90"/>
  <c r="I221" i="90"/>
  <c r="H221" i="90"/>
  <c r="G221" i="90"/>
  <c r="F221" i="90"/>
  <c r="E221" i="90"/>
  <c r="D221" i="90"/>
  <c r="C221" i="90"/>
  <c r="B221" i="90"/>
  <c r="A220" i="90"/>
  <c r="K220" i="90"/>
  <c r="J220" i="90"/>
  <c r="I220" i="90"/>
  <c r="H220" i="90"/>
  <c r="G220" i="90"/>
  <c r="F220" i="90"/>
  <c r="E220" i="90"/>
  <c r="D220" i="90"/>
  <c r="C220" i="90"/>
  <c r="B220" i="90"/>
  <c r="A219" i="90"/>
  <c r="K219" i="90"/>
  <c r="J219" i="90"/>
  <c r="I219" i="90"/>
  <c r="H219" i="90"/>
  <c r="G219" i="90"/>
  <c r="F219" i="90"/>
  <c r="E219" i="90"/>
  <c r="D219" i="90"/>
  <c r="C219" i="90"/>
  <c r="B219" i="90"/>
  <c r="A218" i="90"/>
  <c r="K218" i="90"/>
  <c r="J218" i="90"/>
  <c r="I218" i="90"/>
  <c r="H218" i="90"/>
  <c r="G218" i="90"/>
  <c r="F218" i="90"/>
  <c r="E218" i="90"/>
  <c r="D218" i="90"/>
  <c r="C218" i="90"/>
  <c r="B218" i="90"/>
  <c r="A217" i="90"/>
  <c r="K217" i="90"/>
  <c r="J217" i="90"/>
  <c r="I217" i="90"/>
  <c r="H217" i="90"/>
  <c r="G217" i="90"/>
  <c r="F217" i="90"/>
  <c r="E217" i="90"/>
  <c r="D217" i="90"/>
  <c r="C217" i="90"/>
  <c r="B217" i="90"/>
  <c r="A216" i="90"/>
  <c r="K216" i="90"/>
  <c r="J216" i="90"/>
  <c r="I216" i="90"/>
  <c r="H216" i="90"/>
  <c r="G216" i="90"/>
  <c r="F216" i="90"/>
  <c r="E216" i="90"/>
  <c r="D216" i="90"/>
  <c r="C216" i="90"/>
  <c r="B216" i="90"/>
  <c r="A215" i="90"/>
  <c r="K215" i="90"/>
  <c r="J215" i="90"/>
  <c r="I215" i="90"/>
  <c r="H215" i="90"/>
  <c r="G215" i="90"/>
  <c r="F215" i="90"/>
  <c r="E215" i="90"/>
  <c r="D215" i="90"/>
  <c r="C215" i="90"/>
  <c r="B215" i="90"/>
  <c r="A214" i="90"/>
  <c r="K214" i="90"/>
  <c r="J214" i="90"/>
  <c r="I214" i="90"/>
  <c r="H214" i="90"/>
  <c r="G214" i="90"/>
  <c r="F214" i="90"/>
  <c r="E214" i="90"/>
  <c r="D214" i="90"/>
  <c r="C214" i="90"/>
  <c r="B214" i="90"/>
  <c r="A213" i="90"/>
  <c r="K213" i="90"/>
  <c r="J213" i="90"/>
  <c r="I213" i="90"/>
  <c r="H213" i="90"/>
  <c r="G213" i="90"/>
  <c r="F213" i="90"/>
  <c r="E213" i="90"/>
  <c r="D213" i="90"/>
  <c r="C213" i="90"/>
  <c r="B213" i="90"/>
  <c r="A212" i="90"/>
  <c r="K212" i="90"/>
  <c r="J212" i="90"/>
  <c r="I212" i="90"/>
  <c r="H212" i="90"/>
  <c r="G212" i="90"/>
  <c r="F212" i="90"/>
  <c r="E212" i="90"/>
  <c r="D212" i="90"/>
  <c r="C212" i="90"/>
  <c r="B212" i="90"/>
  <c r="A211" i="90"/>
  <c r="K211" i="90"/>
  <c r="J211" i="90"/>
  <c r="I211" i="90"/>
  <c r="H211" i="90"/>
  <c r="G211" i="90"/>
  <c r="F211" i="90"/>
  <c r="E211" i="90"/>
  <c r="D211" i="90"/>
  <c r="C211" i="90"/>
  <c r="B211" i="90"/>
  <c r="A210" i="90"/>
  <c r="K210" i="90"/>
  <c r="J210" i="90"/>
  <c r="I210" i="90"/>
  <c r="H210" i="90"/>
  <c r="G210" i="90"/>
  <c r="F210" i="90"/>
  <c r="E210" i="90"/>
  <c r="D210" i="90"/>
  <c r="C210" i="90"/>
  <c r="B210" i="90"/>
  <c r="A209" i="90"/>
  <c r="K209" i="90"/>
  <c r="J209" i="90"/>
  <c r="I209" i="90"/>
  <c r="H209" i="90"/>
  <c r="G209" i="90"/>
  <c r="F209" i="90"/>
  <c r="E209" i="90"/>
  <c r="D209" i="90"/>
  <c r="C209" i="90"/>
  <c r="B209" i="90"/>
  <c r="A208" i="90"/>
  <c r="K208" i="90"/>
  <c r="J208" i="90"/>
  <c r="I208" i="90"/>
  <c r="H208" i="90"/>
  <c r="G208" i="90"/>
  <c r="F208" i="90"/>
  <c r="E208" i="90"/>
  <c r="D208" i="90"/>
  <c r="C208" i="90"/>
  <c r="B208" i="90"/>
  <c r="A207" i="90"/>
  <c r="K207" i="90"/>
  <c r="J207" i="90"/>
  <c r="I207" i="90"/>
  <c r="H207" i="90"/>
  <c r="G207" i="90"/>
  <c r="F207" i="90"/>
  <c r="E207" i="90"/>
  <c r="D207" i="90"/>
  <c r="C207" i="90"/>
  <c r="B207" i="90"/>
  <c r="A206" i="90"/>
  <c r="K206" i="90"/>
  <c r="J206" i="90"/>
  <c r="I206" i="90"/>
  <c r="H206" i="90"/>
  <c r="G206" i="90"/>
  <c r="F206" i="90"/>
  <c r="E206" i="90"/>
  <c r="D206" i="90"/>
  <c r="C206" i="90"/>
  <c r="B206" i="90"/>
  <c r="A205" i="90"/>
  <c r="K205" i="90"/>
  <c r="J205" i="90"/>
  <c r="I205" i="90"/>
  <c r="H205" i="90"/>
  <c r="G205" i="90"/>
  <c r="F205" i="90"/>
  <c r="E205" i="90"/>
  <c r="D205" i="90"/>
  <c r="C205" i="90"/>
  <c r="B205" i="90"/>
  <c r="A204" i="90"/>
  <c r="K204" i="90"/>
  <c r="J204" i="90"/>
  <c r="I204" i="90"/>
  <c r="H204" i="90"/>
  <c r="G204" i="90"/>
  <c r="F204" i="90"/>
  <c r="E204" i="90"/>
  <c r="D204" i="90"/>
  <c r="C204" i="90"/>
  <c r="B204" i="90"/>
  <c r="A203" i="90"/>
  <c r="K203" i="90"/>
  <c r="J203" i="90"/>
  <c r="I203" i="90"/>
  <c r="H203" i="90"/>
  <c r="G203" i="90"/>
  <c r="F203" i="90"/>
  <c r="E203" i="90"/>
  <c r="D203" i="90"/>
  <c r="C203" i="90"/>
  <c r="B203" i="90"/>
  <c r="A202" i="90"/>
  <c r="K202" i="90"/>
  <c r="J202" i="90"/>
  <c r="I202" i="90"/>
  <c r="H202" i="90"/>
  <c r="G202" i="90"/>
  <c r="F202" i="90"/>
  <c r="E202" i="90"/>
  <c r="D202" i="90"/>
  <c r="C202" i="90"/>
  <c r="B202" i="90"/>
  <c r="A201" i="90"/>
  <c r="K201" i="90"/>
  <c r="J201" i="90"/>
  <c r="I201" i="90"/>
  <c r="H201" i="90"/>
  <c r="G201" i="90"/>
  <c r="F201" i="90"/>
  <c r="E201" i="90"/>
  <c r="D201" i="90"/>
  <c r="C201" i="90"/>
  <c r="B201" i="90"/>
  <c r="A200" i="90"/>
  <c r="K200" i="90"/>
  <c r="J200" i="90"/>
  <c r="I200" i="90"/>
  <c r="H200" i="90"/>
  <c r="G200" i="90"/>
  <c r="F200" i="90"/>
  <c r="E200" i="90"/>
  <c r="D200" i="90"/>
  <c r="C200" i="90"/>
  <c r="B200" i="90"/>
  <c r="A199" i="90"/>
  <c r="K199" i="90"/>
  <c r="J199" i="90"/>
  <c r="I199" i="90"/>
  <c r="H199" i="90"/>
  <c r="G199" i="90"/>
  <c r="F199" i="90"/>
  <c r="E199" i="90"/>
  <c r="D199" i="90"/>
  <c r="C199" i="90"/>
  <c r="B199" i="90"/>
  <c r="A198" i="90"/>
  <c r="K198" i="90"/>
  <c r="J198" i="90"/>
  <c r="I198" i="90"/>
  <c r="H198" i="90"/>
  <c r="G198" i="90"/>
  <c r="F198" i="90"/>
  <c r="E198" i="90"/>
  <c r="D198" i="90"/>
  <c r="C198" i="90"/>
  <c r="B198" i="90"/>
  <c r="A197" i="90"/>
  <c r="K197" i="90"/>
  <c r="J197" i="90"/>
  <c r="I197" i="90"/>
  <c r="H197" i="90"/>
  <c r="G197" i="90"/>
  <c r="F197" i="90"/>
  <c r="E197" i="90"/>
  <c r="D197" i="90"/>
  <c r="C197" i="90"/>
  <c r="B197" i="90"/>
  <c r="A196" i="90"/>
  <c r="K196" i="90"/>
  <c r="J196" i="90"/>
  <c r="I196" i="90"/>
  <c r="H196" i="90"/>
  <c r="G196" i="90"/>
  <c r="F196" i="90"/>
  <c r="E196" i="90"/>
  <c r="D196" i="90"/>
  <c r="C196" i="90"/>
  <c r="B196" i="90"/>
  <c r="A195" i="90"/>
  <c r="K195" i="90"/>
  <c r="J195" i="90"/>
  <c r="I195" i="90"/>
  <c r="H195" i="90"/>
  <c r="G195" i="90"/>
  <c r="F195" i="90"/>
  <c r="E195" i="90"/>
  <c r="D195" i="90"/>
  <c r="C195" i="90"/>
  <c r="B195" i="90"/>
  <c r="A194" i="90"/>
  <c r="K194" i="90"/>
  <c r="J194" i="90"/>
  <c r="I194" i="90"/>
  <c r="H194" i="90"/>
  <c r="G194" i="90"/>
  <c r="F194" i="90"/>
  <c r="E194" i="90"/>
  <c r="D194" i="90"/>
  <c r="C194" i="90"/>
  <c r="B194" i="90"/>
  <c r="A193" i="90"/>
  <c r="K193" i="90"/>
  <c r="J193" i="90"/>
  <c r="I193" i="90"/>
  <c r="H193" i="90"/>
  <c r="G193" i="90"/>
  <c r="F193" i="90"/>
  <c r="E193" i="90"/>
  <c r="D193" i="90"/>
  <c r="C193" i="90"/>
  <c r="B193" i="90"/>
  <c r="A192" i="90"/>
  <c r="K192" i="90"/>
  <c r="J192" i="90"/>
  <c r="I192" i="90"/>
  <c r="H192" i="90"/>
  <c r="G192" i="90"/>
  <c r="F192" i="90"/>
  <c r="E192" i="90"/>
  <c r="D192" i="90"/>
  <c r="C192" i="90"/>
  <c r="B192" i="90"/>
  <c r="A191" i="90"/>
  <c r="K191" i="90"/>
  <c r="J191" i="90"/>
  <c r="I191" i="90"/>
  <c r="H191" i="90"/>
  <c r="G191" i="90"/>
  <c r="F191" i="90"/>
  <c r="E191" i="90"/>
  <c r="D191" i="90"/>
  <c r="C191" i="90"/>
  <c r="B191" i="90"/>
  <c r="A190" i="90"/>
  <c r="K190" i="90"/>
  <c r="J190" i="90"/>
  <c r="I190" i="90"/>
  <c r="H190" i="90"/>
  <c r="G190" i="90"/>
  <c r="F190" i="90"/>
  <c r="E190" i="90"/>
  <c r="D190" i="90"/>
  <c r="C190" i="90"/>
  <c r="B190" i="90"/>
  <c r="A189" i="90"/>
  <c r="K189" i="90"/>
  <c r="J189" i="90"/>
  <c r="I189" i="90"/>
  <c r="H189" i="90"/>
  <c r="G189" i="90"/>
  <c r="F189" i="90"/>
  <c r="E189" i="90"/>
  <c r="D189" i="90"/>
  <c r="C189" i="90"/>
  <c r="B189" i="90"/>
  <c r="A188" i="90"/>
  <c r="K188" i="90"/>
  <c r="J188" i="90"/>
  <c r="I188" i="90"/>
  <c r="H188" i="90"/>
  <c r="G188" i="90"/>
  <c r="F188" i="90"/>
  <c r="E188" i="90"/>
  <c r="D188" i="90"/>
  <c r="C188" i="90"/>
  <c r="B188" i="90"/>
  <c r="A187" i="90"/>
  <c r="K187" i="90"/>
  <c r="J187" i="90"/>
  <c r="I187" i="90"/>
  <c r="H187" i="90"/>
  <c r="G187" i="90"/>
  <c r="F187" i="90"/>
  <c r="E187" i="90"/>
  <c r="D187" i="90"/>
  <c r="C187" i="90"/>
  <c r="B187" i="90"/>
  <c r="A186" i="90"/>
  <c r="K186" i="90"/>
  <c r="J186" i="90"/>
  <c r="I186" i="90"/>
  <c r="H186" i="90"/>
  <c r="G186" i="90"/>
  <c r="F186" i="90"/>
  <c r="E186" i="90"/>
  <c r="D186" i="90"/>
  <c r="C186" i="90"/>
  <c r="B186" i="90"/>
  <c r="A185" i="90"/>
  <c r="K185" i="90"/>
  <c r="J185" i="90"/>
  <c r="I185" i="90"/>
  <c r="H185" i="90"/>
  <c r="G185" i="90"/>
  <c r="F185" i="90"/>
  <c r="E185" i="90"/>
  <c r="D185" i="90"/>
  <c r="C185" i="90"/>
  <c r="B185" i="90"/>
  <c r="A184" i="90"/>
  <c r="K184" i="90"/>
  <c r="J184" i="90"/>
  <c r="I184" i="90"/>
  <c r="H184" i="90"/>
  <c r="G184" i="90"/>
  <c r="F184" i="90"/>
  <c r="E184" i="90"/>
  <c r="D184" i="90"/>
  <c r="C184" i="90"/>
  <c r="B184" i="90"/>
  <c r="A183" i="90"/>
  <c r="K183" i="90"/>
  <c r="J183" i="90"/>
  <c r="I183" i="90"/>
  <c r="H183" i="90"/>
  <c r="G183" i="90"/>
  <c r="F183" i="90"/>
  <c r="E183" i="90"/>
  <c r="D183" i="90"/>
  <c r="C183" i="90"/>
  <c r="B183" i="90"/>
  <c r="A182" i="90"/>
  <c r="K182" i="90"/>
  <c r="J182" i="90"/>
  <c r="I182" i="90"/>
  <c r="H182" i="90"/>
  <c r="G182" i="90"/>
  <c r="F182" i="90"/>
  <c r="E182" i="90"/>
  <c r="D182" i="90"/>
  <c r="C182" i="90"/>
  <c r="B182" i="90"/>
  <c r="A181" i="90"/>
  <c r="K181" i="90"/>
  <c r="J181" i="90"/>
  <c r="I181" i="90"/>
  <c r="H181" i="90"/>
  <c r="G181" i="90"/>
  <c r="F181" i="90"/>
  <c r="E181" i="90"/>
  <c r="D181" i="90"/>
  <c r="C181" i="90"/>
  <c r="B181" i="90"/>
  <c r="A180" i="90"/>
  <c r="K180" i="90"/>
  <c r="J180" i="90"/>
  <c r="I180" i="90"/>
  <c r="H180" i="90"/>
  <c r="G180" i="90"/>
  <c r="F180" i="90"/>
  <c r="E180" i="90"/>
  <c r="D180" i="90"/>
  <c r="C180" i="90"/>
  <c r="B180" i="90"/>
  <c r="A179" i="90"/>
  <c r="K179" i="90"/>
  <c r="J179" i="90"/>
  <c r="I179" i="90"/>
  <c r="H179" i="90"/>
  <c r="G179" i="90"/>
  <c r="F179" i="90"/>
  <c r="E179" i="90"/>
  <c r="D179" i="90"/>
  <c r="C179" i="90"/>
  <c r="B179" i="90"/>
  <c r="A178" i="90"/>
  <c r="K178" i="90"/>
  <c r="J178" i="90"/>
  <c r="I178" i="90"/>
  <c r="H178" i="90"/>
  <c r="G178" i="90"/>
  <c r="F178" i="90"/>
  <c r="E178" i="90"/>
  <c r="D178" i="90"/>
  <c r="C178" i="90"/>
  <c r="B178" i="90"/>
  <c r="A177" i="90"/>
  <c r="K177" i="90"/>
  <c r="J177" i="90"/>
  <c r="I177" i="90"/>
  <c r="H177" i="90"/>
  <c r="G177" i="90"/>
  <c r="F177" i="90"/>
  <c r="E177" i="90"/>
  <c r="D177" i="90"/>
  <c r="C177" i="90"/>
  <c r="B177" i="90"/>
  <c r="A176" i="90"/>
  <c r="K176" i="90"/>
  <c r="J176" i="90"/>
  <c r="I176" i="90"/>
  <c r="H176" i="90"/>
  <c r="G176" i="90"/>
  <c r="F176" i="90"/>
  <c r="E176" i="90"/>
  <c r="D176" i="90"/>
  <c r="C176" i="90"/>
  <c r="B176" i="90"/>
  <c r="A175" i="90"/>
  <c r="K175" i="90"/>
  <c r="J175" i="90"/>
  <c r="I175" i="90"/>
  <c r="H175" i="90"/>
  <c r="G175" i="90"/>
  <c r="F175" i="90"/>
  <c r="E175" i="90"/>
  <c r="D175" i="90"/>
  <c r="C175" i="90"/>
  <c r="B175" i="90"/>
  <c r="A174" i="90"/>
  <c r="K174" i="90"/>
  <c r="J174" i="90"/>
  <c r="I174" i="90"/>
  <c r="H174" i="90"/>
  <c r="G174" i="90"/>
  <c r="F174" i="90"/>
  <c r="E174" i="90"/>
  <c r="D174" i="90"/>
  <c r="C174" i="90"/>
  <c r="B174" i="90"/>
  <c r="A173" i="90"/>
  <c r="K173" i="90"/>
  <c r="J173" i="90"/>
  <c r="I173" i="90"/>
  <c r="H173" i="90"/>
  <c r="G173" i="90"/>
  <c r="F173" i="90"/>
  <c r="E173" i="90"/>
  <c r="D173" i="90"/>
  <c r="C173" i="90"/>
  <c r="B173" i="90"/>
  <c r="A172" i="90"/>
  <c r="K172" i="90"/>
  <c r="J172" i="90"/>
  <c r="I172" i="90"/>
  <c r="H172" i="90"/>
  <c r="G172" i="90"/>
  <c r="F172" i="90"/>
  <c r="E172" i="90"/>
  <c r="D172" i="90"/>
  <c r="C172" i="90"/>
  <c r="B172" i="90"/>
  <c r="A171" i="90"/>
  <c r="K171" i="90"/>
  <c r="J171" i="90"/>
  <c r="I171" i="90"/>
  <c r="H171" i="90"/>
  <c r="G171" i="90"/>
  <c r="F171" i="90"/>
  <c r="E171" i="90"/>
  <c r="D171" i="90"/>
  <c r="C171" i="90"/>
  <c r="B171" i="90"/>
  <c r="A170" i="90"/>
  <c r="K170" i="90"/>
  <c r="J170" i="90"/>
  <c r="I170" i="90"/>
  <c r="H170" i="90"/>
  <c r="G170" i="90"/>
  <c r="F170" i="90"/>
  <c r="E170" i="90"/>
  <c r="D170" i="90"/>
  <c r="C170" i="90"/>
  <c r="B170" i="90"/>
  <c r="A169" i="90"/>
  <c r="K169" i="90"/>
  <c r="J169" i="90"/>
  <c r="I169" i="90"/>
  <c r="H169" i="90"/>
  <c r="G169" i="90"/>
  <c r="F169" i="90"/>
  <c r="E169" i="90"/>
  <c r="D169" i="90"/>
  <c r="C169" i="90"/>
  <c r="B169" i="90"/>
  <c r="A168" i="90"/>
  <c r="K168" i="90"/>
  <c r="J168" i="90"/>
  <c r="I168" i="90"/>
  <c r="H168" i="90"/>
  <c r="G168" i="90"/>
  <c r="F168" i="90"/>
  <c r="E168" i="90"/>
  <c r="D168" i="90"/>
  <c r="C168" i="90"/>
  <c r="B168" i="90"/>
  <c r="A167" i="90"/>
  <c r="K167" i="90"/>
  <c r="J167" i="90"/>
  <c r="I167" i="90"/>
  <c r="H167" i="90"/>
  <c r="G167" i="90"/>
  <c r="F167" i="90"/>
  <c r="E167" i="90"/>
  <c r="D167" i="90"/>
  <c r="C167" i="90"/>
  <c r="B167" i="90"/>
  <c r="A166" i="90"/>
  <c r="K166" i="90"/>
  <c r="J166" i="90"/>
  <c r="I166" i="90"/>
  <c r="H166" i="90"/>
  <c r="G166" i="90"/>
  <c r="F166" i="90"/>
  <c r="E166" i="90"/>
  <c r="D166" i="90"/>
  <c r="C166" i="90"/>
  <c r="B166" i="90"/>
  <c r="A165" i="90"/>
  <c r="K165" i="90"/>
  <c r="J165" i="90"/>
  <c r="I165" i="90"/>
  <c r="H165" i="90"/>
  <c r="G165" i="90"/>
  <c r="F165" i="90"/>
  <c r="E165" i="90"/>
  <c r="D165" i="90"/>
  <c r="C165" i="90"/>
  <c r="B165" i="90"/>
  <c r="A164" i="90"/>
  <c r="K164" i="90"/>
  <c r="J164" i="90"/>
  <c r="I164" i="90"/>
  <c r="H164" i="90"/>
  <c r="G164" i="90"/>
  <c r="F164" i="90"/>
  <c r="E164" i="90"/>
  <c r="D164" i="90"/>
  <c r="C164" i="90"/>
  <c r="B164" i="90"/>
  <c r="A163" i="90"/>
  <c r="K163" i="90"/>
  <c r="J163" i="90"/>
  <c r="I163" i="90"/>
  <c r="H163" i="90"/>
  <c r="G163" i="90"/>
  <c r="F163" i="90"/>
  <c r="E163" i="90"/>
  <c r="D163" i="90"/>
  <c r="C163" i="90"/>
  <c r="B163" i="90"/>
  <c r="A162" i="90"/>
  <c r="K162" i="90"/>
  <c r="J162" i="90"/>
  <c r="I162" i="90"/>
  <c r="H162" i="90"/>
  <c r="G162" i="90"/>
  <c r="F162" i="90"/>
  <c r="E162" i="90"/>
  <c r="D162" i="90"/>
  <c r="C162" i="90"/>
  <c r="B162" i="90"/>
  <c r="A161" i="90"/>
  <c r="K161" i="90"/>
  <c r="J161" i="90"/>
  <c r="I161" i="90"/>
  <c r="H161" i="90"/>
  <c r="G161" i="90"/>
  <c r="F161" i="90"/>
  <c r="E161" i="90"/>
  <c r="D161" i="90"/>
  <c r="C161" i="90"/>
  <c r="B161" i="90"/>
  <c r="A160" i="90"/>
  <c r="K160" i="90"/>
  <c r="J160" i="90"/>
  <c r="I160" i="90"/>
  <c r="H160" i="90"/>
  <c r="G160" i="90"/>
  <c r="F160" i="90"/>
  <c r="E160" i="90"/>
  <c r="D160" i="90"/>
  <c r="C160" i="90"/>
  <c r="B160" i="90"/>
  <c r="A159" i="90"/>
  <c r="K159" i="90"/>
  <c r="J159" i="90"/>
  <c r="I159" i="90"/>
  <c r="H159" i="90"/>
  <c r="G159" i="90"/>
  <c r="F159" i="90"/>
  <c r="E159" i="90"/>
  <c r="D159" i="90"/>
  <c r="C159" i="90"/>
  <c r="B159" i="90"/>
  <c r="A158" i="90"/>
  <c r="K158" i="90"/>
  <c r="J158" i="90"/>
  <c r="I158" i="90"/>
  <c r="H158" i="90"/>
  <c r="G158" i="90"/>
  <c r="F158" i="90"/>
  <c r="E158" i="90"/>
  <c r="D158" i="90"/>
  <c r="C158" i="90"/>
  <c r="B158" i="90"/>
  <c r="A157" i="90"/>
  <c r="K157" i="90"/>
  <c r="J157" i="90"/>
  <c r="I157" i="90"/>
  <c r="H157" i="90"/>
  <c r="G157" i="90"/>
  <c r="F157" i="90"/>
  <c r="E157" i="90"/>
  <c r="D157" i="90"/>
  <c r="C157" i="90"/>
  <c r="B157" i="90"/>
  <c r="A156" i="90"/>
  <c r="K156" i="90"/>
  <c r="J156" i="90"/>
  <c r="I156" i="90"/>
  <c r="H156" i="90"/>
  <c r="G156" i="90"/>
  <c r="F156" i="90"/>
  <c r="E156" i="90"/>
  <c r="D156" i="90"/>
  <c r="C156" i="90"/>
  <c r="B156" i="90"/>
  <c r="A155" i="90"/>
  <c r="K155" i="90"/>
  <c r="J155" i="90"/>
  <c r="I155" i="90"/>
  <c r="H155" i="90"/>
  <c r="G155" i="90"/>
  <c r="F155" i="90"/>
  <c r="E155" i="90"/>
  <c r="D155" i="90"/>
  <c r="C155" i="90"/>
  <c r="B155" i="90"/>
  <c r="A154" i="90"/>
  <c r="K154" i="90"/>
  <c r="J154" i="90"/>
  <c r="I154" i="90"/>
  <c r="H154" i="90"/>
  <c r="G154" i="90"/>
  <c r="F154" i="90"/>
  <c r="E154" i="90"/>
  <c r="D154" i="90"/>
  <c r="C154" i="90"/>
  <c r="B154" i="90"/>
  <c r="A153" i="90"/>
  <c r="K153" i="90"/>
  <c r="J153" i="90"/>
  <c r="I153" i="90"/>
  <c r="H153" i="90"/>
  <c r="G153" i="90"/>
  <c r="F153" i="90"/>
  <c r="E153" i="90"/>
  <c r="D153" i="90"/>
  <c r="C153" i="90"/>
  <c r="B153" i="90"/>
  <c r="A152" i="90"/>
  <c r="K152" i="90"/>
  <c r="J152" i="90"/>
  <c r="I152" i="90"/>
  <c r="H152" i="90"/>
  <c r="G152" i="90"/>
  <c r="F152" i="90"/>
  <c r="E152" i="90"/>
  <c r="D152" i="90"/>
  <c r="C152" i="90"/>
  <c r="B152" i="90"/>
  <c r="A151" i="90"/>
  <c r="K151" i="90"/>
  <c r="J151" i="90"/>
  <c r="I151" i="90"/>
  <c r="H151" i="90"/>
  <c r="G151" i="90"/>
  <c r="F151" i="90"/>
  <c r="E151" i="90"/>
  <c r="D151" i="90"/>
  <c r="C151" i="90"/>
  <c r="B151" i="90"/>
  <c r="A150" i="90"/>
  <c r="K150" i="90"/>
  <c r="J150" i="90"/>
  <c r="I150" i="90"/>
  <c r="H150" i="90"/>
  <c r="G150" i="90"/>
  <c r="F150" i="90"/>
  <c r="E150" i="90"/>
  <c r="D150" i="90"/>
  <c r="C150" i="90"/>
  <c r="B150" i="90"/>
  <c r="A149" i="90"/>
  <c r="K149" i="90"/>
  <c r="J149" i="90"/>
  <c r="I149" i="90"/>
  <c r="H149" i="90"/>
  <c r="G149" i="90"/>
  <c r="F149" i="90"/>
  <c r="E149" i="90"/>
  <c r="D149" i="90"/>
  <c r="C149" i="90"/>
  <c r="B149" i="90"/>
  <c r="A148" i="90"/>
  <c r="K148" i="90"/>
  <c r="J148" i="90"/>
  <c r="I148" i="90"/>
  <c r="H148" i="90"/>
  <c r="G148" i="90"/>
  <c r="F148" i="90"/>
  <c r="E148" i="90"/>
  <c r="D148" i="90"/>
  <c r="C148" i="90"/>
  <c r="B148" i="90"/>
  <c r="A147" i="90"/>
  <c r="K147" i="90"/>
  <c r="J147" i="90"/>
  <c r="I147" i="90"/>
  <c r="H147" i="90"/>
  <c r="G147" i="90"/>
  <c r="F147" i="90"/>
  <c r="E147" i="90"/>
  <c r="D147" i="90"/>
  <c r="C147" i="90"/>
  <c r="B147" i="90"/>
  <c r="A146" i="90"/>
  <c r="K146" i="90"/>
  <c r="J146" i="90"/>
  <c r="I146" i="90"/>
  <c r="H146" i="90"/>
  <c r="G146" i="90"/>
  <c r="F146" i="90"/>
  <c r="E146" i="90"/>
  <c r="D146" i="90"/>
  <c r="C146" i="90"/>
  <c r="B146" i="90"/>
  <c r="A145" i="90"/>
  <c r="K145" i="90"/>
  <c r="J145" i="90"/>
  <c r="I145" i="90"/>
  <c r="H145" i="90"/>
  <c r="G145" i="90"/>
  <c r="F145" i="90"/>
  <c r="E145" i="90"/>
  <c r="D145" i="90"/>
  <c r="C145" i="90"/>
  <c r="B145" i="90"/>
  <c r="A144" i="90"/>
  <c r="K144" i="90"/>
  <c r="J144" i="90"/>
  <c r="I144" i="90"/>
  <c r="H144" i="90"/>
  <c r="G144" i="90"/>
  <c r="F144" i="90"/>
  <c r="E144" i="90"/>
  <c r="D144" i="90"/>
  <c r="C144" i="90"/>
  <c r="B144" i="90"/>
  <c r="A143" i="90"/>
  <c r="K143" i="90"/>
  <c r="J143" i="90"/>
  <c r="I143" i="90"/>
  <c r="H143" i="90"/>
  <c r="G143" i="90"/>
  <c r="F143" i="90"/>
  <c r="E143" i="90"/>
  <c r="D143" i="90"/>
  <c r="C143" i="90"/>
  <c r="B143" i="90"/>
  <c r="A142" i="90"/>
  <c r="K142" i="90"/>
  <c r="J142" i="90"/>
  <c r="I142" i="90"/>
  <c r="H142" i="90"/>
  <c r="G142" i="90"/>
  <c r="F142" i="90"/>
  <c r="E142" i="90"/>
  <c r="D142" i="90"/>
  <c r="C142" i="90"/>
  <c r="B142" i="90"/>
  <c r="A141" i="90"/>
  <c r="K141" i="90"/>
  <c r="J141" i="90"/>
  <c r="I141" i="90"/>
  <c r="H141" i="90"/>
  <c r="G141" i="90"/>
  <c r="F141" i="90"/>
  <c r="E141" i="90"/>
  <c r="D141" i="90"/>
  <c r="C141" i="90"/>
  <c r="B141" i="90"/>
  <c r="A140" i="90"/>
  <c r="K140" i="90"/>
  <c r="J140" i="90"/>
  <c r="I140" i="90"/>
  <c r="H140" i="90"/>
  <c r="G140" i="90"/>
  <c r="F140" i="90"/>
  <c r="E140" i="90"/>
  <c r="D140" i="90"/>
  <c r="C140" i="90"/>
  <c r="B140" i="90"/>
  <c r="A139" i="90"/>
  <c r="K139" i="90"/>
  <c r="J139" i="90"/>
  <c r="I139" i="90"/>
  <c r="H139" i="90"/>
  <c r="G139" i="90"/>
  <c r="F139" i="90"/>
  <c r="E139" i="90"/>
  <c r="D139" i="90"/>
  <c r="C139" i="90"/>
  <c r="B139" i="90"/>
  <c r="A138" i="90"/>
  <c r="K138" i="90"/>
  <c r="J138" i="90"/>
  <c r="I138" i="90"/>
  <c r="H138" i="90"/>
  <c r="G138" i="90"/>
  <c r="F138" i="90"/>
  <c r="E138" i="90"/>
  <c r="D138" i="90"/>
  <c r="C138" i="90"/>
  <c r="B138" i="90"/>
  <c r="A137" i="90"/>
  <c r="K137" i="90"/>
  <c r="J137" i="90"/>
  <c r="I137" i="90"/>
  <c r="H137" i="90"/>
  <c r="G137" i="90"/>
  <c r="F137" i="90"/>
  <c r="E137" i="90"/>
  <c r="D137" i="90"/>
  <c r="C137" i="90"/>
  <c r="B137" i="90"/>
  <c r="A136" i="90"/>
  <c r="K136" i="90"/>
  <c r="J136" i="90"/>
  <c r="I136" i="90"/>
  <c r="H136" i="90"/>
  <c r="G136" i="90"/>
  <c r="F136" i="90"/>
  <c r="E136" i="90"/>
  <c r="D136" i="90"/>
  <c r="C136" i="90"/>
  <c r="B136" i="90"/>
  <c r="A135" i="90"/>
  <c r="K135" i="90"/>
  <c r="J135" i="90"/>
  <c r="I135" i="90"/>
  <c r="H135" i="90"/>
  <c r="G135" i="90"/>
  <c r="F135" i="90"/>
  <c r="E135" i="90"/>
  <c r="D135" i="90"/>
  <c r="C135" i="90"/>
  <c r="B135" i="90"/>
  <c r="A134" i="90"/>
  <c r="K134" i="90"/>
  <c r="J134" i="90"/>
  <c r="I134" i="90"/>
  <c r="H134" i="90"/>
  <c r="G134" i="90"/>
  <c r="F134" i="90"/>
  <c r="E134" i="90"/>
  <c r="D134" i="90"/>
  <c r="C134" i="90"/>
  <c r="B134" i="90"/>
  <c r="A133" i="90"/>
  <c r="K133" i="90"/>
  <c r="J133" i="90"/>
  <c r="I133" i="90"/>
  <c r="H133" i="90"/>
  <c r="G133" i="90"/>
  <c r="F133" i="90"/>
  <c r="E133" i="90"/>
  <c r="D133" i="90"/>
  <c r="C133" i="90"/>
  <c r="B133" i="90"/>
  <c r="A132" i="90"/>
  <c r="K132" i="90"/>
  <c r="J132" i="90"/>
  <c r="I132" i="90"/>
  <c r="H132" i="90"/>
  <c r="G132" i="90"/>
  <c r="F132" i="90"/>
  <c r="E132" i="90"/>
  <c r="D132" i="90"/>
  <c r="C132" i="90"/>
  <c r="B132" i="90"/>
  <c r="A131" i="90"/>
  <c r="K131" i="90"/>
  <c r="J131" i="90"/>
  <c r="I131" i="90"/>
  <c r="H131" i="90"/>
  <c r="G131" i="90"/>
  <c r="F131" i="90"/>
  <c r="E131" i="90"/>
  <c r="D131" i="90"/>
  <c r="C131" i="90"/>
  <c r="B131" i="90"/>
  <c r="A130" i="90"/>
  <c r="K130" i="90"/>
  <c r="J130" i="90"/>
  <c r="I130" i="90"/>
  <c r="H130" i="90"/>
  <c r="G130" i="90"/>
  <c r="F130" i="90"/>
  <c r="E130" i="90"/>
  <c r="D130" i="90"/>
  <c r="C130" i="90"/>
  <c r="B130" i="90"/>
  <c r="A129" i="90"/>
  <c r="K129" i="90"/>
  <c r="J129" i="90"/>
  <c r="I129" i="90"/>
  <c r="H129" i="90"/>
  <c r="G129" i="90"/>
  <c r="F129" i="90"/>
  <c r="E129" i="90"/>
  <c r="D129" i="90"/>
  <c r="C129" i="90"/>
  <c r="B129" i="90"/>
  <c r="A128" i="90"/>
  <c r="K128" i="90"/>
  <c r="J128" i="90"/>
  <c r="I128" i="90"/>
  <c r="H128" i="90"/>
  <c r="G128" i="90"/>
  <c r="F128" i="90"/>
  <c r="E128" i="90"/>
  <c r="D128" i="90"/>
  <c r="C128" i="90"/>
  <c r="B128" i="90"/>
  <c r="A127" i="90"/>
  <c r="K127" i="90"/>
  <c r="J127" i="90"/>
  <c r="I127" i="90"/>
  <c r="H127" i="90"/>
  <c r="G127" i="90"/>
  <c r="F127" i="90"/>
  <c r="E127" i="90"/>
  <c r="D127" i="90"/>
  <c r="C127" i="90"/>
  <c r="B127" i="90"/>
  <c r="A126" i="90"/>
  <c r="K126" i="90"/>
  <c r="J126" i="90"/>
  <c r="I126" i="90"/>
  <c r="H126" i="90"/>
  <c r="G126" i="90"/>
  <c r="F126" i="90"/>
  <c r="E126" i="90"/>
  <c r="D126" i="90"/>
  <c r="C126" i="90"/>
  <c r="B126" i="90"/>
  <c r="A125" i="90"/>
  <c r="K125" i="90"/>
  <c r="J125" i="90"/>
  <c r="I125" i="90"/>
  <c r="H125" i="90"/>
  <c r="G125" i="90"/>
  <c r="F125" i="90"/>
  <c r="E125" i="90"/>
  <c r="D125" i="90"/>
  <c r="C125" i="90"/>
  <c r="B125" i="90"/>
  <c r="A124" i="90"/>
  <c r="K124" i="90"/>
  <c r="J124" i="90"/>
  <c r="I124" i="90"/>
  <c r="H124" i="90"/>
  <c r="G124" i="90"/>
  <c r="F124" i="90"/>
  <c r="E124" i="90"/>
  <c r="D124" i="90"/>
  <c r="C124" i="90"/>
  <c r="B124" i="90"/>
  <c r="A123" i="90"/>
  <c r="K123" i="90"/>
  <c r="J123" i="90"/>
  <c r="I123" i="90"/>
  <c r="H123" i="90"/>
  <c r="G123" i="90"/>
  <c r="F123" i="90"/>
  <c r="E123" i="90"/>
  <c r="D123" i="90"/>
  <c r="C123" i="90"/>
  <c r="B123" i="90"/>
  <c r="A122" i="90"/>
  <c r="K122" i="90"/>
  <c r="J122" i="90"/>
  <c r="I122" i="90"/>
  <c r="H122" i="90"/>
  <c r="G122" i="90"/>
  <c r="F122" i="90"/>
  <c r="E122" i="90"/>
  <c r="D122" i="90"/>
  <c r="C122" i="90"/>
  <c r="B122" i="90"/>
  <c r="A121" i="90"/>
  <c r="K121" i="90"/>
  <c r="J121" i="90"/>
  <c r="I121" i="90"/>
  <c r="H121" i="90"/>
  <c r="G121" i="90"/>
  <c r="F121" i="90"/>
  <c r="E121" i="90"/>
  <c r="D121" i="90"/>
  <c r="C121" i="90"/>
  <c r="B121" i="90"/>
  <c r="A120" i="90"/>
  <c r="K120" i="90"/>
  <c r="J120" i="90"/>
  <c r="I120" i="90"/>
  <c r="H120" i="90"/>
  <c r="G120" i="90"/>
  <c r="F120" i="90"/>
  <c r="E120" i="90"/>
  <c r="D120" i="90"/>
  <c r="C120" i="90"/>
  <c r="B120" i="90"/>
  <c r="A119" i="90"/>
  <c r="K119" i="90"/>
  <c r="J119" i="90"/>
  <c r="I119" i="90"/>
  <c r="H119" i="90"/>
  <c r="G119" i="90"/>
  <c r="F119" i="90"/>
  <c r="E119" i="90"/>
  <c r="D119" i="90"/>
  <c r="C119" i="90"/>
  <c r="B119" i="90"/>
  <c r="A118" i="90"/>
  <c r="K118" i="90"/>
  <c r="J118" i="90"/>
  <c r="I118" i="90"/>
  <c r="H118" i="90"/>
  <c r="G118" i="90"/>
  <c r="F118" i="90"/>
  <c r="E118" i="90"/>
  <c r="D118" i="90"/>
  <c r="C118" i="90"/>
  <c r="B118" i="90"/>
  <c r="A117" i="90"/>
  <c r="K117" i="90"/>
  <c r="J117" i="90"/>
  <c r="I117" i="90"/>
  <c r="H117" i="90"/>
  <c r="G117" i="90"/>
  <c r="F117" i="90"/>
  <c r="E117" i="90"/>
  <c r="D117" i="90"/>
  <c r="C117" i="90"/>
  <c r="B117" i="90"/>
  <c r="A116" i="90"/>
  <c r="K116" i="90"/>
  <c r="J116" i="90"/>
  <c r="I116" i="90"/>
  <c r="H116" i="90"/>
  <c r="G116" i="90"/>
  <c r="F116" i="90"/>
  <c r="E116" i="90"/>
  <c r="D116" i="90"/>
  <c r="C116" i="90"/>
  <c r="B116" i="90"/>
  <c r="A115" i="90"/>
  <c r="K115" i="90"/>
  <c r="J115" i="90"/>
  <c r="I115" i="90"/>
  <c r="H115" i="90"/>
  <c r="G115" i="90"/>
  <c r="F115" i="90"/>
  <c r="E115" i="90"/>
  <c r="D115" i="90"/>
  <c r="C115" i="90"/>
  <c r="B115" i="90"/>
  <c r="A114" i="90"/>
  <c r="K114" i="90"/>
  <c r="J114" i="90"/>
  <c r="I114" i="90"/>
  <c r="H114" i="90"/>
  <c r="G114" i="90"/>
  <c r="F114" i="90"/>
  <c r="E114" i="90"/>
  <c r="D114" i="90"/>
  <c r="C114" i="90"/>
  <c r="B114" i="90"/>
  <c r="A113" i="90"/>
  <c r="K113" i="90"/>
  <c r="J113" i="90"/>
  <c r="I113" i="90"/>
  <c r="H113" i="90"/>
  <c r="G113" i="90"/>
  <c r="F113" i="90"/>
  <c r="E113" i="90"/>
  <c r="D113" i="90"/>
  <c r="C113" i="90"/>
  <c r="B113" i="90"/>
  <c r="A112" i="90"/>
  <c r="K112" i="90"/>
  <c r="J112" i="90"/>
  <c r="I112" i="90"/>
  <c r="H112" i="90"/>
  <c r="G112" i="90"/>
  <c r="F112" i="90"/>
  <c r="E112" i="90"/>
  <c r="D112" i="90"/>
  <c r="C112" i="90"/>
  <c r="B112" i="90"/>
  <c r="A111" i="90"/>
  <c r="K111" i="90"/>
  <c r="J111" i="90"/>
  <c r="I111" i="90"/>
  <c r="H111" i="90"/>
  <c r="G111" i="90"/>
  <c r="F111" i="90"/>
  <c r="E111" i="90"/>
  <c r="D111" i="90"/>
  <c r="C111" i="90"/>
  <c r="B111" i="90"/>
  <c r="A110" i="90"/>
  <c r="K110" i="90"/>
  <c r="J110" i="90"/>
  <c r="I110" i="90"/>
  <c r="H110" i="90"/>
  <c r="G110" i="90"/>
  <c r="F110" i="90"/>
  <c r="E110" i="90"/>
  <c r="D110" i="90"/>
  <c r="C110" i="90"/>
  <c r="B110" i="90"/>
  <c r="A109" i="90"/>
  <c r="K109" i="90"/>
  <c r="J109" i="90"/>
  <c r="I109" i="90"/>
  <c r="H109" i="90"/>
  <c r="G109" i="90"/>
  <c r="F109" i="90"/>
  <c r="E109" i="90"/>
  <c r="D109" i="90"/>
  <c r="C109" i="90"/>
  <c r="B109" i="90"/>
  <c r="A108" i="90"/>
  <c r="K108" i="90"/>
  <c r="J108" i="90"/>
  <c r="I108" i="90"/>
  <c r="H108" i="90"/>
  <c r="G108" i="90"/>
  <c r="F108" i="90"/>
  <c r="E108" i="90"/>
  <c r="D108" i="90"/>
  <c r="C108" i="90"/>
  <c r="B108" i="90"/>
  <c r="A107" i="90"/>
  <c r="K107" i="90"/>
  <c r="J107" i="90"/>
  <c r="I107" i="90"/>
  <c r="H107" i="90"/>
  <c r="G107" i="90"/>
  <c r="F107" i="90"/>
  <c r="E107" i="90"/>
  <c r="D107" i="90"/>
  <c r="C107" i="90"/>
  <c r="B107" i="90"/>
  <c r="A106" i="90"/>
  <c r="K106" i="90"/>
  <c r="J106" i="90"/>
  <c r="I106" i="90"/>
  <c r="H106" i="90"/>
  <c r="G106" i="90"/>
  <c r="F106" i="90"/>
  <c r="E106" i="90"/>
  <c r="D106" i="90"/>
  <c r="C106" i="90"/>
  <c r="B106" i="90"/>
  <c r="A105" i="90"/>
  <c r="K105" i="90"/>
  <c r="J105" i="90"/>
  <c r="I105" i="90"/>
  <c r="H105" i="90"/>
  <c r="G105" i="90"/>
  <c r="F105" i="90"/>
  <c r="E105" i="90"/>
  <c r="D105" i="90"/>
  <c r="C105" i="90"/>
  <c r="B105" i="90"/>
  <c r="A104" i="90"/>
  <c r="K104" i="90"/>
  <c r="J104" i="90"/>
  <c r="I104" i="90"/>
  <c r="H104" i="90"/>
  <c r="G104" i="90"/>
  <c r="F104" i="90"/>
  <c r="E104" i="90"/>
  <c r="D104" i="90"/>
  <c r="C104" i="90"/>
  <c r="B104" i="90"/>
  <c r="A103" i="90"/>
  <c r="K103" i="90"/>
  <c r="J103" i="90"/>
  <c r="I103" i="90"/>
  <c r="H103" i="90"/>
  <c r="G103" i="90"/>
  <c r="F103" i="90"/>
  <c r="E103" i="90"/>
  <c r="D103" i="90"/>
  <c r="C103" i="90"/>
  <c r="B103" i="90"/>
  <c r="A102" i="90"/>
  <c r="K102" i="90"/>
  <c r="J102" i="90"/>
  <c r="I102" i="90"/>
  <c r="H102" i="90"/>
  <c r="G102" i="90"/>
  <c r="F102" i="90"/>
  <c r="E102" i="90"/>
  <c r="D102" i="90"/>
  <c r="C102" i="90"/>
  <c r="B102" i="90"/>
  <c r="A101" i="90"/>
  <c r="K101" i="90"/>
  <c r="J101" i="90"/>
  <c r="I101" i="90"/>
  <c r="H101" i="90"/>
  <c r="G101" i="90"/>
  <c r="F101" i="90"/>
  <c r="E101" i="90"/>
  <c r="D101" i="90"/>
  <c r="C101" i="90"/>
  <c r="B101" i="90"/>
  <c r="A100" i="90"/>
  <c r="K100" i="90"/>
  <c r="J100" i="90"/>
  <c r="I100" i="90"/>
  <c r="H100" i="90"/>
  <c r="G100" i="90"/>
  <c r="F100" i="90"/>
  <c r="E100" i="90"/>
  <c r="D100" i="90"/>
  <c r="C100" i="90"/>
  <c r="B100" i="90"/>
  <c r="A99" i="90"/>
  <c r="K99" i="90"/>
  <c r="J99" i="90"/>
  <c r="I99" i="90"/>
  <c r="H99" i="90"/>
  <c r="G99" i="90"/>
  <c r="F99" i="90"/>
  <c r="E99" i="90"/>
  <c r="D99" i="90"/>
  <c r="C99" i="90"/>
  <c r="B99" i="90"/>
  <c r="A98" i="90"/>
  <c r="K98" i="90"/>
  <c r="J98" i="90"/>
  <c r="I98" i="90"/>
  <c r="H98" i="90"/>
  <c r="G98" i="90"/>
  <c r="F98" i="90"/>
  <c r="E98" i="90"/>
  <c r="D98" i="90"/>
  <c r="C98" i="90"/>
  <c r="B98" i="90"/>
  <c r="A97" i="90"/>
  <c r="K97" i="90"/>
  <c r="J97" i="90"/>
  <c r="I97" i="90"/>
  <c r="H97" i="90"/>
  <c r="G97" i="90"/>
  <c r="F97" i="90"/>
  <c r="E97" i="90"/>
  <c r="D97" i="90"/>
  <c r="C97" i="90"/>
  <c r="B97" i="90"/>
  <c r="A96" i="90"/>
  <c r="K96" i="90"/>
  <c r="J96" i="90"/>
  <c r="I96" i="90"/>
  <c r="H96" i="90"/>
  <c r="G96" i="90"/>
  <c r="F96" i="90"/>
  <c r="E96" i="90"/>
  <c r="D96" i="90"/>
  <c r="C96" i="90"/>
  <c r="B96" i="90"/>
  <c r="A95" i="90"/>
  <c r="K95" i="90"/>
  <c r="J95" i="90"/>
  <c r="I95" i="90"/>
  <c r="H95" i="90"/>
  <c r="G95" i="90"/>
  <c r="F95" i="90"/>
  <c r="E95" i="90"/>
  <c r="D95" i="90"/>
  <c r="C95" i="90"/>
  <c r="B95" i="90"/>
  <c r="A94" i="90"/>
  <c r="K94" i="90"/>
  <c r="J94" i="90"/>
  <c r="I94" i="90"/>
  <c r="H94" i="90"/>
  <c r="G94" i="90"/>
  <c r="F94" i="90"/>
  <c r="E94" i="90"/>
  <c r="D94" i="90"/>
  <c r="C94" i="90"/>
  <c r="B94" i="90"/>
  <c r="A93" i="90"/>
  <c r="K93" i="90"/>
  <c r="J93" i="90"/>
  <c r="I93" i="90"/>
  <c r="H93" i="90"/>
  <c r="G93" i="90"/>
  <c r="F93" i="90"/>
  <c r="E93" i="90"/>
  <c r="D93" i="90"/>
  <c r="C93" i="90"/>
  <c r="B93" i="90"/>
  <c r="A92" i="90"/>
  <c r="K92" i="90"/>
  <c r="J92" i="90"/>
  <c r="I92" i="90"/>
  <c r="H92" i="90"/>
  <c r="G92" i="90"/>
  <c r="F92" i="90"/>
  <c r="E92" i="90"/>
  <c r="D92" i="90"/>
  <c r="C92" i="90"/>
  <c r="B92" i="90"/>
  <c r="A91" i="90"/>
  <c r="K91" i="90"/>
  <c r="J91" i="90"/>
  <c r="I91" i="90"/>
  <c r="H91" i="90"/>
  <c r="G91" i="90"/>
  <c r="F91" i="90"/>
  <c r="E91" i="90"/>
  <c r="D91" i="90"/>
  <c r="C91" i="90"/>
  <c r="B91" i="90"/>
  <c r="A90" i="90"/>
  <c r="K90" i="90"/>
  <c r="J90" i="90"/>
  <c r="I90" i="90"/>
  <c r="H90" i="90"/>
  <c r="G90" i="90"/>
  <c r="F90" i="90"/>
  <c r="E90" i="90"/>
  <c r="D90" i="90"/>
  <c r="C90" i="90"/>
  <c r="B90" i="90"/>
  <c r="A89" i="90"/>
  <c r="K89" i="90"/>
  <c r="J89" i="90"/>
  <c r="I89" i="90"/>
  <c r="H89" i="90"/>
  <c r="G89" i="90"/>
  <c r="F89" i="90"/>
  <c r="E89" i="90"/>
  <c r="D89" i="90"/>
  <c r="C89" i="90"/>
  <c r="B89" i="90"/>
  <c r="A88" i="90"/>
  <c r="K88" i="90"/>
  <c r="J88" i="90"/>
  <c r="I88" i="90"/>
  <c r="H88" i="90"/>
  <c r="G88" i="90"/>
  <c r="F88" i="90"/>
  <c r="E88" i="90"/>
  <c r="D88" i="90"/>
  <c r="C88" i="90"/>
  <c r="B88" i="90"/>
  <c r="A87" i="90"/>
  <c r="K87" i="90"/>
  <c r="J87" i="90"/>
  <c r="I87" i="90"/>
  <c r="H87" i="90"/>
  <c r="G87" i="90"/>
  <c r="F87" i="90"/>
  <c r="E87" i="90"/>
  <c r="D87" i="90"/>
  <c r="C87" i="90"/>
  <c r="B87" i="90"/>
  <c r="A86" i="90"/>
  <c r="K86" i="90"/>
  <c r="J86" i="90"/>
  <c r="I86" i="90"/>
  <c r="H86" i="90"/>
  <c r="G86" i="90"/>
  <c r="F86" i="90"/>
  <c r="E86" i="90"/>
  <c r="D86" i="90"/>
  <c r="C86" i="90"/>
  <c r="B86" i="90"/>
  <c r="A85" i="90"/>
  <c r="K85" i="90"/>
  <c r="J85" i="90"/>
  <c r="I85" i="90"/>
  <c r="H85" i="90"/>
  <c r="G85" i="90"/>
  <c r="F85" i="90"/>
  <c r="E85" i="90"/>
  <c r="D85" i="90"/>
  <c r="C85" i="90"/>
  <c r="B85" i="90"/>
  <c r="A84" i="90"/>
  <c r="K84" i="90"/>
  <c r="J84" i="90"/>
  <c r="I84" i="90"/>
  <c r="H84" i="90"/>
  <c r="G84" i="90"/>
  <c r="F84" i="90"/>
  <c r="E84" i="90"/>
  <c r="D84" i="90"/>
  <c r="C84" i="90"/>
  <c r="B84" i="90"/>
  <c r="A83" i="90"/>
  <c r="K83" i="90"/>
  <c r="J83" i="90"/>
  <c r="I83" i="90"/>
  <c r="H83" i="90"/>
  <c r="G83" i="90"/>
  <c r="F83" i="90"/>
  <c r="E83" i="90"/>
  <c r="D83" i="90"/>
  <c r="C83" i="90"/>
  <c r="B83" i="90"/>
  <c r="A82" i="90"/>
  <c r="K82" i="90"/>
  <c r="J82" i="90"/>
  <c r="I82" i="90"/>
  <c r="H82" i="90"/>
  <c r="G82" i="90"/>
  <c r="F82" i="90"/>
  <c r="E82" i="90"/>
  <c r="D82" i="90"/>
  <c r="C82" i="90"/>
  <c r="B82" i="90"/>
  <c r="A81" i="90"/>
  <c r="K81" i="90"/>
  <c r="J81" i="90"/>
  <c r="I81" i="90"/>
  <c r="H81" i="90"/>
  <c r="G81" i="90"/>
  <c r="F81" i="90"/>
  <c r="E81" i="90"/>
  <c r="D81" i="90"/>
  <c r="C81" i="90"/>
  <c r="B81" i="90"/>
  <c r="A80" i="90"/>
  <c r="K80" i="90"/>
  <c r="J80" i="90"/>
  <c r="I80" i="90"/>
  <c r="H80" i="90"/>
  <c r="G80" i="90"/>
  <c r="F80" i="90"/>
  <c r="E80" i="90"/>
  <c r="D80" i="90"/>
  <c r="C80" i="90"/>
  <c r="B80" i="90"/>
  <c r="A79" i="90"/>
  <c r="K79" i="90"/>
  <c r="J79" i="90"/>
  <c r="I79" i="90"/>
  <c r="H79" i="90"/>
  <c r="G79" i="90"/>
  <c r="F79" i="90"/>
  <c r="E79" i="90"/>
  <c r="D79" i="90"/>
  <c r="C79" i="90"/>
  <c r="B79" i="90"/>
  <c r="A78" i="90"/>
  <c r="K78" i="90"/>
  <c r="J78" i="90"/>
  <c r="I78" i="90"/>
  <c r="H78" i="90"/>
  <c r="G78" i="90"/>
  <c r="F78" i="90"/>
  <c r="E78" i="90"/>
  <c r="D78" i="90"/>
  <c r="C78" i="90"/>
  <c r="B78" i="90"/>
  <c r="A77" i="90"/>
  <c r="K77" i="90"/>
  <c r="J77" i="90"/>
  <c r="I77" i="90"/>
  <c r="H77" i="90"/>
  <c r="G77" i="90"/>
  <c r="F77" i="90"/>
  <c r="E77" i="90"/>
  <c r="D77" i="90"/>
  <c r="C77" i="90"/>
  <c r="B77" i="90"/>
  <c r="A76" i="90"/>
  <c r="K76" i="90"/>
  <c r="J76" i="90"/>
  <c r="I76" i="90"/>
  <c r="H76" i="90"/>
  <c r="G76" i="90"/>
  <c r="F76" i="90"/>
  <c r="E76" i="90"/>
  <c r="D76" i="90"/>
  <c r="C76" i="90"/>
  <c r="B76" i="90"/>
  <c r="A75" i="90"/>
  <c r="K75" i="90"/>
  <c r="J75" i="90"/>
  <c r="I75" i="90"/>
  <c r="H75" i="90"/>
  <c r="G75" i="90"/>
  <c r="F75" i="90"/>
  <c r="E75" i="90"/>
  <c r="D75" i="90"/>
  <c r="C75" i="90"/>
  <c r="B75" i="90"/>
  <c r="A74" i="90"/>
  <c r="K74" i="90"/>
  <c r="J74" i="90"/>
  <c r="I74" i="90"/>
  <c r="H74" i="90"/>
  <c r="G74" i="90"/>
  <c r="F74" i="90"/>
  <c r="E74" i="90"/>
  <c r="D74" i="90"/>
  <c r="C74" i="90"/>
  <c r="B74" i="90"/>
  <c r="A73" i="90"/>
  <c r="K73" i="90"/>
  <c r="J73" i="90"/>
  <c r="I73" i="90"/>
  <c r="H73" i="90"/>
  <c r="G73" i="90"/>
  <c r="F73" i="90"/>
  <c r="E73" i="90"/>
  <c r="D73" i="90"/>
  <c r="C73" i="90"/>
  <c r="B73" i="90"/>
  <c r="A72" i="90"/>
  <c r="K72" i="90"/>
  <c r="J72" i="90"/>
  <c r="I72" i="90"/>
  <c r="H72" i="90"/>
  <c r="G72" i="90"/>
  <c r="F72" i="90"/>
  <c r="E72" i="90"/>
  <c r="D72" i="90"/>
  <c r="C72" i="90"/>
  <c r="B72" i="90"/>
  <c r="A71" i="90"/>
  <c r="K71" i="90"/>
  <c r="J71" i="90"/>
  <c r="I71" i="90"/>
  <c r="H71" i="90"/>
  <c r="G71" i="90"/>
  <c r="F71" i="90"/>
  <c r="E71" i="90"/>
  <c r="D71" i="90"/>
  <c r="C71" i="90"/>
  <c r="B71" i="90"/>
  <c r="A70" i="90"/>
  <c r="K70" i="90"/>
  <c r="J70" i="90"/>
  <c r="I70" i="90"/>
  <c r="H70" i="90"/>
  <c r="G70" i="90"/>
  <c r="F70" i="90"/>
  <c r="E70" i="90"/>
  <c r="D70" i="90"/>
  <c r="C70" i="90"/>
  <c r="B70" i="90"/>
  <c r="A69" i="90"/>
  <c r="K69" i="90"/>
  <c r="J69" i="90"/>
  <c r="I69" i="90"/>
  <c r="H69" i="90"/>
  <c r="G69" i="90"/>
  <c r="F69" i="90"/>
  <c r="E69" i="90"/>
  <c r="D69" i="90"/>
  <c r="C69" i="90"/>
  <c r="B69" i="90"/>
  <c r="A68" i="90"/>
  <c r="K68" i="90"/>
  <c r="J68" i="90"/>
  <c r="I68" i="90"/>
  <c r="H68" i="90"/>
  <c r="G68" i="90"/>
  <c r="F68" i="90"/>
  <c r="E68" i="90"/>
  <c r="D68" i="90"/>
  <c r="C68" i="90"/>
  <c r="B68" i="90"/>
  <c r="A67" i="90"/>
  <c r="K67" i="90"/>
  <c r="J67" i="90"/>
  <c r="I67" i="90"/>
  <c r="H67" i="90"/>
  <c r="G67" i="90"/>
  <c r="F67" i="90"/>
  <c r="E67" i="90"/>
  <c r="D67" i="90"/>
  <c r="C67" i="90"/>
  <c r="B67" i="90"/>
  <c r="A66" i="90"/>
  <c r="K66" i="90"/>
  <c r="J66" i="90"/>
  <c r="I66" i="90"/>
  <c r="H66" i="90"/>
  <c r="G66" i="90"/>
  <c r="F66" i="90"/>
  <c r="E66" i="90"/>
  <c r="D66" i="90"/>
  <c r="C66" i="90"/>
  <c r="B66" i="90"/>
  <c r="A65" i="90"/>
  <c r="K65" i="90"/>
  <c r="J65" i="90"/>
  <c r="I65" i="90"/>
  <c r="H65" i="90"/>
  <c r="G65" i="90"/>
  <c r="F65" i="90"/>
  <c r="E65" i="90"/>
  <c r="D65" i="90"/>
  <c r="C65" i="90"/>
  <c r="B65" i="90"/>
  <c r="A64" i="90"/>
  <c r="K64" i="90"/>
  <c r="J64" i="90"/>
  <c r="I64" i="90"/>
  <c r="H64" i="90"/>
  <c r="G64" i="90"/>
  <c r="F64" i="90"/>
  <c r="E64" i="90"/>
  <c r="D64" i="90"/>
  <c r="C64" i="90"/>
  <c r="B64" i="90"/>
  <c r="A63" i="90"/>
  <c r="K63" i="90"/>
  <c r="J63" i="90"/>
  <c r="I63" i="90"/>
  <c r="H63" i="90"/>
  <c r="G63" i="90"/>
  <c r="F63" i="90"/>
  <c r="E63" i="90"/>
  <c r="D63" i="90"/>
  <c r="C63" i="90"/>
  <c r="B63" i="90"/>
  <c r="A62" i="90"/>
  <c r="K62" i="90"/>
  <c r="J62" i="90"/>
  <c r="I62" i="90"/>
  <c r="H62" i="90"/>
  <c r="G62" i="90"/>
  <c r="F62" i="90"/>
  <c r="E62" i="90"/>
  <c r="D62" i="90"/>
  <c r="C62" i="90"/>
  <c r="B62" i="90"/>
  <c r="A61" i="90"/>
  <c r="K61" i="90"/>
  <c r="J61" i="90"/>
  <c r="I61" i="90"/>
  <c r="H61" i="90"/>
  <c r="G61" i="90"/>
  <c r="F61" i="90"/>
  <c r="E61" i="90"/>
  <c r="D61" i="90"/>
  <c r="C61" i="90"/>
  <c r="B61" i="90"/>
  <c r="A60" i="90"/>
  <c r="K60" i="90"/>
  <c r="J60" i="90"/>
  <c r="I60" i="90"/>
  <c r="H60" i="90"/>
  <c r="G60" i="90"/>
  <c r="F60" i="90"/>
  <c r="E60" i="90"/>
  <c r="D60" i="90"/>
  <c r="C60" i="90"/>
  <c r="B60" i="90"/>
  <c r="A59" i="90"/>
  <c r="K59" i="90"/>
  <c r="J59" i="90"/>
  <c r="I59" i="90"/>
  <c r="H59" i="90"/>
  <c r="G59" i="90"/>
  <c r="F59" i="90"/>
  <c r="E59" i="90"/>
  <c r="D59" i="90"/>
  <c r="C59" i="90"/>
  <c r="B59" i="90"/>
  <c r="A58" i="90"/>
  <c r="K58" i="90"/>
  <c r="J58" i="90"/>
  <c r="I58" i="90"/>
  <c r="H58" i="90"/>
  <c r="G58" i="90"/>
  <c r="F58" i="90"/>
  <c r="E58" i="90"/>
  <c r="D58" i="90"/>
  <c r="C58" i="90"/>
  <c r="B58" i="90"/>
  <c r="A57" i="90"/>
  <c r="K57" i="90"/>
  <c r="J57" i="90"/>
  <c r="I57" i="90"/>
  <c r="H57" i="90"/>
  <c r="G57" i="90"/>
  <c r="F57" i="90"/>
  <c r="E57" i="90"/>
  <c r="D57" i="90"/>
  <c r="C57" i="90"/>
  <c r="B57" i="90"/>
  <c r="A56" i="90"/>
  <c r="K56" i="90"/>
  <c r="J56" i="90"/>
  <c r="I56" i="90"/>
  <c r="H56" i="90"/>
  <c r="G56" i="90"/>
  <c r="F56" i="90"/>
  <c r="E56" i="90"/>
  <c r="D56" i="90"/>
  <c r="C56" i="90"/>
  <c r="B56" i="90"/>
  <c r="A55" i="90"/>
  <c r="K55" i="90"/>
  <c r="J55" i="90"/>
  <c r="I55" i="90"/>
  <c r="H55" i="90"/>
  <c r="G55" i="90"/>
  <c r="F55" i="90"/>
  <c r="E55" i="90"/>
  <c r="D55" i="90"/>
  <c r="C55" i="90"/>
  <c r="B55" i="90"/>
  <c r="A54" i="90"/>
  <c r="K54" i="90"/>
  <c r="J54" i="90"/>
  <c r="I54" i="90"/>
  <c r="H54" i="90"/>
  <c r="G54" i="90"/>
  <c r="F54" i="90"/>
  <c r="E54" i="90"/>
  <c r="D54" i="90"/>
  <c r="C54" i="90"/>
  <c r="B54" i="90"/>
  <c r="A53" i="90"/>
  <c r="K53" i="90"/>
  <c r="J53" i="90"/>
  <c r="I53" i="90"/>
  <c r="H53" i="90"/>
  <c r="G53" i="90"/>
  <c r="F53" i="90"/>
  <c r="E53" i="90"/>
  <c r="D53" i="90"/>
  <c r="C53" i="90"/>
  <c r="B53" i="90"/>
  <c r="A52" i="90"/>
  <c r="K52" i="90"/>
  <c r="J52" i="90"/>
  <c r="I52" i="90"/>
  <c r="H52" i="90"/>
  <c r="G52" i="90"/>
  <c r="F52" i="90"/>
  <c r="E52" i="90"/>
  <c r="D52" i="90"/>
  <c r="C52" i="90"/>
  <c r="B52" i="90"/>
  <c r="A51" i="90"/>
  <c r="K51" i="90"/>
  <c r="J51" i="90"/>
  <c r="I51" i="90"/>
  <c r="H51" i="90"/>
  <c r="G51" i="90"/>
  <c r="F51" i="90"/>
  <c r="E51" i="90"/>
  <c r="D51" i="90"/>
  <c r="C51" i="90"/>
  <c r="B51" i="90"/>
  <c r="A50" i="90"/>
  <c r="K50" i="90"/>
  <c r="J50" i="90"/>
  <c r="I50" i="90"/>
  <c r="H50" i="90"/>
  <c r="G50" i="90"/>
  <c r="F50" i="90"/>
  <c r="E50" i="90"/>
  <c r="D50" i="90"/>
  <c r="C50" i="90"/>
  <c r="B50" i="90"/>
  <c r="A49" i="90"/>
  <c r="K49" i="90"/>
  <c r="J49" i="90"/>
  <c r="I49" i="90"/>
  <c r="H49" i="90"/>
  <c r="G49" i="90"/>
  <c r="F49" i="90"/>
  <c r="E49" i="90"/>
  <c r="D49" i="90"/>
  <c r="C49" i="90"/>
  <c r="B49" i="90"/>
  <c r="A48" i="90"/>
  <c r="K48" i="90"/>
  <c r="J48" i="90"/>
  <c r="I48" i="90"/>
  <c r="H48" i="90"/>
  <c r="G48" i="90"/>
  <c r="F48" i="90"/>
  <c r="E48" i="90"/>
  <c r="D48" i="90"/>
  <c r="C48" i="90"/>
  <c r="B48" i="90"/>
  <c r="A47" i="90"/>
  <c r="K47" i="90"/>
  <c r="J47" i="90"/>
  <c r="I47" i="90"/>
  <c r="H47" i="90"/>
  <c r="G47" i="90"/>
  <c r="F47" i="90"/>
  <c r="E47" i="90"/>
  <c r="D47" i="90"/>
  <c r="C47" i="90"/>
  <c r="B47" i="90"/>
  <c r="A46" i="90"/>
  <c r="K46" i="90"/>
  <c r="J46" i="90"/>
  <c r="I46" i="90"/>
  <c r="H46" i="90"/>
  <c r="G46" i="90"/>
  <c r="F46" i="90"/>
  <c r="E46" i="90"/>
  <c r="D46" i="90"/>
  <c r="C46" i="90"/>
  <c r="B46" i="90"/>
  <c r="A45" i="90"/>
  <c r="K45" i="90"/>
  <c r="J45" i="90"/>
  <c r="I45" i="90"/>
  <c r="H45" i="90"/>
  <c r="G45" i="90"/>
  <c r="F45" i="90"/>
  <c r="E45" i="90"/>
  <c r="D45" i="90"/>
  <c r="C45" i="90"/>
  <c r="B45" i="90"/>
  <c r="A44" i="90"/>
  <c r="K44" i="90"/>
  <c r="J44" i="90"/>
  <c r="I44" i="90"/>
  <c r="H44" i="90"/>
  <c r="G44" i="90"/>
  <c r="F44" i="90"/>
  <c r="E44" i="90"/>
  <c r="D44" i="90"/>
  <c r="C44" i="90"/>
  <c r="B44" i="90"/>
  <c r="A43" i="90"/>
  <c r="K43" i="90"/>
  <c r="J43" i="90"/>
  <c r="I43" i="90"/>
  <c r="H43" i="90"/>
  <c r="G43" i="90"/>
  <c r="F43" i="90"/>
  <c r="E43" i="90"/>
  <c r="D43" i="90"/>
  <c r="C43" i="90"/>
  <c r="B43" i="90"/>
  <c r="A42" i="90"/>
  <c r="K42" i="90"/>
  <c r="J42" i="90"/>
  <c r="I42" i="90"/>
  <c r="H42" i="90"/>
  <c r="G42" i="90"/>
  <c r="F42" i="90"/>
  <c r="E42" i="90"/>
  <c r="D42" i="90"/>
  <c r="C42" i="90"/>
  <c r="B42" i="90"/>
  <c r="A41" i="90"/>
  <c r="K41" i="90"/>
  <c r="J41" i="90"/>
  <c r="I41" i="90"/>
  <c r="H41" i="90"/>
  <c r="G41" i="90"/>
  <c r="F41" i="90"/>
  <c r="E41" i="90"/>
  <c r="D41" i="90"/>
  <c r="C41" i="90"/>
  <c r="B41" i="90"/>
  <c r="A40" i="90"/>
  <c r="K40" i="90"/>
  <c r="J40" i="90"/>
  <c r="I40" i="90"/>
  <c r="H40" i="90"/>
  <c r="G40" i="90"/>
  <c r="F40" i="90"/>
  <c r="E40" i="90"/>
  <c r="D40" i="90"/>
  <c r="C40" i="90"/>
  <c r="B40" i="90"/>
  <c r="A39" i="90"/>
  <c r="K39" i="90"/>
  <c r="J39" i="90"/>
  <c r="I39" i="90"/>
  <c r="H39" i="90"/>
  <c r="G39" i="90"/>
  <c r="F39" i="90"/>
  <c r="E39" i="90"/>
  <c r="D39" i="90"/>
  <c r="C39" i="90"/>
  <c r="B39" i="90"/>
  <c r="A38" i="90"/>
  <c r="K38" i="90"/>
  <c r="J38" i="90"/>
  <c r="I38" i="90"/>
  <c r="H38" i="90"/>
  <c r="G38" i="90"/>
  <c r="F38" i="90"/>
  <c r="E38" i="90"/>
  <c r="D38" i="90"/>
  <c r="C38" i="90"/>
  <c r="B38" i="90"/>
  <c r="A37" i="90"/>
  <c r="K37" i="90"/>
  <c r="J37" i="90"/>
  <c r="I37" i="90"/>
  <c r="H37" i="90"/>
  <c r="G37" i="90"/>
  <c r="F37" i="90"/>
  <c r="E37" i="90"/>
  <c r="D37" i="90"/>
  <c r="C37" i="90"/>
  <c r="B37" i="90"/>
  <c r="A36" i="90"/>
  <c r="K36" i="90"/>
  <c r="J36" i="90"/>
  <c r="I36" i="90"/>
  <c r="H36" i="90"/>
  <c r="G36" i="90"/>
  <c r="F36" i="90"/>
  <c r="E36" i="90"/>
  <c r="D36" i="90"/>
  <c r="C36" i="90"/>
  <c r="B36" i="90"/>
  <c r="A35" i="90"/>
  <c r="K35" i="90"/>
  <c r="J35" i="90"/>
  <c r="I35" i="90"/>
  <c r="H35" i="90"/>
  <c r="G35" i="90"/>
  <c r="F35" i="90"/>
  <c r="E35" i="90"/>
  <c r="D35" i="90"/>
  <c r="C35" i="90"/>
  <c r="B35" i="90"/>
  <c r="A34" i="90"/>
  <c r="K34" i="90"/>
  <c r="J34" i="90"/>
  <c r="I34" i="90"/>
  <c r="H34" i="90"/>
  <c r="G34" i="90"/>
  <c r="F34" i="90"/>
  <c r="E34" i="90"/>
  <c r="D34" i="90"/>
  <c r="C34" i="90"/>
  <c r="B34" i="90"/>
  <c r="A33" i="90"/>
  <c r="K33" i="90"/>
  <c r="J33" i="90"/>
  <c r="I33" i="90"/>
  <c r="H33" i="90"/>
  <c r="G33" i="90"/>
  <c r="F33" i="90"/>
  <c r="E33" i="90"/>
  <c r="D33" i="90"/>
  <c r="C33" i="90"/>
  <c r="B33" i="90"/>
  <c r="A32" i="90"/>
  <c r="K32" i="90"/>
  <c r="J32" i="90"/>
  <c r="I32" i="90"/>
  <c r="H32" i="90"/>
  <c r="G32" i="90"/>
  <c r="F32" i="90"/>
  <c r="E32" i="90"/>
  <c r="D32" i="90"/>
  <c r="C32" i="90"/>
  <c r="B32" i="90"/>
  <c r="A31" i="90"/>
  <c r="K31" i="90"/>
  <c r="J31" i="90"/>
  <c r="I31" i="90"/>
  <c r="H31" i="90"/>
  <c r="G31" i="90"/>
  <c r="F31" i="90"/>
  <c r="E31" i="90"/>
  <c r="D31" i="90"/>
  <c r="C31" i="90"/>
  <c r="B31" i="90"/>
  <c r="A30" i="90"/>
  <c r="K30" i="90"/>
  <c r="J30" i="90"/>
  <c r="I30" i="90"/>
  <c r="H30" i="90"/>
  <c r="G30" i="90"/>
  <c r="F30" i="90"/>
  <c r="E30" i="90"/>
  <c r="D30" i="90"/>
  <c r="C30" i="90"/>
  <c r="B30" i="90"/>
  <c r="A29" i="90"/>
  <c r="K29" i="90"/>
  <c r="J29" i="90"/>
  <c r="I29" i="90"/>
  <c r="H29" i="90"/>
  <c r="G29" i="90"/>
  <c r="F29" i="90"/>
  <c r="E29" i="90"/>
  <c r="D29" i="90"/>
  <c r="C29" i="90"/>
  <c r="B29" i="90"/>
  <c r="A28" i="90"/>
  <c r="K28" i="90"/>
  <c r="J28" i="90"/>
  <c r="I28" i="90"/>
  <c r="H28" i="90"/>
  <c r="G28" i="90"/>
  <c r="F28" i="90"/>
  <c r="E28" i="90"/>
  <c r="D28" i="90"/>
  <c r="C28" i="90"/>
  <c r="B28" i="90"/>
  <c r="A27" i="90"/>
  <c r="K27" i="90"/>
  <c r="J27" i="90"/>
  <c r="I27" i="90"/>
  <c r="H27" i="90"/>
  <c r="G27" i="90"/>
  <c r="F27" i="90"/>
  <c r="E27" i="90"/>
  <c r="D27" i="90"/>
  <c r="C27" i="90"/>
  <c r="B27" i="90"/>
  <c r="A26" i="90"/>
  <c r="K26" i="90"/>
  <c r="J26" i="90"/>
  <c r="I26" i="90"/>
  <c r="H26" i="90"/>
  <c r="G26" i="90"/>
  <c r="F26" i="90"/>
  <c r="E26" i="90"/>
  <c r="D26" i="90"/>
  <c r="C26" i="90"/>
  <c r="B26" i="90"/>
  <c r="A25" i="90"/>
  <c r="K25" i="90"/>
  <c r="J25" i="90"/>
  <c r="I25" i="90"/>
  <c r="H25" i="90"/>
  <c r="G25" i="90"/>
  <c r="F25" i="90"/>
  <c r="E25" i="90"/>
  <c r="D25" i="90"/>
  <c r="C25" i="90"/>
  <c r="B25" i="90"/>
  <c r="A24" i="90"/>
  <c r="K24" i="90"/>
  <c r="J24" i="90"/>
  <c r="I24" i="90"/>
  <c r="H24" i="90"/>
  <c r="G24" i="90"/>
  <c r="F24" i="90"/>
  <c r="E24" i="90"/>
  <c r="D24" i="90"/>
  <c r="C24" i="90"/>
  <c r="B24" i="90"/>
  <c r="A23" i="90"/>
  <c r="K23" i="90"/>
  <c r="J23" i="90"/>
  <c r="I23" i="90"/>
  <c r="H23" i="90"/>
  <c r="G23" i="90"/>
  <c r="F23" i="90"/>
  <c r="E23" i="90"/>
  <c r="D23" i="90"/>
  <c r="C23" i="90"/>
  <c r="B23" i="90"/>
  <c r="A22" i="90"/>
  <c r="K22" i="90"/>
  <c r="J22" i="90"/>
  <c r="I22" i="90"/>
  <c r="H22" i="90"/>
  <c r="G22" i="90"/>
  <c r="F22" i="90"/>
  <c r="E22" i="90"/>
  <c r="D22" i="90"/>
  <c r="C22" i="90"/>
  <c r="B22" i="90"/>
  <c r="A21" i="90"/>
  <c r="K21" i="90"/>
  <c r="J21" i="90"/>
  <c r="I21" i="90"/>
  <c r="H21" i="90"/>
  <c r="G21" i="90"/>
  <c r="F21" i="90"/>
  <c r="E21" i="90"/>
  <c r="D21" i="90"/>
  <c r="C21" i="90"/>
  <c r="B21" i="90"/>
  <c r="A20" i="90"/>
  <c r="K20" i="90"/>
  <c r="J20" i="90"/>
  <c r="I20" i="90"/>
  <c r="H20" i="90"/>
  <c r="G20" i="90"/>
  <c r="F20" i="90"/>
  <c r="E20" i="90"/>
  <c r="D20" i="90"/>
  <c r="C20" i="90"/>
  <c r="B20" i="90"/>
  <c r="A19" i="90"/>
  <c r="K19" i="90"/>
  <c r="J19" i="90"/>
  <c r="I19" i="90"/>
  <c r="H19" i="90"/>
  <c r="G19" i="90"/>
  <c r="F19" i="90"/>
  <c r="E19" i="90"/>
  <c r="D19" i="90"/>
  <c r="C19" i="90"/>
  <c r="B19" i="90"/>
  <c r="A18" i="90"/>
  <c r="K18" i="90"/>
  <c r="J18" i="90"/>
  <c r="I18" i="90"/>
  <c r="H18" i="90"/>
  <c r="G18" i="90"/>
  <c r="F18" i="90"/>
  <c r="E18" i="90"/>
  <c r="D18" i="90"/>
  <c r="C18" i="90"/>
  <c r="B18" i="90"/>
  <c r="A17" i="90"/>
  <c r="K17" i="90"/>
  <c r="J17" i="90"/>
  <c r="I17" i="90"/>
  <c r="H17" i="90"/>
  <c r="G17" i="90"/>
  <c r="F17" i="90"/>
  <c r="E17" i="90"/>
  <c r="D17" i="90"/>
  <c r="C17" i="90"/>
  <c r="B17" i="90"/>
  <c r="A16" i="90"/>
  <c r="K16" i="90"/>
  <c r="J16" i="90"/>
  <c r="I16" i="90"/>
  <c r="H16" i="90"/>
  <c r="G16" i="90"/>
  <c r="F16" i="90"/>
  <c r="E16" i="90"/>
  <c r="D16" i="90"/>
  <c r="C16" i="90"/>
  <c r="B16" i="90"/>
  <c r="A15" i="90"/>
  <c r="K15" i="90"/>
  <c r="J15" i="90"/>
  <c r="I15" i="90"/>
  <c r="H15" i="90"/>
  <c r="G15" i="90"/>
  <c r="F15" i="90"/>
  <c r="E15" i="90"/>
  <c r="D15" i="90"/>
  <c r="C15" i="90"/>
  <c r="B15" i="90"/>
  <c r="A14" i="90"/>
  <c r="K14" i="90"/>
  <c r="J14" i="90"/>
  <c r="I14" i="90"/>
  <c r="H14" i="90"/>
  <c r="G14" i="90"/>
  <c r="F14" i="90"/>
  <c r="E14" i="90"/>
  <c r="D14" i="90"/>
  <c r="C14" i="90"/>
  <c r="B14" i="90"/>
  <c r="A13" i="90"/>
  <c r="K13" i="90"/>
  <c r="J13" i="90"/>
  <c r="I13" i="90"/>
  <c r="H13" i="90"/>
  <c r="G13" i="90"/>
  <c r="F13" i="90"/>
  <c r="E13" i="90"/>
  <c r="D13" i="90"/>
  <c r="C13" i="90"/>
  <c r="B13" i="90"/>
  <c r="A12" i="90"/>
  <c r="K12" i="90"/>
  <c r="J12" i="90"/>
  <c r="I12" i="90"/>
  <c r="H12" i="90"/>
  <c r="G12" i="90"/>
  <c r="F12" i="90"/>
  <c r="E12" i="90"/>
  <c r="D12" i="90"/>
  <c r="C12" i="90"/>
  <c r="B12" i="90"/>
  <c r="A11" i="90"/>
  <c r="K11" i="90"/>
  <c r="J11" i="90"/>
  <c r="I11" i="90"/>
  <c r="H11" i="90"/>
  <c r="G11" i="90"/>
  <c r="F11" i="90"/>
  <c r="E11" i="90"/>
  <c r="D11" i="90"/>
  <c r="C11" i="90"/>
  <c r="B11" i="90"/>
  <c r="A10" i="90"/>
  <c r="K10" i="90"/>
  <c r="J10" i="90"/>
  <c r="I10" i="90"/>
  <c r="H10" i="90"/>
  <c r="G10" i="90"/>
  <c r="F10" i="90"/>
  <c r="E10" i="90"/>
  <c r="D10" i="90"/>
  <c r="C10" i="90"/>
  <c r="B10" i="90"/>
  <c r="A9" i="90"/>
  <c r="K9" i="90"/>
  <c r="J9" i="90"/>
  <c r="I9" i="90"/>
  <c r="H9" i="90"/>
  <c r="G9" i="90"/>
  <c r="F9" i="90"/>
  <c r="E9" i="90"/>
  <c r="D9" i="90"/>
  <c r="C9" i="90"/>
  <c r="B9" i="90"/>
  <c r="A8" i="90"/>
  <c r="K8" i="90"/>
  <c r="J8" i="90"/>
  <c r="I8" i="90"/>
  <c r="H8" i="90"/>
  <c r="G8" i="90"/>
  <c r="F8" i="90"/>
  <c r="E8" i="90"/>
  <c r="D8" i="90"/>
  <c r="C8" i="90"/>
  <c r="B8" i="90"/>
  <c r="A7" i="90"/>
  <c r="K7" i="90"/>
  <c r="J7" i="90"/>
  <c r="I7" i="90"/>
  <c r="H7" i="90"/>
  <c r="G7" i="90"/>
  <c r="F7" i="90"/>
  <c r="E7" i="90"/>
  <c r="D7" i="90"/>
  <c r="C7" i="90"/>
  <c r="B7" i="90"/>
  <c r="A6" i="90"/>
  <c r="K6" i="90"/>
  <c r="J6" i="90"/>
  <c r="I6" i="90"/>
  <c r="H6" i="90"/>
  <c r="G6" i="90"/>
  <c r="F6" i="90"/>
  <c r="E6" i="90"/>
  <c r="D6" i="90"/>
  <c r="C6" i="90"/>
  <c r="B6" i="90"/>
  <c r="A5" i="90"/>
  <c r="K5" i="90"/>
  <c r="J5" i="90"/>
  <c r="I5" i="90"/>
  <c r="H5" i="90"/>
  <c r="G5" i="90"/>
  <c r="F5" i="90"/>
  <c r="E5" i="90"/>
  <c r="D5" i="90"/>
  <c r="C5" i="90"/>
  <c r="B5" i="90"/>
  <c r="A4" i="90"/>
  <c r="K4" i="90"/>
  <c r="J4" i="90"/>
  <c r="I4" i="90"/>
  <c r="H4" i="90"/>
  <c r="G4" i="90"/>
  <c r="F4" i="90"/>
  <c r="E4" i="90"/>
  <c r="D4" i="90"/>
  <c r="C4" i="90"/>
  <c r="B4" i="90"/>
  <c r="C1" i="88"/>
  <c r="A1" i="88"/>
  <c r="A256" i="88"/>
  <c r="B1" i="88"/>
  <c r="K256" i="88"/>
  <c r="J256" i="88"/>
  <c r="I256" i="88"/>
  <c r="H256" i="88"/>
  <c r="G256" i="88"/>
  <c r="F256" i="88"/>
  <c r="E256" i="88"/>
  <c r="D256" i="88"/>
  <c r="C256" i="88"/>
  <c r="B256" i="88"/>
  <c r="A255" i="88"/>
  <c r="K255" i="88"/>
  <c r="J255" i="88"/>
  <c r="I255" i="88"/>
  <c r="H255" i="88"/>
  <c r="G255" i="88"/>
  <c r="F255" i="88"/>
  <c r="E255" i="88"/>
  <c r="D255" i="88"/>
  <c r="C255" i="88"/>
  <c r="B255" i="88"/>
  <c r="A254" i="88"/>
  <c r="K254" i="88"/>
  <c r="J254" i="88"/>
  <c r="I254" i="88"/>
  <c r="H254" i="88"/>
  <c r="G254" i="88"/>
  <c r="F254" i="88"/>
  <c r="E254" i="88"/>
  <c r="D254" i="88"/>
  <c r="C254" i="88"/>
  <c r="B254" i="88"/>
  <c r="A253" i="88"/>
  <c r="K253" i="88"/>
  <c r="J253" i="88"/>
  <c r="I253" i="88"/>
  <c r="H253" i="88"/>
  <c r="G253" i="88"/>
  <c r="F253" i="88"/>
  <c r="E253" i="88"/>
  <c r="D253" i="88"/>
  <c r="C253" i="88"/>
  <c r="B253" i="88"/>
  <c r="A252" i="88"/>
  <c r="K252" i="88"/>
  <c r="J252" i="88"/>
  <c r="I252" i="88"/>
  <c r="H252" i="88"/>
  <c r="G252" i="88"/>
  <c r="F252" i="88"/>
  <c r="E252" i="88"/>
  <c r="D252" i="88"/>
  <c r="C252" i="88"/>
  <c r="B252" i="88"/>
  <c r="A251" i="88"/>
  <c r="K251" i="88"/>
  <c r="J251" i="88"/>
  <c r="I251" i="88"/>
  <c r="H251" i="88"/>
  <c r="G251" i="88"/>
  <c r="F251" i="88"/>
  <c r="E251" i="88"/>
  <c r="D251" i="88"/>
  <c r="C251" i="88"/>
  <c r="B251" i="88"/>
  <c r="A250" i="88"/>
  <c r="K250" i="88"/>
  <c r="J250" i="88"/>
  <c r="I250" i="88"/>
  <c r="H250" i="88"/>
  <c r="G250" i="88"/>
  <c r="F250" i="88"/>
  <c r="E250" i="88"/>
  <c r="D250" i="88"/>
  <c r="C250" i="88"/>
  <c r="B250" i="88"/>
  <c r="A249" i="88"/>
  <c r="K249" i="88"/>
  <c r="J249" i="88"/>
  <c r="I249" i="88"/>
  <c r="H249" i="88"/>
  <c r="G249" i="88"/>
  <c r="F249" i="88"/>
  <c r="E249" i="88"/>
  <c r="D249" i="88"/>
  <c r="C249" i="88"/>
  <c r="B249" i="88"/>
  <c r="A248" i="88"/>
  <c r="K248" i="88"/>
  <c r="J248" i="88"/>
  <c r="I248" i="88"/>
  <c r="H248" i="88"/>
  <c r="G248" i="88"/>
  <c r="F248" i="88"/>
  <c r="E248" i="88"/>
  <c r="D248" i="88"/>
  <c r="C248" i="88"/>
  <c r="B248" i="88"/>
  <c r="A247" i="88"/>
  <c r="K247" i="88"/>
  <c r="J247" i="88"/>
  <c r="I247" i="88"/>
  <c r="H247" i="88"/>
  <c r="G247" i="88"/>
  <c r="F247" i="88"/>
  <c r="E247" i="88"/>
  <c r="D247" i="88"/>
  <c r="C247" i="88"/>
  <c r="B247" i="88"/>
  <c r="A246" i="88"/>
  <c r="K246" i="88"/>
  <c r="J246" i="88"/>
  <c r="I246" i="88"/>
  <c r="H246" i="88"/>
  <c r="G246" i="88"/>
  <c r="F246" i="88"/>
  <c r="E246" i="88"/>
  <c r="D246" i="88"/>
  <c r="C246" i="88"/>
  <c r="B246" i="88"/>
  <c r="A245" i="88"/>
  <c r="K245" i="88"/>
  <c r="J245" i="88"/>
  <c r="I245" i="88"/>
  <c r="H245" i="88"/>
  <c r="G245" i="88"/>
  <c r="F245" i="88"/>
  <c r="E245" i="88"/>
  <c r="D245" i="88"/>
  <c r="C245" i="88"/>
  <c r="B245" i="88"/>
  <c r="A244" i="88"/>
  <c r="K244" i="88"/>
  <c r="J244" i="88"/>
  <c r="I244" i="88"/>
  <c r="H244" i="88"/>
  <c r="G244" i="88"/>
  <c r="F244" i="88"/>
  <c r="E244" i="88"/>
  <c r="D244" i="88"/>
  <c r="C244" i="88"/>
  <c r="B244" i="88"/>
  <c r="A243" i="88"/>
  <c r="K243" i="88"/>
  <c r="J243" i="88"/>
  <c r="I243" i="88"/>
  <c r="H243" i="88"/>
  <c r="G243" i="88"/>
  <c r="F243" i="88"/>
  <c r="E243" i="88"/>
  <c r="D243" i="88"/>
  <c r="C243" i="88"/>
  <c r="B243" i="88"/>
  <c r="A242" i="88"/>
  <c r="K242" i="88"/>
  <c r="J242" i="88"/>
  <c r="I242" i="88"/>
  <c r="H242" i="88"/>
  <c r="G242" i="88"/>
  <c r="F242" i="88"/>
  <c r="E242" i="88"/>
  <c r="D242" i="88"/>
  <c r="C242" i="88"/>
  <c r="B242" i="88"/>
  <c r="A241" i="88"/>
  <c r="K241" i="88"/>
  <c r="J241" i="88"/>
  <c r="I241" i="88"/>
  <c r="H241" i="88"/>
  <c r="G241" i="88"/>
  <c r="F241" i="88"/>
  <c r="E241" i="88"/>
  <c r="D241" i="88"/>
  <c r="C241" i="88"/>
  <c r="B241" i="88"/>
  <c r="A240" i="88"/>
  <c r="K240" i="88"/>
  <c r="J240" i="88"/>
  <c r="I240" i="88"/>
  <c r="H240" i="88"/>
  <c r="G240" i="88"/>
  <c r="F240" i="88"/>
  <c r="E240" i="88"/>
  <c r="D240" i="88"/>
  <c r="C240" i="88"/>
  <c r="B240" i="88"/>
  <c r="A239" i="88"/>
  <c r="K239" i="88"/>
  <c r="J239" i="88"/>
  <c r="I239" i="88"/>
  <c r="H239" i="88"/>
  <c r="G239" i="88"/>
  <c r="F239" i="88"/>
  <c r="E239" i="88"/>
  <c r="D239" i="88"/>
  <c r="C239" i="88"/>
  <c r="B239" i="88"/>
  <c r="A238" i="88"/>
  <c r="K238" i="88"/>
  <c r="J238" i="88"/>
  <c r="I238" i="88"/>
  <c r="H238" i="88"/>
  <c r="G238" i="88"/>
  <c r="F238" i="88"/>
  <c r="E238" i="88"/>
  <c r="D238" i="88"/>
  <c r="C238" i="88"/>
  <c r="B238" i="88"/>
  <c r="A237" i="88"/>
  <c r="K237" i="88"/>
  <c r="J237" i="88"/>
  <c r="I237" i="88"/>
  <c r="H237" i="88"/>
  <c r="G237" i="88"/>
  <c r="F237" i="88"/>
  <c r="E237" i="88"/>
  <c r="D237" i="88"/>
  <c r="C237" i="88"/>
  <c r="B237" i="88"/>
  <c r="A236" i="88"/>
  <c r="K236" i="88"/>
  <c r="J236" i="88"/>
  <c r="I236" i="88"/>
  <c r="H236" i="88"/>
  <c r="G236" i="88"/>
  <c r="F236" i="88"/>
  <c r="E236" i="88"/>
  <c r="D236" i="88"/>
  <c r="C236" i="88"/>
  <c r="B236" i="88"/>
  <c r="A235" i="88"/>
  <c r="K235" i="88"/>
  <c r="J235" i="88"/>
  <c r="I235" i="88"/>
  <c r="H235" i="88"/>
  <c r="G235" i="88"/>
  <c r="F235" i="88"/>
  <c r="E235" i="88"/>
  <c r="D235" i="88"/>
  <c r="C235" i="88"/>
  <c r="B235" i="88"/>
  <c r="A234" i="88"/>
  <c r="K234" i="88"/>
  <c r="J234" i="88"/>
  <c r="I234" i="88"/>
  <c r="H234" i="88"/>
  <c r="G234" i="88"/>
  <c r="F234" i="88"/>
  <c r="E234" i="88"/>
  <c r="D234" i="88"/>
  <c r="C234" i="88"/>
  <c r="B234" i="88"/>
  <c r="A233" i="88"/>
  <c r="K233" i="88"/>
  <c r="J233" i="88"/>
  <c r="I233" i="88"/>
  <c r="H233" i="88"/>
  <c r="G233" i="88"/>
  <c r="F233" i="88"/>
  <c r="E233" i="88"/>
  <c r="D233" i="88"/>
  <c r="C233" i="88"/>
  <c r="B233" i="88"/>
  <c r="A232" i="88"/>
  <c r="K232" i="88"/>
  <c r="J232" i="88"/>
  <c r="I232" i="88"/>
  <c r="H232" i="88"/>
  <c r="G232" i="88"/>
  <c r="F232" i="88"/>
  <c r="E232" i="88"/>
  <c r="D232" i="88"/>
  <c r="C232" i="88"/>
  <c r="B232" i="88"/>
  <c r="A231" i="88"/>
  <c r="K231" i="88"/>
  <c r="J231" i="88"/>
  <c r="I231" i="88"/>
  <c r="H231" i="88"/>
  <c r="G231" i="88"/>
  <c r="F231" i="88"/>
  <c r="E231" i="88"/>
  <c r="D231" i="88"/>
  <c r="C231" i="88"/>
  <c r="B231" i="88"/>
  <c r="A230" i="88"/>
  <c r="K230" i="88"/>
  <c r="J230" i="88"/>
  <c r="I230" i="88"/>
  <c r="H230" i="88"/>
  <c r="G230" i="88"/>
  <c r="F230" i="88"/>
  <c r="E230" i="88"/>
  <c r="D230" i="88"/>
  <c r="C230" i="88"/>
  <c r="B230" i="88"/>
  <c r="A229" i="88"/>
  <c r="K229" i="88"/>
  <c r="J229" i="88"/>
  <c r="I229" i="88"/>
  <c r="H229" i="88"/>
  <c r="G229" i="88"/>
  <c r="F229" i="88"/>
  <c r="E229" i="88"/>
  <c r="D229" i="88"/>
  <c r="C229" i="88"/>
  <c r="B229" i="88"/>
  <c r="A228" i="88"/>
  <c r="K228" i="88"/>
  <c r="J228" i="88"/>
  <c r="I228" i="88"/>
  <c r="H228" i="88"/>
  <c r="G228" i="88"/>
  <c r="F228" i="88"/>
  <c r="E228" i="88"/>
  <c r="D228" i="88"/>
  <c r="C228" i="88"/>
  <c r="B228" i="88"/>
  <c r="A227" i="88"/>
  <c r="K227" i="88"/>
  <c r="J227" i="88"/>
  <c r="I227" i="88"/>
  <c r="H227" i="88"/>
  <c r="G227" i="88"/>
  <c r="F227" i="88"/>
  <c r="E227" i="88"/>
  <c r="D227" i="88"/>
  <c r="C227" i="88"/>
  <c r="B227" i="88"/>
  <c r="A226" i="88"/>
  <c r="K226" i="88"/>
  <c r="J226" i="88"/>
  <c r="I226" i="88"/>
  <c r="H226" i="88"/>
  <c r="G226" i="88"/>
  <c r="F226" i="88"/>
  <c r="E226" i="88"/>
  <c r="D226" i="88"/>
  <c r="C226" i="88"/>
  <c r="B226" i="88"/>
  <c r="A225" i="88"/>
  <c r="K225" i="88"/>
  <c r="J225" i="88"/>
  <c r="I225" i="88"/>
  <c r="H225" i="88"/>
  <c r="G225" i="88"/>
  <c r="F225" i="88"/>
  <c r="E225" i="88"/>
  <c r="D225" i="88"/>
  <c r="C225" i="88"/>
  <c r="B225" i="88"/>
  <c r="A224" i="88"/>
  <c r="K224" i="88"/>
  <c r="J224" i="88"/>
  <c r="I224" i="88"/>
  <c r="H224" i="88"/>
  <c r="G224" i="88"/>
  <c r="F224" i="88"/>
  <c r="E224" i="88"/>
  <c r="D224" i="88"/>
  <c r="C224" i="88"/>
  <c r="B224" i="88"/>
  <c r="A223" i="88"/>
  <c r="K223" i="88"/>
  <c r="J223" i="88"/>
  <c r="I223" i="88"/>
  <c r="H223" i="88"/>
  <c r="G223" i="88"/>
  <c r="F223" i="88"/>
  <c r="E223" i="88"/>
  <c r="D223" i="88"/>
  <c r="C223" i="88"/>
  <c r="B223" i="88"/>
  <c r="A222" i="88"/>
  <c r="K222" i="88"/>
  <c r="J222" i="88"/>
  <c r="I222" i="88"/>
  <c r="H222" i="88"/>
  <c r="G222" i="88"/>
  <c r="F222" i="88"/>
  <c r="E222" i="88"/>
  <c r="D222" i="88"/>
  <c r="C222" i="88"/>
  <c r="B222" i="88"/>
  <c r="A221" i="88"/>
  <c r="K221" i="88"/>
  <c r="J221" i="88"/>
  <c r="I221" i="88"/>
  <c r="H221" i="88"/>
  <c r="G221" i="88"/>
  <c r="F221" i="88"/>
  <c r="E221" i="88"/>
  <c r="D221" i="88"/>
  <c r="C221" i="88"/>
  <c r="B221" i="88"/>
  <c r="A220" i="88"/>
  <c r="K220" i="88"/>
  <c r="J220" i="88"/>
  <c r="I220" i="88"/>
  <c r="H220" i="88"/>
  <c r="G220" i="88"/>
  <c r="F220" i="88"/>
  <c r="E220" i="88"/>
  <c r="D220" i="88"/>
  <c r="C220" i="88"/>
  <c r="B220" i="88"/>
  <c r="A219" i="88"/>
  <c r="K219" i="88"/>
  <c r="J219" i="88"/>
  <c r="I219" i="88"/>
  <c r="H219" i="88"/>
  <c r="G219" i="88"/>
  <c r="F219" i="88"/>
  <c r="E219" i="88"/>
  <c r="D219" i="88"/>
  <c r="C219" i="88"/>
  <c r="B219" i="88"/>
  <c r="A218" i="88"/>
  <c r="K218" i="88"/>
  <c r="J218" i="88"/>
  <c r="I218" i="88"/>
  <c r="H218" i="88"/>
  <c r="G218" i="88"/>
  <c r="F218" i="88"/>
  <c r="E218" i="88"/>
  <c r="D218" i="88"/>
  <c r="C218" i="88"/>
  <c r="B218" i="88"/>
  <c r="A217" i="88"/>
  <c r="K217" i="88"/>
  <c r="J217" i="88"/>
  <c r="I217" i="88"/>
  <c r="H217" i="88"/>
  <c r="G217" i="88"/>
  <c r="F217" i="88"/>
  <c r="E217" i="88"/>
  <c r="D217" i="88"/>
  <c r="C217" i="88"/>
  <c r="B217" i="88"/>
  <c r="A216" i="88"/>
  <c r="K216" i="88"/>
  <c r="J216" i="88"/>
  <c r="I216" i="88"/>
  <c r="H216" i="88"/>
  <c r="G216" i="88"/>
  <c r="F216" i="88"/>
  <c r="E216" i="88"/>
  <c r="D216" i="88"/>
  <c r="C216" i="88"/>
  <c r="B216" i="88"/>
  <c r="A215" i="88"/>
  <c r="K215" i="88"/>
  <c r="J215" i="88"/>
  <c r="I215" i="88"/>
  <c r="H215" i="88"/>
  <c r="G215" i="88"/>
  <c r="F215" i="88"/>
  <c r="E215" i="88"/>
  <c r="D215" i="88"/>
  <c r="C215" i="88"/>
  <c r="B215" i="88"/>
  <c r="A214" i="88"/>
  <c r="K214" i="88"/>
  <c r="J214" i="88"/>
  <c r="I214" i="88"/>
  <c r="H214" i="88"/>
  <c r="G214" i="88"/>
  <c r="F214" i="88"/>
  <c r="E214" i="88"/>
  <c r="D214" i="88"/>
  <c r="C214" i="88"/>
  <c r="B214" i="88"/>
  <c r="A213" i="88"/>
  <c r="K213" i="88"/>
  <c r="J213" i="88"/>
  <c r="I213" i="88"/>
  <c r="H213" i="88"/>
  <c r="G213" i="88"/>
  <c r="F213" i="88"/>
  <c r="E213" i="88"/>
  <c r="D213" i="88"/>
  <c r="C213" i="88"/>
  <c r="B213" i="88"/>
  <c r="A212" i="88"/>
  <c r="K212" i="88"/>
  <c r="J212" i="88"/>
  <c r="I212" i="88"/>
  <c r="H212" i="88"/>
  <c r="G212" i="88"/>
  <c r="F212" i="88"/>
  <c r="E212" i="88"/>
  <c r="D212" i="88"/>
  <c r="C212" i="88"/>
  <c r="B212" i="88"/>
  <c r="A211" i="88"/>
  <c r="K211" i="88"/>
  <c r="J211" i="88"/>
  <c r="I211" i="88"/>
  <c r="H211" i="88"/>
  <c r="G211" i="88"/>
  <c r="F211" i="88"/>
  <c r="E211" i="88"/>
  <c r="D211" i="88"/>
  <c r="C211" i="88"/>
  <c r="B211" i="88"/>
  <c r="A210" i="88"/>
  <c r="K210" i="88"/>
  <c r="J210" i="88"/>
  <c r="I210" i="88"/>
  <c r="H210" i="88"/>
  <c r="G210" i="88"/>
  <c r="F210" i="88"/>
  <c r="E210" i="88"/>
  <c r="D210" i="88"/>
  <c r="C210" i="88"/>
  <c r="B210" i="88"/>
  <c r="A209" i="88"/>
  <c r="K209" i="88"/>
  <c r="J209" i="88"/>
  <c r="I209" i="88"/>
  <c r="H209" i="88"/>
  <c r="G209" i="88"/>
  <c r="F209" i="88"/>
  <c r="E209" i="88"/>
  <c r="D209" i="88"/>
  <c r="C209" i="88"/>
  <c r="B209" i="88"/>
  <c r="A208" i="88"/>
  <c r="K208" i="88"/>
  <c r="J208" i="88"/>
  <c r="I208" i="88"/>
  <c r="H208" i="88"/>
  <c r="G208" i="88"/>
  <c r="F208" i="88"/>
  <c r="E208" i="88"/>
  <c r="D208" i="88"/>
  <c r="C208" i="88"/>
  <c r="B208" i="88"/>
  <c r="A207" i="88"/>
  <c r="K207" i="88"/>
  <c r="J207" i="88"/>
  <c r="I207" i="88"/>
  <c r="H207" i="88"/>
  <c r="G207" i="88"/>
  <c r="F207" i="88"/>
  <c r="E207" i="88"/>
  <c r="D207" i="88"/>
  <c r="C207" i="88"/>
  <c r="B207" i="88"/>
  <c r="A206" i="88"/>
  <c r="K206" i="88"/>
  <c r="J206" i="88"/>
  <c r="I206" i="88"/>
  <c r="H206" i="88"/>
  <c r="G206" i="88"/>
  <c r="F206" i="88"/>
  <c r="E206" i="88"/>
  <c r="D206" i="88"/>
  <c r="C206" i="88"/>
  <c r="B206" i="88"/>
  <c r="A205" i="88"/>
  <c r="K205" i="88"/>
  <c r="J205" i="88"/>
  <c r="I205" i="88"/>
  <c r="H205" i="88"/>
  <c r="G205" i="88"/>
  <c r="F205" i="88"/>
  <c r="E205" i="88"/>
  <c r="D205" i="88"/>
  <c r="C205" i="88"/>
  <c r="B205" i="88"/>
  <c r="A204" i="88"/>
  <c r="K204" i="88"/>
  <c r="J204" i="88"/>
  <c r="I204" i="88"/>
  <c r="H204" i="88"/>
  <c r="G204" i="88"/>
  <c r="F204" i="88"/>
  <c r="E204" i="88"/>
  <c r="D204" i="88"/>
  <c r="C204" i="88"/>
  <c r="B204" i="88"/>
  <c r="A203" i="88"/>
  <c r="K203" i="88"/>
  <c r="J203" i="88"/>
  <c r="I203" i="88"/>
  <c r="H203" i="88"/>
  <c r="G203" i="88"/>
  <c r="F203" i="88"/>
  <c r="E203" i="88"/>
  <c r="D203" i="88"/>
  <c r="C203" i="88"/>
  <c r="B203" i="88"/>
  <c r="A202" i="88"/>
  <c r="K202" i="88"/>
  <c r="J202" i="88"/>
  <c r="I202" i="88"/>
  <c r="H202" i="88"/>
  <c r="G202" i="88"/>
  <c r="F202" i="88"/>
  <c r="E202" i="88"/>
  <c r="D202" i="88"/>
  <c r="C202" i="88"/>
  <c r="B202" i="88"/>
  <c r="A201" i="88"/>
  <c r="K201" i="88"/>
  <c r="J201" i="88"/>
  <c r="I201" i="88"/>
  <c r="H201" i="88"/>
  <c r="G201" i="88"/>
  <c r="F201" i="88"/>
  <c r="E201" i="88"/>
  <c r="D201" i="88"/>
  <c r="C201" i="88"/>
  <c r="B201" i="88"/>
  <c r="A200" i="88"/>
  <c r="K200" i="88"/>
  <c r="J200" i="88"/>
  <c r="I200" i="88"/>
  <c r="H200" i="88"/>
  <c r="G200" i="88"/>
  <c r="F200" i="88"/>
  <c r="E200" i="88"/>
  <c r="D200" i="88"/>
  <c r="C200" i="88"/>
  <c r="B200" i="88"/>
  <c r="A199" i="88"/>
  <c r="K199" i="88"/>
  <c r="J199" i="88"/>
  <c r="I199" i="88"/>
  <c r="H199" i="88"/>
  <c r="G199" i="88"/>
  <c r="F199" i="88"/>
  <c r="E199" i="88"/>
  <c r="D199" i="88"/>
  <c r="C199" i="88"/>
  <c r="B199" i="88"/>
  <c r="A198" i="88"/>
  <c r="K198" i="88"/>
  <c r="J198" i="88"/>
  <c r="I198" i="88"/>
  <c r="H198" i="88"/>
  <c r="G198" i="88"/>
  <c r="F198" i="88"/>
  <c r="E198" i="88"/>
  <c r="D198" i="88"/>
  <c r="C198" i="88"/>
  <c r="B198" i="88"/>
  <c r="A197" i="88"/>
  <c r="K197" i="88"/>
  <c r="J197" i="88"/>
  <c r="I197" i="88"/>
  <c r="H197" i="88"/>
  <c r="G197" i="88"/>
  <c r="F197" i="88"/>
  <c r="E197" i="88"/>
  <c r="D197" i="88"/>
  <c r="C197" i="88"/>
  <c r="B197" i="88"/>
  <c r="A196" i="88"/>
  <c r="K196" i="88"/>
  <c r="J196" i="88"/>
  <c r="I196" i="88"/>
  <c r="H196" i="88"/>
  <c r="G196" i="88"/>
  <c r="F196" i="88"/>
  <c r="E196" i="88"/>
  <c r="D196" i="88"/>
  <c r="C196" i="88"/>
  <c r="B196" i="88"/>
  <c r="A195" i="88"/>
  <c r="K195" i="88"/>
  <c r="J195" i="88"/>
  <c r="I195" i="88"/>
  <c r="H195" i="88"/>
  <c r="G195" i="88"/>
  <c r="F195" i="88"/>
  <c r="E195" i="88"/>
  <c r="D195" i="88"/>
  <c r="C195" i="88"/>
  <c r="B195" i="88"/>
  <c r="A194" i="88"/>
  <c r="K194" i="88"/>
  <c r="J194" i="88"/>
  <c r="I194" i="88"/>
  <c r="H194" i="88"/>
  <c r="G194" i="88"/>
  <c r="F194" i="88"/>
  <c r="E194" i="88"/>
  <c r="D194" i="88"/>
  <c r="C194" i="88"/>
  <c r="B194" i="88"/>
  <c r="A193" i="88"/>
  <c r="K193" i="88"/>
  <c r="J193" i="88"/>
  <c r="I193" i="88"/>
  <c r="H193" i="88"/>
  <c r="G193" i="88"/>
  <c r="F193" i="88"/>
  <c r="E193" i="88"/>
  <c r="D193" i="88"/>
  <c r="C193" i="88"/>
  <c r="B193" i="88"/>
  <c r="A192" i="88"/>
  <c r="K192" i="88"/>
  <c r="J192" i="88"/>
  <c r="I192" i="88"/>
  <c r="H192" i="88"/>
  <c r="G192" i="88"/>
  <c r="F192" i="88"/>
  <c r="E192" i="88"/>
  <c r="D192" i="88"/>
  <c r="C192" i="88"/>
  <c r="B192" i="88"/>
  <c r="A191" i="88"/>
  <c r="K191" i="88"/>
  <c r="J191" i="88"/>
  <c r="I191" i="88"/>
  <c r="H191" i="88"/>
  <c r="G191" i="88"/>
  <c r="F191" i="88"/>
  <c r="E191" i="88"/>
  <c r="D191" i="88"/>
  <c r="C191" i="88"/>
  <c r="B191" i="88"/>
  <c r="A190" i="88"/>
  <c r="K190" i="88"/>
  <c r="J190" i="88"/>
  <c r="I190" i="88"/>
  <c r="H190" i="88"/>
  <c r="G190" i="88"/>
  <c r="F190" i="88"/>
  <c r="E190" i="88"/>
  <c r="D190" i="88"/>
  <c r="C190" i="88"/>
  <c r="B190" i="88"/>
  <c r="A189" i="88"/>
  <c r="K189" i="88"/>
  <c r="J189" i="88"/>
  <c r="I189" i="88"/>
  <c r="H189" i="88"/>
  <c r="G189" i="88"/>
  <c r="F189" i="88"/>
  <c r="E189" i="88"/>
  <c r="D189" i="88"/>
  <c r="C189" i="88"/>
  <c r="B189" i="88"/>
  <c r="A188" i="88"/>
  <c r="K188" i="88"/>
  <c r="J188" i="88"/>
  <c r="I188" i="88"/>
  <c r="H188" i="88"/>
  <c r="G188" i="88"/>
  <c r="F188" i="88"/>
  <c r="E188" i="88"/>
  <c r="D188" i="88"/>
  <c r="C188" i="88"/>
  <c r="B188" i="88"/>
  <c r="A187" i="88"/>
  <c r="K187" i="88"/>
  <c r="J187" i="88"/>
  <c r="I187" i="88"/>
  <c r="H187" i="88"/>
  <c r="G187" i="88"/>
  <c r="F187" i="88"/>
  <c r="E187" i="88"/>
  <c r="D187" i="88"/>
  <c r="C187" i="88"/>
  <c r="B187" i="88"/>
  <c r="A186" i="88"/>
  <c r="K186" i="88"/>
  <c r="J186" i="88"/>
  <c r="I186" i="88"/>
  <c r="H186" i="88"/>
  <c r="G186" i="88"/>
  <c r="F186" i="88"/>
  <c r="E186" i="88"/>
  <c r="D186" i="88"/>
  <c r="C186" i="88"/>
  <c r="B186" i="88"/>
  <c r="A185" i="88"/>
  <c r="K185" i="88"/>
  <c r="J185" i="88"/>
  <c r="I185" i="88"/>
  <c r="H185" i="88"/>
  <c r="G185" i="88"/>
  <c r="F185" i="88"/>
  <c r="E185" i="88"/>
  <c r="D185" i="88"/>
  <c r="C185" i="88"/>
  <c r="B185" i="88"/>
  <c r="A184" i="88"/>
  <c r="K184" i="88"/>
  <c r="J184" i="88"/>
  <c r="I184" i="88"/>
  <c r="H184" i="88"/>
  <c r="G184" i="88"/>
  <c r="F184" i="88"/>
  <c r="E184" i="88"/>
  <c r="D184" i="88"/>
  <c r="C184" i="88"/>
  <c r="B184" i="88"/>
  <c r="A183" i="88"/>
  <c r="K183" i="88"/>
  <c r="J183" i="88"/>
  <c r="I183" i="88"/>
  <c r="H183" i="88"/>
  <c r="G183" i="88"/>
  <c r="F183" i="88"/>
  <c r="E183" i="88"/>
  <c r="D183" i="88"/>
  <c r="C183" i="88"/>
  <c r="B183" i="88"/>
  <c r="A182" i="88"/>
  <c r="K182" i="88"/>
  <c r="J182" i="88"/>
  <c r="I182" i="88"/>
  <c r="H182" i="88"/>
  <c r="G182" i="88"/>
  <c r="F182" i="88"/>
  <c r="E182" i="88"/>
  <c r="D182" i="88"/>
  <c r="C182" i="88"/>
  <c r="B182" i="88"/>
  <c r="A181" i="88"/>
  <c r="K181" i="88"/>
  <c r="J181" i="88"/>
  <c r="I181" i="88"/>
  <c r="H181" i="88"/>
  <c r="G181" i="88"/>
  <c r="F181" i="88"/>
  <c r="E181" i="88"/>
  <c r="D181" i="88"/>
  <c r="C181" i="88"/>
  <c r="B181" i="88"/>
  <c r="A180" i="88"/>
  <c r="K180" i="88"/>
  <c r="J180" i="88"/>
  <c r="I180" i="88"/>
  <c r="H180" i="88"/>
  <c r="G180" i="88"/>
  <c r="F180" i="88"/>
  <c r="E180" i="88"/>
  <c r="D180" i="88"/>
  <c r="C180" i="88"/>
  <c r="B180" i="88"/>
  <c r="A179" i="88"/>
  <c r="K179" i="88"/>
  <c r="J179" i="88"/>
  <c r="I179" i="88"/>
  <c r="H179" i="88"/>
  <c r="G179" i="88"/>
  <c r="F179" i="88"/>
  <c r="E179" i="88"/>
  <c r="D179" i="88"/>
  <c r="C179" i="88"/>
  <c r="B179" i="88"/>
  <c r="A178" i="88"/>
  <c r="K178" i="88"/>
  <c r="J178" i="88"/>
  <c r="I178" i="88"/>
  <c r="H178" i="88"/>
  <c r="G178" i="88"/>
  <c r="F178" i="88"/>
  <c r="E178" i="88"/>
  <c r="D178" i="88"/>
  <c r="C178" i="88"/>
  <c r="B178" i="88"/>
  <c r="A177" i="88"/>
  <c r="K177" i="88"/>
  <c r="J177" i="88"/>
  <c r="I177" i="88"/>
  <c r="H177" i="88"/>
  <c r="G177" i="88"/>
  <c r="F177" i="88"/>
  <c r="E177" i="88"/>
  <c r="D177" i="88"/>
  <c r="C177" i="88"/>
  <c r="B177" i="88"/>
  <c r="A176" i="88"/>
  <c r="K176" i="88"/>
  <c r="J176" i="88"/>
  <c r="I176" i="88"/>
  <c r="H176" i="88"/>
  <c r="G176" i="88"/>
  <c r="F176" i="88"/>
  <c r="E176" i="88"/>
  <c r="D176" i="88"/>
  <c r="C176" i="88"/>
  <c r="B176" i="88"/>
  <c r="A175" i="88"/>
  <c r="K175" i="88"/>
  <c r="J175" i="88"/>
  <c r="I175" i="88"/>
  <c r="H175" i="88"/>
  <c r="G175" i="88"/>
  <c r="F175" i="88"/>
  <c r="E175" i="88"/>
  <c r="D175" i="88"/>
  <c r="C175" i="88"/>
  <c r="B175" i="88"/>
  <c r="A174" i="88"/>
  <c r="K174" i="88"/>
  <c r="J174" i="88"/>
  <c r="I174" i="88"/>
  <c r="H174" i="88"/>
  <c r="G174" i="88"/>
  <c r="F174" i="88"/>
  <c r="E174" i="88"/>
  <c r="D174" i="88"/>
  <c r="C174" i="88"/>
  <c r="B174" i="88"/>
  <c r="A173" i="88"/>
  <c r="K173" i="88"/>
  <c r="J173" i="88"/>
  <c r="I173" i="88"/>
  <c r="H173" i="88"/>
  <c r="G173" i="88"/>
  <c r="F173" i="88"/>
  <c r="E173" i="88"/>
  <c r="D173" i="88"/>
  <c r="C173" i="88"/>
  <c r="B173" i="88"/>
  <c r="A172" i="88"/>
  <c r="K172" i="88"/>
  <c r="J172" i="88"/>
  <c r="I172" i="88"/>
  <c r="H172" i="88"/>
  <c r="G172" i="88"/>
  <c r="F172" i="88"/>
  <c r="E172" i="88"/>
  <c r="D172" i="88"/>
  <c r="C172" i="88"/>
  <c r="B172" i="88"/>
  <c r="A171" i="88"/>
  <c r="K171" i="88"/>
  <c r="J171" i="88"/>
  <c r="I171" i="88"/>
  <c r="H171" i="88"/>
  <c r="G171" i="88"/>
  <c r="F171" i="88"/>
  <c r="E171" i="88"/>
  <c r="D171" i="88"/>
  <c r="C171" i="88"/>
  <c r="B171" i="88"/>
  <c r="A170" i="88"/>
  <c r="K170" i="88"/>
  <c r="J170" i="88"/>
  <c r="I170" i="88"/>
  <c r="H170" i="88"/>
  <c r="G170" i="88"/>
  <c r="F170" i="88"/>
  <c r="E170" i="88"/>
  <c r="D170" i="88"/>
  <c r="C170" i="88"/>
  <c r="B170" i="88"/>
  <c r="A169" i="88"/>
  <c r="K169" i="88"/>
  <c r="J169" i="88"/>
  <c r="I169" i="88"/>
  <c r="H169" i="88"/>
  <c r="G169" i="88"/>
  <c r="F169" i="88"/>
  <c r="E169" i="88"/>
  <c r="D169" i="88"/>
  <c r="C169" i="88"/>
  <c r="B169" i="88"/>
  <c r="A168" i="88"/>
  <c r="K168" i="88"/>
  <c r="J168" i="88"/>
  <c r="I168" i="88"/>
  <c r="H168" i="88"/>
  <c r="G168" i="88"/>
  <c r="F168" i="88"/>
  <c r="E168" i="88"/>
  <c r="D168" i="88"/>
  <c r="C168" i="88"/>
  <c r="B168" i="88"/>
  <c r="A167" i="88"/>
  <c r="K167" i="88"/>
  <c r="J167" i="88"/>
  <c r="I167" i="88"/>
  <c r="H167" i="88"/>
  <c r="G167" i="88"/>
  <c r="F167" i="88"/>
  <c r="E167" i="88"/>
  <c r="D167" i="88"/>
  <c r="C167" i="88"/>
  <c r="B167" i="88"/>
  <c r="A166" i="88"/>
  <c r="K166" i="88"/>
  <c r="J166" i="88"/>
  <c r="I166" i="88"/>
  <c r="H166" i="88"/>
  <c r="G166" i="88"/>
  <c r="F166" i="88"/>
  <c r="E166" i="88"/>
  <c r="D166" i="88"/>
  <c r="C166" i="88"/>
  <c r="B166" i="88"/>
  <c r="A165" i="88"/>
  <c r="K165" i="88"/>
  <c r="J165" i="88"/>
  <c r="I165" i="88"/>
  <c r="H165" i="88"/>
  <c r="G165" i="88"/>
  <c r="F165" i="88"/>
  <c r="E165" i="88"/>
  <c r="D165" i="88"/>
  <c r="C165" i="88"/>
  <c r="B165" i="88"/>
  <c r="A164" i="88"/>
  <c r="K164" i="88"/>
  <c r="J164" i="88"/>
  <c r="I164" i="88"/>
  <c r="H164" i="88"/>
  <c r="G164" i="88"/>
  <c r="F164" i="88"/>
  <c r="E164" i="88"/>
  <c r="D164" i="88"/>
  <c r="C164" i="88"/>
  <c r="B164" i="88"/>
  <c r="A163" i="88"/>
  <c r="K163" i="88"/>
  <c r="J163" i="88"/>
  <c r="I163" i="88"/>
  <c r="H163" i="88"/>
  <c r="G163" i="88"/>
  <c r="F163" i="88"/>
  <c r="E163" i="88"/>
  <c r="D163" i="88"/>
  <c r="C163" i="88"/>
  <c r="B163" i="88"/>
  <c r="A162" i="88"/>
  <c r="K162" i="88"/>
  <c r="J162" i="88"/>
  <c r="I162" i="88"/>
  <c r="H162" i="88"/>
  <c r="G162" i="88"/>
  <c r="F162" i="88"/>
  <c r="E162" i="88"/>
  <c r="D162" i="88"/>
  <c r="C162" i="88"/>
  <c r="B162" i="88"/>
  <c r="A161" i="88"/>
  <c r="K161" i="88"/>
  <c r="J161" i="88"/>
  <c r="I161" i="88"/>
  <c r="H161" i="88"/>
  <c r="G161" i="88"/>
  <c r="F161" i="88"/>
  <c r="E161" i="88"/>
  <c r="D161" i="88"/>
  <c r="C161" i="88"/>
  <c r="B161" i="88"/>
  <c r="A160" i="88"/>
  <c r="K160" i="88"/>
  <c r="J160" i="88"/>
  <c r="I160" i="88"/>
  <c r="H160" i="88"/>
  <c r="G160" i="88"/>
  <c r="F160" i="88"/>
  <c r="E160" i="88"/>
  <c r="D160" i="88"/>
  <c r="C160" i="88"/>
  <c r="B160" i="88"/>
  <c r="A159" i="88"/>
  <c r="K159" i="88"/>
  <c r="J159" i="88"/>
  <c r="I159" i="88"/>
  <c r="H159" i="88"/>
  <c r="G159" i="88"/>
  <c r="F159" i="88"/>
  <c r="E159" i="88"/>
  <c r="D159" i="88"/>
  <c r="C159" i="88"/>
  <c r="B159" i="88"/>
  <c r="A158" i="88"/>
  <c r="K158" i="88"/>
  <c r="J158" i="88"/>
  <c r="I158" i="88"/>
  <c r="H158" i="88"/>
  <c r="G158" i="88"/>
  <c r="F158" i="88"/>
  <c r="E158" i="88"/>
  <c r="D158" i="88"/>
  <c r="C158" i="88"/>
  <c r="B158" i="88"/>
  <c r="A157" i="88"/>
  <c r="K157" i="88"/>
  <c r="J157" i="88"/>
  <c r="I157" i="88"/>
  <c r="H157" i="88"/>
  <c r="G157" i="88"/>
  <c r="F157" i="88"/>
  <c r="E157" i="88"/>
  <c r="D157" i="88"/>
  <c r="C157" i="88"/>
  <c r="B157" i="88"/>
  <c r="A156" i="88"/>
  <c r="K156" i="88"/>
  <c r="J156" i="88"/>
  <c r="I156" i="88"/>
  <c r="H156" i="88"/>
  <c r="G156" i="88"/>
  <c r="F156" i="88"/>
  <c r="E156" i="88"/>
  <c r="D156" i="88"/>
  <c r="C156" i="88"/>
  <c r="B156" i="88"/>
  <c r="A155" i="88"/>
  <c r="K155" i="88"/>
  <c r="J155" i="88"/>
  <c r="I155" i="88"/>
  <c r="H155" i="88"/>
  <c r="G155" i="88"/>
  <c r="F155" i="88"/>
  <c r="E155" i="88"/>
  <c r="D155" i="88"/>
  <c r="C155" i="88"/>
  <c r="B155" i="88"/>
  <c r="A154" i="88"/>
  <c r="K154" i="88"/>
  <c r="J154" i="88"/>
  <c r="I154" i="88"/>
  <c r="H154" i="88"/>
  <c r="G154" i="88"/>
  <c r="F154" i="88"/>
  <c r="E154" i="88"/>
  <c r="D154" i="88"/>
  <c r="C154" i="88"/>
  <c r="B154" i="88"/>
  <c r="A153" i="88"/>
  <c r="K153" i="88"/>
  <c r="J153" i="88"/>
  <c r="I153" i="88"/>
  <c r="H153" i="88"/>
  <c r="G153" i="88"/>
  <c r="F153" i="88"/>
  <c r="E153" i="88"/>
  <c r="D153" i="88"/>
  <c r="C153" i="88"/>
  <c r="B153" i="88"/>
  <c r="A152" i="88"/>
  <c r="K152" i="88"/>
  <c r="J152" i="88"/>
  <c r="I152" i="88"/>
  <c r="H152" i="88"/>
  <c r="G152" i="88"/>
  <c r="F152" i="88"/>
  <c r="E152" i="88"/>
  <c r="D152" i="88"/>
  <c r="C152" i="88"/>
  <c r="B152" i="88"/>
  <c r="A151" i="88"/>
  <c r="K151" i="88"/>
  <c r="J151" i="88"/>
  <c r="I151" i="88"/>
  <c r="H151" i="88"/>
  <c r="G151" i="88"/>
  <c r="F151" i="88"/>
  <c r="E151" i="88"/>
  <c r="D151" i="88"/>
  <c r="C151" i="88"/>
  <c r="B151" i="88"/>
  <c r="A150" i="88"/>
  <c r="K150" i="88"/>
  <c r="J150" i="88"/>
  <c r="I150" i="88"/>
  <c r="H150" i="88"/>
  <c r="G150" i="88"/>
  <c r="F150" i="88"/>
  <c r="E150" i="88"/>
  <c r="D150" i="88"/>
  <c r="C150" i="88"/>
  <c r="B150" i="88"/>
  <c r="A149" i="88"/>
  <c r="K149" i="88"/>
  <c r="J149" i="88"/>
  <c r="I149" i="88"/>
  <c r="H149" i="88"/>
  <c r="G149" i="88"/>
  <c r="F149" i="88"/>
  <c r="E149" i="88"/>
  <c r="D149" i="88"/>
  <c r="C149" i="88"/>
  <c r="B149" i="88"/>
  <c r="A148" i="88"/>
  <c r="K148" i="88"/>
  <c r="J148" i="88"/>
  <c r="I148" i="88"/>
  <c r="H148" i="88"/>
  <c r="G148" i="88"/>
  <c r="F148" i="88"/>
  <c r="E148" i="88"/>
  <c r="D148" i="88"/>
  <c r="C148" i="88"/>
  <c r="B148" i="88"/>
  <c r="A147" i="88"/>
  <c r="K147" i="88"/>
  <c r="J147" i="88"/>
  <c r="I147" i="88"/>
  <c r="H147" i="88"/>
  <c r="G147" i="88"/>
  <c r="F147" i="88"/>
  <c r="E147" i="88"/>
  <c r="D147" i="88"/>
  <c r="C147" i="88"/>
  <c r="B147" i="88"/>
  <c r="A146" i="88"/>
  <c r="K146" i="88"/>
  <c r="J146" i="88"/>
  <c r="I146" i="88"/>
  <c r="H146" i="88"/>
  <c r="G146" i="88"/>
  <c r="F146" i="88"/>
  <c r="E146" i="88"/>
  <c r="D146" i="88"/>
  <c r="C146" i="88"/>
  <c r="B146" i="88"/>
  <c r="A145" i="88"/>
  <c r="K145" i="88"/>
  <c r="J145" i="88"/>
  <c r="I145" i="88"/>
  <c r="H145" i="88"/>
  <c r="G145" i="88"/>
  <c r="F145" i="88"/>
  <c r="E145" i="88"/>
  <c r="D145" i="88"/>
  <c r="C145" i="88"/>
  <c r="B145" i="88"/>
  <c r="A144" i="88"/>
  <c r="K144" i="88"/>
  <c r="J144" i="88"/>
  <c r="I144" i="88"/>
  <c r="H144" i="88"/>
  <c r="G144" i="88"/>
  <c r="F144" i="88"/>
  <c r="E144" i="88"/>
  <c r="D144" i="88"/>
  <c r="C144" i="88"/>
  <c r="B144" i="88"/>
  <c r="A143" i="88"/>
  <c r="K143" i="88"/>
  <c r="J143" i="88"/>
  <c r="I143" i="88"/>
  <c r="H143" i="88"/>
  <c r="G143" i="88"/>
  <c r="F143" i="88"/>
  <c r="E143" i="88"/>
  <c r="D143" i="88"/>
  <c r="C143" i="88"/>
  <c r="B143" i="88"/>
  <c r="A142" i="88"/>
  <c r="K142" i="88"/>
  <c r="J142" i="88"/>
  <c r="I142" i="88"/>
  <c r="H142" i="88"/>
  <c r="G142" i="88"/>
  <c r="F142" i="88"/>
  <c r="E142" i="88"/>
  <c r="D142" i="88"/>
  <c r="C142" i="88"/>
  <c r="B142" i="88"/>
  <c r="A141" i="88"/>
  <c r="K141" i="88"/>
  <c r="J141" i="88"/>
  <c r="I141" i="88"/>
  <c r="H141" i="88"/>
  <c r="G141" i="88"/>
  <c r="F141" i="88"/>
  <c r="E141" i="88"/>
  <c r="D141" i="88"/>
  <c r="C141" i="88"/>
  <c r="B141" i="88"/>
  <c r="A140" i="88"/>
  <c r="K140" i="88"/>
  <c r="J140" i="88"/>
  <c r="I140" i="88"/>
  <c r="H140" i="88"/>
  <c r="G140" i="88"/>
  <c r="F140" i="88"/>
  <c r="E140" i="88"/>
  <c r="D140" i="88"/>
  <c r="C140" i="88"/>
  <c r="B140" i="88"/>
  <c r="A139" i="88"/>
  <c r="K139" i="88"/>
  <c r="J139" i="88"/>
  <c r="I139" i="88"/>
  <c r="H139" i="88"/>
  <c r="G139" i="88"/>
  <c r="F139" i="88"/>
  <c r="E139" i="88"/>
  <c r="D139" i="88"/>
  <c r="C139" i="88"/>
  <c r="B139" i="88"/>
  <c r="A138" i="88"/>
  <c r="K138" i="88"/>
  <c r="J138" i="88"/>
  <c r="I138" i="88"/>
  <c r="H138" i="88"/>
  <c r="G138" i="88"/>
  <c r="F138" i="88"/>
  <c r="E138" i="88"/>
  <c r="D138" i="88"/>
  <c r="C138" i="88"/>
  <c r="B138" i="88"/>
  <c r="A137" i="88"/>
  <c r="K137" i="88"/>
  <c r="J137" i="88"/>
  <c r="I137" i="88"/>
  <c r="H137" i="88"/>
  <c r="G137" i="88"/>
  <c r="F137" i="88"/>
  <c r="E137" i="88"/>
  <c r="D137" i="88"/>
  <c r="C137" i="88"/>
  <c r="B137" i="88"/>
  <c r="A136" i="88"/>
  <c r="K136" i="88"/>
  <c r="J136" i="88"/>
  <c r="I136" i="88"/>
  <c r="H136" i="88"/>
  <c r="G136" i="88"/>
  <c r="F136" i="88"/>
  <c r="E136" i="88"/>
  <c r="D136" i="88"/>
  <c r="C136" i="88"/>
  <c r="B136" i="88"/>
  <c r="A135" i="88"/>
  <c r="K135" i="88"/>
  <c r="J135" i="88"/>
  <c r="I135" i="88"/>
  <c r="H135" i="88"/>
  <c r="G135" i="88"/>
  <c r="F135" i="88"/>
  <c r="E135" i="88"/>
  <c r="D135" i="88"/>
  <c r="C135" i="88"/>
  <c r="B135" i="88"/>
  <c r="A134" i="88"/>
  <c r="K134" i="88"/>
  <c r="J134" i="88"/>
  <c r="I134" i="88"/>
  <c r="H134" i="88"/>
  <c r="G134" i="88"/>
  <c r="F134" i="88"/>
  <c r="E134" i="88"/>
  <c r="D134" i="88"/>
  <c r="C134" i="88"/>
  <c r="B134" i="88"/>
  <c r="A133" i="88"/>
  <c r="K133" i="88"/>
  <c r="J133" i="88"/>
  <c r="I133" i="88"/>
  <c r="H133" i="88"/>
  <c r="G133" i="88"/>
  <c r="F133" i="88"/>
  <c r="E133" i="88"/>
  <c r="D133" i="88"/>
  <c r="C133" i="88"/>
  <c r="B133" i="88"/>
  <c r="A132" i="88"/>
  <c r="K132" i="88"/>
  <c r="J132" i="88"/>
  <c r="I132" i="88"/>
  <c r="H132" i="88"/>
  <c r="G132" i="88"/>
  <c r="F132" i="88"/>
  <c r="E132" i="88"/>
  <c r="D132" i="88"/>
  <c r="C132" i="88"/>
  <c r="B132" i="88"/>
  <c r="A131" i="88"/>
  <c r="K131" i="88"/>
  <c r="J131" i="88"/>
  <c r="I131" i="88"/>
  <c r="H131" i="88"/>
  <c r="G131" i="88"/>
  <c r="F131" i="88"/>
  <c r="E131" i="88"/>
  <c r="D131" i="88"/>
  <c r="C131" i="88"/>
  <c r="B131" i="88"/>
  <c r="A130" i="88"/>
  <c r="K130" i="88"/>
  <c r="J130" i="88"/>
  <c r="I130" i="88"/>
  <c r="H130" i="88"/>
  <c r="G130" i="88"/>
  <c r="F130" i="88"/>
  <c r="E130" i="88"/>
  <c r="D130" i="88"/>
  <c r="C130" i="88"/>
  <c r="B130" i="88"/>
  <c r="A129" i="88"/>
  <c r="K129" i="88"/>
  <c r="J129" i="88"/>
  <c r="I129" i="88"/>
  <c r="H129" i="88"/>
  <c r="G129" i="88"/>
  <c r="F129" i="88"/>
  <c r="E129" i="88"/>
  <c r="D129" i="88"/>
  <c r="C129" i="88"/>
  <c r="B129" i="88"/>
  <c r="A128" i="88"/>
  <c r="K128" i="88"/>
  <c r="J128" i="88"/>
  <c r="I128" i="88"/>
  <c r="H128" i="88"/>
  <c r="G128" i="88"/>
  <c r="F128" i="88"/>
  <c r="E128" i="88"/>
  <c r="D128" i="88"/>
  <c r="C128" i="88"/>
  <c r="B128" i="88"/>
  <c r="A127" i="88"/>
  <c r="K127" i="88"/>
  <c r="J127" i="88"/>
  <c r="I127" i="88"/>
  <c r="H127" i="88"/>
  <c r="G127" i="88"/>
  <c r="F127" i="88"/>
  <c r="E127" i="88"/>
  <c r="D127" i="88"/>
  <c r="C127" i="88"/>
  <c r="B127" i="88"/>
  <c r="A126" i="88"/>
  <c r="K126" i="88"/>
  <c r="J126" i="88"/>
  <c r="I126" i="88"/>
  <c r="H126" i="88"/>
  <c r="G126" i="88"/>
  <c r="F126" i="88"/>
  <c r="E126" i="88"/>
  <c r="D126" i="88"/>
  <c r="C126" i="88"/>
  <c r="B126" i="88"/>
  <c r="A125" i="88"/>
  <c r="K125" i="88"/>
  <c r="J125" i="88"/>
  <c r="I125" i="88"/>
  <c r="H125" i="88"/>
  <c r="G125" i="88"/>
  <c r="F125" i="88"/>
  <c r="E125" i="88"/>
  <c r="D125" i="88"/>
  <c r="C125" i="88"/>
  <c r="B125" i="88"/>
  <c r="A124" i="88"/>
  <c r="K124" i="88"/>
  <c r="J124" i="88"/>
  <c r="I124" i="88"/>
  <c r="H124" i="88"/>
  <c r="G124" i="88"/>
  <c r="F124" i="88"/>
  <c r="E124" i="88"/>
  <c r="D124" i="88"/>
  <c r="C124" i="88"/>
  <c r="B124" i="88"/>
  <c r="A123" i="88"/>
  <c r="K123" i="88"/>
  <c r="J123" i="88"/>
  <c r="I123" i="88"/>
  <c r="H123" i="88"/>
  <c r="G123" i="88"/>
  <c r="F123" i="88"/>
  <c r="E123" i="88"/>
  <c r="D123" i="88"/>
  <c r="C123" i="88"/>
  <c r="B123" i="88"/>
  <c r="A122" i="88"/>
  <c r="K122" i="88"/>
  <c r="J122" i="88"/>
  <c r="I122" i="88"/>
  <c r="H122" i="88"/>
  <c r="G122" i="88"/>
  <c r="F122" i="88"/>
  <c r="E122" i="88"/>
  <c r="D122" i="88"/>
  <c r="C122" i="88"/>
  <c r="B122" i="88"/>
  <c r="A121" i="88"/>
  <c r="K121" i="88"/>
  <c r="J121" i="88"/>
  <c r="I121" i="88"/>
  <c r="H121" i="88"/>
  <c r="G121" i="88"/>
  <c r="F121" i="88"/>
  <c r="E121" i="88"/>
  <c r="D121" i="88"/>
  <c r="C121" i="88"/>
  <c r="B121" i="88"/>
  <c r="A120" i="88"/>
  <c r="K120" i="88"/>
  <c r="J120" i="88"/>
  <c r="I120" i="88"/>
  <c r="H120" i="88"/>
  <c r="G120" i="88"/>
  <c r="F120" i="88"/>
  <c r="E120" i="88"/>
  <c r="D120" i="88"/>
  <c r="C120" i="88"/>
  <c r="B120" i="88"/>
  <c r="A119" i="88"/>
  <c r="K119" i="88"/>
  <c r="J119" i="88"/>
  <c r="I119" i="88"/>
  <c r="H119" i="88"/>
  <c r="G119" i="88"/>
  <c r="F119" i="88"/>
  <c r="E119" i="88"/>
  <c r="D119" i="88"/>
  <c r="C119" i="88"/>
  <c r="B119" i="88"/>
  <c r="A118" i="88"/>
  <c r="K118" i="88"/>
  <c r="J118" i="88"/>
  <c r="I118" i="88"/>
  <c r="H118" i="88"/>
  <c r="G118" i="88"/>
  <c r="F118" i="88"/>
  <c r="E118" i="88"/>
  <c r="D118" i="88"/>
  <c r="C118" i="88"/>
  <c r="B118" i="88"/>
  <c r="A117" i="88"/>
  <c r="K117" i="88"/>
  <c r="J117" i="88"/>
  <c r="I117" i="88"/>
  <c r="H117" i="88"/>
  <c r="G117" i="88"/>
  <c r="F117" i="88"/>
  <c r="E117" i="88"/>
  <c r="D117" i="88"/>
  <c r="C117" i="88"/>
  <c r="B117" i="88"/>
  <c r="A116" i="88"/>
  <c r="K116" i="88"/>
  <c r="J116" i="88"/>
  <c r="I116" i="88"/>
  <c r="H116" i="88"/>
  <c r="G116" i="88"/>
  <c r="F116" i="88"/>
  <c r="E116" i="88"/>
  <c r="D116" i="88"/>
  <c r="C116" i="88"/>
  <c r="B116" i="88"/>
  <c r="A115" i="88"/>
  <c r="K115" i="88"/>
  <c r="J115" i="88"/>
  <c r="I115" i="88"/>
  <c r="H115" i="88"/>
  <c r="G115" i="88"/>
  <c r="F115" i="88"/>
  <c r="E115" i="88"/>
  <c r="D115" i="88"/>
  <c r="C115" i="88"/>
  <c r="B115" i="88"/>
  <c r="A114" i="88"/>
  <c r="K114" i="88"/>
  <c r="J114" i="88"/>
  <c r="I114" i="88"/>
  <c r="H114" i="88"/>
  <c r="G114" i="88"/>
  <c r="F114" i="88"/>
  <c r="E114" i="88"/>
  <c r="D114" i="88"/>
  <c r="C114" i="88"/>
  <c r="B114" i="88"/>
  <c r="A113" i="88"/>
  <c r="K113" i="88"/>
  <c r="J113" i="88"/>
  <c r="I113" i="88"/>
  <c r="H113" i="88"/>
  <c r="G113" i="88"/>
  <c r="F113" i="88"/>
  <c r="E113" i="88"/>
  <c r="D113" i="88"/>
  <c r="C113" i="88"/>
  <c r="B113" i="88"/>
  <c r="A112" i="88"/>
  <c r="K112" i="88"/>
  <c r="J112" i="88"/>
  <c r="I112" i="88"/>
  <c r="H112" i="88"/>
  <c r="G112" i="88"/>
  <c r="F112" i="88"/>
  <c r="E112" i="88"/>
  <c r="D112" i="88"/>
  <c r="C112" i="88"/>
  <c r="B112" i="88"/>
  <c r="A111" i="88"/>
  <c r="K111" i="88"/>
  <c r="J111" i="88"/>
  <c r="I111" i="88"/>
  <c r="H111" i="88"/>
  <c r="G111" i="88"/>
  <c r="F111" i="88"/>
  <c r="E111" i="88"/>
  <c r="D111" i="88"/>
  <c r="C111" i="88"/>
  <c r="B111" i="88"/>
  <c r="A110" i="88"/>
  <c r="K110" i="88"/>
  <c r="J110" i="88"/>
  <c r="I110" i="88"/>
  <c r="H110" i="88"/>
  <c r="G110" i="88"/>
  <c r="F110" i="88"/>
  <c r="E110" i="88"/>
  <c r="D110" i="88"/>
  <c r="C110" i="88"/>
  <c r="B110" i="88"/>
  <c r="A109" i="88"/>
  <c r="K109" i="88"/>
  <c r="J109" i="88"/>
  <c r="I109" i="88"/>
  <c r="H109" i="88"/>
  <c r="G109" i="88"/>
  <c r="F109" i="88"/>
  <c r="E109" i="88"/>
  <c r="D109" i="88"/>
  <c r="C109" i="88"/>
  <c r="B109" i="88"/>
  <c r="A108" i="88"/>
  <c r="K108" i="88"/>
  <c r="J108" i="88"/>
  <c r="I108" i="88"/>
  <c r="H108" i="88"/>
  <c r="G108" i="88"/>
  <c r="F108" i="88"/>
  <c r="E108" i="88"/>
  <c r="D108" i="88"/>
  <c r="C108" i="88"/>
  <c r="B108" i="88"/>
  <c r="A107" i="88"/>
  <c r="K107" i="88"/>
  <c r="J107" i="88"/>
  <c r="I107" i="88"/>
  <c r="H107" i="88"/>
  <c r="G107" i="88"/>
  <c r="F107" i="88"/>
  <c r="E107" i="88"/>
  <c r="D107" i="88"/>
  <c r="C107" i="88"/>
  <c r="B107" i="88"/>
  <c r="A106" i="88"/>
  <c r="K106" i="88"/>
  <c r="J106" i="88"/>
  <c r="I106" i="88"/>
  <c r="H106" i="88"/>
  <c r="G106" i="88"/>
  <c r="F106" i="88"/>
  <c r="E106" i="88"/>
  <c r="D106" i="88"/>
  <c r="C106" i="88"/>
  <c r="B106" i="88"/>
  <c r="A105" i="88"/>
  <c r="K105" i="88"/>
  <c r="J105" i="88"/>
  <c r="I105" i="88"/>
  <c r="H105" i="88"/>
  <c r="G105" i="88"/>
  <c r="F105" i="88"/>
  <c r="E105" i="88"/>
  <c r="D105" i="88"/>
  <c r="C105" i="88"/>
  <c r="B105" i="88"/>
  <c r="A104" i="88"/>
  <c r="K104" i="88"/>
  <c r="J104" i="88"/>
  <c r="I104" i="88"/>
  <c r="H104" i="88"/>
  <c r="G104" i="88"/>
  <c r="F104" i="88"/>
  <c r="E104" i="88"/>
  <c r="D104" i="88"/>
  <c r="C104" i="88"/>
  <c r="B104" i="88"/>
  <c r="A103" i="88"/>
  <c r="K103" i="88"/>
  <c r="J103" i="88"/>
  <c r="I103" i="88"/>
  <c r="H103" i="88"/>
  <c r="G103" i="88"/>
  <c r="F103" i="88"/>
  <c r="E103" i="88"/>
  <c r="D103" i="88"/>
  <c r="C103" i="88"/>
  <c r="B103" i="88"/>
  <c r="A102" i="88"/>
  <c r="K102" i="88"/>
  <c r="J102" i="88"/>
  <c r="I102" i="88"/>
  <c r="H102" i="88"/>
  <c r="G102" i="88"/>
  <c r="F102" i="88"/>
  <c r="E102" i="88"/>
  <c r="D102" i="88"/>
  <c r="C102" i="88"/>
  <c r="B102" i="88"/>
  <c r="A101" i="88"/>
  <c r="K101" i="88"/>
  <c r="J101" i="88"/>
  <c r="I101" i="88"/>
  <c r="H101" i="88"/>
  <c r="G101" i="88"/>
  <c r="F101" i="88"/>
  <c r="E101" i="88"/>
  <c r="D101" i="88"/>
  <c r="C101" i="88"/>
  <c r="B101" i="88"/>
  <c r="A100" i="88"/>
  <c r="K100" i="88"/>
  <c r="J100" i="88"/>
  <c r="I100" i="88"/>
  <c r="H100" i="88"/>
  <c r="G100" i="88"/>
  <c r="F100" i="88"/>
  <c r="E100" i="88"/>
  <c r="D100" i="88"/>
  <c r="C100" i="88"/>
  <c r="B100" i="88"/>
  <c r="A99" i="88"/>
  <c r="K99" i="88"/>
  <c r="J99" i="88"/>
  <c r="I99" i="88"/>
  <c r="H99" i="88"/>
  <c r="G99" i="88"/>
  <c r="F99" i="88"/>
  <c r="E99" i="88"/>
  <c r="D99" i="88"/>
  <c r="C99" i="88"/>
  <c r="B99" i="88"/>
  <c r="A98" i="88"/>
  <c r="K98" i="88"/>
  <c r="J98" i="88"/>
  <c r="I98" i="88"/>
  <c r="H98" i="88"/>
  <c r="G98" i="88"/>
  <c r="F98" i="88"/>
  <c r="E98" i="88"/>
  <c r="D98" i="88"/>
  <c r="C98" i="88"/>
  <c r="B98" i="88"/>
  <c r="A97" i="88"/>
  <c r="K97" i="88"/>
  <c r="J97" i="88"/>
  <c r="I97" i="88"/>
  <c r="H97" i="88"/>
  <c r="G97" i="88"/>
  <c r="F97" i="88"/>
  <c r="E97" i="88"/>
  <c r="D97" i="88"/>
  <c r="C97" i="88"/>
  <c r="B97" i="88"/>
  <c r="A96" i="88"/>
  <c r="K96" i="88"/>
  <c r="J96" i="88"/>
  <c r="I96" i="88"/>
  <c r="H96" i="88"/>
  <c r="G96" i="88"/>
  <c r="F96" i="88"/>
  <c r="E96" i="88"/>
  <c r="D96" i="88"/>
  <c r="C96" i="88"/>
  <c r="B96" i="88"/>
  <c r="A95" i="88"/>
  <c r="K95" i="88"/>
  <c r="J95" i="88"/>
  <c r="I95" i="88"/>
  <c r="H95" i="88"/>
  <c r="G95" i="88"/>
  <c r="F95" i="88"/>
  <c r="E95" i="88"/>
  <c r="D95" i="88"/>
  <c r="C95" i="88"/>
  <c r="B95" i="88"/>
  <c r="A94" i="88"/>
  <c r="K94" i="88"/>
  <c r="J94" i="88"/>
  <c r="I94" i="88"/>
  <c r="H94" i="88"/>
  <c r="G94" i="88"/>
  <c r="F94" i="88"/>
  <c r="E94" i="88"/>
  <c r="D94" i="88"/>
  <c r="C94" i="88"/>
  <c r="B94" i="88"/>
  <c r="A93" i="88"/>
  <c r="K93" i="88"/>
  <c r="J93" i="88"/>
  <c r="I93" i="88"/>
  <c r="H93" i="88"/>
  <c r="G93" i="88"/>
  <c r="F93" i="88"/>
  <c r="E93" i="88"/>
  <c r="D93" i="88"/>
  <c r="C93" i="88"/>
  <c r="B93" i="88"/>
  <c r="A92" i="88"/>
  <c r="K92" i="88"/>
  <c r="J92" i="88"/>
  <c r="I92" i="88"/>
  <c r="H92" i="88"/>
  <c r="G92" i="88"/>
  <c r="F92" i="88"/>
  <c r="E92" i="88"/>
  <c r="D92" i="88"/>
  <c r="C92" i="88"/>
  <c r="B92" i="88"/>
  <c r="A91" i="88"/>
  <c r="K91" i="88"/>
  <c r="J91" i="88"/>
  <c r="I91" i="88"/>
  <c r="H91" i="88"/>
  <c r="G91" i="88"/>
  <c r="F91" i="88"/>
  <c r="E91" i="88"/>
  <c r="D91" i="88"/>
  <c r="C91" i="88"/>
  <c r="B91" i="88"/>
  <c r="A90" i="88"/>
  <c r="K90" i="88"/>
  <c r="J90" i="88"/>
  <c r="I90" i="88"/>
  <c r="H90" i="88"/>
  <c r="G90" i="88"/>
  <c r="F90" i="88"/>
  <c r="E90" i="88"/>
  <c r="D90" i="88"/>
  <c r="C90" i="88"/>
  <c r="B90" i="88"/>
  <c r="A89" i="88"/>
  <c r="K89" i="88"/>
  <c r="J89" i="88"/>
  <c r="I89" i="88"/>
  <c r="H89" i="88"/>
  <c r="G89" i="88"/>
  <c r="F89" i="88"/>
  <c r="E89" i="88"/>
  <c r="D89" i="88"/>
  <c r="C89" i="88"/>
  <c r="B89" i="88"/>
  <c r="A88" i="88"/>
  <c r="K88" i="88"/>
  <c r="J88" i="88"/>
  <c r="I88" i="88"/>
  <c r="H88" i="88"/>
  <c r="G88" i="88"/>
  <c r="F88" i="88"/>
  <c r="E88" i="88"/>
  <c r="D88" i="88"/>
  <c r="C88" i="88"/>
  <c r="B88" i="88"/>
  <c r="A87" i="88"/>
  <c r="K87" i="88"/>
  <c r="J87" i="88"/>
  <c r="I87" i="88"/>
  <c r="H87" i="88"/>
  <c r="G87" i="88"/>
  <c r="F87" i="88"/>
  <c r="E87" i="88"/>
  <c r="D87" i="88"/>
  <c r="C87" i="88"/>
  <c r="B87" i="88"/>
  <c r="A86" i="88"/>
  <c r="K86" i="88"/>
  <c r="J86" i="88"/>
  <c r="I86" i="88"/>
  <c r="H86" i="88"/>
  <c r="G86" i="88"/>
  <c r="F86" i="88"/>
  <c r="E86" i="88"/>
  <c r="D86" i="88"/>
  <c r="C86" i="88"/>
  <c r="B86" i="88"/>
  <c r="A85" i="88"/>
  <c r="K85" i="88"/>
  <c r="J85" i="88"/>
  <c r="I85" i="88"/>
  <c r="H85" i="88"/>
  <c r="G85" i="88"/>
  <c r="F85" i="88"/>
  <c r="E85" i="88"/>
  <c r="D85" i="88"/>
  <c r="C85" i="88"/>
  <c r="B85" i="88"/>
  <c r="A84" i="88"/>
  <c r="K84" i="88"/>
  <c r="J84" i="88"/>
  <c r="I84" i="88"/>
  <c r="H84" i="88"/>
  <c r="G84" i="88"/>
  <c r="F84" i="88"/>
  <c r="E84" i="88"/>
  <c r="D84" i="88"/>
  <c r="C84" i="88"/>
  <c r="B84" i="88"/>
  <c r="A83" i="88"/>
  <c r="K83" i="88"/>
  <c r="J83" i="88"/>
  <c r="I83" i="88"/>
  <c r="H83" i="88"/>
  <c r="G83" i="88"/>
  <c r="F83" i="88"/>
  <c r="E83" i="88"/>
  <c r="D83" i="88"/>
  <c r="C83" i="88"/>
  <c r="B83" i="88"/>
  <c r="A82" i="88"/>
  <c r="K82" i="88"/>
  <c r="J82" i="88"/>
  <c r="I82" i="88"/>
  <c r="H82" i="88"/>
  <c r="G82" i="88"/>
  <c r="F82" i="88"/>
  <c r="E82" i="88"/>
  <c r="D82" i="88"/>
  <c r="C82" i="88"/>
  <c r="B82" i="88"/>
  <c r="A81" i="88"/>
  <c r="K81" i="88"/>
  <c r="J81" i="88"/>
  <c r="I81" i="88"/>
  <c r="H81" i="88"/>
  <c r="G81" i="88"/>
  <c r="F81" i="88"/>
  <c r="E81" i="88"/>
  <c r="D81" i="88"/>
  <c r="C81" i="88"/>
  <c r="B81" i="88"/>
  <c r="A80" i="88"/>
  <c r="K80" i="88"/>
  <c r="J80" i="88"/>
  <c r="I80" i="88"/>
  <c r="H80" i="88"/>
  <c r="G80" i="88"/>
  <c r="F80" i="88"/>
  <c r="E80" i="88"/>
  <c r="D80" i="88"/>
  <c r="C80" i="88"/>
  <c r="B80" i="88"/>
  <c r="A79" i="88"/>
  <c r="K79" i="88"/>
  <c r="J79" i="88"/>
  <c r="I79" i="88"/>
  <c r="H79" i="88"/>
  <c r="G79" i="88"/>
  <c r="F79" i="88"/>
  <c r="E79" i="88"/>
  <c r="D79" i="88"/>
  <c r="C79" i="88"/>
  <c r="B79" i="88"/>
  <c r="A78" i="88"/>
  <c r="K78" i="88"/>
  <c r="J78" i="88"/>
  <c r="I78" i="88"/>
  <c r="H78" i="88"/>
  <c r="G78" i="88"/>
  <c r="F78" i="88"/>
  <c r="E78" i="88"/>
  <c r="D78" i="88"/>
  <c r="C78" i="88"/>
  <c r="B78" i="88"/>
  <c r="A77" i="88"/>
  <c r="K77" i="88"/>
  <c r="J77" i="88"/>
  <c r="I77" i="88"/>
  <c r="H77" i="88"/>
  <c r="G77" i="88"/>
  <c r="F77" i="88"/>
  <c r="E77" i="88"/>
  <c r="D77" i="88"/>
  <c r="C77" i="88"/>
  <c r="B77" i="88"/>
  <c r="A76" i="88"/>
  <c r="K76" i="88"/>
  <c r="J76" i="88"/>
  <c r="I76" i="88"/>
  <c r="H76" i="88"/>
  <c r="G76" i="88"/>
  <c r="F76" i="88"/>
  <c r="E76" i="88"/>
  <c r="D76" i="88"/>
  <c r="C76" i="88"/>
  <c r="B76" i="88"/>
  <c r="A75" i="88"/>
  <c r="K75" i="88"/>
  <c r="J75" i="88"/>
  <c r="I75" i="88"/>
  <c r="H75" i="88"/>
  <c r="G75" i="88"/>
  <c r="F75" i="88"/>
  <c r="E75" i="88"/>
  <c r="D75" i="88"/>
  <c r="C75" i="88"/>
  <c r="B75" i="88"/>
  <c r="A74" i="88"/>
  <c r="K74" i="88"/>
  <c r="J74" i="88"/>
  <c r="I74" i="88"/>
  <c r="H74" i="88"/>
  <c r="G74" i="88"/>
  <c r="F74" i="88"/>
  <c r="E74" i="88"/>
  <c r="D74" i="88"/>
  <c r="C74" i="88"/>
  <c r="B74" i="88"/>
  <c r="A73" i="88"/>
  <c r="K73" i="88"/>
  <c r="J73" i="88"/>
  <c r="I73" i="88"/>
  <c r="H73" i="88"/>
  <c r="G73" i="88"/>
  <c r="F73" i="88"/>
  <c r="E73" i="88"/>
  <c r="D73" i="88"/>
  <c r="C73" i="88"/>
  <c r="B73" i="88"/>
  <c r="A72" i="88"/>
  <c r="K72" i="88"/>
  <c r="J72" i="88"/>
  <c r="I72" i="88"/>
  <c r="H72" i="88"/>
  <c r="G72" i="88"/>
  <c r="F72" i="88"/>
  <c r="E72" i="88"/>
  <c r="D72" i="88"/>
  <c r="C72" i="88"/>
  <c r="B72" i="88"/>
  <c r="A71" i="88"/>
  <c r="K71" i="88"/>
  <c r="J71" i="88"/>
  <c r="I71" i="88"/>
  <c r="H71" i="88"/>
  <c r="G71" i="88"/>
  <c r="F71" i="88"/>
  <c r="E71" i="88"/>
  <c r="D71" i="88"/>
  <c r="C71" i="88"/>
  <c r="B71" i="88"/>
  <c r="A70" i="88"/>
  <c r="K70" i="88"/>
  <c r="J70" i="88"/>
  <c r="I70" i="88"/>
  <c r="H70" i="88"/>
  <c r="G70" i="88"/>
  <c r="F70" i="88"/>
  <c r="E70" i="88"/>
  <c r="D70" i="88"/>
  <c r="C70" i="88"/>
  <c r="B70" i="88"/>
  <c r="A69" i="88"/>
  <c r="K69" i="88"/>
  <c r="J69" i="88"/>
  <c r="I69" i="88"/>
  <c r="H69" i="88"/>
  <c r="G69" i="88"/>
  <c r="F69" i="88"/>
  <c r="E69" i="88"/>
  <c r="D69" i="88"/>
  <c r="C69" i="88"/>
  <c r="B69" i="88"/>
  <c r="A68" i="88"/>
  <c r="K68" i="88"/>
  <c r="J68" i="88"/>
  <c r="I68" i="88"/>
  <c r="H68" i="88"/>
  <c r="G68" i="88"/>
  <c r="F68" i="88"/>
  <c r="E68" i="88"/>
  <c r="D68" i="88"/>
  <c r="C68" i="88"/>
  <c r="B68" i="88"/>
  <c r="A67" i="88"/>
  <c r="K67" i="88"/>
  <c r="J67" i="88"/>
  <c r="I67" i="88"/>
  <c r="H67" i="88"/>
  <c r="G67" i="88"/>
  <c r="F67" i="88"/>
  <c r="E67" i="88"/>
  <c r="D67" i="88"/>
  <c r="C67" i="88"/>
  <c r="B67" i="88"/>
  <c r="A66" i="88"/>
  <c r="K66" i="88"/>
  <c r="J66" i="88"/>
  <c r="I66" i="88"/>
  <c r="H66" i="88"/>
  <c r="G66" i="88"/>
  <c r="F66" i="88"/>
  <c r="E66" i="88"/>
  <c r="D66" i="88"/>
  <c r="C66" i="88"/>
  <c r="B66" i="88"/>
  <c r="A65" i="88"/>
  <c r="K65" i="88"/>
  <c r="J65" i="88"/>
  <c r="I65" i="88"/>
  <c r="H65" i="88"/>
  <c r="G65" i="88"/>
  <c r="F65" i="88"/>
  <c r="E65" i="88"/>
  <c r="D65" i="88"/>
  <c r="C65" i="88"/>
  <c r="B65" i="88"/>
  <c r="A64" i="88"/>
  <c r="K64" i="88"/>
  <c r="J64" i="88"/>
  <c r="I64" i="88"/>
  <c r="H64" i="88"/>
  <c r="G64" i="88"/>
  <c r="F64" i="88"/>
  <c r="E64" i="88"/>
  <c r="D64" i="88"/>
  <c r="C64" i="88"/>
  <c r="B64" i="88"/>
  <c r="A63" i="88"/>
  <c r="K63" i="88"/>
  <c r="J63" i="88"/>
  <c r="I63" i="88"/>
  <c r="H63" i="88"/>
  <c r="G63" i="88"/>
  <c r="F63" i="88"/>
  <c r="E63" i="88"/>
  <c r="D63" i="88"/>
  <c r="C63" i="88"/>
  <c r="B63" i="88"/>
  <c r="A62" i="88"/>
  <c r="K62" i="88"/>
  <c r="J62" i="88"/>
  <c r="I62" i="88"/>
  <c r="H62" i="88"/>
  <c r="G62" i="88"/>
  <c r="F62" i="88"/>
  <c r="E62" i="88"/>
  <c r="D62" i="88"/>
  <c r="C62" i="88"/>
  <c r="B62" i="88"/>
  <c r="A61" i="88"/>
  <c r="K61" i="88"/>
  <c r="J61" i="88"/>
  <c r="I61" i="88"/>
  <c r="H61" i="88"/>
  <c r="G61" i="88"/>
  <c r="F61" i="88"/>
  <c r="E61" i="88"/>
  <c r="D61" i="88"/>
  <c r="C61" i="88"/>
  <c r="B61" i="88"/>
  <c r="A60" i="88"/>
  <c r="K60" i="88"/>
  <c r="J60" i="88"/>
  <c r="I60" i="88"/>
  <c r="H60" i="88"/>
  <c r="G60" i="88"/>
  <c r="F60" i="88"/>
  <c r="E60" i="88"/>
  <c r="D60" i="88"/>
  <c r="C60" i="88"/>
  <c r="B60" i="88"/>
  <c r="A59" i="88"/>
  <c r="K59" i="88"/>
  <c r="J59" i="88"/>
  <c r="I59" i="88"/>
  <c r="H59" i="88"/>
  <c r="G59" i="88"/>
  <c r="F59" i="88"/>
  <c r="E59" i="88"/>
  <c r="D59" i="88"/>
  <c r="C59" i="88"/>
  <c r="B59" i="88"/>
  <c r="A58" i="88"/>
  <c r="K58" i="88"/>
  <c r="J58" i="88"/>
  <c r="I58" i="88"/>
  <c r="H58" i="88"/>
  <c r="G58" i="88"/>
  <c r="F58" i="88"/>
  <c r="E58" i="88"/>
  <c r="D58" i="88"/>
  <c r="C58" i="88"/>
  <c r="B58" i="88"/>
  <c r="A57" i="88"/>
  <c r="K57" i="88"/>
  <c r="J57" i="88"/>
  <c r="I57" i="88"/>
  <c r="H57" i="88"/>
  <c r="G57" i="88"/>
  <c r="F57" i="88"/>
  <c r="E57" i="88"/>
  <c r="D57" i="88"/>
  <c r="C57" i="88"/>
  <c r="B57" i="88"/>
  <c r="A56" i="88"/>
  <c r="K56" i="88"/>
  <c r="J56" i="88"/>
  <c r="I56" i="88"/>
  <c r="H56" i="88"/>
  <c r="G56" i="88"/>
  <c r="F56" i="88"/>
  <c r="E56" i="88"/>
  <c r="D56" i="88"/>
  <c r="C56" i="88"/>
  <c r="B56" i="88"/>
  <c r="A55" i="88"/>
  <c r="K55" i="88"/>
  <c r="J55" i="88"/>
  <c r="I55" i="88"/>
  <c r="H55" i="88"/>
  <c r="G55" i="88"/>
  <c r="F55" i="88"/>
  <c r="E55" i="88"/>
  <c r="D55" i="88"/>
  <c r="C55" i="88"/>
  <c r="B55" i="88"/>
  <c r="A54" i="88"/>
  <c r="K54" i="88"/>
  <c r="J54" i="88"/>
  <c r="I54" i="88"/>
  <c r="H54" i="88"/>
  <c r="G54" i="88"/>
  <c r="F54" i="88"/>
  <c r="E54" i="88"/>
  <c r="D54" i="88"/>
  <c r="C54" i="88"/>
  <c r="B54" i="88"/>
  <c r="A53" i="88"/>
  <c r="K53" i="88"/>
  <c r="J53" i="88"/>
  <c r="I53" i="88"/>
  <c r="H53" i="88"/>
  <c r="G53" i="88"/>
  <c r="F53" i="88"/>
  <c r="E53" i="88"/>
  <c r="D53" i="88"/>
  <c r="C53" i="88"/>
  <c r="B53" i="88"/>
  <c r="A52" i="88"/>
  <c r="K52" i="88"/>
  <c r="J52" i="88"/>
  <c r="I52" i="88"/>
  <c r="H52" i="88"/>
  <c r="G52" i="88"/>
  <c r="F52" i="88"/>
  <c r="E52" i="88"/>
  <c r="D52" i="88"/>
  <c r="C52" i="88"/>
  <c r="B52" i="88"/>
  <c r="A51" i="88"/>
  <c r="K51" i="88"/>
  <c r="J51" i="88"/>
  <c r="I51" i="88"/>
  <c r="H51" i="88"/>
  <c r="G51" i="88"/>
  <c r="F51" i="88"/>
  <c r="E51" i="88"/>
  <c r="D51" i="88"/>
  <c r="C51" i="88"/>
  <c r="B51" i="88"/>
  <c r="A50" i="88"/>
  <c r="K50" i="88"/>
  <c r="J50" i="88"/>
  <c r="I50" i="88"/>
  <c r="H50" i="88"/>
  <c r="G50" i="88"/>
  <c r="F50" i="88"/>
  <c r="E50" i="88"/>
  <c r="D50" i="88"/>
  <c r="C50" i="88"/>
  <c r="B50" i="88"/>
  <c r="A49" i="88"/>
  <c r="K49" i="88"/>
  <c r="J49" i="88"/>
  <c r="I49" i="88"/>
  <c r="H49" i="88"/>
  <c r="G49" i="88"/>
  <c r="F49" i="88"/>
  <c r="E49" i="88"/>
  <c r="D49" i="88"/>
  <c r="C49" i="88"/>
  <c r="B49" i="88"/>
  <c r="A48" i="88"/>
  <c r="K48" i="88"/>
  <c r="J48" i="88"/>
  <c r="I48" i="88"/>
  <c r="H48" i="88"/>
  <c r="G48" i="88"/>
  <c r="F48" i="88"/>
  <c r="E48" i="88"/>
  <c r="D48" i="88"/>
  <c r="C48" i="88"/>
  <c r="B48" i="88"/>
  <c r="A47" i="88"/>
  <c r="K47" i="88"/>
  <c r="J47" i="88"/>
  <c r="I47" i="88"/>
  <c r="H47" i="88"/>
  <c r="G47" i="88"/>
  <c r="F47" i="88"/>
  <c r="E47" i="88"/>
  <c r="D47" i="88"/>
  <c r="C47" i="88"/>
  <c r="B47" i="88"/>
  <c r="A46" i="88"/>
  <c r="K46" i="88"/>
  <c r="J46" i="88"/>
  <c r="I46" i="88"/>
  <c r="H46" i="88"/>
  <c r="G46" i="88"/>
  <c r="F46" i="88"/>
  <c r="E46" i="88"/>
  <c r="D46" i="88"/>
  <c r="C46" i="88"/>
  <c r="B46" i="88"/>
  <c r="A45" i="88"/>
  <c r="K45" i="88"/>
  <c r="J45" i="88"/>
  <c r="I45" i="88"/>
  <c r="H45" i="88"/>
  <c r="G45" i="88"/>
  <c r="F45" i="88"/>
  <c r="E45" i="88"/>
  <c r="D45" i="88"/>
  <c r="C45" i="88"/>
  <c r="B45" i="88"/>
  <c r="A44" i="88"/>
  <c r="K44" i="88"/>
  <c r="J44" i="88"/>
  <c r="I44" i="88"/>
  <c r="H44" i="88"/>
  <c r="G44" i="88"/>
  <c r="F44" i="88"/>
  <c r="E44" i="88"/>
  <c r="D44" i="88"/>
  <c r="C44" i="88"/>
  <c r="B44" i="88"/>
  <c r="A43" i="88"/>
  <c r="K43" i="88"/>
  <c r="J43" i="88"/>
  <c r="I43" i="88"/>
  <c r="H43" i="88"/>
  <c r="G43" i="88"/>
  <c r="F43" i="88"/>
  <c r="E43" i="88"/>
  <c r="D43" i="88"/>
  <c r="C43" i="88"/>
  <c r="B43" i="88"/>
  <c r="A42" i="88"/>
  <c r="K42" i="88"/>
  <c r="J42" i="88"/>
  <c r="I42" i="88"/>
  <c r="H42" i="88"/>
  <c r="G42" i="88"/>
  <c r="F42" i="88"/>
  <c r="E42" i="88"/>
  <c r="D42" i="88"/>
  <c r="C42" i="88"/>
  <c r="B42" i="88"/>
  <c r="A41" i="88"/>
  <c r="K41" i="88"/>
  <c r="J41" i="88"/>
  <c r="I41" i="88"/>
  <c r="H41" i="88"/>
  <c r="G41" i="88"/>
  <c r="F41" i="88"/>
  <c r="E41" i="88"/>
  <c r="D41" i="88"/>
  <c r="C41" i="88"/>
  <c r="B41" i="88"/>
  <c r="A40" i="88"/>
  <c r="K40" i="88"/>
  <c r="J40" i="88"/>
  <c r="I40" i="88"/>
  <c r="H40" i="88"/>
  <c r="G40" i="88"/>
  <c r="F40" i="88"/>
  <c r="E40" i="88"/>
  <c r="D40" i="88"/>
  <c r="C40" i="88"/>
  <c r="B40" i="88"/>
  <c r="A39" i="88"/>
  <c r="K39" i="88"/>
  <c r="J39" i="88"/>
  <c r="I39" i="88"/>
  <c r="H39" i="88"/>
  <c r="G39" i="88"/>
  <c r="F39" i="88"/>
  <c r="E39" i="88"/>
  <c r="D39" i="88"/>
  <c r="C39" i="88"/>
  <c r="B39" i="88"/>
  <c r="A38" i="88"/>
  <c r="K38" i="88"/>
  <c r="J38" i="88"/>
  <c r="I38" i="88"/>
  <c r="H38" i="88"/>
  <c r="G38" i="88"/>
  <c r="F38" i="88"/>
  <c r="E38" i="88"/>
  <c r="D38" i="88"/>
  <c r="C38" i="88"/>
  <c r="B38" i="88"/>
  <c r="A37" i="88"/>
  <c r="K37" i="88"/>
  <c r="J37" i="88"/>
  <c r="I37" i="88"/>
  <c r="H37" i="88"/>
  <c r="G37" i="88"/>
  <c r="F37" i="88"/>
  <c r="E37" i="88"/>
  <c r="D37" i="88"/>
  <c r="C37" i="88"/>
  <c r="B37" i="88"/>
  <c r="A36" i="88"/>
  <c r="K36" i="88"/>
  <c r="J36" i="88"/>
  <c r="I36" i="88"/>
  <c r="H36" i="88"/>
  <c r="G36" i="88"/>
  <c r="F36" i="88"/>
  <c r="E36" i="88"/>
  <c r="D36" i="88"/>
  <c r="C36" i="88"/>
  <c r="B36" i="88"/>
  <c r="A35" i="88"/>
  <c r="K35" i="88"/>
  <c r="J35" i="88"/>
  <c r="I35" i="88"/>
  <c r="H35" i="88"/>
  <c r="G35" i="88"/>
  <c r="F35" i="88"/>
  <c r="E35" i="88"/>
  <c r="D35" i="88"/>
  <c r="C35" i="88"/>
  <c r="B35" i="88"/>
  <c r="A34" i="88"/>
  <c r="K34" i="88"/>
  <c r="J34" i="88"/>
  <c r="I34" i="88"/>
  <c r="H34" i="88"/>
  <c r="G34" i="88"/>
  <c r="F34" i="88"/>
  <c r="E34" i="88"/>
  <c r="D34" i="88"/>
  <c r="C34" i="88"/>
  <c r="B34" i="88"/>
  <c r="A33" i="88"/>
  <c r="K33" i="88"/>
  <c r="J33" i="88"/>
  <c r="I33" i="88"/>
  <c r="H33" i="88"/>
  <c r="G33" i="88"/>
  <c r="F33" i="88"/>
  <c r="E33" i="88"/>
  <c r="D33" i="88"/>
  <c r="C33" i="88"/>
  <c r="B33" i="88"/>
  <c r="A32" i="88"/>
  <c r="K32" i="88"/>
  <c r="J32" i="88"/>
  <c r="I32" i="88"/>
  <c r="H32" i="88"/>
  <c r="G32" i="88"/>
  <c r="F32" i="88"/>
  <c r="E32" i="88"/>
  <c r="D32" i="88"/>
  <c r="C32" i="88"/>
  <c r="B32" i="88"/>
  <c r="A31" i="88"/>
  <c r="K31" i="88"/>
  <c r="J31" i="88"/>
  <c r="I31" i="88"/>
  <c r="H31" i="88"/>
  <c r="G31" i="88"/>
  <c r="F31" i="88"/>
  <c r="E31" i="88"/>
  <c r="D31" i="88"/>
  <c r="C31" i="88"/>
  <c r="B31" i="88"/>
  <c r="A30" i="88"/>
  <c r="K30" i="88"/>
  <c r="J30" i="88"/>
  <c r="I30" i="88"/>
  <c r="H30" i="88"/>
  <c r="G30" i="88"/>
  <c r="F30" i="88"/>
  <c r="E30" i="88"/>
  <c r="D30" i="88"/>
  <c r="C30" i="88"/>
  <c r="B30" i="88"/>
  <c r="A29" i="88"/>
  <c r="K29" i="88"/>
  <c r="J29" i="88"/>
  <c r="I29" i="88"/>
  <c r="H29" i="88"/>
  <c r="G29" i="88"/>
  <c r="F29" i="88"/>
  <c r="E29" i="88"/>
  <c r="D29" i="88"/>
  <c r="C29" i="88"/>
  <c r="B29" i="88"/>
  <c r="A28" i="88"/>
  <c r="K28" i="88"/>
  <c r="J28" i="88"/>
  <c r="I28" i="88"/>
  <c r="H28" i="88"/>
  <c r="G28" i="88"/>
  <c r="F28" i="88"/>
  <c r="E28" i="88"/>
  <c r="D28" i="88"/>
  <c r="C28" i="88"/>
  <c r="B28" i="88"/>
  <c r="A27" i="88"/>
  <c r="K27" i="88"/>
  <c r="J27" i="88"/>
  <c r="I27" i="88"/>
  <c r="H27" i="88"/>
  <c r="G27" i="88"/>
  <c r="F27" i="88"/>
  <c r="E27" i="88"/>
  <c r="D27" i="88"/>
  <c r="C27" i="88"/>
  <c r="B27" i="88"/>
  <c r="A26" i="88"/>
  <c r="K26" i="88"/>
  <c r="J26" i="88"/>
  <c r="I26" i="88"/>
  <c r="H26" i="88"/>
  <c r="G26" i="88"/>
  <c r="F26" i="88"/>
  <c r="E26" i="88"/>
  <c r="D26" i="88"/>
  <c r="C26" i="88"/>
  <c r="B26" i="88"/>
  <c r="A25" i="88"/>
  <c r="K25" i="88"/>
  <c r="J25" i="88"/>
  <c r="I25" i="88"/>
  <c r="H25" i="88"/>
  <c r="G25" i="88"/>
  <c r="F25" i="88"/>
  <c r="E25" i="88"/>
  <c r="D25" i="88"/>
  <c r="C25" i="88"/>
  <c r="B25" i="88"/>
  <c r="A24" i="88"/>
  <c r="K24" i="88"/>
  <c r="J24" i="88"/>
  <c r="I24" i="88"/>
  <c r="H24" i="88"/>
  <c r="G24" i="88"/>
  <c r="F24" i="88"/>
  <c r="E24" i="88"/>
  <c r="D24" i="88"/>
  <c r="C24" i="88"/>
  <c r="B24" i="88"/>
  <c r="A23" i="88"/>
  <c r="K23" i="88"/>
  <c r="J23" i="88"/>
  <c r="I23" i="88"/>
  <c r="H23" i="88"/>
  <c r="G23" i="88"/>
  <c r="F23" i="88"/>
  <c r="E23" i="88"/>
  <c r="D23" i="88"/>
  <c r="C23" i="88"/>
  <c r="B23" i="88"/>
  <c r="A22" i="88"/>
  <c r="K22" i="88"/>
  <c r="J22" i="88"/>
  <c r="I22" i="88"/>
  <c r="H22" i="88"/>
  <c r="G22" i="88"/>
  <c r="F22" i="88"/>
  <c r="E22" i="88"/>
  <c r="D22" i="88"/>
  <c r="C22" i="88"/>
  <c r="B22" i="88"/>
  <c r="A21" i="88"/>
  <c r="K21" i="88"/>
  <c r="J21" i="88"/>
  <c r="I21" i="88"/>
  <c r="H21" i="88"/>
  <c r="G21" i="88"/>
  <c r="F21" i="88"/>
  <c r="E21" i="88"/>
  <c r="D21" i="88"/>
  <c r="C21" i="88"/>
  <c r="B21" i="88"/>
  <c r="A20" i="88"/>
  <c r="K20" i="88"/>
  <c r="J20" i="88"/>
  <c r="I20" i="88"/>
  <c r="H20" i="88"/>
  <c r="G20" i="88"/>
  <c r="F20" i="88"/>
  <c r="E20" i="88"/>
  <c r="D20" i="88"/>
  <c r="C20" i="88"/>
  <c r="B20" i="88"/>
  <c r="A19" i="88"/>
  <c r="K19" i="88"/>
  <c r="J19" i="88"/>
  <c r="I19" i="88"/>
  <c r="H19" i="88"/>
  <c r="G19" i="88"/>
  <c r="F19" i="88"/>
  <c r="E19" i="88"/>
  <c r="D19" i="88"/>
  <c r="C19" i="88"/>
  <c r="B19" i="88"/>
  <c r="A18" i="88"/>
  <c r="K18" i="88"/>
  <c r="J18" i="88"/>
  <c r="I18" i="88"/>
  <c r="H18" i="88"/>
  <c r="G18" i="88"/>
  <c r="F18" i="88"/>
  <c r="E18" i="88"/>
  <c r="D18" i="88"/>
  <c r="C18" i="88"/>
  <c r="B18" i="88"/>
  <c r="A17" i="88"/>
  <c r="K17" i="88"/>
  <c r="J17" i="88"/>
  <c r="I17" i="88"/>
  <c r="H17" i="88"/>
  <c r="G17" i="88"/>
  <c r="F17" i="88"/>
  <c r="E17" i="88"/>
  <c r="D17" i="88"/>
  <c r="C17" i="88"/>
  <c r="B17" i="88"/>
  <c r="A16" i="88"/>
  <c r="K16" i="88"/>
  <c r="J16" i="88"/>
  <c r="I16" i="88"/>
  <c r="H16" i="88"/>
  <c r="G16" i="88"/>
  <c r="F16" i="88"/>
  <c r="E16" i="88"/>
  <c r="D16" i="88"/>
  <c r="C16" i="88"/>
  <c r="B16" i="88"/>
  <c r="A15" i="88"/>
  <c r="K15" i="88"/>
  <c r="J15" i="88"/>
  <c r="I15" i="88"/>
  <c r="H15" i="88"/>
  <c r="G15" i="88"/>
  <c r="F15" i="88"/>
  <c r="E15" i="88"/>
  <c r="D15" i="88"/>
  <c r="C15" i="88"/>
  <c r="B15" i="88"/>
  <c r="A14" i="88"/>
  <c r="K14" i="88"/>
  <c r="J14" i="88"/>
  <c r="I14" i="88"/>
  <c r="H14" i="88"/>
  <c r="G14" i="88"/>
  <c r="F14" i="88"/>
  <c r="E14" i="88"/>
  <c r="D14" i="88"/>
  <c r="C14" i="88"/>
  <c r="B14" i="88"/>
  <c r="A13" i="88"/>
  <c r="K13" i="88"/>
  <c r="J13" i="88"/>
  <c r="I13" i="88"/>
  <c r="H13" i="88"/>
  <c r="G13" i="88"/>
  <c r="F13" i="88"/>
  <c r="E13" i="88"/>
  <c r="D13" i="88"/>
  <c r="C13" i="88"/>
  <c r="B13" i="88"/>
  <c r="A12" i="88"/>
  <c r="K12" i="88"/>
  <c r="J12" i="88"/>
  <c r="I12" i="88"/>
  <c r="H12" i="88"/>
  <c r="G12" i="88"/>
  <c r="F12" i="88"/>
  <c r="E12" i="88"/>
  <c r="D12" i="88"/>
  <c r="C12" i="88"/>
  <c r="B12" i="88"/>
  <c r="A11" i="88"/>
  <c r="K11" i="88"/>
  <c r="J11" i="88"/>
  <c r="I11" i="88"/>
  <c r="H11" i="88"/>
  <c r="G11" i="88"/>
  <c r="F11" i="88"/>
  <c r="E11" i="88"/>
  <c r="D11" i="88"/>
  <c r="C11" i="88"/>
  <c r="B11" i="88"/>
  <c r="A10" i="88"/>
  <c r="K10" i="88"/>
  <c r="J10" i="88"/>
  <c r="I10" i="88"/>
  <c r="H10" i="88"/>
  <c r="G10" i="88"/>
  <c r="F10" i="88"/>
  <c r="E10" i="88"/>
  <c r="D10" i="88"/>
  <c r="C10" i="88"/>
  <c r="B10" i="88"/>
  <c r="A9" i="88"/>
  <c r="K9" i="88"/>
  <c r="J9" i="88"/>
  <c r="I9" i="88"/>
  <c r="H9" i="88"/>
  <c r="G9" i="88"/>
  <c r="F9" i="88"/>
  <c r="E9" i="88"/>
  <c r="D9" i="88"/>
  <c r="C9" i="88"/>
  <c r="B9" i="88"/>
  <c r="A8" i="88"/>
  <c r="K8" i="88"/>
  <c r="J8" i="88"/>
  <c r="I8" i="88"/>
  <c r="H8" i="88"/>
  <c r="G8" i="88"/>
  <c r="F8" i="88"/>
  <c r="E8" i="88"/>
  <c r="D8" i="88"/>
  <c r="C8" i="88"/>
  <c r="B8" i="88"/>
  <c r="A7" i="88"/>
  <c r="K7" i="88"/>
  <c r="J7" i="88"/>
  <c r="I7" i="88"/>
  <c r="H7" i="88"/>
  <c r="G7" i="88"/>
  <c r="F7" i="88"/>
  <c r="E7" i="88"/>
  <c r="D7" i="88"/>
  <c r="C7" i="88"/>
  <c r="B7" i="88"/>
  <c r="A6" i="88"/>
  <c r="K6" i="88"/>
  <c r="J6" i="88"/>
  <c r="I6" i="88"/>
  <c r="H6" i="88"/>
  <c r="G6" i="88"/>
  <c r="F6" i="88"/>
  <c r="E6" i="88"/>
  <c r="D6" i="88"/>
  <c r="C6" i="88"/>
  <c r="B6" i="88"/>
  <c r="A5" i="88"/>
  <c r="K5" i="88"/>
  <c r="J5" i="88"/>
  <c r="I5" i="88"/>
  <c r="H5" i="88"/>
  <c r="G5" i="88"/>
  <c r="F5" i="88"/>
  <c r="E5" i="88"/>
  <c r="D5" i="88"/>
  <c r="C5" i="88"/>
  <c r="B5" i="88"/>
  <c r="A4" i="88"/>
  <c r="K4" i="88"/>
  <c r="J4" i="88"/>
  <c r="I4" i="88"/>
  <c r="H4" i="88"/>
  <c r="G4" i="88"/>
  <c r="F4" i="88"/>
  <c r="E4" i="88"/>
  <c r="D4" i="88"/>
  <c r="C4" i="88"/>
  <c r="B4" i="88"/>
  <c r="C1" i="89"/>
  <c r="A1" i="89"/>
  <c r="A256" i="89"/>
  <c r="B1" i="89"/>
  <c r="K256" i="89"/>
  <c r="J256" i="89"/>
  <c r="I256" i="89"/>
  <c r="H256" i="89"/>
  <c r="G256" i="89"/>
  <c r="F256" i="89"/>
  <c r="E256" i="89"/>
  <c r="D256" i="89"/>
  <c r="C256" i="89"/>
  <c r="B256" i="89"/>
  <c r="A255" i="89"/>
  <c r="K255" i="89"/>
  <c r="J255" i="89"/>
  <c r="I255" i="89"/>
  <c r="H255" i="89"/>
  <c r="G255" i="89"/>
  <c r="F255" i="89"/>
  <c r="E255" i="89"/>
  <c r="D255" i="89"/>
  <c r="C255" i="89"/>
  <c r="B255" i="89"/>
  <c r="A254" i="89"/>
  <c r="K254" i="89"/>
  <c r="J254" i="89"/>
  <c r="I254" i="89"/>
  <c r="H254" i="89"/>
  <c r="G254" i="89"/>
  <c r="F254" i="89"/>
  <c r="E254" i="89"/>
  <c r="D254" i="89"/>
  <c r="C254" i="89"/>
  <c r="B254" i="89"/>
  <c r="A253" i="89"/>
  <c r="K253" i="89"/>
  <c r="J253" i="89"/>
  <c r="I253" i="89"/>
  <c r="H253" i="89"/>
  <c r="G253" i="89"/>
  <c r="F253" i="89"/>
  <c r="E253" i="89"/>
  <c r="D253" i="89"/>
  <c r="C253" i="89"/>
  <c r="B253" i="89"/>
  <c r="A252" i="89"/>
  <c r="K252" i="89"/>
  <c r="J252" i="89"/>
  <c r="I252" i="89"/>
  <c r="H252" i="89"/>
  <c r="G252" i="89"/>
  <c r="F252" i="89"/>
  <c r="E252" i="89"/>
  <c r="D252" i="89"/>
  <c r="C252" i="89"/>
  <c r="B252" i="89"/>
  <c r="A251" i="89"/>
  <c r="K251" i="89"/>
  <c r="J251" i="89"/>
  <c r="I251" i="89"/>
  <c r="H251" i="89"/>
  <c r="G251" i="89"/>
  <c r="F251" i="89"/>
  <c r="E251" i="89"/>
  <c r="D251" i="89"/>
  <c r="C251" i="89"/>
  <c r="B251" i="89"/>
  <c r="A250" i="89"/>
  <c r="K250" i="89"/>
  <c r="J250" i="89"/>
  <c r="I250" i="89"/>
  <c r="H250" i="89"/>
  <c r="G250" i="89"/>
  <c r="F250" i="89"/>
  <c r="E250" i="89"/>
  <c r="D250" i="89"/>
  <c r="C250" i="89"/>
  <c r="B250" i="89"/>
  <c r="A249" i="89"/>
  <c r="K249" i="89"/>
  <c r="J249" i="89"/>
  <c r="I249" i="89"/>
  <c r="H249" i="89"/>
  <c r="G249" i="89"/>
  <c r="F249" i="89"/>
  <c r="E249" i="89"/>
  <c r="D249" i="89"/>
  <c r="C249" i="89"/>
  <c r="B249" i="89"/>
  <c r="A248" i="89"/>
  <c r="K248" i="89"/>
  <c r="J248" i="89"/>
  <c r="I248" i="89"/>
  <c r="H248" i="89"/>
  <c r="G248" i="89"/>
  <c r="F248" i="89"/>
  <c r="E248" i="89"/>
  <c r="D248" i="89"/>
  <c r="C248" i="89"/>
  <c r="B248" i="89"/>
  <c r="A247" i="89"/>
  <c r="K247" i="89"/>
  <c r="J247" i="89"/>
  <c r="I247" i="89"/>
  <c r="H247" i="89"/>
  <c r="G247" i="89"/>
  <c r="F247" i="89"/>
  <c r="E247" i="89"/>
  <c r="D247" i="89"/>
  <c r="C247" i="89"/>
  <c r="B247" i="89"/>
  <c r="A246" i="89"/>
  <c r="K246" i="89"/>
  <c r="J246" i="89"/>
  <c r="I246" i="89"/>
  <c r="H246" i="89"/>
  <c r="G246" i="89"/>
  <c r="F246" i="89"/>
  <c r="E246" i="89"/>
  <c r="D246" i="89"/>
  <c r="C246" i="89"/>
  <c r="B246" i="89"/>
  <c r="A245" i="89"/>
  <c r="K245" i="89"/>
  <c r="J245" i="89"/>
  <c r="I245" i="89"/>
  <c r="H245" i="89"/>
  <c r="G245" i="89"/>
  <c r="F245" i="89"/>
  <c r="E245" i="89"/>
  <c r="D245" i="89"/>
  <c r="C245" i="89"/>
  <c r="B245" i="89"/>
  <c r="A244" i="89"/>
  <c r="K244" i="89"/>
  <c r="J244" i="89"/>
  <c r="I244" i="89"/>
  <c r="H244" i="89"/>
  <c r="G244" i="89"/>
  <c r="F244" i="89"/>
  <c r="E244" i="89"/>
  <c r="D244" i="89"/>
  <c r="C244" i="89"/>
  <c r="B244" i="89"/>
  <c r="A243" i="89"/>
  <c r="K243" i="89"/>
  <c r="J243" i="89"/>
  <c r="I243" i="89"/>
  <c r="H243" i="89"/>
  <c r="G243" i="89"/>
  <c r="F243" i="89"/>
  <c r="E243" i="89"/>
  <c r="D243" i="89"/>
  <c r="C243" i="89"/>
  <c r="B243" i="89"/>
  <c r="A242" i="89"/>
  <c r="K242" i="89"/>
  <c r="J242" i="89"/>
  <c r="I242" i="89"/>
  <c r="H242" i="89"/>
  <c r="G242" i="89"/>
  <c r="F242" i="89"/>
  <c r="E242" i="89"/>
  <c r="D242" i="89"/>
  <c r="C242" i="89"/>
  <c r="B242" i="89"/>
  <c r="A241" i="89"/>
  <c r="K241" i="89"/>
  <c r="J241" i="89"/>
  <c r="I241" i="89"/>
  <c r="H241" i="89"/>
  <c r="G241" i="89"/>
  <c r="F241" i="89"/>
  <c r="E241" i="89"/>
  <c r="D241" i="89"/>
  <c r="C241" i="89"/>
  <c r="B241" i="89"/>
  <c r="A240" i="89"/>
  <c r="K240" i="89"/>
  <c r="J240" i="89"/>
  <c r="I240" i="89"/>
  <c r="H240" i="89"/>
  <c r="G240" i="89"/>
  <c r="F240" i="89"/>
  <c r="E240" i="89"/>
  <c r="D240" i="89"/>
  <c r="C240" i="89"/>
  <c r="B240" i="89"/>
  <c r="A239" i="89"/>
  <c r="K239" i="89"/>
  <c r="J239" i="89"/>
  <c r="I239" i="89"/>
  <c r="H239" i="89"/>
  <c r="G239" i="89"/>
  <c r="F239" i="89"/>
  <c r="E239" i="89"/>
  <c r="D239" i="89"/>
  <c r="C239" i="89"/>
  <c r="B239" i="89"/>
  <c r="A238" i="89"/>
  <c r="K238" i="89"/>
  <c r="J238" i="89"/>
  <c r="I238" i="89"/>
  <c r="H238" i="89"/>
  <c r="G238" i="89"/>
  <c r="F238" i="89"/>
  <c r="E238" i="89"/>
  <c r="D238" i="89"/>
  <c r="C238" i="89"/>
  <c r="B238" i="89"/>
  <c r="A237" i="89"/>
  <c r="K237" i="89"/>
  <c r="J237" i="89"/>
  <c r="I237" i="89"/>
  <c r="H237" i="89"/>
  <c r="G237" i="89"/>
  <c r="F237" i="89"/>
  <c r="E237" i="89"/>
  <c r="D237" i="89"/>
  <c r="C237" i="89"/>
  <c r="B237" i="89"/>
  <c r="A236" i="89"/>
  <c r="K236" i="89"/>
  <c r="J236" i="89"/>
  <c r="I236" i="89"/>
  <c r="H236" i="89"/>
  <c r="G236" i="89"/>
  <c r="F236" i="89"/>
  <c r="E236" i="89"/>
  <c r="D236" i="89"/>
  <c r="C236" i="89"/>
  <c r="B236" i="89"/>
  <c r="A235" i="89"/>
  <c r="K235" i="89"/>
  <c r="J235" i="89"/>
  <c r="I235" i="89"/>
  <c r="H235" i="89"/>
  <c r="G235" i="89"/>
  <c r="F235" i="89"/>
  <c r="E235" i="89"/>
  <c r="D235" i="89"/>
  <c r="C235" i="89"/>
  <c r="B235" i="89"/>
  <c r="A234" i="89"/>
  <c r="K234" i="89"/>
  <c r="J234" i="89"/>
  <c r="I234" i="89"/>
  <c r="H234" i="89"/>
  <c r="G234" i="89"/>
  <c r="F234" i="89"/>
  <c r="E234" i="89"/>
  <c r="D234" i="89"/>
  <c r="C234" i="89"/>
  <c r="B234" i="89"/>
  <c r="A233" i="89"/>
  <c r="K233" i="89"/>
  <c r="J233" i="89"/>
  <c r="I233" i="89"/>
  <c r="H233" i="89"/>
  <c r="G233" i="89"/>
  <c r="F233" i="89"/>
  <c r="E233" i="89"/>
  <c r="D233" i="89"/>
  <c r="C233" i="89"/>
  <c r="B233" i="89"/>
  <c r="A232" i="89"/>
  <c r="K232" i="89"/>
  <c r="J232" i="89"/>
  <c r="I232" i="89"/>
  <c r="H232" i="89"/>
  <c r="G232" i="89"/>
  <c r="F232" i="89"/>
  <c r="E232" i="89"/>
  <c r="D232" i="89"/>
  <c r="C232" i="89"/>
  <c r="B232" i="89"/>
  <c r="A231" i="89"/>
  <c r="K231" i="89"/>
  <c r="J231" i="89"/>
  <c r="I231" i="89"/>
  <c r="H231" i="89"/>
  <c r="G231" i="89"/>
  <c r="F231" i="89"/>
  <c r="E231" i="89"/>
  <c r="D231" i="89"/>
  <c r="C231" i="89"/>
  <c r="B231" i="89"/>
  <c r="A230" i="89"/>
  <c r="K230" i="89"/>
  <c r="J230" i="89"/>
  <c r="I230" i="89"/>
  <c r="H230" i="89"/>
  <c r="G230" i="89"/>
  <c r="F230" i="89"/>
  <c r="E230" i="89"/>
  <c r="D230" i="89"/>
  <c r="C230" i="89"/>
  <c r="B230" i="89"/>
  <c r="A229" i="89"/>
  <c r="K229" i="89"/>
  <c r="J229" i="89"/>
  <c r="I229" i="89"/>
  <c r="H229" i="89"/>
  <c r="G229" i="89"/>
  <c r="F229" i="89"/>
  <c r="E229" i="89"/>
  <c r="D229" i="89"/>
  <c r="C229" i="89"/>
  <c r="B229" i="89"/>
  <c r="A228" i="89"/>
  <c r="K228" i="89"/>
  <c r="J228" i="89"/>
  <c r="I228" i="89"/>
  <c r="H228" i="89"/>
  <c r="G228" i="89"/>
  <c r="F228" i="89"/>
  <c r="E228" i="89"/>
  <c r="D228" i="89"/>
  <c r="C228" i="89"/>
  <c r="B228" i="89"/>
  <c r="A227" i="89"/>
  <c r="K227" i="89"/>
  <c r="J227" i="89"/>
  <c r="I227" i="89"/>
  <c r="H227" i="89"/>
  <c r="G227" i="89"/>
  <c r="F227" i="89"/>
  <c r="E227" i="89"/>
  <c r="D227" i="89"/>
  <c r="C227" i="89"/>
  <c r="B227" i="89"/>
  <c r="A226" i="89"/>
  <c r="K226" i="89"/>
  <c r="J226" i="89"/>
  <c r="I226" i="89"/>
  <c r="H226" i="89"/>
  <c r="G226" i="89"/>
  <c r="F226" i="89"/>
  <c r="E226" i="89"/>
  <c r="D226" i="89"/>
  <c r="C226" i="89"/>
  <c r="B226" i="89"/>
  <c r="A225" i="89"/>
  <c r="K225" i="89"/>
  <c r="J225" i="89"/>
  <c r="I225" i="89"/>
  <c r="H225" i="89"/>
  <c r="G225" i="89"/>
  <c r="F225" i="89"/>
  <c r="E225" i="89"/>
  <c r="D225" i="89"/>
  <c r="C225" i="89"/>
  <c r="B225" i="89"/>
  <c r="A224" i="89"/>
  <c r="K224" i="89"/>
  <c r="J224" i="89"/>
  <c r="I224" i="89"/>
  <c r="H224" i="89"/>
  <c r="G224" i="89"/>
  <c r="F224" i="89"/>
  <c r="E224" i="89"/>
  <c r="D224" i="89"/>
  <c r="C224" i="89"/>
  <c r="B224" i="89"/>
  <c r="A223" i="89"/>
  <c r="K223" i="89"/>
  <c r="J223" i="89"/>
  <c r="I223" i="89"/>
  <c r="H223" i="89"/>
  <c r="G223" i="89"/>
  <c r="F223" i="89"/>
  <c r="E223" i="89"/>
  <c r="D223" i="89"/>
  <c r="C223" i="89"/>
  <c r="B223" i="89"/>
  <c r="A222" i="89"/>
  <c r="K222" i="89"/>
  <c r="J222" i="89"/>
  <c r="I222" i="89"/>
  <c r="H222" i="89"/>
  <c r="G222" i="89"/>
  <c r="F222" i="89"/>
  <c r="E222" i="89"/>
  <c r="D222" i="89"/>
  <c r="C222" i="89"/>
  <c r="B222" i="89"/>
  <c r="A221" i="89"/>
  <c r="K221" i="89"/>
  <c r="J221" i="89"/>
  <c r="I221" i="89"/>
  <c r="H221" i="89"/>
  <c r="G221" i="89"/>
  <c r="F221" i="89"/>
  <c r="E221" i="89"/>
  <c r="D221" i="89"/>
  <c r="C221" i="89"/>
  <c r="B221" i="89"/>
  <c r="A220" i="89"/>
  <c r="K220" i="89"/>
  <c r="J220" i="89"/>
  <c r="I220" i="89"/>
  <c r="H220" i="89"/>
  <c r="G220" i="89"/>
  <c r="F220" i="89"/>
  <c r="E220" i="89"/>
  <c r="D220" i="89"/>
  <c r="C220" i="89"/>
  <c r="B220" i="89"/>
  <c r="A219" i="89"/>
  <c r="K219" i="89"/>
  <c r="J219" i="89"/>
  <c r="I219" i="89"/>
  <c r="H219" i="89"/>
  <c r="G219" i="89"/>
  <c r="F219" i="89"/>
  <c r="E219" i="89"/>
  <c r="D219" i="89"/>
  <c r="C219" i="89"/>
  <c r="B219" i="89"/>
  <c r="A218" i="89"/>
  <c r="K218" i="89"/>
  <c r="J218" i="89"/>
  <c r="I218" i="89"/>
  <c r="H218" i="89"/>
  <c r="G218" i="89"/>
  <c r="F218" i="89"/>
  <c r="E218" i="89"/>
  <c r="D218" i="89"/>
  <c r="C218" i="89"/>
  <c r="B218" i="89"/>
  <c r="A217" i="89"/>
  <c r="K217" i="89"/>
  <c r="J217" i="89"/>
  <c r="I217" i="89"/>
  <c r="H217" i="89"/>
  <c r="G217" i="89"/>
  <c r="F217" i="89"/>
  <c r="E217" i="89"/>
  <c r="D217" i="89"/>
  <c r="C217" i="89"/>
  <c r="B217" i="89"/>
  <c r="A216" i="89"/>
  <c r="K216" i="89"/>
  <c r="J216" i="89"/>
  <c r="I216" i="89"/>
  <c r="H216" i="89"/>
  <c r="G216" i="89"/>
  <c r="F216" i="89"/>
  <c r="E216" i="89"/>
  <c r="D216" i="89"/>
  <c r="C216" i="89"/>
  <c r="B216" i="89"/>
  <c r="A215" i="89"/>
  <c r="K215" i="89"/>
  <c r="J215" i="89"/>
  <c r="I215" i="89"/>
  <c r="H215" i="89"/>
  <c r="G215" i="89"/>
  <c r="F215" i="89"/>
  <c r="E215" i="89"/>
  <c r="D215" i="89"/>
  <c r="C215" i="89"/>
  <c r="B215" i="89"/>
  <c r="A214" i="89"/>
  <c r="K214" i="89"/>
  <c r="J214" i="89"/>
  <c r="I214" i="89"/>
  <c r="H214" i="89"/>
  <c r="G214" i="89"/>
  <c r="F214" i="89"/>
  <c r="E214" i="89"/>
  <c r="D214" i="89"/>
  <c r="C214" i="89"/>
  <c r="B214" i="89"/>
  <c r="A213" i="89"/>
  <c r="K213" i="89"/>
  <c r="J213" i="89"/>
  <c r="I213" i="89"/>
  <c r="H213" i="89"/>
  <c r="G213" i="89"/>
  <c r="F213" i="89"/>
  <c r="E213" i="89"/>
  <c r="D213" i="89"/>
  <c r="C213" i="89"/>
  <c r="B213" i="89"/>
  <c r="A212" i="89"/>
  <c r="K212" i="89"/>
  <c r="J212" i="89"/>
  <c r="I212" i="89"/>
  <c r="H212" i="89"/>
  <c r="G212" i="89"/>
  <c r="F212" i="89"/>
  <c r="E212" i="89"/>
  <c r="D212" i="89"/>
  <c r="C212" i="89"/>
  <c r="B212" i="89"/>
  <c r="A211" i="89"/>
  <c r="K211" i="89"/>
  <c r="J211" i="89"/>
  <c r="I211" i="89"/>
  <c r="H211" i="89"/>
  <c r="G211" i="89"/>
  <c r="F211" i="89"/>
  <c r="E211" i="89"/>
  <c r="D211" i="89"/>
  <c r="C211" i="89"/>
  <c r="B211" i="89"/>
  <c r="A210" i="89"/>
  <c r="K210" i="89"/>
  <c r="J210" i="89"/>
  <c r="I210" i="89"/>
  <c r="H210" i="89"/>
  <c r="G210" i="89"/>
  <c r="F210" i="89"/>
  <c r="E210" i="89"/>
  <c r="D210" i="89"/>
  <c r="C210" i="89"/>
  <c r="B210" i="89"/>
  <c r="A209" i="89"/>
  <c r="K209" i="89"/>
  <c r="J209" i="89"/>
  <c r="I209" i="89"/>
  <c r="H209" i="89"/>
  <c r="G209" i="89"/>
  <c r="F209" i="89"/>
  <c r="E209" i="89"/>
  <c r="D209" i="89"/>
  <c r="C209" i="89"/>
  <c r="B209" i="89"/>
  <c r="A208" i="89"/>
  <c r="K208" i="89"/>
  <c r="J208" i="89"/>
  <c r="I208" i="89"/>
  <c r="H208" i="89"/>
  <c r="G208" i="89"/>
  <c r="F208" i="89"/>
  <c r="E208" i="89"/>
  <c r="D208" i="89"/>
  <c r="C208" i="89"/>
  <c r="B208" i="89"/>
  <c r="A207" i="89"/>
  <c r="K207" i="89"/>
  <c r="J207" i="89"/>
  <c r="I207" i="89"/>
  <c r="H207" i="89"/>
  <c r="G207" i="89"/>
  <c r="F207" i="89"/>
  <c r="E207" i="89"/>
  <c r="D207" i="89"/>
  <c r="C207" i="89"/>
  <c r="B207" i="89"/>
  <c r="A206" i="89"/>
  <c r="K206" i="89"/>
  <c r="J206" i="89"/>
  <c r="I206" i="89"/>
  <c r="H206" i="89"/>
  <c r="G206" i="89"/>
  <c r="F206" i="89"/>
  <c r="E206" i="89"/>
  <c r="D206" i="89"/>
  <c r="C206" i="89"/>
  <c r="B206" i="89"/>
  <c r="A205" i="89"/>
  <c r="K205" i="89"/>
  <c r="J205" i="89"/>
  <c r="I205" i="89"/>
  <c r="H205" i="89"/>
  <c r="G205" i="89"/>
  <c r="F205" i="89"/>
  <c r="E205" i="89"/>
  <c r="D205" i="89"/>
  <c r="C205" i="89"/>
  <c r="B205" i="89"/>
  <c r="A204" i="89"/>
  <c r="K204" i="89"/>
  <c r="J204" i="89"/>
  <c r="I204" i="89"/>
  <c r="H204" i="89"/>
  <c r="G204" i="89"/>
  <c r="F204" i="89"/>
  <c r="E204" i="89"/>
  <c r="D204" i="89"/>
  <c r="C204" i="89"/>
  <c r="B204" i="89"/>
  <c r="A203" i="89"/>
  <c r="K203" i="89"/>
  <c r="J203" i="89"/>
  <c r="I203" i="89"/>
  <c r="H203" i="89"/>
  <c r="G203" i="89"/>
  <c r="F203" i="89"/>
  <c r="E203" i="89"/>
  <c r="D203" i="89"/>
  <c r="C203" i="89"/>
  <c r="B203" i="89"/>
  <c r="A202" i="89"/>
  <c r="K202" i="89"/>
  <c r="J202" i="89"/>
  <c r="I202" i="89"/>
  <c r="H202" i="89"/>
  <c r="G202" i="89"/>
  <c r="F202" i="89"/>
  <c r="E202" i="89"/>
  <c r="D202" i="89"/>
  <c r="C202" i="89"/>
  <c r="B202" i="89"/>
  <c r="A201" i="89"/>
  <c r="K201" i="89"/>
  <c r="J201" i="89"/>
  <c r="I201" i="89"/>
  <c r="H201" i="89"/>
  <c r="G201" i="89"/>
  <c r="F201" i="89"/>
  <c r="E201" i="89"/>
  <c r="D201" i="89"/>
  <c r="C201" i="89"/>
  <c r="B201" i="89"/>
  <c r="A200" i="89"/>
  <c r="K200" i="89"/>
  <c r="J200" i="89"/>
  <c r="I200" i="89"/>
  <c r="H200" i="89"/>
  <c r="G200" i="89"/>
  <c r="F200" i="89"/>
  <c r="E200" i="89"/>
  <c r="D200" i="89"/>
  <c r="C200" i="89"/>
  <c r="B200" i="89"/>
  <c r="A199" i="89"/>
  <c r="K199" i="89"/>
  <c r="J199" i="89"/>
  <c r="I199" i="89"/>
  <c r="H199" i="89"/>
  <c r="G199" i="89"/>
  <c r="F199" i="89"/>
  <c r="E199" i="89"/>
  <c r="D199" i="89"/>
  <c r="C199" i="89"/>
  <c r="B199" i="89"/>
  <c r="A198" i="89"/>
  <c r="K198" i="89"/>
  <c r="J198" i="89"/>
  <c r="I198" i="89"/>
  <c r="H198" i="89"/>
  <c r="G198" i="89"/>
  <c r="F198" i="89"/>
  <c r="E198" i="89"/>
  <c r="D198" i="89"/>
  <c r="C198" i="89"/>
  <c r="B198" i="89"/>
  <c r="A197" i="89"/>
  <c r="K197" i="89"/>
  <c r="J197" i="89"/>
  <c r="I197" i="89"/>
  <c r="H197" i="89"/>
  <c r="G197" i="89"/>
  <c r="F197" i="89"/>
  <c r="E197" i="89"/>
  <c r="D197" i="89"/>
  <c r="C197" i="89"/>
  <c r="B197" i="89"/>
  <c r="A196" i="89"/>
  <c r="K196" i="89"/>
  <c r="J196" i="89"/>
  <c r="I196" i="89"/>
  <c r="H196" i="89"/>
  <c r="G196" i="89"/>
  <c r="F196" i="89"/>
  <c r="E196" i="89"/>
  <c r="D196" i="89"/>
  <c r="C196" i="89"/>
  <c r="B196" i="89"/>
  <c r="A195" i="89"/>
  <c r="K195" i="89"/>
  <c r="J195" i="89"/>
  <c r="I195" i="89"/>
  <c r="H195" i="89"/>
  <c r="G195" i="89"/>
  <c r="F195" i="89"/>
  <c r="E195" i="89"/>
  <c r="D195" i="89"/>
  <c r="C195" i="89"/>
  <c r="B195" i="89"/>
  <c r="A194" i="89"/>
  <c r="K194" i="89"/>
  <c r="J194" i="89"/>
  <c r="I194" i="89"/>
  <c r="H194" i="89"/>
  <c r="G194" i="89"/>
  <c r="F194" i="89"/>
  <c r="E194" i="89"/>
  <c r="D194" i="89"/>
  <c r="C194" i="89"/>
  <c r="B194" i="89"/>
  <c r="A193" i="89"/>
  <c r="K193" i="89"/>
  <c r="J193" i="89"/>
  <c r="I193" i="89"/>
  <c r="H193" i="89"/>
  <c r="G193" i="89"/>
  <c r="F193" i="89"/>
  <c r="E193" i="89"/>
  <c r="D193" i="89"/>
  <c r="C193" i="89"/>
  <c r="B193" i="89"/>
  <c r="A192" i="89"/>
  <c r="K192" i="89"/>
  <c r="J192" i="89"/>
  <c r="I192" i="89"/>
  <c r="H192" i="89"/>
  <c r="G192" i="89"/>
  <c r="F192" i="89"/>
  <c r="E192" i="89"/>
  <c r="D192" i="89"/>
  <c r="C192" i="89"/>
  <c r="B192" i="89"/>
  <c r="A191" i="89"/>
  <c r="K191" i="89"/>
  <c r="J191" i="89"/>
  <c r="I191" i="89"/>
  <c r="H191" i="89"/>
  <c r="G191" i="89"/>
  <c r="F191" i="89"/>
  <c r="E191" i="89"/>
  <c r="D191" i="89"/>
  <c r="C191" i="89"/>
  <c r="B191" i="89"/>
  <c r="A190" i="89"/>
  <c r="K190" i="89"/>
  <c r="J190" i="89"/>
  <c r="I190" i="89"/>
  <c r="H190" i="89"/>
  <c r="G190" i="89"/>
  <c r="F190" i="89"/>
  <c r="E190" i="89"/>
  <c r="D190" i="89"/>
  <c r="C190" i="89"/>
  <c r="B190" i="89"/>
  <c r="A189" i="89"/>
  <c r="K189" i="89"/>
  <c r="J189" i="89"/>
  <c r="I189" i="89"/>
  <c r="H189" i="89"/>
  <c r="G189" i="89"/>
  <c r="F189" i="89"/>
  <c r="E189" i="89"/>
  <c r="D189" i="89"/>
  <c r="C189" i="89"/>
  <c r="B189" i="89"/>
  <c r="A188" i="89"/>
  <c r="K188" i="89"/>
  <c r="J188" i="89"/>
  <c r="I188" i="89"/>
  <c r="H188" i="89"/>
  <c r="G188" i="89"/>
  <c r="F188" i="89"/>
  <c r="E188" i="89"/>
  <c r="D188" i="89"/>
  <c r="C188" i="89"/>
  <c r="B188" i="89"/>
  <c r="A187" i="89"/>
  <c r="K187" i="89"/>
  <c r="J187" i="89"/>
  <c r="I187" i="89"/>
  <c r="H187" i="89"/>
  <c r="G187" i="89"/>
  <c r="F187" i="89"/>
  <c r="E187" i="89"/>
  <c r="D187" i="89"/>
  <c r="C187" i="89"/>
  <c r="B187" i="89"/>
  <c r="A186" i="89"/>
  <c r="K186" i="89"/>
  <c r="J186" i="89"/>
  <c r="I186" i="89"/>
  <c r="H186" i="89"/>
  <c r="G186" i="89"/>
  <c r="F186" i="89"/>
  <c r="E186" i="89"/>
  <c r="D186" i="89"/>
  <c r="C186" i="89"/>
  <c r="B186" i="89"/>
  <c r="A185" i="89"/>
  <c r="K185" i="89"/>
  <c r="J185" i="89"/>
  <c r="I185" i="89"/>
  <c r="H185" i="89"/>
  <c r="G185" i="89"/>
  <c r="F185" i="89"/>
  <c r="E185" i="89"/>
  <c r="D185" i="89"/>
  <c r="C185" i="89"/>
  <c r="B185" i="89"/>
  <c r="A184" i="89"/>
  <c r="K184" i="89"/>
  <c r="J184" i="89"/>
  <c r="I184" i="89"/>
  <c r="H184" i="89"/>
  <c r="G184" i="89"/>
  <c r="F184" i="89"/>
  <c r="E184" i="89"/>
  <c r="D184" i="89"/>
  <c r="C184" i="89"/>
  <c r="B184" i="89"/>
  <c r="A183" i="89"/>
  <c r="K183" i="89"/>
  <c r="J183" i="89"/>
  <c r="I183" i="89"/>
  <c r="H183" i="89"/>
  <c r="G183" i="89"/>
  <c r="F183" i="89"/>
  <c r="E183" i="89"/>
  <c r="D183" i="89"/>
  <c r="C183" i="89"/>
  <c r="B183" i="89"/>
  <c r="A182" i="89"/>
  <c r="K182" i="89"/>
  <c r="J182" i="89"/>
  <c r="I182" i="89"/>
  <c r="H182" i="89"/>
  <c r="G182" i="89"/>
  <c r="F182" i="89"/>
  <c r="E182" i="89"/>
  <c r="D182" i="89"/>
  <c r="C182" i="89"/>
  <c r="B182" i="89"/>
  <c r="A181" i="89"/>
  <c r="K181" i="89"/>
  <c r="J181" i="89"/>
  <c r="I181" i="89"/>
  <c r="H181" i="89"/>
  <c r="G181" i="89"/>
  <c r="F181" i="89"/>
  <c r="E181" i="89"/>
  <c r="D181" i="89"/>
  <c r="C181" i="89"/>
  <c r="B181" i="89"/>
  <c r="A180" i="89"/>
  <c r="K180" i="89"/>
  <c r="J180" i="89"/>
  <c r="I180" i="89"/>
  <c r="H180" i="89"/>
  <c r="G180" i="89"/>
  <c r="F180" i="89"/>
  <c r="E180" i="89"/>
  <c r="D180" i="89"/>
  <c r="C180" i="89"/>
  <c r="B180" i="89"/>
  <c r="A179" i="89"/>
  <c r="K179" i="89"/>
  <c r="J179" i="89"/>
  <c r="I179" i="89"/>
  <c r="H179" i="89"/>
  <c r="G179" i="89"/>
  <c r="F179" i="89"/>
  <c r="E179" i="89"/>
  <c r="D179" i="89"/>
  <c r="C179" i="89"/>
  <c r="B179" i="89"/>
  <c r="A178" i="89"/>
  <c r="K178" i="89"/>
  <c r="J178" i="89"/>
  <c r="I178" i="89"/>
  <c r="H178" i="89"/>
  <c r="G178" i="89"/>
  <c r="F178" i="89"/>
  <c r="E178" i="89"/>
  <c r="D178" i="89"/>
  <c r="C178" i="89"/>
  <c r="B178" i="89"/>
  <c r="A177" i="89"/>
  <c r="K177" i="89"/>
  <c r="J177" i="89"/>
  <c r="I177" i="89"/>
  <c r="H177" i="89"/>
  <c r="G177" i="89"/>
  <c r="F177" i="89"/>
  <c r="E177" i="89"/>
  <c r="D177" i="89"/>
  <c r="C177" i="89"/>
  <c r="B177" i="89"/>
  <c r="A176" i="89"/>
  <c r="K176" i="89"/>
  <c r="J176" i="89"/>
  <c r="I176" i="89"/>
  <c r="H176" i="89"/>
  <c r="G176" i="89"/>
  <c r="F176" i="89"/>
  <c r="E176" i="89"/>
  <c r="D176" i="89"/>
  <c r="C176" i="89"/>
  <c r="B176" i="89"/>
  <c r="A175" i="89"/>
  <c r="K175" i="89"/>
  <c r="J175" i="89"/>
  <c r="I175" i="89"/>
  <c r="H175" i="89"/>
  <c r="G175" i="89"/>
  <c r="F175" i="89"/>
  <c r="E175" i="89"/>
  <c r="D175" i="89"/>
  <c r="C175" i="89"/>
  <c r="B175" i="89"/>
  <c r="A174" i="89"/>
  <c r="K174" i="89"/>
  <c r="J174" i="89"/>
  <c r="I174" i="89"/>
  <c r="H174" i="89"/>
  <c r="G174" i="89"/>
  <c r="F174" i="89"/>
  <c r="E174" i="89"/>
  <c r="D174" i="89"/>
  <c r="C174" i="89"/>
  <c r="B174" i="89"/>
  <c r="A173" i="89"/>
  <c r="K173" i="89"/>
  <c r="J173" i="89"/>
  <c r="I173" i="89"/>
  <c r="H173" i="89"/>
  <c r="G173" i="89"/>
  <c r="F173" i="89"/>
  <c r="E173" i="89"/>
  <c r="D173" i="89"/>
  <c r="C173" i="89"/>
  <c r="B173" i="89"/>
  <c r="A172" i="89"/>
  <c r="K172" i="89"/>
  <c r="J172" i="89"/>
  <c r="I172" i="89"/>
  <c r="H172" i="89"/>
  <c r="G172" i="89"/>
  <c r="F172" i="89"/>
  <c r="E172" i="89"/>
  <c r="D172" i="89"/>
  <c r="C172" i="89"/>
  <c r="B172" i="89"/>
  <c r="A171" i="89"/>
  <c r="K171" i="89"/>
  <c r="J171" i="89"/>
  <c r="I171" i="89"/>
  <c r="H171" i="89"/>
  <c r="G171" i="89"/>
  <c r="F171" i="89"/>
  <c r="E171" i="89"/>
  <c r="D171" i="89"/>
  <c r="C171" i="89"/>
  <c r="B171" i="89"/>
  <c r="A170" i="89"/>
  <c r="K170" i="89"/>
  <c r="J170" i="89"/>
  <c r="I170" i="89"/>
  <c r="H170" i="89"/>
  <c r="G170" i="89"/>
  <c r="F170" i="89"/>
  <c r="E170" i="89"/>
  <c r="D170" i="89"/>
  <c r="C170" i="89"/>
  <c r="B170" i="89"/>
  <c r="A169" i="89"/>
  <c r="K169" i="89"/>
  <c r="J169" i="89"/>
  <c r="I169" i="89"/>
  <c r="H169" i="89"/>
  <c r="G169" i="89"/>
  <c r="F169" i="89"/>
  <c r="E169" i="89"/>
  <c r="D169" i="89"/>
  <c r="C169" i="89"/>
  <c r="B169" i="89"/>
  <c r="A168" i="89"/>
  <c r="K168" i="89"/>
  <c r="J168" i="89"/>
  <c r="I168" i="89"/>
  <c r="H168" i="89"/>
  <c r="G168" i="89"/>
  <c r="F168" i="89"/>
  <c r="E168" i="89"/>
  <c r="D168" i="89"/>
  <c r="C168" i="89"/>
  <c r="B168" i="89"/>
  <c r="A167" i="89"/>
  <c r="K167" i="89"/>
  <c r="J167" i="89"/>
  <c r="I167" i="89"/>
  <c r="H167" i="89"/>
  <c r="G167" i="89"/>
  <c r="F167" i="89"/>
  <c r="E167" i="89"/>
  <c r="D167" i="89"/>
  <c r="C167" i="89"/>
  <c r="B167" i="89"/>
  <c r="A166" i="89"/>
  <c r="K166" i="89"/>
  <c r="J166" i="89"/>
  <c r="I166" i="89"/>
  <c r="H166" i="89"/>
  <c r="G166" i="89"/>
  <c r="F166" i="89"/>
  <c r="E166" i="89"/>
  <c r="D166" i="89"/>
  <c r="C166" i="89"/>
  <c r="B166" i="89"/>
  <c r="A165" i="89"/>
  <c r="K165" i="89"/>
  <c r="J165" i="89"/>
  <c r="I165" i="89"/>
  <c r="H165" i="89"/>
  <c r="G165" i="89"/>
  <c r="F165" i="89"/>
  <c r="E165" i="89"/>
  <c r="D165" i="89"/>
  <c r="C165" i="89"/>
  <c r="B165" i="89"/>
  <c r="A164" i="89"/>
  <c r="K164" i="89"/>
  <c r="J164" i="89"/>
  <c r="I164" i="89"/>
  <c r="H164" i="89"/>
  <c r="G164" i="89"/>
  <c r="F164" i="89"/>
  <c r="E164" i="89"/>
  <c r="D164" i="89"/>
  <c r="C164" i="89"/>
  <c r="B164" i="89"/>
  <c r="A163" i="89"/>
  <c r="K163" i="89"/>
  <c r="J163" i="89"/>
  <c r="I163" i="89"/>
  <c r="H163" i="89"/>
  <c r="G163" i="89"/>
  <c r="F163" i="89"/>
  <c r="E163" i="89"/>
  <c r="D163" i="89"/>
  <c r="C163" i="89"/>
  <c r="B163" i="89"/>
  <c r="A162" i="89"/>
  <c r="K162" i="89"/>
  <c r="J162" i="89"/>
  <c r="I162" i="89"/>
  <c r="H162" i="89"/>
  <c r="G162" i="89"/>
  <c r="F162" i="89"/>
  <c r="E162" i="89"/>
  <c r="D162" i="89"/>
  <c r="C162" i="89"/>
  <c r="B162" i="89"/>
  <c r="A161" i="89"/>
  <c r="K161" i="89"/>
  <c r="J161" i="89"/>
  <c r="I161" i="89"/>
  <c r="H161" i="89"/>
  <c r="G161" i="89"/>
  <c r="F161" i="89"/>
  <c r="E161" i="89"/>
  <c r="D161" i="89"/>
  <c r="C161" i="89"/>
  <c r="B161" i="89"/>
  <c r="A160" i="89"/>
  <c r="K160" i="89"/>
  <c r="J160" i="89"/>
  <c r="I160" i="89"/>
  <c r="H160" i="89"/>
  <c r="G160" i="89"/>
  <c r="F160" i="89"/>
  <c r="E160" i="89"/>
  <c r="D160" i="89"/>
  <c r="C160" i="89"/>
  <c r="B160" i="89"/>
  <c r="A159" i="89"/>
  <c r="K159" i="89"/>
  <c r="J159" i="89"/>
  <c r="I159" i="89"/>
  <c r="H159" i="89"/>
  <c r="G159" i="89"/>
  <c r="F159" i="89"/>
  <c r="E159" i="89"/>
  <c r="D159" i="89"/>
  <c r="C159" i="89"/>
  <c r="B159" i="89"/>
  <c r="A158" i="89"/>
  <c r="K158" i="89"/>
  <c r="J158" i="89"/>
  <c r="I158" i="89"/>
  <c r="H158" i="89"/>
  <c r="G158" i="89"/>
  <c r="F158" i="89"/>
  <c r="E158" i="89"/>
  <c r="D158" i="89"/>
  <c r="C158" i="89"/>
  <c r="B158" i="89"/>
  <c r="A157" i="89"/>
  <c r="K157" i="89"/>
  <c r="J157" i="89"/>
  <c r="I157" i="89"/>
  <c r="H157" i="89"/>
  <c r="G157" i="89"/>
  <c r="F157" i="89"/>
  <c r="E157" i="89"/>
  <c r="D157" i="89"/>
  <c r="C157" i="89"/>
  <c r="B157" i="89"/>
  <c r="A156" i="89"/>
  <c r="K156" i="89"/>
  <c r="J156" i="89"/>
  <c r="I156" i="89"/>
  <c r="H156" i="89"/>
  <c r="G156" i="89"/>
  <c r="F156" i="89"/>
  <c r="E156" i="89"/>
  <c r="D156" i="89"/>
  <c r="C156" i="89"/>
  <c r="B156" i="89"/>
  <c r="A155" i="89"/>
  <c r="K155" i="89"/>
  <c r="J155" i="89"/>
  <c r="I155" i="89"/>
  <c r="H155" i="89"/>
  <c r="G155" i="89"/>
  <c r="F155" i="89"/>
  <c r="E155" i="89"/>
  <c r="D155" i="89"/>
  <c r="C155" i="89"/>
  <c r="B155" i="89"/>
  <c r="A154" i="89"/>
  <c r="K154" i="89"/>
  <c r="J154" i="89"/>
  <c r="I154" i="89"/>
  <c r="H154" i="89"/>
  <c r="G154" i="89"/>
  <c r="F154" i="89"/>
  <c r="E154" i="89"/>
  <c r="D154" i="89"/>
  <c r="C154" i="89"/>
  <c r="B154" i="89"/>
  <c r="A153" i="89"/>
  <c r="K153" i="89"/>
  <c r="J153" i="89"/>
  <c r="I153" i="89"/>
  <c r="H153" i="89"/>
  <c r="G153" i="89"/>
  <c r="F153" i="89"/>
  <c r="E153" i="89"/>
  <c r="D153" i="89"/>
  <c r="C153" i="89"/>
  <c r="B153" i="89"/>
  <c r="A152" i="89"/>
  <c r="K152" i="89"/>
  <c r="J152" i="89"/>
  <c r="I152" i="89"/>
  <c r="H152" i="89"/>
  <c r="G152" i="89"/>
  <c r="F152" i="89"/>
  <c r="E152" i="89"/>
  <c r="D152" i="89"/>
  <c r="C152" i="89"/>
  <c r="B152" i="89"/>
  <c r="A151" i="89"/>
  <c r="K151" i="89"/>
  <c r="J151" i="89"/>
  <c r="I151" i="89"/>
  <c r="H151" i="89"/>
  <c r="G151" i="89"/>
  <c r="F151" i="89"/>
  <c r="E151" i="89"/>
  <c r="D151" i="89"/>
  <c r="C151" i="89"/>
  <c r="B151" i="89"/>
  <c r="A150" i="89"/>
  <c r="K150" i="89"/>
  <c r="J150" i="89"/>
  <c r="I150" i="89"/>
  <c r="H150" i="89"/>
  <c r="G150" i="89"/>
  <c r="F150" i="89"/>
  <c r="E150" i="89"/>
  <c r="D150" i="89"/>
  <c r="C150" i="89"/>
  <c r="B150" i="89"/>
  <c r="A149" i="89"/>
  <c r="K149" i="89"/>
  <c r="J149" i="89"/>
  <c r="I149" i="89"/>
  <c r="H149" i="89"/>
  <c r="G149" i="89"/>
  <c r="F149" i="89"/>
  <c r="E149" i="89"/>
  <c r="D149" i="89"/>
  <c r="C149" i="89"/>
  <c r="B149" i="89"/>
  <c r="A148" i="89"/>
  <c r="K148" i="89"/>
  <c r="J148" i="89"/>
  <c r="I148" i="89"/>
  <c r="H148" i="89"/>
  <c r="G148" i="89"/>
  <c r="F148" i="89"/>
  <c r="E148" i="89"/>
  <c r="D148" i="89"/>
  <c r="C148" i="89"/>
  <c r="B148" i="89"/>
  <c r="A147" i="89"/>
  <c r="K147" i="89"/>
  <c r="J147" i="89"/>
  <c r="I147" i="89"/>
  <c r="H147" i="89"/>
  <c r="G147" i="89"/>
  <c r="F147" i="89"/>
  <c r="E147" i="89"/>
  <c r="D147" i="89"/>
  <c r="C147" i="89"/>
  <c r="B147" i="89"/>
  <c r="A146" i="89"/>
  <c r="K146" i="89"/>
  <c r="J146" i="89"/>
  <c r="I146" i="89"/>
  <c r="H146" i="89"/>
  <c r="G146" i="89"/>
  <c r="F146" i="89"/>
  <c r="E146" i="89"/>
  <c r="D146" i="89"/>
  <c r="C146" i="89"/>
  <c r="B146" i="89"/>
  <c r="A145" i="89"/>
  <c r="K145" i="89"/>
  <c r="J145" i="89"/>
  <c r="I145" i="89"/>
  <c r="H145" i="89"/>
  <c r="G145" i="89"/>
  <c r="F145" i="89"/>
  <c r="E145" i="89"/>
  <c r="D145" i="89"/>
  <c r="C145" i="89"/>
  <c r="B145" i="89"/>
  <c r="A144" i="89"/>
  <c r="K144" i="89"/>
  <c r="J144" i="89"/>
  <c r="I144" i="89"/>
  <c r="H144" i="89"/>
  <c r="G144" i="89"/>
  <c r="F144" i="89"/>
  <c r="E144" i="89"/>
  <c r="D144" i="89"/>
  <c r="C144" i="89"/>
  <c r="B144" i="89"/>
  <c r="A143" i="89"/>
  <c r="K143" i="89"/>
  <c r="J143" i="89"/>
  <c r="I143" i="89"/>
  <c r="H143" i="89"/>
  <c r="G143" i="89"/>
  <c r="F143" i="89"/>
  <c r="E143" i="89"/>
  <c r="D143" i="89"/>
  <c r="C143" i="89"/>
  <c r="B143" i="89"/>
  <c r="A142" i="89"/>
  <c r="K142" i="89"/>
  <c r="J142" i="89"/>
  <c r="I142" i="89"/>
  <c r="H142" i="89"/>
  <c r="G142" i="89"/>
  <c r="F142" i="89"/>
  <c r="E142" i="89"/>
  <c r="D142" i="89"/>
  <c r="C142" i="89"/>
  <c r="B142" i="89"/>
  <c r="A141" i="89"/>
  <c r="K141" i="89"/>
  <c r="J141" i="89"/>
  <c r="I141" i="89"/>
  <c r="H141" i="89"/>
  <c r="G141" i="89"/>
  <c r="F141" i="89"/>
  <c r="E141" i="89"/>
  <c r="D141" i="89"/>
  <c r="C141" i="89"/>
  <c r="B141" i="89"/>
  <c r="A140" i="89"/>
  <c r="K140" i="89"/>
  <c r="J140" i="89"/>
  <c r="I140" i="89"/>
  <c r="H140" i="89"/>
  <c r="G140" i="89"/>
  <c r="F140" i="89"/>
  <c r="E140" i="89"/>
  <c r="D140" i="89"/>
  <c r="C140" i="89"/>
  <c r="B140" i="89"/>
  <c r="A139" i="89"/>
  <c r="K139" i="89"/>
  <c r="J139" i="89"/>
  <c r="I139" i="89"/>
  <c r="H139" i="89"/>
  <c r="G139" i="89"/>
  <c r="F139" i="89"/>
  <c r="E139" i="89"/>
  <c r="D139" i="89"/>
  <c r="C139" i="89"/>
  <c r="B139" i="89"/>
  <c r="A138" i="89"/>
  <c r="K138" i="89"/>
  <c r="J138" i="89"/>
  <c r="I138" i="89"/>
  <c r="H138" i="89"/>
  <c r="G138" i="89"/>
  <c r="F138" i="89"/>
  <c r="E138" i="89"/>
  <c r="D138" i="89"/>
  <c r="C138" i="89"/>
  <c r="B138" i="89"/>
  <c r="A137" i="89"/>
  <c r="K137" i="89"/>
  <c r="J137" i="89"/>
  <c r="I137" i="89"/>
  <c r="H137" i="89"/>
  <c r="G137" i="89"/>
  <c r="F137" i="89"/>
  <c r="E137" i="89"/>
  <c r="D137" i="89"/>
  <c r="C137" i="89"/>
  <c r="B137" i="89"/>
  <c r="A136" i="89"/>
  <c r="K136" i="89"/>
  <c r="J136" i="89"/>
  <c r="I136" i="89"/>
  <c r="H136" i="89"/>
  <c r="G136" i="89"/>
  <c r="F136" i="89"/>
  <c r="E136" i="89"/>
  <c r="D136" i="89"/>
  <c r="C136" i="89"/>
  <c r="B136" i="89"/>
  <c r="A135" i="89"/>
  <c r="K135" i="89"/>
  <c r="J135" i="89"/>
  <c r="I135" i="89"/>
  <c r="H135" i="89"/>
  <c r="G135" i="89"/>
  <c r="F135" i="89"/>
  <c r="E135" i="89"/>
  <c r="D135" i="89"/>
  <c r="C135" i="89"/>
  <c r="B135" i="89"/>
  <c r="A134" i="89"/>
  <c r="K134" i="89"/>
  <c r="J134" i="89"/>
  <c r="I134" i="89"/>
  <c r="H134" i="89"/>
  <c r="G134" i="89"/>
  <c r="F134" i="89"/>
  <c r="E134" i="89"/>
  <c r="D134" i="89"/>
  <c r="C134" i="89"/>
  <c r="B134" i="89"/>
  <c r="A133" i="89"/>
  <c r="K133" i="89"/>
  <c r="J133" i="89"/>
  <c r="I133" i="89"/>
  <c r="H133" i="89"/>
  <c r="G133" i="89"/>
  <c r="F133" i="89"/>
  <c r="E133" i="89"/>
  <c r="D133" i="89"/>
  <c r="C133" i="89"/>
  <c r="B133" i="89"/>
  <c r="A132" i="89"/>
  <c r="K132" i="89"/>
  <c r="J132" i="89"/>
  <c r="I132" i="89"/>
  <c r="H132" i="89"/>
  <c r="G132" i="89"/>
  <c r="F132" i="89"/>
  <c r="E132" i="89"/>
  <c r="D132" i="89"/>
  <c r="C132" i="89"/>
  <c r="B132" i="89"/>
  <c r="A131" i="89"/>
  <c r="K131" i="89"/>
  <c r="J131" i="89"/>
  <c r="I131" i="89"/>
  <c r="H131" i="89"/>
  <c r="G131" i="89"/>
  <c r="F131" i="89"/>
  <c r="E131" i="89"/>
  <c r="D131" i="89"/>
  <c r="C131" i="89"/>
  <c r="B131" i="89"/>
  <c r="A130" i="89"/>
  <c r="K130" i="89"/>
  <c r="J130" i="89"/>
  <c r="I130" i="89"/>
  <c r="H130" i="89"/>
  <c r="G130" i="89"/>
  <c r="F130" i="89"/>
  <c r="E130" i="89"/>
  <c r="D130" i="89"/>
  <c r="C130" i="89"/>
  <c r="B130" i="89"/>
  <c r="A129" i="89"/>
  <c r="K129" i="89"/>
  <c r="J129" i="89"/>
  <c r="I129" i="89"/>
  <c r="H129" i="89"/>
  <c r="G129" i="89"/>
  <c r="F129" i="89"/>
  <c r="E129" i="89"/>
  <c r="D129" i="89"/>
  <c r="C129" i="89"/>
  <c r="B129" i="89"/>
  <c r="A128" i="89"/>
  <c r="K128" i="89"/>
  <c r="J128" i="89"/>
  <c r="I128" i="89"/>
  <c r="H128" i="89"/>
  <c r="G128" i="89"/>
  <c r="F128" i="89"/>
  <c r="E128" i="89"/>
  <c r="D128" i="89"/>
  <c r="C128" i="89"/>
  <c r="B128" i="89"/>
  <c r="A127" i="89"/>
  <c r="K127" i="89"/>
  <c r="J127" i="89"/>
  <c r="I127" i="89"/>
  <c r="H127" i="89"/>
  <c r="G127" i="89"/>
  <c r="F127" i="89"/>
  <c r="E127" i="89"/>
  <c r="D127" i="89"/>
  <c r="C127" i="89"/>
  <c r="B127" i="89"/>
  <c r="A126" i="89"/>
  <c r="K126" i="89"/>
  <c r="J126" i="89"/>
  <c r="I126" i="89"/>
  <c r="H126" i="89"/>
  <c r="G126" i="89"/>
  <c r="F126" i="89"/>
  <c r="E126" i="89"/>
  <c r="D126" i="89"/>
  <c r="C126" i="89"/>
  <c r="B126" i="89"/>
  <c r="A125" i="89"/>
  <c r="K125" i="89"/>
  <c r="J125" i="89"/>
  <c r="I125" i="89"/>
  <c r="H125" i="89"/>
  <c r="G125" i="89"/>
  <c r="F125" i="89"/>
  <c r="E125" i="89"/>
  <c r="D125" i="89"/>
  <c r="C125" i="89"/>
  <c r="B125" i="89"/>
  <c r="A124" i="89"/>
  <c r="K124" i="89"/>
  <c r="J124" i="89"/>
  <c r="I124" i="89"/>
  <c r="H124" i="89"/>
  <c r="G124" i="89"/>
  <c r="F124" i="89"/>
  <c r="E124" i="89"/>
  <c r="D124" i="89"/>
  <c r="C124" i="89"/>
  <c r="B124" i="89"/>
  <c r="A123" i="89"/>
  <c r="K123" i="89"/>
  <c r="J123" i="89"/>
  <c r="I123" i="89"/>
  <c r="H123" i="89"/>
  <c r="G123" i="89"/>
  <c r="F123" i="89"/>
  <c r="E123" i="89"/>
  <c r="D123" i="89"/>
  <c r="C123" i="89"/>
  <c r="B123" i="89"/>
  <c r="A122" i="89"/>
  <c r="K122" i="89"/>
  <c r="J122" i="89"/>
  <c r="I122" i="89"/>
  <c r="H122" i="89"/>
  <c r="G122" i="89"/>
  <c r="F122" i="89"/>
  <c r="E122" i="89"/>
  <c r="D122" i="89"/>
  <c r="C122" i="89"/>
  <c r="B122" i="89"/>
  <c r="A121" i="89"/>
  <c r="K121" i="89"/>
  <c r="J121" i="89"/>
  <c r="I121" i="89"/>
  <c r="H121" i="89"/>
  <c r="G121" i="89"/>
  <c r="F121" i="89"/>
  <c r="E121" i="89"/>
  <c r="D121" i="89"/>
  <c r="C121" i="89"/>
  <c r="B121" i="89"/>
  <c r="A120" i="89"/>
  <c r="K120" i="89"/>
  <c r="J120" i="89"/>
  <c r="I120" i="89"/>
  <c r="H120" i="89"/>
  <c r="G120" i="89"/>
  <c r="F120" i="89"/>
  <c r="E120" i="89"/>
  <c r="D120" i="89"/>
  <c r="C120" i="89"/>
  <c r="B120" i="89"/>
  <c r="A119" i="89"/>
  <c r="K119" i="89"/>
  <c r="J119" i="89"/>
  <c r="I119" i="89"/>
  <c r="H119" i="89"/>
  <c r="G119" i="89"/>
  <c r="F119" i="89"/>
  <c r="E119" i="89"/>
  <c r="D119" i="89"/>
  <c r="C119" i="89"/>
  <c r="B119" i="89"/>
  <c r="A118" i="89"/>
  <c r="K118" i="89"/>
  <c r="J118" i="89"/>
  <c r="I118" i="89"/>
  <c r="H118" i="89"/>
  <c r="G118" i="89"/>
  <c r="F118" i="89"/>
  <c r="E118" i="89"/>
  <c r="D118" i="89"/>
  <c r="C118" i="89"/>
  <c r="B118" i="89"/>
  <c r="A117" i="89"/>
  <c r="K117" i="89"/>
  <c r="J117" i="89"/>
  <c r="I117" i="89"/>
  <c r="H117" i="89"/>
  <c r="G117" i="89"/>
  <c r="F117" i="89"/>
  <c r="E117" i="89"/>
  <c r="D117" i="89"/>
  <c r="C117" i="89"/>
  <c r="B117" i="89"/>
  <c r="A116" i="89"/>
  <c r="K116" i="89"/>
  <c r="J116" i="89"/>
  <c r="I116" i="89"/>
  <c r="H116" i="89"/>
  <c r="G116" i="89"/>
  <c r="F116" i="89"/>
  <c r="E116" i="89"/>
  <c r="D116" i="89"/>
  <c r="C116" i="89"/>
  <c r="B116" i="89"/>
  <c r="A115" i="89"/>
  <c r="K115" i="89"/>
  <c r="J115" i="89"/>
  <c r="I115" i="89"/>
  <c r="H115" i="89"/>
  <c r="G115" i="89"/>
  <c r="F115" i="89"/>
  <c r="E115" i="89"/>
  <c r="D115" i="89"/>
  <c r="C115" i="89"/>
  <c r="B115" i="89"/>
  <c r="A114" i="89"/>
  <c r="K114" i="89"/>
  <c r="J114" i="89"/>
  <c r="I114" i="89"/>
  <c r="H114" i="89"/>
  <c r="G114" i="89"/>
  <c r="F114" i="89"/>
  <c r="E114" i="89"/>
  <c r="D114" i="89"/>
  <c r="C114" i="89"/>
  <c r="B114" i="89"/>
  <c r="A113" i="89"/>
  <c r="K113" i="89"/>
  <c r="J113" i="89"/>
  <c r="I113" i="89"/>
  <c r="H113" i="89"/>
  <c r="G113" i="89"/>
  <c r="F113" i="89"/>
  <c r="E113" i="89"/>
  <c r="D113" i="89"/>
  <c r="C113" i="89"/>
  <c r="B113" i="89"/>
  <c r="A112" i="89"/>
  <c r="K112" i="89"/>
  <c r="J112" i="89"/>
  <c r="I112" i="89"/>
  <c r="H112" i="89"/>
  <c r="G112" i="89"/>
  <c r="F112" i="89"/>
  <c r="E112" i="89"/>
  <c r="D112" i="89"/>
  <c r="C112" i="89"/>
  <c r="B112" i="89"/>
  <c r="A111" i="89"/>
  <c r="K111" i="89"/>
  <c r="J111" i="89"/>
  <c r="I111" i="89"/>
  <c r="H111" i="89"/>
  <c r="G111" i="89"/>
  <c r="F111" i="89"/>
  <c r="E111" i="89"/>
  <c r="D111" i="89"/>
  <c r="C111" i="89"/>
  <c r="B111" i="89"/>
  <c r="A110" i="89"/>
  <c r="K110" i="89"/>
  <c r="J110" i="89"/>
  <c r="I110" i="89"/>
  <c r="H110" i="89"/>
  <c r="G110" i="89"/>
  <c r="F110" i="89"/>
  <c r="E110" i="89"/>
  <c r="D110" i="89"/>
  <c r="C110" i="89"/>
  <c r="B110" i="89"/>
  <c r="A109" i="89"/>
  <c r="K109" i="89"/>
  <c r="J109" i="89"/>
  <c r="I109" i="89"/>
  <c r="H109" i="89"/>
  <c r="G109" i="89"/>
  <c r="F109" i="89"/>
  <c r="E109" i="89"/>
  <c r="D109" i="89"/>
  <c r="C109" i="89"/>
  <c r="B109" i="89"/>
  <c r="A108" i="89"/>
  <c r="K108" i="89"/>
  <c r="J108" i="89"/>
  <c r="I108" i="89"/>
  <c r="H108" i="89"/>
  <c r="G108" i="89"/>
  <c r="F108" i="89"/>
  <c r="E108" i="89"/>
  <c r="D108" i="89"/>
  <c r="C108" i="89"/>
  <c r="B108" i="89"/>
  <c r="A107" i="89"/>
  <c r="K107" i="89"/>
  <c r="J107" i="89"/>
  <c r="I107" i="89"/>
  <c r="H107" i="89"/>
  <c r="G107" i="89"/>
  <c r="F107" i="89"/>
  <c r="E107" i="89"/>
  <c r="D107" i="89"/>
  <c r="C107" i="89"/>
  <c r="B107" i="89"/>
  <c r="A106" i="89"/>
  <c r="K106" i="89"/>
  <c r="J106" i="89"/>
  <c r="I106" i="89"/>
  <c r="H106" i="89"/>
  <c r="G106" i="89"/>
  <c r="F106" i="89"/>
  <c r="E106" i="89"/>
  <c r="D106" i="89"/>
  <c r="C106" i="89"/>
  <c r="B106" i="89"/>
  <c r="A105" i="89"/>
  <c r="K105" i="89"/>
  <c r="J105" i="89"/>
  <c r="I105" i="89"/>
  <c r="H105" i="89"/>
  <c r="G105" i="89"/>
  <c r="F105" i="89"/>
  <c r="E105" i="89"/>
  <c r="D105" i="89"/>
  <c r="C105" i="89"/>
  <c r="B105" i="89"/>
  <c r="A104" i="89"/>
  <c r="K104" i="89"/>
  <c r="J104" i="89"/>
  <c r="I104" i="89"/>
  <c r="H104" i="89"/>
  <c r="G104" i="89"/>
  <c r="F104" i="89"/>
  <c r="E104" i="89"/>
  <c r="D104" i="89"/>
  <c r="C104" i="89"/>
  <c r="B104" i="89"/>
  <c r="A103" i="89"/>
  <c r="K103" i="89"/>
  <c r="J103" i="89"/>
  <c r="I103" i="89"/>
  <c r="H103" i="89"/>
  <c r="G103" i="89"/>
  <c r="F103" i="89"/>
  <c r="E103" i="89"/>
  <c r="D103" i="89"/>
  <c r="C103" i="89"/>
  <c r="B103" i="89"/>
  <c r="A102" i="89"/>
  <c r="K102" i="89"/>
  <c r="J102" i="89"/>
  <c r="I102" i="89"/>
  <c r="H102" i="89"/>
  <c r="G102" i="89"/>
  <c r="F102" i="89"/>
  <c r="E102" i="89"/>
  <c r="D102" i="89"/>
  <c r="C102" i="89"/>
  <c r="B102" i="89"/>
  <c r="A101" i="89"/>
  <c r="K101" i="89"/>
  <c r="J101" i="89"/>
  <c r="I101" i="89"/>
  <c r="H101" i="89"/>
  <c r="G101" i="89"/>
  <c r="F101" i="89"/>
  <c r="E101" i="89"/>
  <c r="D101" i="89"/>
  <c r="C101" i="89"/>
  <c r="B101" i="89"/>
  <c r="A100" i="89"/>
  <c r="K100" i="89"/>
  <c r="J100" i="89"/>
  <c r="I100" i="89"/>
  <c r="H100" i="89"/>
  <c r="G100" i="89"/>
  <c r="F100" i="89"/>
  <c r="E100" i="89"/>
  <c r="D100" i="89"/>
  <c r="C100" i="89"/>
  <c r="B100" i="89"/>
  <c r="A99" i="89"/>
  <c r="K99" i="89"/>
  <c r="J99" i="89"/>
  <c r="I99" i="89"/>
  <c r="H99" i="89"/>
  <c r="G99" i="89"/>
  <c r="F99" i="89"/>
  <c r="E99" i="89"/>
  <c r="D99" i="89"/>
  <c r="C99" i="89"/>
  <c r="B99" i="89"/>
  <c r="A98" i="89"/>
  <c r="K98" i="89"/>
  <c r="J98" i="89"/>
  <c r="I98" i="89"/>
  <c r="H98" i="89"/>
  <c r="G98" i="89"/>
  <c r="F98" i="89"/>
  <c r="E98" i="89"/>
  <c r="D98" i="89"/>
  <c r="C98" i="89"/>
  <c r="B98" i="89"/>
  <c r="A97" i="89"/>
  <c r="K97" i="89"/>
  <c r="J97" i="89"/>
  <c r="I97" i="89"/>
  <c r="H97" i="89"/>
  <c r="G97" i="89"/>
  <c r="F97" i="89"/>
  <c r="E97" i="89"/>
  <c r="D97" i="89"/>
  <c r="C97" i="89"/>
  <c r="B97" i="89"/>
  <c r="A96" i="89"/>
  <c r="K96" i="89"/>
  <c r="J96" i="89"/>
  <c r="I96" i="89"/>
  <c r="H96" i="89"/>
  <c r="G96" i="89"/>
  <c r="F96" i="89"/>
  <c r="E96" i="89"/>
  <c r="D96" i="89"/>
  <c r="C96" i="89"/>
  <c r="B96" i="89"/>
  <c r="A95" i="89"/>
  <c r="K95" i="89"/>
  <c r="J95" i="89"/>
  <c r="I95" i="89"/>
  <c r="H95" i="89"/>
  <c r="G95" i="89"/>
  <c r="F95" i="89"/>
  <c r="E95" i="89"/>
  <c r="D95" i="89"/>
  <c r="C95" i="89"/>
  <c r="B95" i="89"/>
  <c r="A94" i="89"/>
  <c r="K94" i="89"/>
  <c r="J94" i="89"/>
  <c r="I94" i="89"/>
  <c r="H94" i="89"/>
  <c r="G94" i="89"/>
  <c r="F94" i="89"/>
  <c r="E94" i="89"/>
  <c r="D94" i="89"/>
  <c r="C94" i="89"/>
  <c r="B94" i="89"/>
  <c r="A93" i="89"/>
  <c r="K93" i="89"/>
  <c r="J93" i="89"/>
  <c r="I93" i="89"/>
  <c r="H93" i="89"/>
  <c r="G93" i="89"/>
  <c r="F93" i="89"/>
  <c r="E93" i="89"/>
  <c r="D93" i="89"/>
  <c r="C93" i="89"/>
  <c r="B93" i="89"/>
  <c r="A92" i="89"/>
  <c r="K92" i="89"/>
  <c r="J92" i="89"/>
  <c r="I92" i="89"/>
  <c r="H92" i="89"/>
  <c r="G92" i="89"/>
  <c r="F92" i="89"/>
  <c r="E92" i="89"/>
  <c r="D92" i="89"/>
  <c r="C92" i="89"/>
  <c r="B92" i="89"/>
  <c r="A91" i="89"/>
  <c r="K91" i="89"/>
  <c r="J91" i="89"/>
  <c r="I91" i="89"/>
  <c r="H91" i="89"/>
  <c r="G91" i="89"/>
  <c r="F91" i="89"/>
  <c r="E91" i="89"/>
  <c r="D91" i="89"/>
  <c r="C91" i="89"/>
  <c r="B91" i="89"/>
  <c r="A90" i="89"/>
  <c r="K90" i="89"/>
  <c r="J90" i="89"/>
  <c r="I90" i="89"/>
  <c r="H90" i="89"/>
  <c r="G90" i="89"/>
  <c r="F90" i="89"/>
  <c r="E90" i="89"/>
  <c r="D90" i="89"/>
  <c r="C90" i="89"/>
  <c r="B90" i="89"/>
  <c r="A89" i="89"/>
  <c r="K89" i="89"/>
  <c r="J89" i="89"/>
  <c r="I89" i="89"/>
  <c r="H89" i="89"/>
  <c r="G89" i="89"/>
  <c r="F89" i="89"/>
  <c r="E89" i="89"/>
  <c r="D89" i="89"/>
  <c r="C89" i="89"/>
  <c r="B89" i="89"/>
  <c r="A88" i="89"/>
  <c r="K88" i="89"/>
  <c r="J88" i="89"/>
  <c r="I88" i="89"/>
  <c r="H88" i="89"/>
  <c r="G88" i="89"/>
  <c r="F88" i="89"/>
  <c r="E88" i="89"/>
  <c r="D88" i="89"/>
  <c r="C88" i="89"/>
  <c r="B88" i="89"/>
  <c r="A87" i="89"/>
  <c r="K87" i="89"/>
  <c r="J87" i="89"/>
  <c r="I87" i="89"/>
  <c r="H87" i="89"/>
  <c r="G87" i="89"/>
  <c r="F87" i="89"/>
  <c r="E87" i="89"/>
  <c r="D87" i="89"/>
  <c r="C87" i="89"/>
  <c r="B87" i="89"/>
  <c r="A86" i="89"/>
  <c r="K86" i="89"/>
  <c r="J86" i="89"/>
  <c r="I86" i="89"/>
  <c r="H86" i="89"/>
  <c r="G86" i="89"/>
  <c r="F86" i="89"/>
  <c r="E86" i="89"/>
  <c r="D86" i="89"/>
  <c r="C86" i="89"/>
  <c r="B86" i="89"/>
  <c r="A85" i="89"/>
  <c r="K85" i="89"/>
  <c r="J85" i="89"/>
  <c r="I85" i="89"/>
  <c r="H85" i="89"/>
  <c r="G85" i="89"/>
  <c r="F85" i="89"/>
  <c r="E85" i="89"/>
  <c r="D85" i="89"/>
  <c r="C85" i="89"/>
  <c r="B85" i="89"/>
  <c r="A84" i="89"/>
  <c r="K84" i="89"/>
  <c r="J84" i="89"/>
  <c r="I84" i="89"/>
  <c r="H84" i="89"/>
  <c r="G84" i="89"/>
  <c r="F84" i="89"/>
  <c r="E84" i="89"/>
  <c r="D84" i="89"/>
  <c r="C84" i="89"/>
  <c r="B84" i="89"/>
  <c r="A83" i="89"/>
  <c r="K83" i="89"/>
  <c r="J83" i="89"/>
  <c r="I83" i="89"/>
  <c r="H83" i="89"/>
  <c r="G83" i="89"/>
  <c r="F83" i="89"/>
  <c r="E83" i="89"/>
  <c r="D83" i="89"/>
  <c r="C83" i="89"/>
  <c r="B83" i="89"/>
  <c r="A82" i="89"/>
  <c r="K82" i="89"/>
  <c r="J82" i="89"/>
  <c r="I82" i="89"/>
  <c r="H82" i="89"/>
  <c r="G82" i="89"/>
  <c r="F82" i="89"/>
  <c r="E82" i="89"/>
  <c r="D82" i="89"/>
  <c r="C82" i="89"/>
  <c r="B82" i="89"/>
  <c r="A81" i="89"/>
  <c r="K81" i="89"/>
  <c r="J81" i="89"/>
  <c r="I81" i="89"/>
  <c r="H81" i="89"/>
  <c r="G81" i="89"/>
  <c r="F81" i="89"/>
  <c r="E81" i="89"/>
  <c r="D81" i="89"/>
  <c r="C81" i="89"/>
  <c r="B81" i="89"/>
  <c r="A80" i="89"/>
  <c r="K80" i="89"/>
  <c r="J80" i="89"/>
  <c r="I80" i="89"/>
  <c r="H80" i="89"/>
  <c r="G80" i="89"/>
  <c r="F80" i="89"/>
  <c r="E80" i="89"/>
  <c r="D80" i="89"/>
  <c r="C80" i="89"/>
  <c r="B80" i="89"/>
  <c r="A79" i="89"/>
  <c r="K79" i="89"/>
  <c r="J79" i="89"/>
  <c r="I79" i="89"/>
  <c r="H79" i="89"/>
  <c r="G79" i="89"/>
  <c r="F79" i="89"/>
  <c r="E79" i="89"/>
  <c r="D79" i="89"/>
  <c r="C79" i="89"/>
  <c r="B79" i="89"/>
  <c r="A78" i="89"/>
  <c r="K78" i="89"/>
  <c r="J78" i="89"/>
  <c r="I78" i="89"/>
  <c r="H78" i="89"/>
  <c r="G78" i="89"/>
  <c r="F78" i="89"/>
  <c r="E78" i="89"/>
  <c r="D78" i="89"/>
  <c r="C78" i="89"/>
  <c r="B78" i="89"/>
  <c r="A77" i="89"/>
  <c r="K77" i="89"/>
  <c r="J77" i="89"/>
  <c r="I77" i="89"/>
  <c r="H77" i="89"/>
  <c r="G77" i="89"/>
  <c r="F77" i="89"/>
  <c r="E77" i="89"/>
  <c r="D77" i="89"/>
  <c r="C77" i="89"/>
  <c r="B77" i="89"/>
  <c r="A76" i="89"/>
  <c r="K76" i="89"/>
  <c r="J76" i="89"/>
  <c r="I76" i="89"/>
  <c r="H76" i="89"/>
  <c r="G76" i="89"/>
  <c r="F76" i="89"/>
  <c r="E76" i="89"/>
  <c r="D76" i="89"/>
  <c r="C76" i="89"/>
  <c r="B76" i="89"/>
  <c r="A75" i="89"/>
  <c r="K75" i="89"/>
  <c r="J75" i="89"/>
  <c r="I75" i="89"/>
  <c r="H75" i="89"/>
  <c r="G75" i="89"/>
  <c r="F75" i="89"/>
  <c r="E75" i="89"/>
  <c r="D75" i="89"/>
  <c r="C75" i="89"/>
  <c r="B75" i="89"/>
  <c r="A74" i="89"/>
  <c r="K74" i="89"/>
  <c r="J74" i="89"/>
  <c r="I74" i="89"/>
  <c r="H74" i="89"/>
  <c r="G74" i="89"/>
  <c r="F74" i="89"/>
  <c r="E74" i="89"/>
  <c r="D74" i="89"/>
  <c r="C74" i="89"/>
  <c r="B74" i="89"/>
  <c r="A73" i="89"/>
  <c r="K73" i="89"/>
  <c r="J73" i="89"/>
  <c r="I73" i="89"/>
  <c r="H73" i="89"/>
  <c r="G73" i="89"/>
  <c r="F73" i="89"/>
  <c r="E73" i="89"/>
  <c r="D73" i="89"/>
  <c r="C73" i="89"/>
  <c r="B73" i="89"/>
  <c r="A72" i="89"/>
  <c r="K72" i="89"/>
  <c r="J72" i="89"/>
  <c r="I72" i="89"/>
  <c r="H72" i="89"/>
  <c r="G72" i="89"/>
  <c r="F72" i="89"/>
  <c r="E72" i="89"/>
  <c r="D72" i="89"/>
  <c r="C72" i="89"/>
  <c r="B72" i="89"/>
  <c r="A71" i="89"/>
  <c r="K71" i="89"/>
  <c r="J71" i="89"/>
  <c r="I71" i="89"/>
  <c r="H71" i="89"/>
  <c r="G71" i="89"/>
  <c r="F71" i="89"/>
  <c r="E71" i="89"/>
  <c r="D71" i="89"/>
  <c r="C71" i="89"/>
  <c r="B71" i="89"/>
  <c r="A70" i="89"/>
  <c r="K70" i="89"/>
  <c r="J70" i="89"/>
  <c r="I70" i="89"/>
  <c r="H70" i="89"/>
  <c r="G70" i="89"/>
  <c r="F70" i="89"/>
  <c r="E70" i="89"/>
  <c r="D70" i="89"/>
  <c r="C70" i="89"/>
  <c r="B70" i="89"/>
  <c r="A69" i="89"/>
  <c r="K69" i="89"/>
  <c r="J69" i="89"/>
  <c r="I69" i="89"/>
  <c r="H69" i="89"/>
  <c r="G69" i="89"/>
  <c r="F69" i="89"/>
  <c r="E69" i="89"/>
  <c r="D69" i="89"/>
  <c r="C69" i="89"/>
  <c r="B69" i="89"/>
  <c r="A68" i="89"/>
  <c r="K68" i="89"/>
  <c r="J68" i="89"/>
  <c r="I68" i="89"/>
  <c r="H68" i="89"/>
  <c r="G68" i="89"/>
  <c r="F68" i="89"/>
  <c r="E68" i="89"/>
  <c r="D68" i="89"/>
  <c r="C68" i="89"/>
  <c r="B68" i="89"/>
  <c r="A67" i="89"/>
  <c r="K67" i="89"/>
  <c r="J67" i="89"/>
  <c r="I67" i="89"/>
  <c r="H67" i="89"/>
  <c r="G67" i="89"/>
  <c r="F67" i="89"/>
  <c r="E67" i="89"/>
  <c r="D67" i="89"/>
  <c r="C67" i="89"/>
  <c r="B67" i="89"/>
  <c r="A66" i="89"/>
  <c r="K66" i="89"/>
  <c r="J66" i="89"/>
  <c r="I66" i="89"/>
  <c r="H66" i="89"/>
  <c r="G66" i="89"/>
  <c r="F66" i="89"/>
  <c r="E66" i="89"/>
  <c r="D66" i="89"/>
  <c r="C66" i="89"/>
  <c r="B66" i="89"/>
  <c r="A65" i="89"/>
  <c r="K65" i="89"/>
  <c r="J65" i="89"/>
  <c r="I65" i="89"/>
  <c r="H65" i="89"/>
  <c r="G65" i="89"/>
  <c r="F65" i="89"/>
  <c r="E65" i="89"/>
  <c r="D65" i="89"/>
  <c r="C65" i="89"/>
  <c r="B65" i="89"/>
  <c r="A64" i="89"/>
  <c r="K64" i="89"/>
  <c r="J64" i="89"/>
  <c r="I64" i="89"/>
  <c r="H64" i="89"/>
  <c r="G64" i="89"/>
  <c r="F64" i="89"/>
  <c r="E64" i="89"/>
  <c r="D64" i="89"/>
  <c r="C64" i="89"/>
  <c r="B64" i="89"/>
  <c r="A63" i="89"/>
  <c r="K63" i="89"/>
  <c r="J63" i="89"/>
  <c r="I63" i="89"/>
  <c r="H63" i="89"/>
  <c r="G63" i="89"/>
  <c r="F63" i="89"/>
  <c r="E63" i="89"/>
  <c r="D63" i="89"/>
  <c r="C63" i="89"/>
  <c r="B63" i="89"/>
  <c r="A62" i="89"/>
  <c r="K62" i="89"/>
  <c r="J62" i="89"/>
  <c r="I62" i="89"/>
  <c r="H62" i="89"/>
  <c r="G62" i="89"/>
  <c r="F62" i="89"/>
  <c r="E62" i="89"/>
  <c r="D62" i="89"/>
  <c r="C62" i="89"/>
  <c r="B62" i="89"/>
  <c r="A61" i="89"/>
  <c r="K61" i="89"/>
  <c r="J61" i="89"/>
  <c r="I61" i="89"/>
  <c r="H61" i="89"/>
  <c r="G61" i="89"/>
  <c r="F61" i="89"/>
  <c r="E61" i="89"/>
  <c r="D61" i="89"/>
  <c r="C61" i="89"/>
  <c r="B61" i="89"/>
  <c r="A60" i="89"/>
  <c r="K60" i="89"/>
  <c r="J60" i="89"/>
  <c r="I60" i="89"/>
  <c r="H60" i="89"/>
  <c r="G60" i="89"/>
  <c r="F60" i="89"/>
  <c r="E60" i="89"/>
  <c r="D60" i="89"/>
  <c r="C60" i="89"/>
  <c r="B60" i="89"/>
  <c r="A59" i="89"/>
  <c r="K59" i="89"/>
  <c r="J59" i="89"/>
  <c r="I59" i="89"/>
  <c r="H59" i="89"/>
  <c r="G59" i="89"/>
  <c r="F59" i="89"/>
  <c r="E59" i="89"/>
  <c r="D59" i="89"/>
  <c r="C59" i="89"/>
  <c r="B59" i="89"/>
  <c r="A58" i="89"/>
  <c r="K58" i="89"/>
  <c r="J58" i="89"/>
  <c r="I58" i="89"/>
  <c r="H58" i="89"/>
  <c r="G58" i="89"/>
  <c r="F58" i="89"/>
  <c r="E58" i="89"/>
  <c r="D58" i="89"/>
  <c r="C58" i="89"/>
  <c r="B58" i="89"/>
  <c r="A57" i="89"/>
  <c r="K57" i="89"/>
  <c r="J57" i="89"/>
  <c r="I57" i="89"/>
  <c r="H57" i="89"/>
  <c r="G57" i="89"/>
  <c r="F57" i="89"/>
  <c r="E57" i="89"/>
  <c r="D57" i="89"/>
  <c r="C57" i="89"/>
  <c r="B57" i="89"/>
  <c r="A56" i="89"/>
  <c r="K56" i="89"/>
  <c r="J56" i="89"/>
  <c r="I56" i="89"/>
  <c r="H56" i="89"/>
  <c r="G56" i="89"/>
  <c r="F56" i="89"/>
  <c r="E56" i="89"/>
  <c r="D56" i="89"/>
  <c r="C56" i="89"/>
  <c r="B56" i="89"/>
  <c r="A55" i="89"/>
  <c r="K55" i="89"/>
  <c r="J55" i="89"/>
  <c r="I55" i="89"/>
  <c r="H55" i="89"/>
  <c r="G55" i="89"/>
  <c r="F55" i="89"/>
  <c r="E55" i="89"/>
  <c r="D55" i="89"/>
  <c r="C55" i="89"/>
  <c r="B55" i="89"/>
  <c r="A54" i="89"/>
  <c r="K54" i="89"/>
  <c r="J54" i="89"/>
  <c r="I54" i="89"/>
  <c r="H54" i="89"/>
  <c r="G54" i="89"/>
  <c r="F54" i="89"/>
  <c r="E54" i="89"/>
  <c r="D54" i="89"/>
  <c r="C54" i="89"/>
  <c r="B54" i="89"/>
  <c r="A53" i="89"/>
  <c r="K53" i="89"/>
  <c r="J53" i="89"/>
  <c r="I53" i="89"/>
  <c r="H53" i="89"/>
  <c r="G53" i="89"/>
  <c r="F53" i="89"/>
  <c r="E53" i="89"/>
  <c r="D53" i="89"/>
  <c r="C53" i="89"/>
  <c r="B53" i="89"/>
  <c r="A52" i="89"/>
  <c r="K52" i="89"/>
  <c r="J52" i="89"/>
  <c r="I52" i="89"/>
  <c r="H52" i="89"/>
  <c r="G52" i="89"/>
  <c r="F52" i="89"/>
  <c r="E52" i="89"/>
  <c r="D52" i="89"/>
  <c r="C52" i="89"/>
  <c r="B52" i="89"/>
  <c r="A51" i="89"/>
  <c r="K51" i="89"/>
  <c r="J51" i="89"/>
  <c r="I51" i="89"/>
  <c r="H51" i="89"/>
  <c r="G51" i="89"/>
  <c r="F51" i="89"/>
  <c r="E51" i="89"/>
  <c r="D51" i="89"/>
  <c r="C51" i="89"/>
  <c r="B51" i="89"/>
  <c r="A50" i="89"/>
  <c r="K50" i="89"/>
  <c r="J50" i="89"/>
  <c r="I50" i="89"/>
  <c r="H50" i="89"/>
  <c r="G50" i="89"/>
  <c r="F50" i="89"/>
  <c r="E50" i="89"/>
  <c r="D50" i="89"/>
  <c r="C50" i="89"/>
  <c r="B50" i="89"/>
  <c r="A49" i="89"/>
  <c r="K49" i="89"/>
  <c r="J49" i="89"/>
  <c r="I49" i="89"/>
  <c r="H49" i="89"/>
  <c r="G49" i="89"/>
  <c r="F49" i="89"/>
  <c r="E49" i="89"/>
  <c r="D49" i="89"/>
  <c r="C49" i="89"/>
  <c r="B49" i="89"/>
  <c r="A48" i="89"/>
  <c r="K48" i="89"/>
  <c r="J48" i="89"/>
  <c r="I48" i="89"/>
  <c r="H48" i="89"/>
  <c r="G48" i="89"/>
  <c r="F48" i="89"/>
  <c r="E48" i="89"/>
  <c r="D48" i="89"/>
  <c r="C48" i="89"/>
  <c r="B48" i="89"/>
  <c r="A47" i="89"/>
  <c r="K47" i="89"/>
  <c r="J47" i="89"/>
  <c r="I47" i="89"/>
  <c r="H47" i="89"/>
  <c r="G47" i="89"/>
  <c r="F47" i="89"/>
  <c r="E47" i="89"/>
  <c r="D47" i="89"/>
  <c r="C47" i="89"/>
  <c r="B47" i="89"/>
  <c r="A46" i="89"/>
  <c r="K46" i="89"/>
  <c r="J46" i="89"/>
  <c r="I46" i="89"/>
  <c r="H46" i="89"/>
  <c r="G46" i="89"/>
  <c r="F46" i="89"/>
  <c r="E46" i="89"/>
  <c r="D46" i="89"/>
  <c r="C46" i="89"/>
  <c r="B46" i="89"/>
  <c r="A45" i="89"/>
  <c r="K45" i="89"/>
  <c r="J45" i="89"/>
  <c r="I45" i="89"/>
  <c r="H45" i="89"/>
  <c r="G45" i="89"/>
  <c r="F45" i="89"/>
  <c r="E45" i="89"/>
  <c r="D45" i="89"/>
  <c r="C45" i="89"/>
  <c r="B45" i="89"/>
  <c r="A44" i="89"/>
  <c r="K44" i="89"/>
  <c r="J44" i="89"/>
  <c r="I44" i="89"/>
  <c r="H44" i="89"/>
  <c r="G44" i="89"/>
  <c r="F44" i="89"/>
  <c r="E44" i="89"/>
  <c r="D44" i="89"/>
  <c r="C44" i="89"/>
  <c r="B44" i="89"/>
  <c r="A43" i="89"/>
  <c r="K43" i="89"/>
  <c r="J43" i="89"/>
  <c r="I43" i="89"/>
  <c r="H43" i="89"/>
  <c r="G43" i="89"/>
  <c r="F43" i="89"/>
  <c r="E43" i="89"/>
  <c r="D43" i="89"/>
  <c r="C43" i="89"/>
  <c r="B43" i="89"/>
  <c r="A42" i="89"/>
  <c r="K42" i="89"/>
  <c r="J42" i="89"/>
  <c r="I42" i="89"/>
  <c r="H42" i="89"/>
  <c r="G42" i="89"/>
  <c r="F42" i="89"/>
  <c r="E42" i="89"/>
  <c r="D42" i="89"/>
  <c r="C42" i="89"/>
  <c r="B42" i="89"/>
  <c r="A41" i="89"/>
  <c r="K41" i="89"/>
  <c r="J41" i="89"/>
  <c r="I41" i="89"/>
  <c r="H41" i="89"/>
  <c r="G41" i="89"/>
  <c r="F41" i="89"/>
  <c r="E41" i="89"/>
  <c r="D41" i="89"/>
  <c r="C41" i="89"/>
  <c r="B41" i="89"/>
  <c r="A40" i="89"/>
  <c r="K40" i="89"/>
  <c r="J40" i="89"/>
  <c r="I40" i="89"/>
  <c r="H40" i="89"/>
  <c r="G40" i="89"/>
  <c r="F40" i="89"/>
  <c r="E40" i="89"/>
  <c r="D40" i="89"/>
  <c r="C40" i="89"/>
  <c r="B40" i="89"/>
  <c r="A39" i="89"/>
  <c r="K39" i="89"/>
  <c r="J39" i="89"/>
  <c r="I39" i="89"/>
  <c r="H39" i="89"/>
  <c r="G39" i="89"/>
  <c r="F39" i="89"/>
  <c r="E39" i="89"/>
  <c r="D39" i="89"/>
  <c r="C39" i="89"/>
  <c r="B39" i="89"/>
  <c r="A38" i="89"/>
  <c r="K38" i="89"/>
  <c r="J38" i="89"/>
  <c r="I38" i="89"/>
  <c r="H38" i="89"/>
  <c r="G38" i="89"/>
  <c r="F38" i="89"/>
  <c r="E38" i="89"/>
  <c r="D38" i="89"/>
  <c r="C38" i="89"/>
  <c r="B38" i="89"/>
  <c r="A37" i="89"/>
  <c r="K37" i="89"/>
  <c r="J37" i="89"/>
  <c r="I37" i="89"/>
  <c r="H37" i="89"/>
  <c r="G37" i="89"/>
  <c r="F37" i="89"/>
  <c r="E37" i="89"/>
  <c r="D37" i="89"/>
  <c r="C37" i="89"/>
  <c r="B37" i="89"/>
  <c r="A36" i="89"/>
  <c r="K36" i="89"/>
  <c r="J36" i="89"/>
  <c r="I36" i="89"/>
  <c r="H36" i="89"/>
  <c r="G36" i="89"/>
  <c r="F36" i="89"/>
  <c r="E36" i="89"/>
  <c r="D36" i="89"/>
  <c r="C36" i="89"/>
  <c r="B36" i="89"/>
  <c r="A35" i="89"/>
  <c r="K35" i="89"/>
  <c r="J35" i="89"/>
  <c r="I35" i="89"/>
  <c r="H35" i="89"/>
  <c r="G35" i="89"/>
  <c r="F35" i="89"/>
  <c r="E35" i="89"/>
  <c r="D35" i="89"/>
  <c r="C35" i="89"/>
  <c r="B35" i="89"/>
  <c r="A34" i="89"/>
  <c r="K34" i="89"/>
  <c r="J34" i="89"/>
  <c r="I34" i="89"/>
  <c r="H34" i="89"/>
  <c r="G34" i="89"/>
  <c r="F34" i="89"/>
  <c r="E34" i="89"/>
  <c r="D34" i="89"/>
  <c r="C34" i="89"/>
  <c r="B34" i="89"/>
  <c r="A33" i="89"/>
  <c r="K33" i="89"/>
  <c r="J33" i="89"/>
  <c r="I33" i="89"/>
  <c r="H33" i="89"/>
  <c r="G33" i="89"/>
  <c r="F33" i="89"/>
  <c r="E33" i="89"/>
  <c r="D33" i="89"/>
  <c r="C33" i="89"/>
  <c r="B33" i="89"/>
  <c r="A32" i="89"/>
  <c r="K32" i="89"/>
  <c r="J32" i="89"/>
  <c r="I32" i="89"/>
  <c r="H32" i="89"/>
  <c r="G32" i="89"/>
  <c r="F32" i="89"/>
  <c r="E32" i="89"/>
  <c r="D32" i="89"/>
  <c r="C32" i="89"/>
  <c r="B32" i="89"/>
  <c r="A31" i="89"/>
  <c r="K31" i="89"/>
  <c r="J31" i="89"/>
  <c r="I31" i="89"/>
  <c r="H31" i="89"/>
  <c r="G31" i="89"/>
  <c r="F31" i="89"/>
  <c r="E31" i="89"/>
  <c r="D31" i="89"/>
  <c r="C31" i="89"/>
  <c r="B31" i="89"/>
  <c r="A30" i="89"/>
  <c r="K30" i="89"/>
  <c r="J30" i="89"/>
  <c r="I30" i="89"/>
  <c r="H30" i="89"/>
  <c r="G30" i="89"/>
  <c r="F30" i="89"/>
  <c r="E30" i="89"/>
  <c r="D30" i="89"/>
  <c r="C30" i="89"/>
  <c r="B30" i="89"/>
  <c r="A29" i="89"/>
  <c r="K29" i="89"/>
  <c r="J29" i="89"/>
  <c r="I29" i="89"/>
  <c r="H29" i="89"/>
  <c r="G29" i="89"/>
  <c r="F29" i="89"/>
  <c r="E29" i="89"/>
  <c r="D29" i="89"/>
  <c r="C29" i="89"/>
  <c r="B29" i="89"/>
  <c r="A28" i="89"/>
  <c r="K28" i="89"/>
  <c r="J28" i="89"/>
  <c r="I28" i="89"/>
  <c r="H28" i="89"/>
  <c r="G28" i="89"/>
  <c r="F28" i="89"/>
  <c r="E28" i="89"/>
  <c r="D28" i="89"/>
  <c r="C28" i="89"/>
  <c r="B28" i="89"/>
  <c r="A27" i="89"/>
  <c r="K27" i="89"/>
  <c r="J27" i="89"/>
  <c r="I27" i="89"/>
  <c r="H27" i="89"/>
  <c r="G27" i="89"/>
  <c r="F27" i="89"/>
  <c r="E27" i="89"/>
  <c r="D27" i="89"/>
  <c r="C27" i="89"/>
  <c r="B27" i="89"/>
  <c r="A26" i="89"/>
  <c r="K26" i="89"/>
  <c r="J26" i="89"/>
  <c r="I26" i="89"/>
  <c r="H26" i="89"/>
  <c r="G26" i="89"/>
  <c r="F26" i="89"/>
  <c r="E26" i="89"/>
  <c r="D26" i="89"/>
  <c r="C26" i="89"/>
  <c r="B26" i="89"/>
  <c r="A25" i="89"/>
  <c r="K25" i="89"/>
  <c r="J25" i="89"/>
  <c r="I25" i="89"/>
  <c r="H25" i="89"/>
  <c r="G25" i="89"/>
  <c r="F25" i="89"/>
  <c r="E25" i="89"/>
  <c r="D25" i="89"/>
  <c r="C25" i="89"/>
  <c r="B25" i="89"/>
  <c r="A24" i="89"/>
  <c r="K24" i="89"/>
  <c r="J24" i="89"/>
  <c r="I24" i="89"/>
  <c r="H24" i="89"/>
  <c r="G24" i="89"/>
  <c r="F24" i="89"/>
  <c r="E24" i="89"/>
  <c r="D24" i="89"/>
  <c r="C24" i="89"/>
  <c r="B24" i="89"/>
  <c r="A23" i="89"/>
  <c r="K23" i="89"/>
  <c r="J23" i="89"/>
  <c r="I23" i="89"/>
  <c r="H23" i="89"/>
  <c r="G23" i="89"/>
  <c r="F23" i="89"/>
  <c r="E23" i="89"/>
  <c r="D23" i="89"/>
  <c r="C23" i="89"/>
  <c r="B23" i="89"/>
  <c r="A22" i="89"/>
  <c r="K22" i="89"/>
  <c r="J22" i="89"/>
  <c r="I22" i="89"/>
  <c r="H22" i="89"/>
  <c r="G22" i="89"/>
  <c r="F22" i="89"/>
  <c r="E22" i="89"/>
  <c r="D22" i="89"/>
  <c r="C22" i="89"/>
  <c r="B22" i="89"/>
  <c r="A21" i="89"/>
  <c r="K21" i="89"/>
  <c r="J21" i="89"/>
  <c r="I21" i="89"/>
  <c r="H21" i="89"/>
  <c r="G21" i="89"/>
  <c r="F21" i="89"/>
  <c r="E21" i="89"/>
  <c r="D21" i="89"/>
  <c r="C21" i="89"/>
  <c r="B21" i="89"/>
  <c r="A20" i="89"/>
  <c r="K20" i="89"/>
  <c r="J20" i="89"/>
  <c r="I20" i="89"/>
  <c r="H20" i="89"/>
  <c r="G20" i="89"/>
  <c r="F20" i="89"/>
  <c r="E20" i="89"/>
  <c r="D20" i="89"/>
  <c r="C20" i="89"/>
  <c r="B20" i="89"/>
  <c r="A19" i="89"/>
  <c r="K19" i="89"/>
  <c r="J19" i="89"/>
  <c r="I19" i="89"/>
  <c r="H19" i="89"/>
  <c r="G19" i="89"/>
  <c r="F19" i="89"/>
  <c r="E19" i="89"/>
  <c r="D19" i="89"/>
  <c r="C19" i="89"/>
  <c r="B19" i="89"/>
  <c r="A18" i="89"/>
  <c r="K18" i="89"/>
  <c r="J18" i="89"/>
  <c r="I18" i="89"/>
  <c r="H18" i="89"/>
  <c r="G18" i="89"/>
  <c r="F18" i="89"/>
  <c r="E18" i="89"/>
  <c r="D18" i="89"/>
  <c r="C18" i="89"/>
  <c r="B18" i="89"/>
  <c r="A17" i="89"/>
  <c r="K17" i="89"/>
  <c r="J17" i="89"/>
  <c r="I17" i="89"/>
  <c r="H17" i="89"/>
  <c r="G17" i="89"/>
  <c r="F17" i="89"/>
  <c r="E17" i="89"/>
  <c r="D17" i="89"/>
  <c r="C17" i="89"/>
  <c r="B17" i="89"/>
  <c r="A16" i="89"/>
  <c r="K16" i="89"/>
  <c r="J16" i="89"/>
  <c r="I16" i="89"/>
  <c r="H16" i="89"/>
  <c r="G16" i="89"/>
  <c r="F16" i="89"/>
  <c r="E16" i="89"/>
  <c r="D16" i="89"/>
  <c r="C16" i="89"/>
  <c r="B16" i="89"/>
  <c r="A15" i="89"/>
  <c r="K15" i="89"/>
  <c r="J15" i="89"/>
  <c r="I15" i="89"/>
  <c r="H15" i="89"/>
  <c r="G15" i="89"/>
  <c r="F15" i="89"/>
  <c r="E15" i="89"/>
  <c r="D15" i="89"/>
  <c r="C15" i="89"/>
  <c r="B15" i="89"/>
  <c r="A14" i="89"/>
  <c r="K14" i="89"/>
  <c r="J14" i="89"/>
  <c r="I14" i="89"/>
  <c r="H14" i="89"/>
  <c r="G14" i="89"/>
  <c r="F14" i="89"/>
  <c r="E14" i="89"/>
  <c r="D14" i="89"/>
  <c r="C14" i="89"/>
  <c r="B14" i="89"/>
  <c r="A13" i="89"/>
  <c r="K13" i="89"/>
  <c r="J13" i="89"/>
  <c r="I13" i="89"/>
  <c r="H13" i="89"/>
  <c r="G13" i="89"/>
  <c r="F13" i="89"/>
  <c r="E13" i="89"/>
  <c r="D13" i="89"/>
  <c r="C13" i="89"/>
  <c r="B13" i="89"/>
  <c r="A12" i="89"/>
  <c r="K12" i="89"/>
  <c r="J12" i="89"/>
  <c r="I12" i="89"/>
  <c r="H12" i="89"/>
  <c r="G12" i="89"/>
  <c r="F12" i="89"/>
  <c r="E12" i="89"/>
  <c r="D12" i="89"/>
  <c r="C12" i="89"/>
  <c r="B12" i="89"/>
  <c r="A11" i="89"/>
  <c r="K11" i="89"/>
  <c r="J11" i="89"/>
  <c r="I11" i="89"/>
  <c r="H11" i="89"/>
  <c r="G11" i="89"/>
  <c r="F11" i="89"/>
  <c r="E11" i="89"/>
  <c r="D11" i="89"/>
  <c r="C11" i="89"/>
  <c r="B11" i="89"/>
  <c r="A10" i="89"/>
  <c r="K10" i="89"/>
  <c r="J10" i="89"/>
  <c r="I10" i="89"/>
  <c r="H10" i="89"/>
  <c r="G10" i="89"/>
  <c r="F10" i="89"/>
  <c r="E10" i="89"/>
  <c r="D10" i="89"/>
  <c r="C10" i="89"/>
  <c r="B10" i="89"/>
  <c r="A9" i="89"/>
  <c r="K9" i="89"/>
  <c r="J9" i="89"/>
  <c r="I9" i="89"/>
  <c r="H9" i="89"/>
  <c r="G9" i="89"/>
  <c r="F9" i="89"/>
  <c r="E9" i="89"/>
  <c r="D9" i="89"/>
  <c r="C9" i="89"/>
  <c r="B9" i="89"/>
  <c r="A8" i="89"/>
  <c r="K8" i="89"/>
  <c r="J8" i="89"/>
  <c r="I8" i="89"/>
  <c r="H8" i="89"/>
  <c r="G8" i="89"/>
  <c r="F8" i="89"/>
  <c r="E8" i="89"/>
  <c r="D8" i="89"/>
  <c r="C8" i="89"/>
  <c r="B8" i="89"/>
  <c r="A7" i="89"/>
  <c r="K7" i="89"/>
  <c r="J7" i="89"/>
  <c r="I7" i="89"/>
  <c r="H7" i="89"/>
  <c r="G7" i="89"/>
  <c r="F7" i="89"/>
  <c r="E7" i="89"/>
  <c r="D7" i="89"/>
  <c r="C7" i="89"/>
  <c r="B7" i="89"/>
  <c r="A6" i="89"/>
  <c r="K6" i="89"/>
  <c r="J6" i="89"/>
  <c r="I6" i="89"/>
  <c r="H6" i="89"/>
  <c r="G6" i="89"/>
  <c r="F6" i="89"/>
  <c r="E6" i="89"/>
  <c r="D6" i="89"/>
  <c r="C6" i="89"/>
  <c r="B6" i="89"/>
  <c r="A5" i="89"/>
  <c r="K5" i="89"/>
  <c r="J5" i="89"/>
  <c r="I5" i="89"/>
  <c r="H5" i="89"/>
  <c r="G5" i="89"/>
  <c r="F5" i="89"/>
  <c r="E5" i="89"/>
  <c r="D5" i="89"/>
  <c r="C5" i="89"/>
  <c r="B5" i="89"/>
  <c r="A4" i="89"/>
  <c r="K4" i="89"/>
  <c r="J4" i="89"/>
  <c r="I4" i="89"/>
  <c r="H4" i="89"/>
  <c r="G4" i="89"/>
  <c r="F4" i="89"/>
  <c r="E4" i="89"/>
  <c r="D4" i="89"/>
  <c r="C4" i="89"/>
  <c r="B4" i="89"/>
  <c r="A3" i="90"/>
  <c r="K3" i="90"/>
  <c r="J3" i="90"/>
  <c r="I3" i="90"/>
  <c r="H3" i="90"/>
  <c r="G3" i="90"/>
  <c r="F3" i="90"/>
  <c r="E3" i="90"/>
  <c r="D3" i="90"/>
  <c r="C3" i="90"/>
  <c r="B3" i="90"/>
  <c r="A169" i="83"/>
  <c r="A2" i="83"/>
  <c r="A3" i="83"/>
  <c r="A4" i="83"/>
  <c r="A5" i="83"/>
  <c r="A6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2" i="83"/>
  <c r="A73" i="83"/>
  <c r="A74" i="83"/>
  <c r="A75" i="83"/>
  <c r="A76" i="83"/>
  <c r="A77" i="83"/>
  <c r="A78" i="83"/>
  <c r="A79" i="83"/>
  <c r="A80" i="83"/>
  <c r="A81" i="83"/>
  <c r="A82" i="83"/>
  <c r="A83" i="83"/>
  <c r="A84" i="83"/>
  <c r="A85" i="83"/>
  <c r="A86" i="83"/>
  <c r="A87" i="83"/>
  <c r="A88" i="83"/>
  <c r="A89" i="83"/>
  <c r="A90" i="83"/>
  <c r="A91" i="83"/>
  <c r="A92" i="83"/>
  <c r="A93" i="83"/>
  <c r="A94" i="83"/>
  <c r="A95" i="83"/>
  <c r="A96" i="83"/>
  <c r="A97" i="83"/>
  <c r="A98" i="83"/>
  <c r="A99" i="83"/>
  <c r="A100" i="83"/>
  <c r="A101" i="83"/>
  <c r="A102" i="83"/>
  <c r="A103" i="83"/>
  <c r="A104" i="83"/>
  <c r="A105" i="83"/>
  <c r="A106" i="83"/>
  <c r="A107" i="83"/>
  <c r="A108" i="83"/>
  <c r="A109" i="83"/>
  <c r="A110" i="83"/>
  <c r="A111" i="83"/>
  <c r="A112" i="83"/>
  <c r="A113" i="83"/>
  <c r="A114" i="83"/>
  <c r="A115" i="83"/>
  <c r="A116" i="83"/>
  <c r="A117" i="83"/>
  <c r="A118" i="83"/>
  <c r="A119" i="83"/>
  <c r="A120" i="83"/>
  <c r="A121" i="83"/>
  <c r="A122" i="83"/>
  <c r="A123" i="83"/>
  <c r="A124" i="83"/>
  <c r="A125" i="83"/>
  <c r="A126" i="83"/>
  <c r="A127" i="83"/>
  <c r="A128" i="83"/>
  <c r="A129" i="83"/>
  <c r="A130" i="83"/>
  <c r="A131" i="83"/>
  <c r="A132" i="83"/>
  <c r="A133" i="83"/>
  <c r="A134" i="83"/>
  <c r="A135" i="83"/>
  <c r="A136" i="83"/>
  <c r="A137" i="83"/>
  <c r="A138" i="83"/>
  <c r="A139" i="83"/>
  <c r="A140" i="83"/>
  <c r="A141" i="83"/>
  <c r="A142" i="83"/>
  <c r="A143" i="83"/>
  <c r="A144" i="83"/>
  <c r="A145" i="83"/>
  <c r="A146" i="83"/>
  <c r="A147" i="83"/>
  <c r="A148" i="83"/>
  <c r="A149" i="83"/>
  <c r="A150" i="83"/>
  <c r="A151" i="83"/>
  <c r="A152" i="83"/>
  <c r="A153" i="83"/>
  <c r="A154" i="83"/>
  <c r="A155" i="83"/>
  <c r="A156" i="83"/>
  <c r="A157" i="83"/>
  <c r="A158" i="83"/>
  <c r="A159" i="83"/>
  <c r="A160" i="83"/>
  <c r="A161" i="83"/>
  <c r="A162" i="83"/>
  <c r="A163" i="83"/>
  <c r="A164" i="83"/>
  <c r="A165" i="83"/>
  <c r="A166" i="83"/>
  <c r="A167" i="83"/>
  <c r="A168" i="83"/>
  <c r="A170" i="83"/>
  <c r="A171" i="83"/>
  <c r="A172" i="83"/>
  <c r="A173" i="83"/>
  <c r="A174" i="83"/>
  <c r="A175" i="83"/>
  <c r="A176" i="83"/>
  <c r="A177" i="83"/>
  <c r="A178" i="83"/>
  <c r="A179" i="83"/>
  <c r="A180" i="83"/>
  <c r="A181" i="83"/>
  <c r="A182" i="83"/>
  <c r="A183" i="83"/>
  <c r="A184" i="83"/>
  <c r="A185" i="83"/>
  <c r="A186" i="83"/>
  <c r="A187" i="83"/>
  <c r="A188" i="83"/>
  <c r="A189" i="83"/>
  <c r="A190" i="83"/>
  <c r="A191" i="83"/>
  <c r="A192" i="83"/>
  <c r="A193" i="83"/>
  <c r="A194" i="83"/>
  <c r="A195" i="83"/>
  <c r="A196" i="83"/>
  <c r="A197" i="83"/>
  <c r="A198" i="83"/>
  <c r="A199" i="83"/>
  <c r="A200" i="83"/>
  <c r="A201" i="83"/>
  <c r="A202" i="83"/>
  <c r="A203" i="83"/>
  <c r="A204" i="83"/>
  <c r="A205" i="83"/>
  <c r="A206" i="83"/>
  <c r="A207" i="83"/>
  <c r="A208" i="83"/>
  <c r="A209" i="83"/>
  <c r="A210" i="83"/>
  <c r="A211" i="83"/>
  <c r="A212" i="83"/>
  <c r="A213" i="83"/>
  <c r="A214" i="83"/>
  <c r="A215" i="83"/>
  <c r="A216" i="83"/>
  <c r="A217" i="83"/>
  <c r="A218" i="83"/>
  <c r="A219" i="83"/>
  <c r="A220" i="83"/>
  <c r="A221" i="83"/>
  <c r="A222" i="83"/>
  <c r="A223" i="83"/>
  <c r="A224" i="83"/>
  <c r="A225" i="83"/>
  <c r="A226" i="83"/>
  <c r="A227" i="83"/>
  <c r="A228" i="83"/>
  <c r="A229" i="83"/>
  <c r="A230" i="83"/>
  <c r="A231" i="83"/>
  <c r="A232" i="83"/>
  <c r="A233" i="83"/>
  <c r="A234" i="83"/>
  <c r="A235" i="83"/>
  <c r="A236" i="83"/>
  <c r="A237" i="83"/>
  <c r="A238" i="83"/>
  <c r="A239" i="83"/>
  <c r="A240" i="83"/>
  <c r="A241" i="83"/>
  <c r="A242" i="83"/>
  <c r="A243" i="83"/>
  <c r="A244" i="83"/>
  <c r="A245" i="83"/>
  <c r="A246" i="83"/>
  <c r="A247" i="83"/>
  <c r="A248" i="83"/>
  <c r="A249" i="83"/>
  <c r="A250" i="83"/>
  <c r="A251" i="83"/>
  <c r="A252" i="83"/>
  <c r="A253" i="83"/>
  <c r="A254" i="83"/>
  <c r="A255" i="83"/>
  <c r="A3" i="89"/>
  <c r="K3" i="89"/>
  <c r="J3" i="89"/>
  <c r="I3" i="89"/>
  <c r="H3" i="89"/>
  <c r="G3" i="89"/>
  <c r="F3" i="89"/>
  <c r="E3" i="89"/>
  <c r="D3" i="89"/>
  <c r="C3" i="89"/>
  <c r="B3" i="89"/>
  <c r="A3" i="88"/>
  <c r="K3" i="88"/>
  <c r="J3" i="88"/>
  <c r="I3" i="88"/>
  <c r="H3" i="88"/>
  <c r="G3" i="88"/>
  <c r="F3" i="88"/>
  <c r="E3" i="88"/>
  <c r="D3" i="88"/>
  <c r="C3" i="88"/>
  <c r="B3" i="88"/>
  <c r="K255" i="83"/>
  <c r="J255" i="83"/>
  <c r="F255" i="83"/>
  <c r="K254" i="83"/>
  <c r="J254" i="83"/>
  <c r="F254" i="83"/>
  <c r="K253" i="83"/>
  <c r="J253" i="83"/>
  <c r="F253" i="83"/>
  <c r="K252" i="83"/>
  <c r="J252" i="83"/>
  <c r="F252" i="83"/>
  <c r="K251" i="83"/>
  <c r="J251" i="83"/>
  <c r="F251" i="83"/>
  <c r="K250" i="83"/>
  <c r="J250" i="83"/>
  <c r="F250" i="83"/>
  <c r="K249" i="83"/>
  <c r="J249" i="83"/>
  <c r="F249" i="83"/>
  <c r="K248" i="83"/>
  <c r="J248" i="83"/>
  <c r="F248" i="83"/>
  <c r="K247" i="83"/>
  <c r="J247" i="83"/>
  <c r="F247" i="83"/>
  <c r="K246" i="83"/>
  <c r="J246" i="83"/>
  <c r="F246" i="83"/>
  <c r="K245" i="83"/>
  <c r="J245" i="83"/>
  <c r="F245" i="83"/>
  <c r="K244" i="83"/>
  <c r="J244" i="83"/>
  <c r="F244" i="83"/>
  <c r="K243" i="83"/>
  <c r="J243" i="83"/>
  <c r="F243" i="83"/>
  <c r="K242" i="83"/>
  <c r="J242" i="83"/>
  <c r="F242" i="83"/>
  <c r="K241" i="83"/>
  <c r="J241" i="83"/>
  <c r="F241" i="83"/>
  <c r="K240" i="83"/>
  <c r="J240" i="83"/>
  <c r="F240" i="83"/>
  <c r="K239" i="83"/>
  <c r="J239" i="83"/>
  <c r="F239" i="83"/>
  <c r="K238" i="83"/>
  <c r="J238" i="83"/>
  <c r="F238" i="83"/>
  <c r="K237" i="83"/>
  <c r="J237" i="83"/>
  <c r="F237" i="83"/>
  <c r="K236" i="83"/>
  <c r="J236" i="83"/>
  <c r="F236" i="83"/>
  <c r="K235" i="83"/>
  <c r="J235" i="83"/>
  <c r="F235" i="83"/>
  <c r="K234" i="83"/>
  <c r="J234" i="83"/>
  <c r="F234" i="83"/>
  <c r="K233" i="83"/>
  <c r="J233" i="83"/>
  <c r="F233" i="83"/>
  <c r="K232" i="83"/>
  <c r="J232" i="83"/>
  <c r="F232" i="83"/>
  <c r="K231" i="83"/>
  <c r="J231" i="83"/>
  <c r="F231" i="83"/>
  <c r="K230" i="83"/>
  <c r="J230" i="83"/>
  <c r="F230" i="83"/>
  <c r="K229" i="83"/>
  <c r="J229" i="83"/>
  <c r="F229" i="83"/>
  <c r="K228" i="83"/>
  <c r="J228" i="83"/>
  <c r="F228" i="83"/>
  <c r="K227" i="83"/>
  <c r="J227" i="83"/>
  <c r="F227" i="83"/>
  <c r="K226" i="83"/>
  <c r="J226" i="83"/>
  <c r="F226" i="83"/>
  <c r="K225" i="83"/>
  <c r="J225" i="83"/>
  <c r="F225" i="83"/>
  <c r="K224" i="83"/>
  <c r="J224" i="83"/>
  <c r="F224" i="83"/>
  <c r="K223" i="83"/>
  <c r="J223" i="83"/>
  <c r="F223" i="83"/>
  <c r="K222" i="83"/>
  <c r="J222" i="83"/>
  <c r="F222" i="83"/>
  <c r="K221" i="83"/>
  <c r="J221" i="83"/>
  <c r="F221" i="83"/>
  <c r="K220" i="83"/>
  <c r="J220" i="83"/>
  <c r="F220" i="83"/>
  <c r="K219" i="83"/>
  <c r="J219" i="83"/>
  <c r="F219" i="83"/>
  <c r="K218" i="83"/>
  <c r="J218" i="83"/>
  <c r="F218" i="83"/>
  <c r="K217" i="83"/>
  <c r="J217" i="83"/>
  <c r="F217" i="83"/>
  <c r="K216" i="83"/>
  <c r="J216" i="83"/>
  <c r="F216" i="83"/>
  <c r="K215" i="83"/>
  <c r="J215" i="83"/>
  <c r="F215" i="83"/>
  <c r="K214" i="83"/>
  <c r="J214" i="83"/>
  <c r="F214" i="83"/>
  <c r="K213" i="83"/>
  <c r="J213" i="83"/>
  <c r="F213" i="83"/>
  <c r="K212" i="83"/>
  <c r="J212" i="83"/>
  <c r="F212" i="83"/>
  <c r="K211" i="83"/>
  <c r="J211" i="83"/>
  <c r="F211" i="83"/>
  <c r="K210" i="83"/>
  <c r="J210" i="83"/>
  <c r="F210" i="83"/>
  <c r="K209" i="83"/>
  <c r="J209" i="83"/>
  <c r="F209" i="83"/>
  <c r="K208" i="83"/>
  <c r="J208" i="83"/>
  <c r="F208" i="83"/>
  <c r="K207" i="83"/>
  <c r="J207" i="83"/>
  <c r="F207" i="83"/>
  <c r="K206" i="83"/>
  <c r="J206" i="83"/>
  <c r="F206" i="83"/>
  <c r="K205" i="83"/>
  <c r="J205" i="83"/>
  <c r="F205" i="83"/>
  <c r="K204" i="83"/>
  <c r="J204" i="83"/>
  <c r="F204" i="83"/>
  <c r="K203" i="83"/>
  <c r="J203" i="83"/>
  <c r="F203" i="83"/>
  <c r="K202" i="83"/>
  <c r="J202" i="83"/>
  <c r="F202" i="83"/>
  <c r="K201" i="83"/>
  <c r="J201" i="83"/>
  <c r="F201" i="83"/>
  <c r="K200" i="83"/>
  <c r="J200" i="83"/>
  <c r="F200" i="83"/>
  <c r="K199" i="83"/>
  <c r="J199" i="83"/>
  <c r="F199" i="83"/>
  <c r="K198" i="83"/>
  <c r="J198" i="83"/>
  <c r="F198" i="83"/>
  <c r="K197" i="83"/>
  <c r="J197" i="83"/>
  <c r="F197" i="83"/>
  <c r="K196" i="83"/>
  <c r="J196" i="83"/>
  <c r="F196" i="83"/>
  <c r="K195" i="83"/>
  <c r="J195" i="83"/>
  <c r="F195" i="83"/>
  <c r="K194" i="83"/>
  <c r="J194" i="83"/>
  <c r="F194" i="83"/>
  <c r="K193" i="83"/>
  <c r="J193" i="83"/>
  <c r="F193" i="83"/>
  <c r="K192" i="83"/>
  <c r="J192" i="83"/>
  <c r="F192" i="83"/>
  <c r="K191" i="83"/>
  <c r="J191" i="83"/>
  <c r="F191" i="83"/>
  <c r="K190" i="83"/>
  <c r="J190" i="83"/>
  <c r="F190" i="83"/>
  <c r="K189" i="83"/>
  <c r="J189" i="83"/>
  <c r="F189" i="83"/>
  <c r="K188" i="83"/>
  <c r="J188" i="83"/>
  <c r="F188" i="83"/>
  <c r="K187" i="83"/>
  <c r="J187" i="83"/>
  <c r="F187" i="83"/>
  <c r="K186" i="83"/>
  <c r="J186" i="83"/>
  <c r="F186" i="83"/>
  <c r="K185" i="83"/>
  <c r="J185" i="83"/>
  <c r="F185" i="83"/>
  <c r="K184" i="83"/>
  <c r="J184" i="83"/>
  <c r="F184" i="83"/>
  <c r="K183" i="83"/>
  <c r="J183" i="83"/>
  <c r="F183" i="83"/>
  <c r="K182" i="83"/>
  <c r="J182" i="83"/>
  <c r="F182" i="83"/>
  <c r="K181" i="83"/>
  <c r="J181" i="83"/>
  <c r="F181" i="83"/>
  <c r="K180" i="83"/>
  <c r="J180" i="83"/>
  <c r="F180" i="83"/>
  <c r="K179" i="83"/>
  <c r="J179" i="83"/>
  <c r="F179" i="83"/>
  <c r="K178" i="83"/>
  <c r="J178" i="83"/>
  <c r="F178" i="83"/>
  <c r="K177" i="83"/>
  <c r="J177" i="83"/>
  <c r="F177" i="83"/>
  <c r="K176" i="83"/>
  <c r="J176" i="83"/>
  <c r="F176" i="83"/>
  <c r="K175" i="83"/>
  <c r="J175" i="83"/>
  <c r="F175" i="83"/>
  <c r="K174" i="83"/>
  <c r="J174" i="83"/>
  <c r="F174" i="83"/>
  <c r="K173" i="83"/>
  <c r="J173" i="83"/>
  <c r="F173" i="83"/>
  <c r="K172" i="83"/>
  <c r="J172" i="83"/>
  <c r="F172" i="83"/>
  <c r="K171" i="83"/>
  <c r="J171" i="83"/>
  <c r="F171" i="83"/>
  <c r="K170" i="83"/>
  <c r="J170" i="83"/>
  <c r="F170" i="83"/>
  <c r="K169" i="83"/>
  <c r="J169" i="83"/>
  <c r="F169" i="83"/>
  <c r="K168" i="83"/>
  <c r="J168" i="83"/>
  <c r="F168" i="83"/>
  <c r="K167" i="83"/>
  <c r="J167" i="83"/>
  <c r="F167" i="83"/>
  <c r="K166" i="83"/>
  <c r="J166" i="83"/>
  <c r="F166" i="83"/>
  <c r="K165" i="83"/>
  <c r="J165" i="83"/>
  <c r="F165" i="83"/>
  <c r="K164" i="83"/>
  <c r="J164" i="83"/>
  <c r="F164" i="83"/>
  <c r="K163" i="83"/>
  <c r="J163" i="83"/>
  <c r="F163" i="83"/>
  <c r="K162" i="83"/>
  <c r="J162" i="83"/>
  <c r="F162" i="83"/>
  <c r="K161" i="83"/>
  <c r="J161" i="83"/>
  <c r="F161" i="83"/>
  <c r="K160" i="83"/>
  <c r="J160" i="83"/>
  <c r="F160" i="83"/>
  <c r="K159" i="83"/>
  <c r="J159" i="83"/>
  <c r="F159" i="83"/>
  <c r="K158" i="83"/>
  <c r="J158" i="83"/>
  <c r="F158" i="83"/>
  <c r="K157" i="83"/>
  <c r="J157" i="83"/>
  <c r="F157" i="83"/>
  <c r="K156" i="83"/>
  <c r="J156" i="83"/>
  <c r="F156" i="83"/>
  <c r="K155" i="83"/>
  <c r="J155" i="83"/>
  <c r="F155" i="83"/>
  <c r="K154" i="83"/>
  <c r="J154" i="83"/>
  <c r="F154" i="83"/>
  <c r="K153" i="83"/>
  <c r="J153" i="83"/>
  <c r="F153" i="83"/>
  <c r="K152" i="83"/>
  <c r="J152" i="83"/>
  <c r="F152" i="83"/>
  <c r="K151" i="83"/>
  <c r="J151" i="83"/>
  <c r="F151" i="83"/>
  <c r="K150" i="83"/>
  <c r="J150" i="83"/>
  <c r="F150" i="83"/>
  <c r="K149" i="83"/>
  <c r="J149" i="83"/>
  <c r="F149" i="83"/>
  <c r="K148" i="83"/>
  <c r="J148" i="83"/>
  <c r="F148" i="83"/>
  <c r="K147" i="83"/>
  <c r="J147" i="83"/>
  <c r="F147" i="83"/>
  <c r="K146" i="83"/>
  <c r="J146" i="83"/>
  <c r="F146" i="83"/>
  <c r="K145" i="83"/>
  <c r="J145" i="83"/>
  <c r="F145" i="83"/>
  <c r="K144" i="83"/>
  <c r="J144" i="83"/>
  <c r="F144" i="83"/>
  <c r="K143" i="83"/>
  <c r="J143" i="83"/>
  <c r="F143" i="83"/>
  <c r="K142" i="83"/>
  <c r="J142" i="83"/>
  <c r="F142" i="83"/>
  <c r="K141" i="83"/>
  <c r="J141" i="83"/>
  <c r="F141" i="83"/>
  <c r="K140" i="83"/>
  <c r="J140" i="83"/>
  <c r="F140" i="83"/>
  <c r="K139" i="83"/>
  <c r="J139" i="83"/>
  <c r="F139" i="83"/>
  <c r="K138" i="83"/>
  <c r="J138" i="83"/>
  <c r="F138" i="83"/>
  <c r="K137" i="83"/>
  <c r="J137" i="83"/>
  <c r="F137" i="83"/>
  <c r="K136" i="83"/>
  <c r="J136" i="83"/>
  <c r="F136" i="83"/>
  <c r="K135" i="83"/>
  <c r="J135" i="83"/>
  <c r="F135" i="83"/>
  <c r="K134" i="83"/>
  <c r="J134" i="83"/>
  <c r="F134" i="83"/>
  <c r="K133" i="83"/>
  <c r="J133" i="83"/>
  <c r="F133" i="83"/>
  <c r="K132" i="83"/>
  <c r="J132" i="83"/>
  <c r="F132" i="83"/>
  <c r="K131" i="83"/>
  <c r="J131" i="83"/>
  <c r="F131" i="83"/>
  <c r="K130" i="83"/>
  <c r="J130" i="83"/>
  <c r="F130" i="83"/>
  <c r="K129" i="83"/>
  <c r="J129" i="83"/>
  <c r="F129" i="83"/>
  <c r="K128" i="83"/>
  <c r="J128" i="83"/>
  <c r="F128" i="83"/>
  <c r="K127" i="83"/>
  <c r="J127" i="83"/>
  <c r="F127" i="83"/>
  <c r="K126" i="83"/>
  <c r="J126" i="83"/>
  <c r="F126" i="83"/>
  <c r="K125" i="83"/>
  <c r="J125" i="83"/>
  <c r="F125" i="83"/>
  <c r="K124" i="83"/>
  <c r="J124" i="83"/>
  <c r="F124" i="83"/>
  <c r="K123" i="83"/>
  <c r="J123" i="83"/>
  <c r="F123" i="83"/>
  <c r="K122" i="83"/>
  <c r="J122" i="83"/>
  <c r="F122" i="83"/>
  <c r="K121" i="83"/>
  <c r="J121" i="83"/>
  <c r="F121" i="83"/>
  <c r="K120" i="83"/>
  <c r="J120" i="83"/>
  <c r="F120" i="83"/>
  <c r="K119" i="83"/>
  <c r="J119" i="83"/>
  <c r="F119" i="83"/>
  <c r="K118" i="83"/>
  <c r="J118" i="83"/>
  <c r="F118" i="83"/>
  <c r="K117" i="83"/>
  <c r="J117" i="83"/>
  <c r="F117" i="83"/>
  <c r="K116" i="83"/>
  <c r="J116" i="83"/>
  <c r="F116" i="83"/>
  <c r="K115" i="83"/>
  <c r="J115" i="83"/>
  <c r="F115" i="83"/>
  <c r="K114" i="83"/>
  <c r="J114" i="83"/>
  <c r="F114" i="83"/>
  <c r="K113" i="83"/>
  <c r="J113" i="83"/>
  <c r="F113" i="83"/>
  <c r="K112" i="83"/>
  <c r="J112" i="83"/>
  <c r="F112" i="83"/>
  <c r="K111" i="83"/>
  <c r="J111" i="83"/>
  <c r="F111" i="83"/>
  <c r="K110" i="83"/>
  <c r="J110" i="83"/>
  <c r="F110" i="83"/>
  <c r="K109" i="83"/>
  <c r="J109" i="83"/>
  <c r="F109" i="83"/>
  <c r="K108" i="83"/>
  <c r="J108" i="83"/>
  <c r="F108" i="83"/>
  <c r="K107" i="83"/>
  <c r="J107" i="83"/>
  <c r="F107" i="83"/>
  <c r="K106" i="83"/>
  <c r="J106" i="83"/>
  <c r="F106" i="83"/>
  <c r="K105" i="83"/>
  <c r="J105" i="83"/>
  <c r="F105" i="83"/>
  <c r="K104" i="83"/>
  <c r="J104" i="83"/>
  <c r="F104" i="83"/>
  <c r="K103" i="83"/>
  <c r="J103" i="83"/>
  <c r="F103" i="83"/>
  <c r="K102" i="83"/>
  <c r="J102" i="83"/>
  <c r="F102" i="83"/>
  <c r="K101" i="83"/>
  <c r="J101" i="83"/>
  <c r="F101" i="83"/>
  <c r="K100" i="83"/>
  <c r="J100" i="83"/>
  <c r="F100" i="83"/>
  <c r="K99" i="83"/>
  <c r="J99" i="83"/>
  <c r="F99" i="83"/>
  <c r="K98" i="83"/>
  <c r="J98" i="83"/>
  <c r="F98" i="83"/>
  <c r="K97" i="83"/>
  <c r="J97" i="83"/>
  <c r="F97" i="83"/>
  <c r="K96" i="83"/>
  <c r="J96" i="83"/>
  <c r="F96" i="83"/>
  <c r="K95" i="83"/>
  <c r="J95" i="83"/>
  <c r="F95" i="83"/>
  <c r="K94" i="83"/>
  <c r="J94" i="83"/>
  <c r="F94" i="83"/>
  <c r="K93" i="83"/>
  <c r="J93" i="83"/>
  <c r="F93" i="83"/>
  <c r="K92" i="83"/>
  <c r="J92" i="83"/>
  <c r="F92" i="83"/>
  <c r="K91" i="83"/>
  <c r="J91" i="83"/>
  <c r="F91" i="83"/>
  <c r="K90" i="83"/>
  <c r="J90" i="83"/>
  <c r="F90" i="83"/>
  <c r="K89" i="83"/>
  <c r="J89" i="83"/>
  <c r="F89" i="83"/>
  <c r="K88" i="83"/>
  <c r="J88" i="83"/>
  <c r="F88" i="83"/>
  <c r="K87" i="83"/>
  <c r="J87" i="83"/>
  <c r="F87" i="83"/>
  <c r="K86" i="83"/>
  <c r="J86" i="83"/>
  <c r="F86" i="83"/>
  <c r="K85" i="83"/>
  <c r="J85" i="83"/>
  <c r="F85" i="83"/>
  <c r="K84" i="83"/>
  <c r="J84" i="83"/>
  <c r="F84" i="83"/>
  <c r="K83" i="83"/>
  <c r="J83" i="83"/>
  <c r="F83" i="83"/>
  <c r="K82" i="83"/>
  <c r="J82" i="83"/>
  <c r="F82" i="83"/>
  <c r="K81" i="83"/>
  <c r="J81" i="83"/>
  <c r="F81" i="83"/>
  <c r="K80" i="83"/>
  <c r="J80" i="83"/>
  <c r="F80" i="83"/>
  <c r="K79" i="83"/>
  <c r="J79" i="83"/>
  <c r="F79" i="83"/>
  <c r="K78" i="83"/>
  <c r="J78" i="83"/>
  <c r="F78" i="83"/>
  <c r="K77" i="83"/>
  <c r="J77" i="83"/>
  <c r="F77" i="83"/>
  <c r="K76" i="83"/>
  <c r="J76" i="83"/>
  <c r="F76" i="83"/>
  <c r="K75" i="83"/>
  <c r="J75" i="83"/>
  <c r="F75" i="83"/>
  <c r="K74" i="83"/>
  <c r="J74" i="83"/>
  <c r="F74" i="83"/>
  <c r="K73" i="83"/>
  <c r="J73" i="83"/>
  <c r="F73" i="83"/>
  <c r="K72" i="83"/>
  <c r="J72" i="83"/>
  <c r="F72" i="83"/>
  <c r="K71" i="83"/>
  <c r="J71" i="83"/>
  <c r="F71" i="83"/>
  <c r="K70" i="83"/>
  <c r="J70" i="83"/>
  <c r="F70" i="83"/>
  <c r="K69" i="83"/>
  <c r="J69" i="83"/>
  <c r="F69" i="83"/>
  <c r="K68" i="83"/>
  <c r="J68" i="83"/>
  <c r="F68" i="83"/>
  <c r="K67" i="83"/>
  <c r="J67" i="83"/>
  <c r="F67" i="83"/>
  <c r="K66" i="83"/>
  <c r="J66" i="83"/>
  <c r="F66" i="83"/>
  <c r="K65" i="83"/>
  <c r="J65" i="83"/>
  <c r="F65" i="83"/>
  <c r="K64" i="83"/>
  <c r="J64" i="83"/>
  <c r="F64" i="83"/>
  <c r="K63" i="83"/>
  <c r="J63" i="83"/>
  <c r="F63" i="83"/>
  <c r="K62" i="83"/>
  <c r="J62" i="83"/>
  <c r="F62" i="83"/>
  <c r="K61" i="83"/>
  <c r="J61" i="83"/>
  <c r="F61" i="83"/>
  <c r="K60" i="83"/>
  <c r="J60" i="83"/>
  <c r="F60" i="83"/>
  <c r="K59" i="83"/>
  <c r="J59" i="83"/>
  <c r="F59" i="83"/>
  <c r="K58" i="83"/>
  <c r="J58" i="83"/>
  <c r="F58" i="83"/>
  <c r="K57" i="83"/>
  <c r="J57" i="83"/>
  <c r="F57" i="83"/>
  <c r="K56" i="83"/>
  <c r="J56" i="83"/>
  <c r="F56" i="83"/>
  <c r="K55" i="83"/>
  <c r="J55" i="83"/>
  <c r="F55" i="83"/>
  <c r="K54" i="83"/>
  <c r="J54" i="83"/>
  <c r="F54" i="83"/>
  <c r="K53" i="83"/>
  <c r="J53" i="83"/>
  <c r="F53" i="83"/>
  <c r="K52" i="83"/>
  <c r="J52" i="83"/>
  <c r="F52" i="83"/>
  <c r="K51" i="83"/>
  <c r="J51" i="83"/>
  <c r="F51" i="83"/>
  <c r="K50" i="83"/>
  <c r="J50" i="83"/>
  <c r="F50" i="83"/>
  <c r="K49" i="83"/>
  <c r="J49" i="83"/>
  <c r="F49" i="83"/>
  <c r="K48" i="83"/>
  <c r="J48" i="83"/>
  <c r="F48" i="83"/>
  <c r="K47" i="83"/>
  <c r="J47" i="83"/>
  <c r="F47" i="83"/>
  <c r="K46" i="83"/>
  <c r="J46" i="83"/>
  <c r="F46" i="83"/>
  <c r="K45" i="83"/>
  <c r="J45" i="83"/>
  <c r="F45" i="83"/>
  <c r="K44" i="83"/>
  <c r="J44" i="83"/>
  <c r="F44" i="83"/>
  <c r="K43" i="83"/>
  <c r="J43" i="83"/>
  <c r="F43" i="83"/>
  <c r="K42" i="83"/>
  <c r="J42" i="83"/>
  <c r="F42" i="83"/>
  <c r="K41" i="83"/>
  <c r="J41" i="83"/>
  <c r="F41" i="83"/>
  <c r="K40" i="83"/>
  <c r="J40" i="83"/>
  <c r="F40" i="83"/>
  <c r="K39" i="83"/>
  <c r="J39" i="83"/>
  <c r="F39" i="83"/>
  <c r="K38" i="83"/>
  <c r="J38" i="83"/>
  <c r="F38" i="83"/>
  <c r="K37" i="83"/>
  <c r="J37" i="83"/>
  <c r="F37" i="83"/>
  <c r="K36" i="83"/>
  <c r="J36" i="83"/>
  <c r="F36" i="83"/>
  <c r="K35" i="83"/>
  <c r="J35" i="83"/>
  <c r="F35" i="83"/>
  <c r="K34" i="83"/>
  <c r="J34" i="83"/>
  <c r="F34" i="83"/>
  <c r="K33" i="83"/>
  <c r="J33" i="83"/>
  <c r="F33" i="83"/>
  <c r="K32" i="83"/>
  <c r="J32" i="83"/>
  <c r="F32" i="83"/>
  <c r="K31" i="83"/>
  <c r="J31" i="83"/>
  <c r="F31" i="83"/>
  <c r="K30" i="83"/>
  <c r="J30" i="83"/>
  <c r="F30" i="83"/>
  <c r="K29" i="83"/>
  <c r="J29" i="83"/>
  <c r="F29" i="83"/>
  <c r="K28" i="83"/>
  <c r="J28" i="83"/>
  <c r="F28" i="83"/>
  <c r="K27" i="83"/>
  <c r="J27" i="83"/>
  <c r="F27" i="83"/>
  <c r="K26" i="83"/>
  <c r="J26" i="83"/>
  <c r="F26" i="83"/>
  <c r="K25" i="83"/>
  <c r="J25" i="83"/>
  <c r="F25" i="83"/>
  <c r="K24" i="83"/>
  <c r="J24" i="83"/>
  <c r="F24" i="83"/>
  <c r="K23" i="83"/>
  <c r="J23" i="83"/>
  <c r="F23" i="83"/>
  <c r="K22" i="83"/>
  <c r="J22" i="83"/>
  <c r="F22" i="83"/>
  <c r="K21" i="83"/>
  <c r="J21" i="83"/>
  <c r="F21" i="83"/>
  <c r="K20" i="83"/>
  <c r="J20" i="83"/>
  <c r="F20" i="83"/>
  <c r="K19" i="83"/>
  <c r="J19" i="83"/>
  <c r="F19" i="83"/>
  <c r="K18" i="83"/>
  <c r="J18" i="83"/>
  <c r="F18" i="83"/>
  <c r="K17" i="83"/>
  <c r="J17" i="83"/>
  <c r="F17" i="83"/>
  <c r="K16" i="83"/>
  <c r="J16" i="83"/>
  <c r="F16" i="83"/>
  <c r="K15" i="83"/>
  <c r="J15" i="83"/>
  <c r="F15" i="83"/>
  <c r="K14" i="83"/>
  <c r="J14" i="83"/>
  <c r="F14" i="83"/>
  <c r="K13" i="83"/>
  <c r="J13" i="83"/>
  <c r="F13" i="83"/>
  <c r="K12" i="83"/>
  <c r="J12" i="83"/>
  <c r="F12" i="83"/>
  <c r="K11" i="83"/>
  <c r="J11" i="83"/>
  <c r="F11" i="83"/>
  <c r="K10" i="83"/>
  <c r="J10" i="83"/>
  <c r="F10" i="83"/>
  <c r="K9" i="83"/>
  <c r="J9" i="83"/>
  <c r="F9" i="83"/>
  <c r="K8" i="83"/>
  <c r="J8" i="83"/>
  <c r="F8" i="83"/>
  <c r="K7" i="83"/>
  <c r="J7" i="83"/>
  <c r="F7" i="83"/>
  <c r="K6" i="83"/>
  <c r="J6" i="83"/>
  <c r="F6" i="83"/>
  <c r="K5" i="83"/>
  <c r="J5" i="83"/>
  <c r="F5" i="83"/>
  <c r="K4" i="83"/>
  <c r="J4" i="83"/>
  <c r="F4" i="83"/>
  <c r="K3" i="83"/>
  <c r="J3" i="83"/>
  <c r="F3" i="83"/>
  <c r="K2" i="83"/>
  <c r="J2" i="83"/>
  <c r="F2" i="8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<sst xmlns="http://schemas.openxmlformats.org/spreadsheetml/2006/main" count="161" uniqueCount="97">
  <si>
    <t>character_id</t>
  </si>
  <si>
    <t>備考</t>
    <rPh sb="0" eb="2">
      <t>ビコウ</t>
    </rPh>
    <phoneticPr fontId="3"/>
  </si>
  <si>
    <t>gacha_id</t>
    <phoneticPr fontId="3"/>
  </si>
  <si>
    <t>table_no</t>
    <phoneticPr fontId="3"/>
  </si>
  <si>
    <t>character_id</t>
    <phoneticPr fontId="3"/>
  </si>
  <si>
    <t>unit_level</t>
    <phoneticPr fontId="3"/>
  </si>
  <si>
    <t>weight</t>
    <phoneticPr fontId="3"/>
  </si>
  <si>
    <t>rare</t>
    <phoneticPr fontId="3"/>
  </si>
  <si>
    <t>gacha_id</t>
  </si>
  <si>
    <t>name</t>
    <phoneticPr fontId="3"/>
  </si>
  <si>
    <t>drop_label</t>
    <phoneticPr fontId="3"/>
  </si>
  <si>
    <t>color</t>
    <phoneticPr fontId="3"/>
  </si>
  <si>
    <t>character_type_id</t>
    <phoneticPr fontId="3"/>
  </si>
  <si>
    <t>character_tribe_id</t>
    <phoneticPr fontId="3"/>
  </si>
  <si>
    <t>temp_gacha</t>
  </si>
  <si>
    <t>temp_gacha</t>
    <phoneticPr fontId="3"/>
  </si>
  <si>
    <t>table_no</t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</si>
  <si>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</si>
  <si>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</si>
  <si>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</si>
  <si>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</si>
  <si>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</si>
  <si>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</si>
  <si>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</si>
  <si>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3"/>
  </si>
  <si>
    <t>0PremiumN3blue</t>
  </si>
  <si>
    <t>0PremiumN3green</t>
  </si>
  <si>
    <t>0PremiumN3red</t>
  </si>
  <si>
    <t>0PremiumN3yellow</t>
  </si>
  <si>
    <t>0PremiumN4blue</t>
  </si>
  <si>
    <t>0PremiumN4green</t>
  </si>
  <si>
    <t>0PremiumN4red</t>
  </si>
  <si>
    <t>0PremiumN4yellow</t>
  </si>
  <si>
    <t>0PremiumN5blue</t>
  </si>
  <si>
    <t>0PremiumN5green</t>
  </si>
  <si>
    <t>0PremiumN5red</t>
  </si>
  <si>
    <t>0PremiumN5yellow</t>
  </si>
  <si>
    <t>0PremiumS3blue</t>
  </si>
  <si>
    <t>0PremiumS3green</t>
  </si>
  <si>
    <t>0PremiumS3red</t>
  </si>
  <si>
    <t>0PremiumS3yellow</t>
  </si>
  <si>
    <t>0PremiumS4blue</t>
  </si>
  <si>
    <t>0PremiumS4green</t>
  </si>
  <si>
    <t>0PremiumS4red</t>
  </si>
  <si>
    <t>0PremiumS4yellow</t>
  </si>
  <si>
    <t>0PremiumS5blue</t>
  </si>
  <si>
    <t>0PremiumS5green</t>
  </si>
  <si>
    <t>0PremiumS5red</t>
  </si>
  <si>
    <t>0PremiumS5yellow</t>
  </si>
  <si>
    <t>0PremiumSS4blue</t>
  </si>
  <si>
    <t>0PremiumSS4green</t>
  </si>
  <si>
    <t>0PremiumSS4red</t>
  </si>
  <si>
    <t>0PremiumSS4yellow</t>
  </si>
  <si>
    <t>0PremiumSS5blue</t>
  </si>
  <si>
    <t>0PremiumSS5green</t>
  </si>
  <si>
    <t>0PremiumSS5red</t>
  </si>
  <si>
    <t>0PremiumSS5yellow</t>
  </si>
  <si>
    <t>0PremiumW3blue</t>
  </si>
  <si>
    <t>0PremiumW3green</t>
  </si>
  <si>
    <t>0PremiumW3red</t>
  </si>
  <si>
    <t>0PremiumW3yellow</t>
  </si>
  <si>
    <t>0PremiumW4blue</t>
  </si>
  <si>
    <t>0PremiumW4green</t>
  </si>
  <si>
    <t>0PremiumW4red</t>
  </si>
  <si>
    <t>0PremiumW4yellow</t>
  </si>
  <si>
    <t>1PremiumN4blue</t>
  </si>
  <si>
    <t>1PremiumN4green</t>
  </si>
  <si>
    <t>1PremiumN4red</t>
  </si>
  <si>
    <t>1PremiumN4yellow</t>
  </si>
  <si>
    <t>1PremiumN5blue</t>
  </si>
  <si>
    <t>1PremiumN5green</t>
  </si>
  <si>
    <t>1PremiumN5red</t>
  </si>
  <si>
    <t>1PremiumN5yellow</t>
  </si>
  <si>
    <t>1PremiumS4blue</t>
  </si>
  <si>
    <t>1PremiumS4green</t>
  </si>
  <si>
    <t>1PremiumS4red</t>
  </si>
  <si>
    <t>1PremiumS4yellow</t>
  </si>
  <si>
    <t>1PremiumS5blue</t>
  </si>
  <si>
    <t>1PremiumS5green</t>
  </si>
  <si>
    <t>1PremiumS5red</t>
  </si>
  <si>
    <t>1PremiumS5yellow</t>
  </si>
  <si>
    <t>1PremiumSS4blue</t>
  </si>
  <si>
    <t>1PremiumSS4green</t>
  </si>
  <si>
    <t>1PremiumSS4red</t>
  </si>
  <si>
    <t>1PremiumSS4yellow</t>
  </si>
  <si>
    <t>1PremiumSS5blue</t>
  </si>
  <si>
    <t>1PremiumSS5green</t>
  </si>
  <si>
    <t>1PremiumSS5red</t>
  </si>
  <si>
    <t>1PremiumSS5yellow</t>
  </si>
  <si>
    <t>1PremiumW4blue</t>
  </si>
  <si>
    <t>1PremiumW4green</t>
  </si>
  <si>
    <t>1PremiumW4red</t>
  </si>
  <si>
    <t>1PremiumW4yellow</t>
  </si>
  <si>
    <t>0PremiumSS4bluepick</t>
    <phoneticPr fontId="3"/>
  </si>
  <si>
    <t>0PremiumSS5bluepick</t>
  </si>
  <si>
    <t>1PremiumSS4bluepick</t>
    <phoneticPr fontId="3"/>
  </si>
  <si>
    <t>1PremiumSS5bluepick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</si>
</sst>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3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668">
    <xf numFmtId="0" fontId="0" fillId="0" borderId="0"/>
    <xf numFmtId="0" fontId="2" fillId="0" borderId="0"/>
    <xf numFmtId="0" fontId="6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5" fillId="7" borderId="2" applyNumberFormat="0" applyAlignment="0" applyProtection="0"/>
    <xf numFmtId="0" fontId="16" fillId="8" borderId="0" applyNumberFormat="0" applyBorder="0" applyAlignment="0" applyProtection="0"/>
    <xf numFmtId="0" fontId="17" fillId="9" borderId="3" applyNumberFormat="0" applyAlignment="0" applyProtection="0"/>
    <xf numFmtId="0" fontId="18" fillId="0" borderId="0" applyNumberFormat="0" applyFill="0" applyBorder="0" applyAlignment="0" applyProtection="0"/>
    <xf numFmtId="0" fontId="19" fillId="10" borderId="0" applyNumberFormat="0" applyBorder="0" applyAlignment="0" applyProtection="0"/>
    <xf numFmtId="0" fontId="20" fillId="11" borderId="4" applyNumberFormat="0" applyAlignment="0" applyProtection="0"/>
    <xf numFmtId="0" fontId="21" fillId="0" borderId="0" applyNumberFormat="0" applyFill="0" applyBorder="0" applyAlignment="0" applyProtection="0"/>
    <xf numFmtId="0" fontId="22" fillId="0" borderId="5" applyNumberFormat="0" applyFill="0" applyAlignment="0" applyProtection="0"/>
    <xf numFmtId="0" fontId="23" fillId="0" borderId="6" applyNumberFormat="0" applyFill="0" applyAlignment="0" applyProtection="0"/>
    <xf numFmtId="0" fontId="24" fillId="0" borderId="7" applyNumberFormat="0" applyFill="0" applyAlignment="0" applyProtection="0"/>
    <xf numFmtId="0" fontId="24" fillId="0" borderId="0" applyNumberFormat="0" applyFill="0" applyBorder="0" applyAlignment="0" applyProtection="0"/>
    <xf numFmtId="0" fontId="25" fillId="9" borderId="0" applyNumberFormat="0" applyBorder="0" applyAlignment="0" applyProtection="0"/>
    <xf numFmtId="0" fontId="25" fillId="8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3" borderId="0" applyNumberFormat="0" applyBorder="0" applyAlignment="0" applyProtection="0"/>
    <xf numFmtId="0" fontId="25" fillId="7" borderId="0" applyNumberFormat="0" applyBorder="0" applyAlignment="0" applyProtection="0"/>
    <xf numFmtId="0" fontId="25" fillId="9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5" borderId="0" applyNumberFormat="0" applyBorder="0" applyAlignment="0" applyProtection="0"/>
    <xf numFmtId="0" fontId="25" fillId="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6" fillId="12" borderId="0" applyNumberFormat="0" applyBorder="0" applyAlignment="0" applyProtection="0"/>
    <xf numFmtId="0" fontId="26" fillId="9" borderId="0" applyNumberFormat="0" applyBorder="0" applyAlignment="0" applyProtection="0"/>
    <xf numFmtId="0" fontId="26" fillId="16" borderId="0" applyNumberFormat="0" applyBorder="0" applyAlignment="0" applyProtection="0"/>
    <xf numFmtId="0" fontId="26" fillId="8" borderId="0" applyNumberFormat="0" applyBorder="0" applyAlignment="0" applyProtection="0"/>
    <xf numFmtId="0" fontId="18" fillId="0" borderId="0" applyNumberFormat="0" applyFill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2" borderId="0" applyNumberFormat="0" applyBorder="0" applyAlignment="0" applyProtection="0"/>
    <xf numFmtId="0" fontId="26" fillId="1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7" fillId="19" borderId="0" applyNumberFormat="0" applyBorder="0" applyAlignment="0" applyProtection="0"/>
    <xf numFmtId="0" fontId="16" fillId="8" borderId="0" applyNumberFormat="0" applyBorder="0" applyAlignment="0" applyProtection="0"/>
    <xf numFmtId="0" fontId="28" fillId="0" borderId="8" applyNumberFormat="0" applyFill="0" applyAlignment="0" applyProtection="0"/>
    <xf numFmtId="0" fontId="29" fillId="9" borderId="9" applyNumberFormat="0" applyAlignment="0" applyProtection="0"/>
    <xf numFmtId="0" fontId="29" fillId="20" borderId="9" applyNumberFormat="0" applyAlignment="0" applyProtection="0"/>
    <xf numFmtId="0" fontId="17" fillId="8" borderId="3" applyNumberFormat="0" applyAlignment="0" applyProtection="0"/>
    <xf numFmtId="0" fontId="30" fillId="0" borderId="10" applyNumberFormat="0" applyFill="0" applyAlignment="0" applyProtection="0"/>
    <xf numFmtId="0" fontId="31" fillId="20" borderId="3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1" applyNumberFormat="0" applyFill="0" applyAlignment="0" applyProtection="0"/>
    <xf numFmtId="38" fontId="1" fillId="0" borderId="0" applyFont="0" applyFill="0" applyBorder="0" applyAlignment="0" applyProtection="0">
      <alignment vertical="center"/>
    </xf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1" fillId="0" borderId="0"/>
    <xf numFmtId="0" fontId="36" fillId="22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7">
    <xf numFmtId="0" fontId="0" fillId="0" borderId="0" xfId="0"/>
    <xf numFmtId="0" fontId="8" fillId="0" borderId="0" xfId="2" applyFont="1" applyAlignment="1">
      <alignment vertical="center"/>
    </xf>
    <xf numFmtId="0" fontId="8" fillId="0" borderId="1" xfId="2" applyFont="1" applyBorder="1" applyAlignment="1">
      <alignment vertical="center"/>
    </xf>
    <xf numFmtId="0" fontId="8" fillId="3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8" fillId="4" borderId="1" xfId="2" applyFont="1" applyFill="1" applyBorder="1" applyAlignment="1">
      <alignment vertical="center"/>
    </xf>
    <xf numFmtId="0" fontId="7" fillId="4" borderId="1" xfId="0" applyFont="1" applyFill="1" applyBorder="1" applyAlignment="1">
      <alignment horizontal="right" vertical="center"/>
    </xf>
    <xf numFmtId="0" fontId="13" fillId="5" borderId="0" xfId="2" applyFont="1" applyFill="1" applyAlignment="1">
      <alignment vertical="center"/>
    </xf>
    <xf numFmtId="0" fontId="1" fillId="0" borderId="0" xfId="19"/>
    <xf numFmtId="0" fontId="8" fillId="3" borderId="1" xfId="2" applyFont="1" applyFill="1" applyBorder="1" applyAlignment="1">
      <alignment vertical="center"/>
    </xf>
    <xf numFmtId="0" fontId="1" fillId="6" borderId="0" xfId="70" applyFont="1" applyFill="1"/>
    <xf numFmtId="176" fontId="1" fillId="6" borderId="0" xfId="70" applyNumberFormat="1" applyFont="1" applyFill="1"/>
    <xf numFmtId="0" fontId="10" fillId="5" borderId="0" xfId="19" applyFont="1" applyFill="1"/>
    <xf numFmtId="0" fontId="1" fillId="2" borderId="0" xfId="19" applyFill="1"/>
    <xf numFmtId="0" fontId="13" fillId="5" borderId="0" xfId="70" applyFont="1" applyFill="1" applyBorder="1"/>
    <xf numFmtId="0" fontId="14" fillId="0" borderId="0" xfId="70" applyFont="1" applyFill="1" applyBorder="1"/>
    <xf numFmtId="0" fontId="37" fillId="23" borderId="1" xfId="0" applyFont="1" applyFill="1" applyBorder="1" applyAlignment="1">
      <alignment horizontal="center" vertical="center"/>
    </xf>
    <xf numFmtId="0" fontId="37" fillId="0" borderId="12" xfId="0" applyFont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8" fillId="3" borderId="12" xfId="2" applyFont="1" applyFill="1" applyBorder="1" applyAlignment="1">
      <alignment vertical="center"/>
    </xf>
    <xf numFmtId="0" fontId="8" fillId="4" borderId="12" xfId="2" applyFont="1" applyFill="1" applyBorder="1" applyAlignment="1">
      <alignment vertical="center"/>
    </xf>
    <xf numFmtId="0" fontId="13" fillId="5" borderId="13" xfId="2" applyFont="1" applyFill="1" applyBorder="1" applyAlignment="1">
      <alignment vertical="center"/>
    </xf>
    <xf numFmtId="0" fontId="8" fillId="3" borderId="14" xfId="2" applyFont="1" applyFill="1" applyBorder="1" applyAlignment="1">
      <alignment vertical="center"/>
    </xf>
    <xf numFmtId="0" fontId="8" fillId="4" borderId="14" xfId="2" applyFont="1" applyFill="1" applyBorder="1" applyAlignment="1">
      <alignment vertical="center"/>
    </xf>
    <xf numFmtId="0" fontId="7" fillId="4" borderId="14" xfId="0" applyFont="1" applyFill="1" applyBorder="1" applyAlignment="1">
      <alignment horizontal="right" vertical="center"/>
    </xf>
    <xf numFmtId="0" fontId="8" fillId="0" borderId="13" xfId="2" applyFont="1" applyBorder="1" applyAlignment="1">
      <alignment vertical="center"/>
    </xf>
    <xf numFmtId="0" fontId="7" fillId="4" borderId="12" xfId="0" applyFont="1" applyFill="1" applyBorder="1" applyAlignment="1">
      <alignment horizontal="right" vertical="center"/>
    </xf>
    <xf numFmtId="0" fontId="37" fillId="0" borderId="1" xfId="0" applyFont="1" applyBorder="1" applyAlignment="1">
      <alignment vertical="center"/>
    </xf>
    <xf numFmtId="0" fontId="37" fillId="0" borderId="14" xfId="0" applyFont="1" applyBorder="1" applyAlignment="1">
      <alignment vertical="center"/>
    </xf>
    <xf numFmtId="0" fontId="13" fillId="5" borderId="0" xfId="2" applyFont="1" applyFill="1" applyBorder="1" applyAlignment="1">
      <alignment vertical="center"/>
    </xf>
    <xf numFmtId="0" fontId="8" fillId="4" borderId="16" xfId="2" applyFont="1" applyFill="1" applyBorder="1" applyAlignment="1">
      <alignment vertical="center"/>
    </xf>
    <xf numFmtId="0" fontId="7" fillId="4" borderId="16" xfId="0" applyFont="1" applyFill="1" applyBorder="1" applyAlignment="1">
      <alignment horizontal="right" vertical="center"/>
    </xf>
    <xf numFmtId="0" fontId="8" fillId="3" borderId="16" xfId="2" applyFont="1" applyFill="1" applyBorder="1" applyAlignment="1">
      <alignment vertical="center"/>
    </xf>
    <xf numFmtId="0" fontId="37" fillId="0" borderId="16" xfId="0" applyFont="1" applyBorder="1" applyAlignment="1">
      <alignment vertical="center"/>
    </xf>
    <xf numFmtId="0" fontId="13" fillId="5" borderId="17" xfId="2" applyFont="1" applyFill="1" applyBorder="1" applyAlignment="1">
      <alignment vertical="center"/>
    </xf>
    <xf numFmtId="0" fontId="8" fillId="0" borderId="17" xfId="2" applyFont="1" applyBorder="1" applyAlignment="1">
      <alignment vertical="center"/>
    </xf>
    <xf numFmtId="0" fontId="8" fillId="4" borderId="18" xfId="2" applyFont="1" applyFill="1" applyBorder="1" applyAlignment="1">
      <alignment vertical="center"/>
    </xf>
    <xf numFmtId="0" fontId="8" fillId="24" borderId="1" xfId="2" applyFont="1" applyFill="1" applyBorder="1" applyAlignment="1">
      <alignment vertical="center"/>
    </xf>
    <xf numFmtId="0" fontId="7" fillId="24" borderId="1" xfId="0" applyFont="1" applyFill="1" applyBorder="1" applyAlignment="1">
      <alignment horizontal="right" vertical="center"/>
    </xf>
    <xf numFmtId="0" fontId="9" fillId="24" borderId="1" xfId="0" applyFont="1" applyFill="1" applyBorder="1" applyAlignment="1">
      <alignment vertical="center"/>
    </xf>
    <xf numFmtId="0" fontId="7" fillId="24" borderId="12" xfId="0" applyFont="1" applyFill="1" applyBorder="1" applyAlignment="1">
      <alignment horizontal="right" vertical="center"/>
    </xf>
    <xf numFmtId="0" fontId="8" fillId="24" borderId="16" xfId="2" applyFont="1" applyFill="1" applyBorder="1" applyAlignment="1">
      <alignment vertical="center"/>
    </xf>
    <xf numFmtId="0" fontId="7" fillId="24" borderId="15" xfId="0" applyFont="1" applyFill="1" applyBorder="1" applyAlignment="1">
      <alignment horizontal="right" vertical="center"/>
    </xf>
    <xf numFmtId="0" fontId="8" fillId="24" borderId="12" xfId="2" applyFont="1" applyFill="1" applyBorder="1" applyAlignment="1">
      <alignment vertical="center"/>
    </xf>
    <xf numFmtId="0" fontId="8" fillId="24" borderId="18" xfId="2" applyFont="1" applyFill="1" applyBorder="1" applyAlignment="1">
      <alignment vertical="center"/>
    </xf>
    <xf numFmtId="0" fontId="8" fillId="0" borderId="1" xfId="2" applyFont="1" applyFill="1" applyBorder="1" applyAlignment="1">
      <alignment vertical="center"/>
    </xf>
  </cellXfs>
  <cellStyles count="2668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255"/>
  <sheetViews>
    <sheetView showGridLines="0" topLeftCell="B1" workbookViewId="0">
      <pane ySplit="1" topLeftCell="A38" activePane="bottomLeft" state="frozen"/>
      <selection pane="bottomLeft" activeCell="B1" sqref="A1:XFD1048576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1" bestFit="1" customWidth="1"/>
    <col min="3" max="3" width="17.7109375" style="1" bestFit="1" customWidth="1" outlineLevel="1"/>
    <col min="4" max="4" width="7.42578125" style="1" customWidth="1"/>
    <col min="5" max="5" width="10.42578125" style="1" customWidth="1"/>
    <col min="6" max="6" width="23.28515625" style="1" customWidth="1" outlineLevel="1"/>
    <col min="7" max="7" width="13.7109375" style="1" customWidth="1" outlineLevel="1"/>
    <col min="8" max="8" width="9.7109375" style="1" customWidth="1" outlineLevel="1"/>
    <col min="9" max="9" width="10.42578125" style="5" customWidth="1" outlineLevel="1"/>
    <col min="10" max="10" width="18.85546875" style="1" customWidth="1" outlineLevel="1"/>
    <col min="11" max="11" width="19" style="1" customWidth="1" outlineLevel="1"/>
    <col min="12" max="12" width="13.140625" style="1" bestFit="1" customWidth="1"/>
    <col min="13" max="13" width="11.28515625" style="1" bestFit="1" customWidth="1"/>
    <col min="14" max="16384" width="12.710937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9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2">
        <v>115</v>
      </c>
      <c r="C2" s="10" t="str">
        <f ca="1">D2&amp;G2&amp;H2&amp;I2</f>
        <v>1PremiumW4red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46">
        <f ca="1">VLOOKUP(C2,gacha_115_base!A:B,2,FALSE)</f>
        <v>864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f>$B$2</f>
        <v>115</v>
      </c>
      <c r="C3" s="10" t="str">
        <f t="shared" ref="C3:C66" ca="1" si="1">D3&amp;G3&amp;H3&amp;I3</f>
        <v>1PremiumW4green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46">
        <f ca="1">VLOOKUP(C3,gacha_115_base!A:B,2,FALSE)</f>
        <v>864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f t="shared" ref="B4:B67" si="2">$B$2</f>
        <v>115</v>
      </c>
      <c r="C4" s="10" t="str">
        <f t="shared" ca="1" si="1"/>
        <v>1PremiumW4blue</v>
      </c>
      <c r="D4" s="38">
        <v>1</v>
      </c>
      <c r="E4" s="39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38">
        <v>1</v>
      </c>
      <c r="M4" s="46">
        <f ca="1">VLOOKUP(C4,gacha_115_base!A:B,2,FALSE)</f>
        <v>6021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f t="shared" si="2"/>
        <v>115</v>
      </c>
      <c r="C5" s="10" t="str">
        <f t="shared" ca="1" si="1"/>
        <v>1PremiumW4yellow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46">
        <f ca="1">VLOOKUP(C5,gacha_115_base!A:B,2,FALSE)</f>
        <v>864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f t="shared" si="2"/>
        <v>115</v>
      </c>
      <c r="C6" s="10" t="str">
        <f t="shared" ca="1" si="1"/>
        <v>1PremiumW4red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46">
        <f ca="1">VLOOKUP(C6,gacha_115_base!A:B,2,FALSE)</f>
        <v>864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f t="shared" si="2"/>
        <v>115</v>
      </c>
      <c r="C7" s="10" t="str">
        <f t="shared" ca="1" si="1"/>
        <v>1PremiumW4green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46">
        <f ca="1">VLOOKUP(C7,gacha_115_base!A:B,2,FALSE)</f>
        <v>864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f t="shared" si="2"/>
        <v>115</v>
      </c>
      <c r="C8" s="10" t="str">
        <f t="shared" ca="1" si="1"/>
        <v>1PremiumW4blue</v>
      </c>
      <c r="D8" s="38">
        <v>1</v>
      </c>
      <c r="E8" s="39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38">
        <v>1</v>
      </c>
      <c r="M8" s="46">
        <f ca="1">VLOOKUP(C8,gacha_115_base!A:B,2,FALSE)</f>
        <v>6021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f t="shared" si="2"/>
        <v>115</v>
      </c>
      <c r="C9" s="10" t="str">
        <f t="shared" ca="1" si="1"/>
        <v>1PremiumW4yellow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46">
        <f ca="1">VLOOKUP(C9,gacha_115_base!A:B,2,FALSE)</f>
        <v>864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f t="shared" si="2"/>
        <v>115</v>
      </c>
      <c r="C10" s="10" t="str">
        <f t="shared" ca="1" si="1"/>
        <v>1PremiumW4red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46">
        <f ca="1">VLOOKUP(C10,gacha_115_base!A:B,2,FALSE)</f>
        <v>864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f t="shared" si="2"/>
        <v>115</v>
      </c>
      <c r="C11" s="10" t="str">
        <f t="shared" ca="1" si="1"/>
        <v>1PremiumW4green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46">
        <f ca="1">VLOOKUP(C11,gacha_115_base!A:B,2,FALSE)</f>
        <v>864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f t="shared" si="2"/>
        <v>115</v>
      </c>
      <c r="C12" s="10" t="str">
        <f t="shared" ca="1" si="1"/>
        <v>1PremiumW4blue</v>
      </c>
      <c r="D12" s="38">
        <v>1</v>
      </c>
      <c r="E12" s="39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38">
        <v>1</v>
      </c>
      <c r="M12" s="46">
        <f ca="1">VLOOKUP(C12,gacha_115_base!A:B,2,FALSE)</f>
        <v>6021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f t="shared" si="2"/>
        <v>115</v>
      </c>
      <c r="C13" s="10" t="str">
        <f t="shared" ca="1" si="1"/>
        <v>1PremiumW4yellow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46">
        <f ca="1">VLOOKUP(C13,gacha_115_base!A:B,2,FALSE)</f>
        <v>864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f t="shared" si="2"/>
        <v>115</v>
      </c>
      <c r="C14" s="10" t="str">
        <f t="shared" ca="1" si="1"/>
        <v>1PremiumW4red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46">
        <f ca="1">VLOOKUP(C14,gacha_115_base!A:B,2,FALSE)</f>
        <v>864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f t="shared" si="2"/>
        <v>115</v>
      </c>
      <c r="C15" s="10" t="str">
        <f t="shared" ca="1" si="1"/>
        <v>1PremiumW4green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46">
        <f ca="1">VLOOKUP(C15,gacha_115_base!A:B,2,FALSE)</f>
        <v>864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f t="shared" si="2"/>
        <v>115</v>
      </c>
      <c r="C16" s="10" t="str">
        <f t="shared" ca="1" si="1"/>
        <v>1PremiumW4blue</v>
      </c>
      <c r="D16" s="38">
        <v>1</v>
      </c>
      <c r="E16" s="39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38">
        <v>1</v>
      </c>
      <c r="M16" s="46">
        <f ca="1">VLOOKUP(C16,gacha_115_base!A:B,2,FALSE)</f>
        <v>6021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f t="shared" si="2"/>
        <v>115</v>
      </c>
      <c r="C17" s="10" t="str">
        <f t="shared" ca="1" si="1"/>
        <v>1PremiumW4yellow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46">
        <f ca="1">VLOOKUP(C17,gacha_115_base!A:B,2,FALSE)</f>
        <v>864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f t="shared" si="2"/>
        <v>115</v>
      </c>
      <c r="C18" s="10" t="str">
        <f t="shared" ca="1" si="1"/>
        <v>1PremiumW4red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46">
        <f ca="1">VLOOKUP(C18,gacha_115_base!A:B,2,FALSE)</f>
        <v>864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f t="shared" si="2"/>
        <v>115</v>
      </c>
      <c r="C19" s="10" t="str">
        <f t="shared" ca="1" si="1"/>
        <v>1PremiumW4green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46">
        <f ca="1">VLOOKUP(C19,gacha_115_base!A:B,2,FALSE)</f>
        <v>864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f t="shared" si="2"/>
        <v>115</v>
      </c>
      <c r="C20" s="10" t="str">
        <f t="shared" ca="1" si="1"/>
        <v>1PremiumW4blue</v>
      </c>
      <c r="D20" s="38">
        <v>1</v>
      </c>
      <c r="E20" s="39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38">
        <v>1</v>
      </c>
      <c r="M20" s="46">
        <f ca="1">VLOOKUP(C20,gacha_115_base!A:B,2,FALSE)</f>
        <v>6021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f t="shared" si="2"/>
        <v>115</v>
      </c>
      <c r="C21" s="10" t="str">
        <f t="shared" ca="1" si="1"/>
        <v>1PremiumW4yellow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46">
        <f ca="1">VLOOKUP(C21,gacha_115_base!A:B,2,FALSE)</f>
        <v>864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f t="shared" si="2"/>
        <v>115</v>
      </c>
      <c r="C22" s="10" t="str">
        <f t="shared" ca="1" si="1"/>
        <v>1PremiumN4red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46">
        <f ca="1">VLOOKUP(C22,gacha_115_base!A:B,2,FALSE)</f>
        <v>912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f t="shared" si="2"/>
        <v>115</v>
      </c>
      <c r="C23" s="10" t="str">
        <f t="shared" ca="1" si="1"/>
        <v>1PremiumN4green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46">
        <f ca="1">VLOOKUP(C23,gacha_115_base!A:B,2,FALSE)</f>
        <v>912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f t="shared" si="2"/>
        <v>115</v>
      </c>
      <c r="C24" s="10" t="str">
        <f t="shared" ca="1" si="1"/>
        <v>1PremiumN4blue</v>
      </c>
      <c r="D24" s="38">
        <v>1</v>
      </c>
      <c r="E24" s="39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38">
        <v>1</v>
      </c>
      <c r="M24" s="46">
        <f ca="1">VLOOKUP(C24,gacha_115_base!A:B,2,FALSE)</f>
        <v>6368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f t="shared" si="2"/>
        <v>115</v>
      </c>
      <c r="C25" s="10" t="str">
        <f t="shared" ca="1" si="1"/>
        <v>1PremiumN4yellow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46">
        <f ca="1">VLOOKUP(C25,gacha_115_base!A:B,2,FALSE)</f>
        <v>912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f t="shared" si="2"/>
        <v>115</v>
      </c>
      <c r="C26" s="10" t="str">
        <f t="shared" ca="1" si="1"/>
        <v>1PremiumN4red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46">
        <f ca="1">VLOOKUP(C26,gacha_115_base!A:B,2,FALSE)</f>
        <v>912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f t="shared" si="2"/>
        <v>115</v>
      </c>
      <c r="C27" s="10" t="str">
        <f t="shared" ca="1" si="1"/>
        <v>1PremiumN4green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46">
        <f ca="1">VLOOKUP(C27,gacha_115_base!A:B,2,FALSE)</f>
        <v>912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f t="shared" si="2"/>
        <v>115</v>
      </c>
      <c r="C28" s="10" t="str">
        <f t="shared" ca="1" si="1"/>
        <v>1PremiumN4blue</v>
      </c>
      <c r="D28" s="38">
        <v>1</v>
      </c>
      <c r="E28" s="39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38">
        <v>1</v>
      </c>
      <c r="M28" s="46">
        <f ca="1">VLOOKUP(C28,gacha_115_base!A:B,2,FALSE)</f>
        <v>6368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f t="shared" si="2"/>
        <v>115</v>
      </c>
      <c r="C29" s="10" t="str">
        <f t="shared" ca="1" si="1"/>
        <v>1PremiumN4yellow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46">
        <f ca="1">VLOOKUP(C29,gacha_115_base!A:B,2,FALSE)</f>
        <v>912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f t="shared" si="2"/>
        <v>115</v>
      </c>
      <c r="C30" s="10" t="str">
        <f t="shared" ca="1" si="1"/>
        <v>1PremiumN4red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46">
        <f ca="1">VLOOKUP(C30,gacha_115_base!A:B,2,FALSE)</f>
        <v>912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f t="shared" si="2"/>
        <v>115</v>
      </c>
      <c r="C31" s="10" t="str">
        <f t="shared" ca="1" si="1"/>
        <v>1PremiumN4green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46">
        <f ca="1">VLOOKUP(C31,gacha_115_base!A:B,2,FALSE)</f>
        <v>912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f t="shared" si="2"/>
        <v>115</v>
      </c>
      <c r="C32" s="10" t="str">
        <f t="shared" ca="1" si="1"/>
        <v>1PremiumN4yellow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46">
        <f ca="1">VLOOKUP(C32,gacha_115_base!A:B,2,FALSE)</f>
        <v>912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f t="shared" si="2"/>
        <v>115</v>
      </c>
      <c r="C33" s="10" t="str">
        <f t="shared" ca="1" si="1"/>
        <v>1PremiumN4blue</v>
      </c>
      <c r="D33" s="38">
        <v>1</v>
      </c>
      <c r="E33" s="39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38">
        <v>1</v>
      </c>
      <c r="M33" s="46">
        <f ca="1">VLOOKUP(C33,gacha_115_base!A:B,2,FALSE)</f>
        <v>6368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f t="shared" si="2"/>
        <v>115</v>
      </c>
      <c r="C34" s="10" t="str">
        <f t="shared" ca="1" si="1"/>
        <v>1PremiumN4red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46">
        <f ca="1">VLOOKUP(C34,gacha_115_base!A:B,2,FALSE)</f>
        <v>912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f t="shared" si="2"/>
        <v>115</v>
      </c>
      <c r="C35" s="10" t="str">
        <f t="shared" ca="1" si="1"/>
        <v>1PremiumN4green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46">
        <f ca="1">VLOOKUP(C35,gacha_115_base!A:B,2,FALSE)</f>
        <v>912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f t="shared" si="2"/>
        <v>115</v>
      </c>
      <c r="C36" s="10" t="str">
        <f t="shared" ca="1" si="1"/>
        <v>1PremiumN4blue</v>
      </c>
      <c r="D36" s="38">
        <v>1</v>
      </c>
      <c r="E36" s="39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38">
        <v>1</v>
      </c>
      <c r="M36" s="46">
        <f ca="1">VLOOKUP(C36,gacha_115_base!A:B,2,FALSE)</f>
        <v>6368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f t="shared" si="2"/>
        <v>115</v>
      </c>
      <c r="C37" s="10" t="str">
        <f t="shared" ca="1" si="1"/>
        <v>1PremiumN4yellow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46">
        <f ca="1">VLOOKUP(C37,gacha_115_base!A:B,2,FALSE)</f>
        <v>912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f t="shared" si="2"/>
        <v>115</v>
      </c>
      <c r="C38" s="10" t="str">
        <f t="shared" ca="1" si="1"/>
        <v>1PremiumN4red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46">
        <f ca="1">VLOOKUP(C38,gacha_115_base!A:B,2,FALSE)</f>
        <v>912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f t="shared" si="2"/>
        <v>115</v>
      </c>
      <c r="C39" s="10" t="str">
        <f t="shared" ca="1" si="1"/>
        <v>1PremiumN4green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46">
        <f ca="1">VLOOKUP(C39,gacha_115_base!A:B,2,FALSE)</f>
        <v>912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f t="shared" si="2"/>
        <v>115</v>
      </c>
      <c r="C40" s="10" t="str">
        <f t="shared" ca="1" si="1"/>
        <v>1PremiumN4blue</v>
      </c>
      <c r="D40" s="38">
        <v>1</v>
      </c>
      <c r="E40" s="39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38">
        <v>1</v>
      </c>
      <c r="M40" s="46">
        <f ca="1">VLOOKUP(C40,gacha_115_base!A:B,2,FALSE)</f>
        <v>6368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f t="shared" si="2"/>
        <v>115</v>
      </c>
      <c r="C41" s="10" t="str">
        <f t="shared" ca="1" si="1"/>
        <v>1PremiumN4yellow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46">
        <f ca="1">VLOOKUP(C41,gacha_115_base!A:B,2,FALSE)</f>
        <v>912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f t="shared" si="2"/>
        <v>115</v>
      </c>
      <c r="C42" s="10" t="str">
        <f t="shared" ca="1" si="1"/>
        <v>1PremiumS4red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46">
        <f ca="1">VLOOKUP(C42,gacha_115_base!A:B,2,FALSE)</f>
        <v>157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f t="shared" si="2"/>
        <v>115</v>
      </c>
      <c r="C43" s="10" t="str">
        <f t="shared" ca="1" si="1"/>
        <v>1PremiumS4green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46">
        <f ca="1">VLOOKUP(C43,gacha_115_base!A:B,2,FALSE)</f>
        <v>157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f t="shared" si="2"/>
        <v>115</v>
      </c>
      <c r="C44" s="10" t="str">
        <f t="shared" ca="1" si="1"/>
        <v>1PremiumS4blue</v>
      </c>
      <c r="D44" s="38">
        <v>1</v>
      </c>
      <c r="E44" s="39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38">
        <v>1</v>
      </c>
      <c r="M44" s="46">
        <f ca="1">VLOOKUP(C44,gacha_115_base!A:B,2,FALSE)</f>
        <v>1344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f t="shared" si="2"/>
        <v>115</v>
      </c>
      <c r="C45" s="10" t="str">
        <f t="shared" ca="1" si="1"/>
        <v>1PremiumS4yellow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46">
        <f ca="1">VLOOKUP(C45,gacha_115_base!A:B,2,FALSE)</f>
        <v>157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2">
        <f t="shared" si="2"/>
        <v>115</v>
      </c>
      <c r="C46" s="10" t="str">
        <f t="shared" ca="1" si="1"/>
        <v>1PremiumN5red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46">
        <f ca="1">VLOOKUP(C46,gacha_115_base!A:B,2,FALSE)</f>
        <v>71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2">
        <f t="shared" si="2"/>
        <v>115</v>
      </c>
      <c r="C47" s="10" t="str">
        <f t="shared" ca="1" si="1"/>
        <v>1PremiumN5green</v>
      </c>
      <c r="D47" s="6">
        <v>1</v>
      </c>
      <c r="E47" s="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6">
        <v>1</v>
      </c>
      <c r="M47" s="46">
        <f ca="1">VLOOKUP(C47,gacha_115_base!A:B,2,FALSE)</f>
        <v>71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2">
        <f t="shared" si="2"/>
        <v>115</v>
      </c>
      <c r="C48" s="10" t="str">
        <f t="shared" ca="1" si="1"/>
        <v>1PremiumN5blue</v>
      </c>
      <c r="D48" s="38">
        <v>1</v>
      </c>
      <c r="E48" s="39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38">
        <v>1</v>
      </c>
      <c r="M48" s="46">
        <f ca="1">VLOOKUP(C48,gacha_115_base!A:B,2,FALSE)</f>
        <v>471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2">
        <f t="shared" si="2"/>
        <v>115</v>
      </c>
      <c r="C49" s="10" t="str">
        <f t="shared" ca="1" si="1"/>
        <v>1PremiumN5yellow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46">
        <f ca="1">VLOOKUP(C49,gacha_115_base!A:B,2,FALSE)</f>
        <v>71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2">
        <f t="shared" si="2"/>
        <v>115</v>
      </c>
      <c r="C50" s="10" t="str">
        <f t="shared" ca="1" si="1"/>
        <v>1PremiumN5red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46">
        <f ca="1">VLOOKUP(C50,gacha_115_base!A:B,2,FALSE)</f>
        <v>71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2">
        <f t="shared" si="2"/>
        <v>115</v>
      </c>
      <c r="C51" s="10" t="str">
        <f t="shared" ca="1" si="1"/>
        <v>1PremiumN5green</v>
      </c>
      <c r="D51" s="6">
        <v>1</v>
      </c>
      <c r="E51" s="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6">
        <v>1</v>
      </c>
      <c r="M51" s="46">
        <f ca="1">VLOOKUP(C51,gacha_115_base!A:B,2,FALSE)</f>
        <v>71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2">
        <f t="shared" si="2"/>
        <v>115</v>
      </c>
      <c r="C52" s="10" t="str">
        <f t="shared" ca="1" si="1"/>
        <v>1PremiumN5blue</v>
      </c>
      <c r="D52" s="38">
        <v>1</v>
      </c>
      <c r="E52" s="39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38">
        <v>1</v>
      </c>
      <c r="M52" s="46">
        <f ca="1">VLOOKUP(C52,gacha_115_base!A:B,2,FALSE)</f>
        <v>471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2">
        <f t="shared" si="2"/>
        <v>115</v>
      </c>
      <c r="C53" s="10" t="str">
        <f t="shared" ca="1" si="1"/>
        <v>1PremiumN5yellow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46">
        <f ca="1">VLOOKUP(C53,gacha_115_base!A:B,2,FALSE)</f>
        <v>71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2">
        <f t="shared" si="2"/>
        <v>115</v>
      </c>
      <c r="C54" s="10" t="str">
        <f t="shared" ca="1" si="1"/>
        <v>1PremiumN5red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46">
        <f ca="1">VLOOKUP(C54,gacha_115_base!A:B,2,FALSE)</f>
        <v>71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2">
        <f t="shared" si="2"/>
        <v>115</v>
      </c>
      <c r="C55" s="10" t="str">
        <f t="shared" ca="1" si="1"/>
        <v>1PremiumN5green</v>
      </c>
      <c r="D55" s="6">
        <v>1</v>
      </c>
      <c r="E55" s="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6">
        <v>1</v>
      </c>
      <c r="M55" s="46">
        <f ca="1">VLOOKUP(C55,gacha_115_base!A:B,2,FALSE)</f>
        <v>71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2">
        <f t="shared" si="2"/>
        <v>115</v>
      </c>
      <c r="C56" s="10" t="str">
        <f t="shared" ca="1" si="1"/>
        <v>1PremiumN5yellow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46">
        <f ca="1">VLOOKUP(C56,gacha_115_base!A:B,2,FALSE)</f>
        <v>71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2">
        <f t="shared" si="2"/>
        <v>115</v>
      </c>
      <c r="C57" s="10" t="str">
        <f t="shared" ca="1" si="1"/>
        <v>1PremiumN5blue</v>
      </c>
      <c r="D57" s="38">
        <v>1</v>
      </c>
      <c r="E57" s="39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38">
        <v>1</v>
      </c>
      <c r="M57" s="46">
        <f ca="1">VLOOKUP(C57,gacha_115_base!A:B,2,FALSE)</f>
        <v>471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2">
        <f t="shared" si="2"/>
        <v>115</v>
      </c>
      <c r="C58" s="10" t="str">
        <f t="shared" ca="1" si="1"/>
        <v>1PremiumN5red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46">
        <f ca="1">VLOOKUP(C58,gacha_115_base!A:B,2,FALSE)</f>
        <v>71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2">
        <f t="shared" si="2"/>
        <v>115</v>
      </c>
      <c r="C59" s="10" t="str">
        <f t="shared" ca="1" si="1"/>
        <v>1PremiumN5green</v>
      </c>
      <c r="D59" s="6">
        <v>1</v>
      </c>
      <c r="E59" s="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6">
        <v>1</v>
      </c>
      <c r="M59" s="46">
        <f ca="1">VLOOKUP(C59,gacha_115_base!A:B,2,FALSE)</f>
        <v>71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2">
        <f t="shared" si="2"/>
        <v>115</v>
      </c>
      <c r="C60" s="10" t="str">
        <f t="shared" ca="1" si="1"/>
        <v>1PremiumN5blue</v>
      </c>
      <c r="D60" s="38">
        <v>1</v>
      </c>
      <c r="E60" s="39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38">
        <v>1</v>
      </c>
      <c r="M60" s="46">
        <f ca="1">VLOOKUP(C60,gacha_115_base!A:B,2,FALSE)</f>
        <v>471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2">
        <f t="shared" si="2"/>
        <v>115</v>
      </c>
      <c r="C61" s="10" t="str">
        <f t="shared" ca="1" si="1"/>
        <v>1PremiumN5yellow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46">
        <f ca="1">VLOOKUP(C61,gacha_115_base!A:B,2,FALSE)</f>
        <v>71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2">
        <f t="shared" si="2"/>
        <v>115</v>
      </c>
      <c r="C62" s="10" t="str">
        <f t="shared" ca="1" si="1"/>
        <v>1PremiumN5red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46">
        <f ca="1">VLOOKUP(C62,gacha_115_base!A:B,2,FALSE)</f>
        <v>71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2">
        <f t="shared" si="2"/>
        <v>115</v>
      </c>
      <c r="C63" s="10" t="str">
        <f t="shared" ca="1" si="1"/>
        <v>1PremiumN5green</v>
      </c>
      <c r="D63" s="6">
        <v>1</v>
      </c>
      <c r="E63" s="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6">
        <v>1</v>
      </c>
      <c r="M63" s="46">
        <f ca="1">VLOOKUP(C63,gacha_115_base!A:B,2,FALSE)</f>
        <v>71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2">
        <f t="shared" si="2"/>
        <v>115</v>
      </c>
      <c r="C64" s="10" t="str">
        <f t="shared" ca="1" si="1"/>
        <v>1PremiumN5blue</v>
      </c>
      <c r="D64" s="38">
        <v>1</v>
      </c>
      <c r="E64" s="39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38">
        <v>1</v>
      </c>
      <c r="M64" s="46">
        <f ca="1">VLOOKUP(C64,gacha_115_base!A:B,2,FALSE)</f>
        <v>471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2">
        <f t="shared" si="2"/>
        <v>115</v>
      </c>
      <c r="C65" s="10" t="str">
        <f t="shared" ca="1" si="1"/>
        <v>1PremiumN5yellow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46">
        <f ca="1">VLOOKUP(C65,gacha_115_base!A:B,2,FALSE)</f>
        <v>71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54" si="3">D66&amp;E66&amp;L66</f>
        <v>12281</v>
      </c>
      <c r="B66" s="2">
        <f t="shared" si="2"/>
        <v>115</v>
      </c>
      <c r="C66" s="10" t="str">
        <f t="shared" ca="1" si="1"/>
        <v>1PremiumS5red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46">
        <f ca="1">VLOOKUP(C66,gacha_115_base!A:B,2,FALSE)</f>
        <v>7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3"/>
        <v>12311</v>
      </c>
      <c r="B67" s="2">
        <f t="shared" si="2"/>
        <v>115</v>
      </c>
      <c r="C67" s="10" t="str">
        <f t="shared" ref="C67:C130" ca="1" si="4">D67&amp;G67&amp;H67&amp;I67</f>
        <v>1PremiumS5green</v>
      </c>
      <c r="D67" s="6">
        <v>1</v>
      </c>
      <c r="E67" s="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6">
        <v>1</v>
      </c>
      <c r="M67" s="46">
        <f ca="1">VLOOKUP(C67,gacha_115_base!A:B,2,FALSE)</f>
        <v>7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3"/>
        <v>12341</v>
      </c>
      <c r="B68" s="2">
        <f t="shared" ref="B68:B131" si="5">$B$2</f>
        <v>115</v>
      </c>
      <c r="C68" s="10" t="str">
        <f t="shared" ca="1" si="4"/>
        <v>1PremiumS5blue</v>
      </c>
      <c r="D68" s="38">
        <v>1</v>
      </c>
      <c r="E68" s="39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38">
        <v>1</v>
      </c>
      <c r="M68" s="46">
        <f ca="1">VLOOKUP(C68,gacha_115_base!A:B,2,FALSE)</f>
        <v>56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3"/>
        <v>12371</v>
      </c>
      <c r="B69" s="2">
        <f t="shared" si="5"/>
        <v>115</v>
      </c>
      <c r="C69" s="10" t="str">
        <f t="shared" ca="1" si="4"/>
        <v>1PremiumS5yellow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46">
        <f ca="1">VLOOKUP(C69,gacha_115_base!A:B,2,FALSE)</f>
        <v>7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3"/>
        <v>12391</v>
      </c>
      <c r="B70" s="2">
        <f t="shared" si="5"/>
        <v>115</v>
      </c>
      <c r="C70" s="10" t="str">
        <f t="shared" ca="1" si="4"/>
        <v>1PremiumS4red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46">
        <f ca="1">VLOOKUP(C70,gacha_115_base!A:B,2,FALSE)</f>
        <v>157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3"/>
        <v>12401</v>
      </c>
      <c r="B71" s="2">
        <f t="shared" si="5"/>
        <v>115</v>
      </c>
      <c r="C71" s="10" t="str">
        <f t="shared" ca="1" si="4"/>
        <v>1PremiumS5red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46">
        <f ca="1">VLOOKUP(C71,gacha_115_base!A:B,2,FALSE)</f>
        <v>7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3"/>
        <v>12421</v>
      </c>
      <c r="B72" s="2">
        <f t="shared" si="5"/>
        <v>115</v>
      </c>
      <c r="C72" s="10" t="str">
        <f t="shared" ca="1" si="4"/>
        <v>1PremiumS4green</v>
      </c>
      <c r="D72" s="6">
        <v>1</v>
      </c>
      <c r="E72" s="19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6">
        <v>1</v>
      </c>
      <c r="M72" s="46">
        <f ca="1">VLOOKUP(C72,gacha_115_base!A:B,2,FALSE)</f>
        <v>157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3"/>
        <v>12431</v>
      </c>
      <c r="B73" s="2">
        <f t="shared" si="5"/>
        <v>115</v>
      </c>
      <c r="C73" s="10" t="str">
        <f t="shared" ca="1" si="4"/>
        <v>1PremiumS5green</v>
      </c>
      <c r="D73" s="6">
        <v>1</v>
      </c>
      <c r="E73" s="19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6">
        <v>1</v>
      </c>
      <c r="M73" s="46">
        <f ca="1">VLOOKUP(C73,gacha_115_base!A:B,2,FALSE)</f>
        <v>7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3"/>
        <v>12451</v>
      </c>
      <c r="B74" s="2">
        <f t="shared" si="5"/>
        <v>115</v>
      </c>
      <c r="C74" s="10" t="str">
        <f t="shared" ca="1" si="4"/>
        <v>1PremiumS4blue</v>
      </c>
      <c r="D74" s="38">
        <v>1</v>
      </c>
      <c r="E74" s="40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38">
        <v>1</v>
      </c>
      <c r="M74" s="46">
        <f ca="1">VLOOKUP(C74,gacha_115_base!A:B,2,FALSE)</f>
        <v>1344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3"/>
        <v>12461</v>
      </c>
      <c r="B75" s="2">
        <f t="shared" si="5"/>
        <v>115</v>
      </c>
      <c r="C75" s="10" t="str">
        <f t="shared" ca="1" si="4"/>
        <v>1PremiumS5blue</v>
      </c>
      <c r="D75" s="38">
        <v>1</v>
      </c>
      <c r="E75" s="40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38">
        <v>1</v>
      </c>
      <c r="M75" s="46">
        <f ca="1">VLOOKUP(C75,gacha_115_base!A:B,2,FALSE)</f>
        <v>56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3"/>
        <v>12481</v>
      </c>
      <c r="B76" s="2">
        <f t="shared" si="5"/>
        <v>115</v>
      </c>
      <c r="C76" s="10" t="str">
        <f t="shared" ca="1" si="4"/>
        <v>1PremiumS4yellow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46">
        <f ca="1">VLOOKUP(C76,gacha_115_base!A:B,2,FALSE)</f>
        <v>157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3"/>
        <v>12491</v>
      </c>
      <c r="B77" s="2">
        <f t="shared" si="5"/>
        <v>115</v>
      </c>
      <c r="C77" s="10" t="str">
        <f t="shared" ca="1" si="4"/>
        <v>1PremiumS5yellow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46">
        <f ca="1">VLOOKUP(C77,gacha_115_base!A:B,2,FALSE)</f>
        <v>7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3"/>
        <v>12511</v>
      </c>
      <c r="B78" s="2">
        <f t="shared" si="5"/>
        <v>115</v>
      </c>
      <c r="C78" s="10" t="str">
        <f t="shared" ca="1" si="4"/>
        <v>1PremiumS4red</v>
      </c>
      <c r="D78" s="6">
        <v>1</v>
      </c>
      <c r="E78" s="7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46">
        <f ca="1">VLOOKUP(C78,gacha_115_base!A:B,2,FALSE)</f>
        <v>157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3"/>
        <v>12521</v>
      </c>
      <c r="B79" s="2">
        <f t="shared" si="5"/>
        <v>115</v>
      </c>
      <c r="C79" s="10" t="str">
        <f t="shared" ca="1" si="4"/>
        <v>1PremiumS5red</v>
      </c>
      <c r="D79" s="6">
        <v>1</v>
      </c>
      <c r="E79" s="7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46">
        <f ca="1">VLOOKUP(C79,gacha_115_base!A:B,2,FALSE)</f>
        <v>7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3"/>
        <v>12541</v>
      </c>
      <c r="B80" s="2">
        <f t="shared" si="5"/>
        <v>115</v>
      </c>
      <c r="C80" s="10" t="str">
        <f t="shared" ca="1" si="4"/>
        <v>1PremiumS4green</v>
      </c>
      <c r="D80" s="6">
        <v>1</v>
      </c>
      <c r="E80" s="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6">
        <v>1</v>
      </c>
      <c r="M80" s="46">
        <f ca="1">VLOOKUP(C80,gacha_115_base!A:B,2,FALSE)</f>
        <v>157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3"/>
        <v>12551</v>
      </c>
      <c r="B81" s="2">
        <f t="shared" si="5"/>
        <v>115</v>
      </c>
      <c r="C81" s="10" t="str">
        <f t="shared" ca="1" si="4"/>
        <v>1PremiumS5green</v>
      </c>
      <c r="D81" s="6">
        <v>1</v>
      </c>
      <c r="E81" s="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6">
        <v>1</v>
      </c>
      <c r="M81" s="46">
        <f ca="1">VLOOKUP(C81,gacha_115_base!A:B,2,FALSE)</f>
        <v>7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3"/>
        <v>12571</v>
      </c>
      <c r="B82" s="2">
        <f t="shared" si="5"/>
        <v>115</v>
      </c>
      <c r="C82" s="10" t="str">
        <f t="shared" ca="1" si="4"/>
        <v>1PremiumS4blue</v>
      </c>
      <c r="D82" s="38">
        <v>1</v>
      </c>
      <c r="E82" s="39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38">
        <v>1</v>
      </c>
      <c r="M82" s="46">
        <f ca="1">VLOOKUP(C82,gacha_115_base!A:B,2,FALSE)</f>
        <v>1344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3"/>
        <v>12581</v>
      </c>
      <c r="B83" s="2">
        <f t="shared" si="5"/>
        <v>115</v>
      </c>
      <c r="C83" s="10" t="str">
        <f t="shared" ca="1" si="4"/>
        <v>1PremiumS5blue</v>
      </c>
      <c r="D83" s="38">
        <v>1</v>
      </c>
      <c r="E83" s="39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38">
        <v>1</v>
      </c>
      <c r="M83" s="46">
        <f ca="1">VLOOKUP(C83,gacha_115_base!A:B,2,FALSE)</f>
        <v>56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3"/>
        <v>12601</v>
      </c>
      <c r="B84" s="2">
        <f t="shared" si="5"/>
        <v>115</v>
      </c>
      <c r="C84" s="10" t="str">
        <f t="shared" ca="1" si="4"/>
        <v>1PremiumS4yellow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46">
        <f ca="1">VLOOKUP(C84,gacha_115_base!A:B,2,FALSE)</f>
        <v>157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3"/>
        <v>12611</v>
      </c>
      <c r="B85" s="2">
        <f t="shared" si="5"/>
        <v>115</v>
      </c>
      <c r="C85" s="10" t="str">
        <f t="shared" ca="1" si="4"/>
        <v>1PremiumS5yellow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46">
        <f ca="1">VLOOKUP(C85,gacha_115_base!A:B,2,FALSE)</f>
        <v>7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3"/>
        <v>13201</v>
      </c>
      <c r="B86" s="2">
        <f t="shared" si="5"/>
        <v>115</v>
      </c>
      <c r="C86" s="10" t="str">
        <f t="shared" ca="1" si="4"/>
        <v>1PremiumSS4red</v>
      </c>
      <c r="D86" s="21">
        <v>1</v>
      </c>
      <c r="E86" s="27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21">
        <v>1</v>
      </c>
      <c r="M86" s="46">
        <f ca="1">VLOOKUP(C86,gacha_115_base!A:B,2,FALSE)</f>
        <v>108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3"/>
        <v>13211</v>
      </c>
      <c r="B87" s="2">
        <f t="shared" si="5"/>
        <v>115</v>
      </c>
      <c r="C87" s="10" t="str">
        <f t="shared" ca="1" si="4"/>
        <v>1PremiumSS5red</v>
      </c>
      <c r="D87" s="6">
        <v>1</v>
      </c>
      <c r="E87" s="7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46">
        <f ca="1">VLOOKUP(C87,gacha_115_base!A:B,2,FALSE)</f>
        <v>17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3"/>
        <v>13221</v>
      </c>
      <c r="B88" s="2">
        <f t="shared" si="5"/>
        <v>115</v>
      </c>
      <c r="C88" s="10" t="str">
        <f t="shared" ca="1" si="4"/>
        <v>1PremiumSS4green</v>
      </c>
      <c r="D88" s="6">
        <v>1</v>
      </c>
      <c r="E88" s="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6">
        <v>1</v>
      </c>
      <c r="M88" s="46">
        <f ca="1">VLOOKUP(C88,gacha_115_base!A:B,2,FALSE)</f>
        <v>108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3"/>
        <v>13231</v>
      </c>
      <c r="B89" s="2">
        <f t="shared" si="5"/>
        <v>115</v>
      </c>
      <c r="C89" s="10" t="str">
        <f t="shared" ca="1" si="4"/>
        <v>1PremiumSS5green</v>
      </c>
      <c r="D89" s="6">
        <v>1</v>
      </c>
      <c r="E89" s="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6">
        <v>1</v>
      </c>
      <c r="M89" s="46">
        <f ca="1">VLOOKUP(C89,gacha_115_base!A:B,2,FALSE)</f>
        <v>17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3"/>
        <v>13241</v>
      </c>
      <c r="B90" s="2">
        <f t="shared" si="5"/>
        <v>115</v>
      </c>
      <c r="C90" s="10" t="str">
        <f t="shared" ca="1" si="4"/>
        <v>1PremiumSS4blue</v>
      </c>
      <c r="D90" s="38">
        <v>1</v>
      </c>
      <c r="E90" s="39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38">
        <v>1</v>
      </c>
      <c r="M90" s="46">
        <f ca="1">VLOOKUP(C90,gacha_115_base!A:B,2,FALSE)</f>
        <v>383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3"/>
        <v>13251</v>
      </c>
      <c r="B91" s="2">
        <f t="shared" si="5"/>
        <v>115</v>
      </c>
      <c r="C91" s="10" t="str">
        <f t="shared" ca="1" si="4"/>
        <v>1PremiumSS5blue</v>
      </c>
      <c r="D91" s="38">
        <v>1</v>
      </c>
      <c r="E91" s="39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38">
        <v>1</v>
      </c>
      <c r="M91" s="46">
        <f ca="1">VLOOKUP(C91,gacha_115_base!A:B,2,FALSE)</f>
        <v>117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3"/>
        <v>13261</v>
      </c>
      <c r="B92" s="2">
        <f t="shared" si="5"/>
        <v>115</v>
      </c>
      <c r="C92" s="10" t="str">
        <f t="shared" ca="1" si="4"/>
        <v>1PremiumSS4yellow</v>
      </c>
      <c r="D92" s="31">
        <v>1</v>
      </c>
      <c r="E92" s="32">
        <v>326</v>
      </c>
      <c r="F92" s="33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33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33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33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33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33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31">
        <v>1</v>
      </c>
      <c r="M92" s="46">
        <f ca="1">VLOOKUP(C92,gacha_115_base!A:B,2,FALSE)</f>
        <v>108</v>
      </c>
      <c r="N92" s="34">
        <v>0</v>
      </c>
      <c r="O92" s="34">
        <v>0</v>
      </c>
      <c r="P92" s="34">
        <v>0</v>
      </c>
      <c r="Q92" s="34">
        <v>0</v>
      </c>
      <c r="R92" s="34">
        <v>1</v>
      </c>
    </row>
    <row r="93" spans="1:18" ht="21" customHeight="1" thickBot="1">
      <c r="A93" s="22" t="str">
        <f t="shared" si="3"/>
        <v>13271</v>
      </c>
      <c r="B93" s="2">
        <f t="shared" si="5"/>
        <v>115</v>
      </c>
      <c r="C93" s="10" t="str">
        <f t="shared" ca="1" si="4"/>
        <v>1PremiumSS5yellow</v>
      </c>
      <c r="D93" s="6">
        <v>1</v>
      </c>
      <c r="E93" s="7">
        <v>327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6">
        <v>1</v>
      </c>
      <c r="M93" s="46">
        <f ca="1">VLOOKUP(C93,gacha_115_base!A:B,2,FALSE)</f>
        <v>17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 thickBot="1">
      <c r="A94" s="22" t="str">
        <f t="shared" si="3"/>
        <v>13811</v>
      </c>
      <c r="B94" s="2">
        <f t="shared" si="5"/>
        <v>115</v>
      </c>
      <c r="C94" s="10" t="str">
        <f t="shared" ca="1" si="4"/>
        <v>1PremiumS4red</v>
      </c>
      <c r="D94" s="6">
        <v>1</v>
      </c>
      <c r="E94" s="27">
        <v>381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PremiumS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4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ドラゴン</v>
      </c>
      <c r="L94" s="6">
        <v>1</v>
      </c>
      <c r="M94" s="46">
        <f ca="1">VLOOKUP(C94,gacha_115_base!A:B,2,FALSE)</f>
        <v>157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 thickBot="1">
      <c r="A95" s="22" t="str">
        <f t="shared" si="3"/>
        <v>13821</v>
      </c>
      <c r="B95" s="2">
        <f t="shared" si="5"/>
        <v>115</v>
      </c>
      <c r="C95" s="10" t="str">
        <f t="shared" ca="1" si="4"/>
        <v>1PremiumS5red</v>
      </c>
      <c r="D95" s="6">
        <v>1</v>
      </c>
      <c r="E95" s="27">
        <v>382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PremiumS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red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ドラゴン</v>
      </c>
      <c r="L95" s="6">
        <v>1</v>
      </c>
      <c r="M95" s="46">
        <f ca="1">VLOOKUP(C95,gacha_115_base!A:B,2,FALSE)</f>
        <v>7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 thickBot="1">
      <c r="A96" s="22" t="str">
        <f t="shared" si="3"/>
        <v>13831</v>
      </c>
      <c r="B96" s="2">
        <f t="shared" si="5"/>
        <v>115</v>
      </c>
      <c r="C96" s="10" t="str">
        <f t="shared" ca="1" si="4"/>
        <v>1PremiumSS4green</v>
      </c>
      <c r="D96" s="6">
        <v>1</v>
      </c>
      <c r="E96" s="27">
        <v>383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4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6">
        <v>1</v>
      </c>
      <c r="M96" s="46">
        <f ca="1">VLOOKUP(C96,gacha_115_base!A:B,2,FALSE)</f>
        <v>108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 thickBot="1">
      <c r="A97" s="22" t="str">
        <f t="shared" si="3"/>
        <v>13841</v>
      </c>
      <c r="B97" s="2">
        <f t="shared" si="5"/>
        <v>115</v>
      </c>
      <c r="C97" s="10" t="str">
        <f t="shared" ca="1" si="4"/>
        <v>1PremiumSS5green</v>
      </c>
      <c r="D97" s="6">
        <v>1</v>
      </c>
      <c r="E97" s="27">
        <v>384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green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ドラゴン</v>
      </c>
      <c r="L97" s="6">
        <v>1</v>
      </c>
      <c r="M97" s="46">
        <f ca="1">VLOOKUP(C97,gacha_115_base!A:B,2,FALSE)</f>
        <v>17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 thickBot="1">
      <c r="A98" s="22" t="str">
        <f t="shared" si="3"/>
        <v>13851</v>
      </c>
      <c r="B98" s="2">
        <f t="shared" si="5"/>
        <v>115</v>
      </c>
      <c r="C98" s="10" t="str">
        <f ca="1">D98&amp;G98&amp;H98&amp;I98&amp;"pick"</f>
        <v>1PremiumSS4bluepick</v>
      </c>
      <c r="D98" s="38">
        <v>1</v>
      </c>
      <c r="E98" s="41">
        <v>385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PremiumSS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blue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38">
        <v>1</v>
      </c>
      <c r="M98" s="46">
        <f ca="1">VLOOKUP(C98,gacha_115_base!A:B,2,FALSE)</f>
        <v>840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 thickBot="1">
      <c r="A99" s="22" t="str">
        <f t="shared" si="3"/>
        <v>13861</v>
      </c>
      <c r="B99" s="2">
        <f t="shared" si="5"/>
        <v>115</v>
      </c>
      <c r="C99" s="10" t="str">
        <f ca="1">D99&amp;G99&amp;H99&amp;I99&amp;"pick"</f>
        <v>1PremiumSS5bluepick</v>
      </c>
      <c r="D99" s="42">
        <v>1</v>
      </c>
      <c r="E99" s="43">
        <v>386</v>
      </c>
      <c r="F99" s="33" t="str">
        <f ca="1">VLOOKUP($E99,OFFSET([1]characters!$A$2,0,0,COUNTA([1]characters!$A:$A),MATCH(F$1,[1]characters!$2:$2,0)-MATCH($E$1,[1]characters!$2:$2,0)+1),MATCH(F$1,[1]characters!$2:$2,0)-MATCH($E$1,[1]characters!$2:$2,0)+1,FALSE)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99" s="33" t="str">
        <f ca="1">VLOOKUP($E99,OFFSET([1]characters!$A$2,0,0,COUNTA([1]characters!$A:$A),MATCH(G$1,[1]characters!$2:$2,0)-MATCH($E$1,[1]characters!$2:$2,0)+1),MATCH(G$1,[1]characters!$2:$2,0)-MATCH($E$1,[1]characters!$2:$2,0)+1,FALSE)</f>
        <v>PremiumSS</v>
      </c>
      <c r="H99" s="33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33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33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33" t="str">
        <f ca="1">VLOOKUP($E99,OFFSET([1]characters!$A$2,0,0,COUNTA([1]characters!$A:$A),MATCH($K$1,[1]characters!$1:$1,0)-MATCH($E$1,[1]characters!$2:$2,0)+2),MATCH($K$1,[1]characters!$1:$1,0)-MATCH($E$1,[1]characters!$2:$2,0)+2,FALSE)</f>
        <v>ドラゴン</v>
      </c>
      <c r="L99" s="42">
        <v>1</v>
      </c>
      <c r="M99" s="46">
        <f ca="1">VLOOKUP(C99,gacha_115_base!A:B,2,FALSE)</f>
        <v>160</v>
      </c>
      <c r="N99" s="34">
        <v>0</v>
      </c>
      <c r="O99" s="34">
        <v>0</v>
      </c>
      <c r="P99" s="34">
        <v>0</v>
      </c>
      <c r="Q99" s="34">
        <v>0</v>
      </c>
      <c r="R99" s="34">
        <v>1</v>
      </c>
    </row>
    <row r="100" spans="1:18" ht="21" customHeight="1">
      <c r="A100" s="30" t="str">
        <f t="shared" si="3"/>
        <v>13881</v>
      </c>
      <c r="B100" s="2">
        <f t="shared" si="5"/>
        <v>115</v>
      </c>
      <c r="C100" s="10" t="str">
        <f t="shared" ca="1" si="4"/>
        <v>1PremiumS4yellow</v>
      </c>
      <c r="D100" s="31">
        <v>1</v>
      </c>
      <c r="E100" s="32">
        <v>388</v>
      </c>
      <c r="F100" s="33" t="str">
        <f ca="1">VLOOKUP($E100,OFFSET([1]characters!$A$2,0,0,COUNTA([1]characters!$A:$A),MATCH(F$1,[1]characters!$2:$2,0)-MATCH($E$1,[1]characters!$2:$2,0)+1),MATCH(F$1,[1]characters!$2:$2,0)-MATCH($E$1,[1]characters!$2:$2,0)+1,FALSE)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00" s="33" t="str">
        <f ca="1">VLOOKUP($E100,OFFSET([1]characters!$A$2,0,0,COUNTA([1]characters!$A:$A),MATCH(G$1,[1]characters!$2:$2,0)-MATCH($E$1,[1]characters!$2:$2,0)+1),MATCH(G$1,[1]characters!$2:$2,0)-MATCH($E$1,[1]characters!$2:$2,0)+1,FALSE)</f>
        <v>PremiumS</v>
      </c>
      <c r="H100" s="33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33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33" t="str">
        <f ca="1">VLOOKUP($E100,OFFSET([1]characters!$A$2,0,0,COUNTA([1]characters!$A:$A),MATCH("タイプ",[1]characters!$1:$1,0)-MATCH($E$1,[1]characters!$2:$2,0)+2),MATCH("タイプ",[1]characters!$1:$1,0)-MATCH($E$1,[1]characters!$2:$2,0)+2,FALSE)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0" s="33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31">
        <v>1</v>
      </c>
      <c r="M100" s="46">
        <f ca="1">VLOOKUP(C100,gacha_115_base!A:B,2,FALSE)</f>
        <v>157</v>
      </c>
      <c r="N100" s="34">
        <v>0</v>
      </c>
      <c r="O100" s="34">
        <v>0</v>
      </c>
      <c r="P100" s="34">
        <v>0</v>
      </c>
      <c r="Q100" s="34">
        <v>0</v>
      </c>
      <c r="R100" s="34">
        <v>1</v>
      </c>
    </row>
    <row r="101" spans="1:18" s="36" customFormat="1" ht="21" customHeight="1" thickBot="1">
      <c r="A101" s="35" t="str">
        <f t="shared" si="3"/>
        <v>13891</v>
      </c>
      <c r="B101" s="2">
        <f t="shared" si="5"/>
        <v>115</v>
      </c>
      <c r="C101" s="10" t="str">
        <f t="shared" ca="1" si="4"/>
        <v>1PremiumS5yellow</v>
      </c>
      <c r="D101" s="24">
        <v>1</v>
      </c>
      <c r="E101" s="25">
        <v>389</v>
      </c>
      <c r="F101" s="23" t="str">
        <f ca="1">VLOOKUP($E101,OFFSET([1]characters!$A$2,0,0,COUNTA([1]characters!$A:$A),MATCH(F$1,[1]characters!$2:$2,0)-MATCH($E$1,[1]characters!$2:$2,0)+1),MATCH(F$1,[1]characters!$2:$2,0)-MATCH($E$1,[1]characters!$2:$2,0)+1,FALSE)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01" s="23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23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23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23" t="str">
        <f ca="1">VLOOKUP($E101,OFFSET([1]characters!$A$2,0,0,COUNTA([1]characters!$A:$A),MATCH("タイプ",[1]characters!$1:$1,0)-MATCH($E$1,[1]characters!$2:$2,0)+2),MATCH("タイプ",[1]characters!$1:$1,0)-MATCH($E$1,[1]characters!$2:$2,0)+2,FALSE)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1" s="23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24">
        <v>1</v>
      </c>
      <c r="M101" s="46">
        <f ca="1">VLOOKUP(C101,gacha_115_base!A:B,2,FALSE)</f>
        <v>7</v>
      </c>
      <c r="N101" s="29">
        <v>0</v>
      </c>
      <c r="O101" s="29">
        <v>0</v>
      </c>
      <c r="P101" s="29">
        <v>0</v>
      </c>
      <c r="Q101" s="29">
        <v>0</v>
      </c>
      <c r="R101" s="29">
        <v>1</v>
      </c>
    </row>
    <row r="102" spans="1:18" ht="21" customHeight="1">
      <c r="A102" s="8" t="str">
        <f t="shared" si="3"/>
        <v>01261</v>
      </c>
      <c r="B102" s="2">
        <f t="shared" si="5"/>
        <v>115</v>
      </c>
      <c r="C102" s="10" t="str">
        <f t="shared" ca="1" si="4"/>
        <v>0PremiumW3red</v>
      </c>
      <c r="D102" s="21">
        <v>0</v>
      </c>
      <c r="E102" s="27">
        <v>126</v>
      </c>
      <c r="F102" s="20" t="str">
        <f ca="1">VLOOKUP($E102,OFFSET([1]characters!$A$2,0,0,COUNTA([1]characters!$A:$A),MATCH(F$1,[1]characters!$2:$2,0)-MATCH($E$1,[1]characters!$2:$2,0)+1),MATCH(F$1,[1]characters!$2:$2,0)-MATCH($E$1,[1]characters!$2:$2,0)+1,FALSE)</f>
        <v>骨器使い ユノ</v>
      </c>
      <c r="G102" s="2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2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2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20" t="str">
        <f ca="1">VLOOKUP($E102,OFFSET([1]characters!$A$2,0,0,COUNTA([1]characters!$A:$A),MATCH("タイプ",[1]characters!$1:$1,0)-MATCH($E$1,[1]characters!$2:$2,0)+2),MATCH("タイプ",[1]characters!$1:$1,0)-MATCH($E$1,[1]characters!$2:$2,0)+2,FALSE)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2" s="2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1">
        <v>1</v>
      </c>
      <c r="M102" s="46">
        <f ca="1">VLOOKUP(C102,gacha_115_base!A:B,2,FALSE)</f>
        <v>984</v>
      </c>
      <c r="N102" s="18">
        <v>0</v>
      </c>
      <c r="O102" s="18">
        <v>0</v>
      </c>
      <c r="P102" s="18">
        <v>0</v>
      </c>
      <c r="Q102" s="18">
        <v>0</v>
      </c>
      <c r="R102" s="18">
        <v>1</v>
      </c>
    </row>
    <row r="103" spans="1:18" ht="21" customHeight="1">
      <c r="A103" s="8" t="str">
        <f t="shared" si="3"/>
        <v>01281</v>
      </c>
      <c r="B103" s="2">
        <f t="shared" si="5"/>
        <v>115</v>
      </c>
      <c r="C103" s="10" t="str">
        <f t="shared" ca="1" si="4"/>
        <v>0PremiumW3green</v>
      </c>
      <c r="D103" s="21">
        <v>0</v>
      </c>
      <c r="E103" s="27">
        <v>128</v>
      </c>
      <c r="F103" s="20" t="str">
        <f ca="1">VLOOKUP($E103,OFFSET([1]characters!$A$2,0,0,COUNTA([1]characters!$A:$A),MATCH(F$1,[1]characters!$2:$2,0)-MATCH($E$1,[1]characters!$2:$2,0)+1),MATCH(F$1,[1]characters!$2:$2,0)-MATCH($E$1,[1]characters!$2:$2,0)+1,FALSE)</f>
        <v>野生児 アマラ</v>
      </c>
      <c r="G103" s="2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2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2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2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2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21">
        <v>1</v>
      </c>
      <c r="M103" s="46">
        <f ca="1">VLOOKUP(C103,gacha_115_base!A:B,2,FALSE)</f>
        <v>984</v>
      </c>
      <c r="N103" s="18">
        <v>0</v>
      </c>
      <c r="O103" s="18">
        <v>0</v>
      </c>
      <c r="P103" s="18">
        <v>0</v>
      </c>
      <c r="Q103" s="18">
        <v>0</v>
      </c>
      <c r="R103" s="18">
        <v>1</v>
      </c>
    </row>
    <row r="104" spans="1:18" ht="21" customHeight="1">
      <c r="A104" s="8" t="str">
        <f t="shared" si="3"/>
        <v>01301</v>
      </c>
      <c r="B104" s="2">
        <f t="shared" si="5"/>
        <v>115</v>
      </c>
      <c r="C104" s="10" t="str">
        <f t="shared" ca="1" si="4"/>
        <v>0PremiumW3blue</v>
      </c>
      <c r="D104" s="38">
        <v>0</v>
      </c>
      <c r="E104" s="39">
        <v>130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狼男 ローレンス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アニマル</v>
      </c>
      <c r="L104" s="38">
        <v>1</v>
      </c>
      <c r="M104" s="46">
        <f ca="1">VLOOKUP(C104,gacha_115_base!A:B,2,FALSE)</f>
        <v>6888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3"/>
        <v>01321</v>
      </c>
      <c r="B105" s="2">
        <f t="shared" si="5"/>
        <v>115</v>
      </c>
      <c r="C105" s="10" t="str">
        <f t="shared" ca="1" si="4"/>
        <v>0PremiumW3yellow</v>
      </c>
      <c r="D105" s="6">
        <v>0</v>
      </c>
      <c r="E105" s="7">
        <v>132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鳥人ハヤト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46">
        <f ca="1">VLOOKUP(C105,gacha_115_base!A:B,2,FALSE)</f>
        <v>984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3"/>
        <v>01341</v>
      </c>
      <c r="B106" s="2">
        <f t="shared" si="5"/>
        <v>115</v>
      </c>
      <c r="C106" s="10" t="str">
        <f t="shared" ca="1" si="4"/>
        <v>0PremiumW3red</v>
      </c>
      <c r="D106" s="6">
        <v>0</v>
      </c>
      <c r="E106" s="7">
        <v>134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妖炎の夕霧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46">
        <f ca="1">VLOOKUP(C106,gacha_115_base!A:B,2,FALSE)</f>
        <v>984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3"/>
        <v>01361</v>
      </c>
      <c r="B107" s="2">
        <f t="shared" si="5"/>
        <v>115</v>
      </c>
      <c r="C107" s="10" t="str">
        <f t="shared" ca="1" si="4"/>
        <v>0PremiumW3green</v>
      </c>
      <c r="D107" s="6">
        <v>0</v>
      </c>
      <c r="E107" s="7">
        <v>136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お針子チハヤ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46">
        <f ca="1">VLOOKUP(C107,gacha_115_base!A:B,2,FALSE)</f>
        <v>984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3"/>
        <v>01381</v>
      </c>
      <c r="B108" s="2">
        <f t="shared" si="5"/>
        <v>115</v>
      </c>
      <c r="C108" s="10" t="str">
        <f t="shared" ca="1" si="4"/>
        <v>0PremiumW3blue</v>
      </c>
      <c r="D108" s="38">
        <v>0</v>
      </c>
      <c r="E108" s="39">
        <v>138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蒼薙のトモエ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38">
        <v>1</v>
      </c>
      <c r="M108" s="46">
        <f ca="1">VLOOKUP(C108,gacha_115_base!A:B,2,FALSE)</f>
        <v>6888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3"/>
        <v>01401</v>
      </c>
      <c r="B109" s="2">
        <f t="shared" si="5"/>
        <v>115</v>
      </c>
      <c r="C109" s="10" t="str">
        <f t="shared" ca="1" si="4"/>
        <v>0PremiumW3yellow</v>
      </c>
      <c r="D109" s="6">
        <v>0</v>
      </c>
      <c r="E109" s="7">
        <v>140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秋祭のタマモ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アニマル</v>
      </c>
      <c r="L109" s="6">
        <v>1</v>
      </c>
      <c r="M109" s="46">
        <f ca="1">VLOOKUP(C109,gacha_115_base!A:B,2,FALSE)</f>
        <v>984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3"/>
        <v>01421</v>
      </c>
      <c r="B110" s="2">
        <f t="shared" si="5"/>
        <v>115</v>
      </c>
      <c r="C110" s="10" t="str">
        <f t="shared" ca="1" si="4"/>
        <v>0PremiumW3red</v>
      </c>
      <c r="D110" s="6">
        <v>0</v>
      </c>
      <c r="E110" s="7">
        <v>142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赤ずきん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46">
        <f ca="1">VLOOKUP(C110,gacha_115_base!A:B,2,FALSE)</f>
        <v>984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3"/>
        <v>01441</v>
      </c>
      <c r="B111" s="2">
        <f t="shared" si="5"/>
        <v>115</v>
      </c>
      <c r="C111" s="10" t="str">
        <f t="shared" ca="1" si="4"/>
        <v>0PremiumW3green</v>
      </c>
      <c r="D111" s="6">
        <v>0</v>
      </c>
      <c r="E111" s="7">
        <v>144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かぐや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6">
        <v>1</v>
      </c>
      <c r="M111" s="46">
        <f ca="1">VLOOKUP(C111,gacha_115_base!A:B,2,FALSE)</f>
        <v>984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3"/>
        <v>01461</v>
      </c>
      <c r="B112" s="2">
        <f t="shared" si="5"/>
        <v>115</v>
      </c>
      <c r="C112" s="10" t="str">
        <f t="shared" ca="1" si="4"/>
        <v>0PremiumW3blue</v>
      </c>
      <c r="D112" s="38">
        <v>0</v>
      </c>
      <c r="E112" s="39">
        <v>146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マーメイド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38">
        <v>1</v>
      </c>
      <c r="M112" s="46">
        <f ca="1">VLOOKUP(C112,gacha_115_base!A:B,2,FALSE)</f>
        <v>6888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3"/>
        <v>01481</v>
      </c>
      <c r="B113" s="2">
        <f t="shared" si="5"/>
        <v>115</v>
      </c>
      <c r="C113" s="10" t="str">
        <f t="shared" ca="1" si="4"/>
        <v>0PremiumW3yellow</v>
      </c>
      <c r="D113" s="6">
        <v>0</v>
      </c>
      <c r="E113" s="7">
        <v>148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シンデレラ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46">
        <f ca="1">VLOOKUP(C113,gacha_115_base!A:B,2,FALSE)</f>
        <v>984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3"/>
        <v>01501</v>
      </c>
      <c r="B114" s="2">
        <f t="shared" si="5"/>
        <v>115</v>
      </c>
      <c r="C114" s="10" t="str">
        <f t="shared" ca="1" si="4"/>
        <v>0PremiumW3red</v>
      </c>
      <c r="D114" s="6">
        <v>0</v>
      </c>
      <c r="E114" s="7">
        <v>150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46">
        <f ca="1">VLOOKUP(C114,gacha_115_base!A:B,2,FALSE)</f>
        <v>984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3"/>
        <v>01521</v>
      </c>
      <c r="B115" s="2">
        <f t="shared" si="5"/>
        <v>115</v>
      </c>
      <c r="C115" s="10" t="str">
        <f t="shared" ca="1" si="4"/>
        <v>0PremiumW3green</v>
      </c>
      <c r="D115" s="6">
        <v>0</v>
      </c>
      <c r="E115" s="7">
        <v>152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功夫少女ランラン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6">
        <v>1</v>
      </c>
      <c r="M115" s="46">
        <f ca="1">VLOOKUP(C115,gacha_115_base!A:B,2,FALSE)</f>
        <v>984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3"/>
        <v>01541</v>
      </c>
      <c r="B116" s="2">
        <f t="shared" si="5"/>
        <v>115</v>
      </c>
      <c r="C116" s="10" t="str">
        <f t="shared" ca="1" si="4"/>
        <v>0PremiumW3blue</v>
      </c>
      <c r="D116" s="38">
        <v>0</v>
      </c>
      <c r="E116" s="39">
        <v>154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始末屋 ハンナ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38">
        <v>1</v>
      </c>
      <c r="M116" s="46">
        <f ca="1">VLOOKUP(C116,gacha_115_base!A:B,2,FALSE)</f>
        <v>6888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3"/>
        <v>01561</v>
      </c>
      <c r="B117" s="2">
        <f t="shared" si="5"/>
        <v>115</v>
      </c>
      <c r="C117" s="10" t="str">
        <f t="shared" ca="1" si="4"/>
        <v>0PremiumW3yellow</v>
      </c>
      <c r="D117" s="6">
        <v>0</v>
      </c>
      <c r="E117" s="7">
        <v>156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踊り子 エレナ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46">
        <f ca="1">VLOOKUP(C117,gacha_115_base!A:B,2,FALSE)</f>
        <v>984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3"/>
        <v>01581</v>
      </c>
      <c r="B118" s="2">
        <f t="shared" si="5"/>
        <v>115</v>
      </c>
      <c r="C118" s="10" t="str">
        <f t="shared" ca="1" si="4"/>
        <v>0PremiumW3red</v>
      </c>
      <c r="D118" s="6">
        <v>0</v>
      </c>
      <c r="E118" s="7">
        <v>158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46">
        <f ca="1">VLOOKUP(C118,gacha_115_base!A:B,2,FALSE)</f>
        <v>984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3"/>
        <v>01601</v>
      </c>
      <c r="B119" s="2">
        <f t="shared" si="5"/>
        <v>115</v>
      </c>
      <c r="C119" s="10" t="str">
        <f t="shared" ca="1" si="4"/>
        <v>0PremiumW3green</v>
      </c>
      <c r="D119" s="6">
        <v>0</v>
      </c>
      <c r="E119" s="7">
        <v>160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反逆者 クリエ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6">
        <v>1</v>
      </c>
      <c r="M119" s="46">
        <f ca="1">VLOOKUP(C119,gacha_115_base!A:B,2,FALSE)</f>
        <v>984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3"/>
        <v>01621</v>
      </c>
      <c r="B120" s="2">
        <f t="shared" si="5"/>
        <v>115</v>
      </c>
      <c r="C120" s="10" t="str">
        <f t="shared" ca="1" si="4"/>
        <v>0PremiumW3blue</v>
      </c>
      <c r="D120" s="38">
        <v>0</v>
      </c>
      <c r="E120" s="39">
        <v>162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狂女 クララ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38">
        <v>1</v>
      </c>
      <c r="M120" s="46">
        <f ca="1">VLOOKUP(C120,gacha_115_base!A:B,2,FALSE)</f>
        <v>6888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3"/>
        <v>01641</v>
      </c>
      <c r="B121" s="2">
        <f t="shared" si="5"/>
        <v>115</v>
      </c>
      <c r="C121" s="10" t="str">
        <f t="shared" ca="1" si="4"/>
        <v>0PremiumW3yellow</v>
      </c>
      <c r="D121" s="6">
        <v>0</v>
      </c>
      <c r="E121" s="7">
        <v>164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イブとトモダチ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46">
        <f ca="1">VLOOKUP(C121,gacha_115_base!A:B,2,FALSE)</f>
        <v>984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3"/>
        <v>01661</v>
      </c>
      <c r="B122" s="2">
        <f t="shared" si="5"/>
        <v>115</v>
      </c>
      <c r="C122" s="10" t="str">
        <f t="shared" ca="1" si="4"/>
        <v>0PremiumN3red</v>
      </c>
      <c r="D122" s="6">
        <v>0</v>
      </c>
      <c r="E122" s="7">
        <v>166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ベリアル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ゴッド</v>
      </c>
      <c r="L122" s="6">
        <v>1</v>
      </c>
      <c r="M122" s="46">
        <f ca="1">VLOOKUP(C122,gacha_115_base!A:B,2,FALSE)</f>
        <v>1072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3"/>
        <v>01691</v>
      </c>
      <c r="B123" s="2">
        <f t="shared" si="5"/>
        <v>115</v>
      </c>
      <c r="C123" s="10" t="str">
        <f t="shared" ca="1" si="4"/>
        <v>0PremiumN3green</v>
      </c>
      <c r="D123" s="6">
        <v>0</v>
      </c>
      <c r="E123" s="7">
        <v>169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オセ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ゴッド</v>
      </c>
      <c r="L123" s="6">
        <v>1</v>
      </c>
      <c r="M123" s="46">
        <f ca="1">VLOOKUP(C123,gacha_115_base!A:B,2,FALSE)</f>
        <v>1072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3"/>
        <v>01721</v>
      </c>
      <c r="B124" s="2">
        <f t="shared" si="5"/>
        <v>115</v>
      </c>
      <c r="C124" s="10" t="str">
        <f t="shared" ca="1" si="4"/>
        <v>0PremiumN3blue</v>
      </c>
      <c r="D124" s="38">
        <v>0</v>
      </c>
      <c r="E124" s="39">
        <v>172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フォルネウス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38">
        <v>1</v>
      </c>
      <c r="M124" s="46">
        <f ca="1">VLOOKUP(C124,gacha_115_base!A:B,2,FALSE)</f>
        <v>7501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3"/>
        <v>01751</v>
      </c>
      <c r="B125" s="2">
        <f t="shared" si="5"/>
        <v>115</v>
      </c>
      <c r="C125" s="10" t="str">
        <f t="shared" ca="1" si="4"/>
        <v>0PremiumN3yellow</v>
      </c>
      <c r="D125" s="6">
        <v>0</v>
      </c>
      <c r="E125" s="7">
        <v>175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バフォメット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46">
        <f ca="1">VLOOKUP(C125,gacha_115_base!A:B,2,FALSE)</f>
        <v>1072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3"/>
        <v>01781</v>
      </c>
      <c r="B126" s="2">
        <f t="shared" si="5"/>
        <v>115</v>
      </c>
      <c r="C126" s="10" t="str">
        <f t="shared" ca="1" si="4"/>
        <v>0PremiumN3red</v>
      </c>
      <c r="D126" s="6">
        <v>0</v>
      </c>
      <c r="E126" s="7">
        <v>178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ケルベロス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アニマル</v>
      </c>
      <c r="L126" s="6">
        <v>1</v>
      </c>
      <c r="M126" s="46">
        <f ca="1">VLOOKUP(C126,gacha_115_base!A:B,2,FALSE)</f>
        <v>1072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3"/>
        <v>01811</v>
      </c>
      <c r="B127" s="2">
        <f t="shared" si="5"/>
        <v>115</v>
      </c>
      <c r="C127" s="10" t="str">
        <f t="shared" ca="1" si="4"/>
        <v>0PremiumN3green</v>
      </c>
      <c r="D127" s="6">
        <v>0</v>
      </c>
      <c r="E127" s="7">
        <v>181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ベヒモス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アニマル</v>
      </c>
      <c r="L127" s="6">
        <v>1</v>
      </c>
      <c r="M127" s="46">
        <f ca="1">VLOOKUP(C127,gacha_115_base!A:B,2,FALSE)</f>
        <v>1072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3"/>
        <v>01841</v>
      </c>
      <c r="B128" s="2">
        <f t="shared" si="5"/>
        <v>115</v>
      </c>
      <c r="C128" s="10" t="str">
        <f t="shared" ca="1" si="4"/>
        <v>0PremiumN3blue</v>
      </c>
      <c r="D128" s="38">
        <v>0</v>
      </c>
      <c r="E128" s="39">
        <v>184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クラーケン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38">
        <v>1</v>
      </c>
      <c r="M128" s="46">
        <f ca="1">VLOOKUP(C128,gacha_115_base!A:B,2,FALSE)</f>
        <v>7501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3"/>
        <v>01871</v>
      </c>
      <c r="B129" s="2">
        <f t="shared" si="5"/>
        <v>115</v>
      </c>
      <c r="C129" s="10" t="str">
        <f t="shared" ca="1" si="4"/>
        <v>0PremiumN3yellow</v>
      </c>
      <c r="D129" s="6">
        <v>0</v>
      </c>
      <c r="E129" s="7">
        <v>187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ホルス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46">
        <f ca="1">VLOOKUP(C129,gacha_115_base!A:B,2,FALSE)</f>
        <v>1072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3"/>
        <v>01901</v>
      </c>
      <c r="B130" s="2">
        <f t="shared" si="5"/>
        <v>115</v>
      </c>
      <c r="C130" s="10" t="str">
        <f t="shared" ca="1" si="4"/>
        <v>0PremiumN3red</v>
      </c>
      <c r="D130" s="6">
        <v>0</v>
      </c>
      <c r="E130" s="7">
        <v>190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卑弥呼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ヒューマン</v>
      </c>
      <c r="L130" s="6">
        <v>1</v>
      </c>
      <c r="M130" s="46">
        <f ca="1">VLOOKUP(C130,gacha_115_base!A:B,2,FALSE)</f>
        <v>1072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3"/>
        <v>01931</v>
      </c>
      <c r="B131" s="2">
        <f t="shared" si="5"/>
        <v>115</v>
      </c>
      <c r="C131" s="10" t="str">
        <f t="shared" ref="C131:C194" ca="1" si="6">D131&amp;G131&amp;H131&amp;I131</f>
        <v>0PremiumN3green</v>
      </c>
      <c r="D131" s="6">
        <v>0</v>
      </c>
      <c r="E131" s="7">
        <v>193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ロビンフッド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ヒューマン</v>
      </c>
      <c r="L131" s="6">
        <v>1</v>
      </c>
      <c r="M131" s="46">
        <f ca="1">VLOOKUP(C131,gacha_115_base!A:B,2,FALSE)</f>
        <v>1072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3"/>
        <v>01961</v>
      </c>
      <c r="B132" s="2">
        <f t="shared" ref="B132:B195" si="7">$B$2</f>
        <v>115</v>
      </c>
      <c r="C132" s="10" t="str">
        <f t="shared" ca="1" si="6"/>
        <v>0PremiumN3yellow</v>
      </c>
      <c r="D132" s="6">
        <v>0</v>
      </c>
      <c r="E132" s="7">
        <v>196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アキレス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yellow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46">
        <f ca="1">VLOOKUP(C132,gacha_115_base!A:B,2,FALSE)</f>
        <v>1072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3"/>
        <v>01991</v>
      </c>
      <c r="B133" s="2">
        <f t="shared" si="7"/>
        <v>115</v>
      </c>
      <c r="C133" s="10" t="str">
        <f t="shared" ca="1" si="6"/>
        <v>0PremiumN3blue</v>
      </c>
      <c r="D133" s="38">
        <v>0</v>
      </c>
      <c r="E133" s="39">
        <v>199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ジークフリート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38">
        <v>1</v>
      </c>
      <c r="M133" s="46">
        <f ca="1">VLOOKUP(C133,gacha_115_base!A:B,2,FALSE)</f>
        <v>7501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3"/>
        <v>02021</v>
      </c>
      <c r="B134" s="2">
        <f t="shared" si="7"/>
        <v>115</v>
      </c>
      <c r="C134" s="10" t="str">
        <f t="shared" ca="1" si="6"/>
        <v>0PremiumN3red</v>
      </c>
      <c r="D134" s="6">
        <v>0</v>
      </c>
      <c r="E134" s="7">
        <v>202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プロメテウス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46">
        <f ca="1">VLOOKUP(C134,gacha_115_base!A:B,2,FALSE)</f>
        <v>1072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3"/>
        <v>02051</v>
      </c>
      <c r="B135" s="2">
        <f t="shared" si="7"/>
        <v>115</v>
      </c>
      <c r="C135" s="10" t="str">
        <f t="shared" ca="1" si="6"/>
        <v>0PremiumN3green</v>
      </c>
      <c r="D135" s="6">
        <v>0</v>
      </c>
      <c r="E135" s="7">
        <v>205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アフロディーテ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ゴッド</v>
      </c>
      <c r="L135" s="6">
        <v>1</v>
      </c>
      <c r="M135" s="46">
        <f ca="1">VLOOKUP(C135,gacha_115_base!A:B,2,FALSE)</f>
        <v>1072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3"/>
        <v>02081</v>
      </c>
      <c r="B136" s="2">
        <f t="shared" si="7"/>
        <v>115</v>
      </c>
      <c r="C136" s="10" t="str">
        <f t="shared" ca="1" si="6"/>
        <v>0PremiumN3blue</v>
      </c>
      <c r="D136" s="38">
        <v>0</v>
      </c>
      <c r="E136" s="39">
        <v>208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テティス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38">
        <v>1</v>
      </c>
      <c r="M136" s="46">
        <f ca="1">VLOOKUP(C136,gacha_115_base!A:B,2,FALSE)</f>
        <v>7501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3"/>
        <v>02111</v>
      </c>
      <c r="B137" s="2">
        <f t="shared" si="7"/>
        <v>115</v>
      </c>
      <c r="C137" s="10" t="str">
        <f t="shared" ca="1" si="6"/>
        <v>0PremiumN3yellow</v>
      </c>
      <c r="D137" s="6">
        <v>0</v>
      </c>
      <c r="E137" s="7">
        <v>211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アストライアー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46">
        <f ca="1">VLOOKUP(C137,gacha_115_base!A:B,2,FALSE)</f>
        <v>1072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3"/>
        <v>02141</v>
      </c>
      <c r="B138" s="2">
        <f t="shared" si="7"/>
        <v>115</v>
      </c>
      <c r="C138" s="10" t="str">
        <f t="shared" ca="1" si="6"/>
        <v>0PremiumN3red</v>
      </c>
      <c r="D138" s="6">
        <v>0</v>
      </c>
      <c r="E138" s="7">
        <v>214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アズラエル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3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46">
        <f ca="1">VLOOKUP(C138,gacha_115_base!A:B,2,FALSE)</f>
        <v>1072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3"/>
        <v>02171</v>
      </c>
      <c r="B139" s="2">
        <f t="shared" si="7"/>
        <v>115</v>
      </c>
      <c r="C139" s="10" t="str">
        <f t="shared" ca="1" si="6"/>
        <v>0PremiumN3green</v>
      </c>
      <c r="D139" s="6">
        <v>0</v>
      </c>
      <c r="E139" s="7">
        <v>217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ケツァクアトル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3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6">
        <v>1</v>
      </c>
      <c r="M139" s="46">
        <f ca="1">VLOOKUP(C139,gacha_115_base!A:B,2,FALSE)</f>
        <v>1072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3"/>
        <v>02201</v>
      </c>
      <c r="B140" s="2">
        <f t="shared" si="7"/>
        <v>115</v>
      </c>
      <c r="C140" s="10" t="str">
        <f t="shared" ca="1" si="6"/>
        <v>0PremiumN3blue</v>
      </c>
      <c r="D140" s="38">
        <v>0</v>
      </c>
      <c r="E140" s="39">
        <v>220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ルキフグス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3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38">
        <v>1</v>
      </c>
      <c r="M140" s="46">
        <f ca="1">VLOOKUP(C140,gacha_115_base!A:B,2,FALSE)</f>
        <v>7501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3"/>
        <v>02231</v>
      </c>
      <c r="B141" s="2">
        <f t="shared" si="7"/>
        <v>115</v>
      </c>
      <c r="C141" s="10" t="str">
        <f t="shared" ca="1" si="6"/>
        <v>0PremiumN3yellow</v>
      </c>
      <c r="D141" s="6">
        <v>0</v>
      </c>
      <c r="E141" s="7">
        <v>223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ヘラクレス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3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46">
        <f ca="1">VLOOKUP(C141,gacha_115_base!A:B,2,FALSE)</f>
        <v>1072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3"/>
        <v>02261</v>
      </c>
      <c r="B142" s="2">
        <f t="shared" si="7"/>
        <v>115</v>
      </c>
      <c r="C142" s="10" t="str">
        <f t="shared" ca="1" si="6"/>
        <v>0PremiumS3red</v>
      </c>
      <c r="D142" s="6">
        <v>0</v>
      </c>
      <c r="E142" s="7">
        <v>226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アレス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PremiumS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3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46">
        <f ca="1">VLOOKUP(C142,gacha_115_base!A:B,2,FALSE)</f>
        <v>179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3"/>
        <v>02291</v>
      </c>
      <c r="B143" s="2">
        <f t="shared" si="7"/>
        <v>115</v>
      </c>
      <c r="C143" s="10" t="str">
        <f t="shared" ca="1" si="6"/>
        <v>0PremiumS3green</v>
      </c>
      <c r="D143" s="6">
        <v>0</v>
      </c>
      <c r="E143" s="7">
        <v>229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ヨルムンガンド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PremiumS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3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ドラゴン</v>
      </c>
      <c r="L143" s="6">
        <v>1</v>
      </c>
      <c r="M143" s="46">
        <f ca="1">VLOOKUP(C143,gacha_115_base!A:B,2,FALSE)</f>
        <v>179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3"/>
        <v>02321</v>
      </c>
      <c r="B144" s="2">
        <f t="shared" si="7"/>
        <v>115</v>
      </c>
      <c r="C144" s="10" t="str">
        <f t="shared" ca="1" si="6"/>
        <v>0PremiumS3blue</v>
      </c>
      <c r="D144" s="38">
        <v>0</v>
      </c>
      <c r="E144" s="39">
        <v>232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パーシヴァル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3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38">
        <v>1</v>
      </c>
      <c r="M144" s="46">
        <f ca="1">VLOOKUP(C144,gacha_115_base!A:B,2,FALSE)</f>
        <v>1531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3"/>
        <v>02351</v>
      </c>
      <c r="B145" s="2">
        <f t="shared" si="7"/>
        <v>115</v>
      </c>
      <c r="C145" s="10" t="str">
        <f t="shared" ca="1" si="6"/>
        <v>0PremiumS3yellow</v>
      </c>
      <c r="D145" s="6">
        <v>0</v>
      </c>
      <c r="E145" s="7">
        <v>235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3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6">
        <v>1</v>
      </c>
      <c r="M145" s="46">
        <f ca="1">VLOOKUP(C145,gacha_115_base!A:B,2,FALSE)</f>
        <v>179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3"/>
        <v>01271</v>
      </c>
      <c r="B146" s="2">
        <f t="shared" si="7"/>
        <v>115</v>
      </c>
      <c r="C146" s="10" t="str">
        <f t="shared" ca="1" si="6"/>
        <v>0PremiumW4red</v>
      </c>
      <c r="D146" s="6">
        <v>0</v>
      </c>
      <c r="E146" s="7">
        <v>127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狂喜の賢者 ユノ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46">
        <f ca="1">VLOOKUP(C146,gacha_115_base!A:B,2,FALSE)</f>
        <v>344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3"/>
        <v>01291</v>
      </c>
      <c r="B147" s="2">
        <f t="shared" si="7"/>
        <v>115</v>
      </c>
      <c r="C147" s="10" t="str">
        <f t="shared" ca="1" si="6"/>
        <v>0PremiumW4green</v>
      </c>
      <c r="D147" s="6">
        <v>0</v>
      </c>
      <c r="E147" s="7">
        <v>129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孤高の狼憑き アマラ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6">
        <v>1</v>
      </c>
      <c r="M147" s="46">
        <f ca="1">VLOOKUP(C147,gacha_115_base!A:B,2,FALSE)</f>
        <v>344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3"/>
        <v>01311</v>
      </c>
      <c r="B148" s="2">
        <f t="shared" si="7"/>
        <v>115</v>
      </c>
      <c r="C148" s="10" t="str">
        <f t="shared" ca="1" si="6"/>
        <v>0PremiumW4blue</v>
      </c>
      <c r="D148" s="38">
        <v>0</v>
      </c>
      <c r="E148" s="39">
        <v>131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アニマル</v>
      </c>
      <c r="L148" s="38">
        <v>1</v>
      </c>
      <c r="M148" s="46">
        <f ca="1">VLOOKUP(C148,gacha_115_base!A:B,2,FALSE)</f>
        <v>2372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3"/>
        <v>01331</v>
      </c>
      <c r="B149" s="2">
        <f t="shared" si="7"/>
        <v>115</v>
      </c>
      <c r="C149" s="10" t="str">
        <f t="shared" ca="1" si="6"/>
        <v>0PremiumW4yellow</v>
      </c>
      <c r="D149" s="6">
        <v>0</v>
      </c>
      <c r="E149" s="7">
        <v>133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迅雷の刀剣 ハヤト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46">
        <f ca="1">VLOOKUP(C149,gacha_115_base!A:B,2,FALSE)</f>
        <v>344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3"/>
        <v>01351</v>
      </c>
      <c r="B150" s="2">
        <f t="shared" si="7"/>
        <v>115</v>
      </c>
      <c r="C150" s="10" t="str">
        <f t="shared" ca="1" si="6"/>
        <v>0PremiumW4red</v>
      </c>
      <c r="D150" s="6">
        <v>0</v>
      </c>
      <c r="E150" s="7">
        <v>135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京の炎華夕霧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6">
        <v>1</v>
      </c>
      <c r="M150" s="46">
        <f ca="1">VLOOKUP(C150,gacha_115_base!A:B,2,FALSE)</f>
        <v>344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3"/>
        <v>01371</v>
      </c>
      <c r="B151" s="2">
        <f t="shared" si="7"/>
        <v>115</v>
      </c>
      <c r="C151" s="10" t="str">
        <f t="shared" ca="1" si="6"/>
        <v>0PremiumW4green</v>
      </c>
      <c r="D151" s="6">
        <v>0</v>
      </c>
      <c r="E151" s="7">
        <v>137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清福の仕立屋 チハヤ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6">
        <v>1</v>
      </c>
      <c r="M151" s="46">
        <f ca="1">VLOOKUP(C151,gacha_115_base!A:B,2,FALSE)</f>
        <v>344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3"/>
        <v>01391</v>
      </c>
      <c r="B152" s="2">
        <f t="shared" si="7"/>
        <v>115</v>
      </c>
      <c r="C152" s="10" t="str">
        <f t="shared" ca="1" si="6"/>
        <v>0PremiumW4blue</v>
      </c>
      <c r="D152" s="38">
        <v>0</v>
      </c>
      <c r="E152" s="39">
        <v>139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蒼昇刃姫 トモエ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38">
        <v>1</v>
      </c>
      <c r="M152" s="46">
        <f ca="1">VLOOKUP(C152,gacha_115_base!A:B,2,FALSE)</f>
        <v>2372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3"/>
        <v>01411</v>
      </c>
      <c r="B153" s="2">
        <f t="shared" si="7"/>
        <v>115</v>
      </c>
      <c r="C153" s="10" t="str">
        <f t="shared" ca="1" si="6"/>
        <v>0PremiumW4yellow</v>
      </c>
      <c r="D153" s="6">
        <v>0</v>
      </c>
      <c r="E153" s="7">
        <v>141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妖狐演舞 タマモ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6">
        <v>1</v>
      </c>
      <c r="M153" s="46">
        <f ca="1">VLOOKUP(C153,gacha_115_base!A:B,2,FALSE)</f>
        <v>344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3"/>
        <v>01431</v>
      </c>
      <c r="B154" s="2">
        <f t="shared" si="7"/>
        <v>115</v>
      </c>
      <c r="C154" s="10" t="str">
        <f t="shared" ca="1" si="6"/>
        <v>0PremiumW4red</v>
      </c>
      <c r="D154" s="6">
        <v>0</v>
      </c>
      <c r="E154" s="7">
        <v>143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深紅の死神 赤ずきん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6">
        <v>1</v>
      </c>
      <c r="M154" s="46">
        <f ca="1">VLOOKUP(C154,gacha_115_base!A:B,2,FALSE)</f>
        <v>344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ref="A155:A218" si="8">D155&amp;E155&amp;L155</f>
        <v>01451</v>
      </c>
      <c r="B155" s="2">
        <f t="shared" si="7"/>
        <v>115</v>
      </c>
      <c r="C155" s="10" t="str">
        <f t="shared" ca="1" si="6"/>
        <v>0PremiumW4green</v>
      </c>
      <c r="D155" s="6">
        <v>0</v>
      </c>
      <c r="E155" s="7">
        <v>145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魔性妖艶 かぐや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6">
        <v>1</v>
      </c>
      <c r="M155" s="46">
        <f ca="1">VLOOKUP(C155,gacha_115_base!A:B,2,FALSE)</f>
        <v>344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8"/>
        <v>01471</v>
      </c>
      <c r="B156" s="2">
        <f t="shared" si="7"/>
        <v>115</v>
      </c>
      <c r="C156" s="10" t="str">
        <f t="shared" ca="1" si="6"/>
        <v>0PremiumW4blue</v>
      </c>
      <c r="D156" s="38">
        <v>0</v>
      </c>
      <c r="E156" s="39">
        <v>147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38">
        <v>1</v>
      </c>
      <c r="M156" s="46">
        <f ca="1">VLOOKUP(C156,gacha_115_base!A:B,2,FALSE)</f>
        <v>2372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8"/>
        <v>01491</v>
      </c>
      <c r="B157" s="2">
        <f t="shared" si="7"/>
        <v>115</v>
      </c>
      <c r="C157" s="10" t="str">
        <f t="shared" ca="1" si="6"/>
        <v>0PremiumW4yellow</v>
      </c>
      <c r="D157" s="6">
        <v>0</v>
      </c>
      <c r="E157" s="7">
        <v>149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46">
        <f ca="1">VLOOKUP(C157,gacha_115_base!A:B,2,FALSE)</f>
        <v>344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8"/>
        <v>01511</v>
      </c>
      <c r="B158" s="2">
        <f t="shared" si="7"/>
        <v>115</v>
      </c>
      <c r="C158" s="10" t="str">
        <f t="shared" ca="1" si="6"/>
        <v>0PremiumW4red</v>
      </c>
      <c r="D158" s="6">
        <v>0</v>
      </c>
      <c r="E158" s="7">
        <v>151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毒煙の処刑人サキ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PremiumW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ヒューマン</v>
      </c>
      <c r="L158" s="6">
        <v>1</v>
      </c>
      <c r="M158" s="46">
        <f ca="1">VLOOKUP(C158,gacha_115_base!A:B,2,FALSE)</f>
        <v>344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8"/>
        <v>01531</v>
      </c>
      <c r="B159" s="2">
        <f t="shared" si="7"/>
        <v>115</v>
      </c>
      <c r="C159" s="10" t="str">
        <f t="shared" ca="1" si="6"/>
        <v>0PremiumW4green</v>
      </c>
      <c r="D159" s="6">
        <v>0</v>
      </c>
      <c r="E159" s="7">
        <v>153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拳聖ランラン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PremiumW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6">
        <v>1</v>
      </c>
      <c r="M159" s="46">
        <f ca="1">VLOOKUP(C159,gacha_115_base!A:B,2,FALSE)</f>
        <v>344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8"/>
        <v>01551</v>
      </c>
      <c r="B160" s="2">
        <f t="shared" si="7"/>
        <v>115</v>
      </c>
      <c r="C160" s="10" t="str">
        <f t="shared" ca="1" si="6"/>
        <v>0PremiumW4blue</v>
      </c>
      <c r="D160" s="38">
        <v>0</v>
      </c>
      <c r="E160" s="39">
        <v>155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隻眼の掃除屋 ハンナ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PremiumW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38">
        <v>1</v>
      </c>
      <c r="M160" s="46">
        <f ca="1">VLOOKUP(C160,gacha_115_base!A:B,2,FALSE)</f>
        <v>2372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8"/>
        <v>01571</v>
      </c>
      <c r="B161" s="2">
        <f t="shared" si="7"/>
        <v>115</v>
      </c>
      <c r="C161" s="10" t="str">
        <f t="shared" ca="1" si="6"/>
        <v>0PremiumW4yellow</v>
      </c>
      <c r="D161" s="6">
        <v>0</v>
      </c>
      <c r="E161" s="7">
        <v>157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雷光舞姫 エレナ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PremiumW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ヒューマン</v>
      </c>
      <c r="L161" s="6">
        <v>1</v>
      </c>
      <c r="M161" s="46">
        <f ca="1">VLOOKUP(C161,gacha_115_base!A:B,2,FALSE)</f>
        <v>344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8"/>
        <v>01591</v>
      </c>
      <c r="B162" s="2">
        <f t="shared" si="7"/>
        <v>115</v>
      </c>
      <c r="C162" s="10" t="str">
        <f t="shared" ca="1" si="6"/>
        <v>0PremiumW4red</v>
      </c>
      <c r="D162" s="6">
        <v>0</v>
      </c>
      <c r="E162" s="7">
        <v>159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PremiumW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ヒューマン</v>
      </c>
      <c r="L162" s="6">
        <v>1</v>
      </c>
      <c r="M162" s="46">
        <f ca="1">VLOOKUP(C162,gacha_115_base!A:B,2,FALSE)</f>
        <v>344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8"/>
        <v>01611</v>
      </c>
      <c r="B163" s="2">
        <f t="shared" si="7"/>
        <v>115</v>
      </c>
      <c r="C163" s="10" t="str">
        <f t="shared" ca="1" si="6"/>
        <v>0PremiumW4green</v>
      </c>
      <c r="D163" s="6">
        <v>0</v>
      </c>
      <c r="E163" s="7">
        <v>161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咆哮の先導者 クリエ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PremiumW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ヒューマン</v>
      </c>
      <c r="L163" s="6">
        <v>1</v>
      </c>
      <c r="M163" s="46">
        <f ca="1">VLOOKUP(C163,gacha_115_base!A:B,2,FALSE)</f>
        <v>344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8"/>
        <v>01631</v>
      </c>
      <c r="B164" s="2">
        <f t="shared" si="7"/>
        <v>115</v>
      </c>
      <c r="C164" s="10" t="str">
        <f t="shared" ca="1" si="6"/>
        <v>0PremiumW4blue</v>
      </c>
      <c r="D164" s="38">
        <v>0</v>
      </c>
      <c r="E164" s="39">
        <v>163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冷酷な狂嬢 クララ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PremiumW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ヒューマン</v>
      </c>
      <c r="L164" s="38">
        <v>1</v>
      </c>
      <c r="M164" s="46">
        <f ca="1">VLOOKUP(C164,gacha_115_base!A:B,2,FALSE)</f>
        <v>2372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8"/>
        <v>01651</v>
      </c>
      <c r="B165" s="2">
        <f t="shared" si="7"/>
        <v>115</v>
      </c>
      <c r="C165" s="10" t="str">
        <f t="shared" ca="1" si="6"/>
        <v>0PremiumW4yellow</v>
      </c>
      <c r="D165" s="6">
        <v>0</v>
      </c>
      <c r="E165" s="7">
        <v>165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PremiumW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6">
        <v>1</v>
      </c>
      <c r="M165" s="46">
        <f ca="1">VLOOKUP(C165,gacha_115_base!A:B,2,FALSE)</f>
        <v>344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8"/>
        <v>01671</v>
      </c>
      <c r="B166" s="2">
        <f t="shared" si="7"/>
        <v>115</v>
      </c>
      <c r="C166" s="10" t="str">
        <f t="shared" ca="1" si="6"/>
        <v>0PremiumN4red</v>
      </c>
      <c r="D166" s="6">
        <v>0</v>
      </c>
      <c r="E166" s="7">
        <v>167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逆徒 ベリアル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ゴッド</v>
      </c>
      <c r="L166" s="6">
        <v>1</v>
      </c>
      <c r="M166" s="46">
        <f ca="1">VLOOKUP(C166,gacha_115_base!A:B,2,FALSE)</f>
        <v>337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8"/>
        <v>01701</v>
      </c>
      <c r="B167" s="2">
        <f t="shared" si="7"/>
        <v>115</v>
      </c>
      <c r="C167" s="10" t="str">
        <f t="shared" ca="1" si="6"/>
        <v>0PremiumN4green</v>
      </c>
      <c r="D167" s="6">
        <v>0</v>
      </c>
      <c r="E167" s="7">
        <v>170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識徒 オセ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ゴッド</v>
      </c>
      <c r="L167" s="6">
        <v>1</v>
      </c>
      <c r="M167" s="46">
        <f ca="1">VLOOKUP(C167,gacha_115_base!A:B,2,FALSE)</f>
        <v>337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8"/>
        <v>01731</v>
      </c>
      <c r="B168" s="2">
        <f t="shared" si="7"/>
        <v>115</v>
      </c>
      <c r="C168" s="10" t="str">
        <f t="shared" ca="1" si="6"/>
        <v>0PremiumN4blue</v>
      </c>
      <c r="D168" s="38">
        <v>0</v>
      </c>
      <c r="E168" s="39">
        <v>173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公爵 フォルネウス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ゴッド</v>
      </c>
      <c r="L168" s="38">
        <v>1</v>
      </c>
      <c r="M168" s="46">
        <f ca="1">VLOOKUP(C168,gacha_115_base!A:B,2,FALSE)</f>
        <v>2293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8"/>
        <v>01761</v>
      </c>
      <c r="B169" s="2">
        <f t="shared" si="7"/>
        <v>115</v>
      </c>
      <c r="C169" s="10" t="str">
        <f t="shared" ca="1" si="6"/>
        <v>0PremiumN4yellow</v>
      </c>
      <c r="D169" s="6">
        <v>0</v>
      </c>
      <c r="E169" s="7">
        <v>176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異教徒 バフォメット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ゴッド</v>
      </c>
      <c r="L169" s="6">
        <v>1</v>
      </c>
      <c r="M169" s="46">
        <f ca="1">VLOOKUP(C169,gacha_115_base!A:B,2,FALSE)</f>
        <v>337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8"/>
        <v>01791</v>
      </c>
      <c r="B170" s="2">
        <f t="shared" si="7"/>
        <v>115</v>
      </c>
      <c r="C170" s="10" t="str">
        <f t="shared" ca="1" si="6"/>
        <v>0PremiumN4red</v>
      </c>
      <c r="D170" s="6">
        <v>0</v>
      </c>
      <c r="E170" s="7">
        <v>179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番犬 ケルベロス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アニマル</v>
      </c>
      <c r="L170" s="6">
        <v>1</v>
      </c>
      <c r="M170" s="46">
        <f ca="1">VLOOKUP(C170,gacha_115_base!A:B,2,FALSE)</f>
        <v>337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8"/>
        <v>01821</v>
      </c>
      <c r="B171" s="2">
        <f t="shared" si="7"/>
        <v>115</v>
      </c>
      <c r="C171" s="10" t="str">
        <f t="shared" ca="1" si="6"/>
        <v>0PremiumN4green</v>
      </c>
      <c r="D171" s="6">
        <v>0</v>
      </c>
      <c r="E171" s="7">
        <v>182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放蕩者 ベヒモス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アニマル</v>
      </c>
      <c r="L171" s="6">
        <v>1</v>
      </c>
      <c r="M171" s="46">
        <f ca="1">VLOOKUP(C171,gacha_115_base!A:B,2,FALSE)</f>
        <v>337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8"/>
        <v>01851</v>
      </c>
      <c r="B172" s="2">
        <f t="shared" si="7"/>
        <v>115</v>
      </c>
      <c r="C172" s="10" t="str">
        <f t="shared" ca="1" si="6"/>
        <v>0PremiumN4blue</v>
      </c>
      <c r="D172" s="38">
        <v>0</v>
      </c>
      <c r="E172" s="39">
        <v>185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海姫 クラーケン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アニマル</v>
      </c>
      <c r="L172" s="38">
        <v>1</v>
      </c>
      <c r="M172" s="46">
        <f ca="1">VLOOKUP(C172,gacha_115_base!A:B,2,FALSE)</f>
        <v>2293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8"/>
        <v>01881</v>
      </c>
      <c r="B173" s="2">
        <f t="shared" si="7"/>
        <v>115</v>
      </c>
      <c r="C173" s="10" t="str">
        <f t="shared" ca="1" si="6"/>
        <v>0PremiumN4yellow</v>
      </c>
      <c r="D173" s="6">
        <v>0</v>
      </c>
      <c r="E173" s="7">
        <v>188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猛禽 ホルス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アニマル</v>
      </c>
      <c r="L173" s="6">
        <v>1</v>
      </c>
      <c r="M173" s="46">
        <f ca="1">VLOOKUP(C173,gacha_115_base!A:B,2,FALSE)</f>
        <v>337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8"/>
        <v>01911</v>
      </c>
      <c r="B174" s="2">
        <f t="shared" si="7"/>
        <v>115</v>
      </c>
      <c r="C174" s="10" t="str">
        <f t="shared" ca="1" si="6"/>
        <v>0PremiumN4red</v>
      </c>
      <c r="D174" s="6">
        <v>0</v>
      </c>
      <c r="E174" s="7">
        <v>191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始祖 卑弥呼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ヒューマン</v>
      </c>
      <c r="L174" s="6">
        <v>1</v>
      </c>
      <c r="M174" s="46">
        <f ca="1">VLOOKUP(C174,gacha_115_base!A:B,2,FALSE)</f>
        <v>337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8"/>
        <v>01941</v>
      </c>
      <c r="B175" s="2">
        <f t="shared" si="7"/>
        <v>115</v>
      </c>
      <c r="C175" s="10" t="str">
        <f t="shared" ca="1" si="6"/>
        <v>0PremiumN4green</v>
      </c>
      <c r="D175" s="6">
        <v>0</v>
      </c>
      <c r="E175" s="7">
        <v>194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ヒューマン</v>
      </c>
      <c r="L175" s="6">
        <v>1</v>
      </c>
      <c r="M175" s="46">
        <f ca="1">VLOOKUP(C175,gacha_115_base!A:B,2,FALSE)</f>
        <v>337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8"/>
        <v>01971</v>
      </c>
      <c r="B176" s="2">
        <f t="shared" si="7"/>
        <v>115</v>
      </c>
      <c r="C176" s="10" t="str">
        <f t="shared" ca="1" si="6"/>
        <v>0PremiumN4yellow</v>
      </c>
      <c r="D176" s="6">
        <v>0</v>
      </c>
      <c r="E176" s="7">
        <v>197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鉄腕 アキレス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yellow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ヒューマン</v>
      </c>
      <c r="L176" s="6">
        <v>1</v>
      </c>
      <c r="M176" s="46">
        <f ca="1">VLOOKUP(C176,gacha_115_base!A:B,2,FALSE)</f>
        <v>337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8"/>
        <v>02001</v>
      </c>
      <c r="B177" s="2">
        <f t="shared" si="7"/>
        <v>115</v>
      </c>
      <c r="C177" s="10" t="str">
        <f t="shared" ca="1" si="6"/>
        <v>0PremiumN4blue</v>
      </c>
      <c r="D177" s="38">
        <v>0</v>
      </c>
      <c r="E177" s="39">
        <v>200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blue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38">
        <v>1</v>
      </c>
      <c r="M177" s="46">
        <f ca="1">VLOOKUP(C177,gacha_115_base!A:B,2,FALSE)</f>
        <v>2293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8"/>
        <v>02031</v>
      </c>
      <c r="B178" s="2">
        <f t="shared" si="7"/>
        <v>115</v>
      </c>
      <c r="C178" s="10" t="str">
        <f t="shared" ca="1" si="6"/>
        <v>0PremiumN4red</v>
      </c>
      <c r="D178" s="6">
        <v>0</v>
      </c>
      <c r="E178" s="7">
        <v>203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焔神 プロメテウス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6">
        <v>1</v>
      </c>
      <c r="M178" s="46">
        <f ca="1">VLOOKUP(C178,gacha_115_base!A:B,2,FALSE)</f>
        <v>337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8"/>
        <v>02061</v>
      </c>
      <c r="B179" s="2">
        <f t="shared" si="7"/>
        <v>115</v>
      </c>
      <c r="C179" s="10" t="str">
        <f t="shared" ca="1" si="6"/>
        <v>0PremiumN4green</v>
      </c>
      <c r="D179" s="6">
        <v>0</v>
      </c>
      <c r="E179" s="7">
        <v>206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美神 アフロディーテ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ゴッド</v>
      </c>
      <c r="L179" s="6">
        <v>1</v>
      </c>
      <c r="M179" s="46">
        <f ca="1">VLOOKUP(C179,gacha_115_base!A:B,2,FALSE)</f>
        <v>337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8"/>
        <v>02091</v>
      </c>
      <c r="B180" s="2">
        <f t="shared" si="7"/>
        <v>115</v>
      </c>
      <c r="C180" s="10" t="str">
        <f t="shared" ca="1" si="6"/>
        <v>0PremiumN4blue</v>
      </c>
      <c r="D180" s="38">
        <v>0</v>
      </c>
      <c r="E180" s="39">
        <v>209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孤神 テティス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ゴッド</v>
      </c>
      <c r="L180" s="38">
        <v>1</v>
      </c>
      <c r="M180" s="46">
        <f ca="1">VLOOKUP(C180,gacha_115_base!A:B,2,FALSE)</f>
        <v>2293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8"/>
        <v>02121</v>
      </c>
      <c r="B181" s="2">
        <f t="shared" si="7"/>
        <v>115</v>
      </c>
      <c r="C181" s="10" t="str">
        <f t="shared" ca="1" si="6"/>
        <v>0PremiumN4yellow</v>
      </c>
      <c r="D181" s="6">
        <v>0</v>
      </c>
      <c r="E181" s="7">
        <v>212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星神 アストライアー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46">
        <f ca="1">VLOOKUP(C181,gacha_115_base!A:B,2,FALSE)</f>
        <v>337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8"/>
        <v>02151</v>
      </c>
      <c r="B182" s="2">
        <f t="shared" si="7"/>
        <v>115</v>
      </c>
      <c r="C182" s="10" t="str">
        <f t="shared" ca="1" si="6"/>
        <v>0PremiumN4red</v>
      </c>
      <c r="D182" s="6">
        <v>0</v>
      </c>
      <c r="E182" s="7">
        <v>215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死導者 アズラエル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4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6">
        <v>1</v>
      </c>
      <c r="M182" s="46">
        <f ca="1">VLOOKUP(C182,gacha_115_base!A:B,2,FALSE)</f>
        <v>337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8"/>
        <v>02181</v>
      </c>
      <c r="B183" s="2">
        <f t="shared" si="7"/>
        <v>115</v>
      </c>
      <c r="C183" s="10" t="str">
        <f t="shared" ca="1" si="6"/>
        <v>0PremiumN4green</v>
      </c>
      <c r="D183" s="6">
        <v>0</v>
      </c>
      <c r="E183" s="7">
        <v>218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聖蛇 ケツァクアトル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4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ドラゴン</v>
      </c>
      <c r="L183" s="6">
        <v>1</v>
      </c>
      <c r="M183" s="46">
        <f ca="1">VLOOKUP(C183,gacha_115_base!A:B,2,FALSE)</f>
        <v>337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8"/>
        <v>02211</v>
      </c>
      <c r="B184" s="2">
        <f t="shared" si="7"/>
        <v>115</v>
      </c>
      <c r="C184" s="10" t="str">
        <f t="shared" ca="1" si="6"/>
        <v>0PremiumN4blue</v>
      </c>
      <c r="D184" s="38">
        <v>0</v>
      </c>
      <c r="E184" s="39">
        <v>221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宰相 ルキフグス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4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38">
        <v>1</v>
      </c>
      <c r="M184" s="46">
        <f ca="1">VLOOKUP(C184,gacha_115_base!A:B,2,FALSE)</f>
        <v>2293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8"/>
        <v>02241</v>
      </c>
      <c r="B185" s="2">
        <f t="shared" si="7"/>
        <v>115</v>
      </c>
      <c r="C185" s="10" t="str">
        <f t="shared" ca="1" si="6"/>
        <v>0PremiumN4yellow</v>
      </c>
      <c r="D185" s="6">
        <v>0</v>
      </c>
      <c r="E185" s="7">
        <v>224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巨腕 ヘラクレス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4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ヒューマン</v>
      </c>
      <c r="L185" s="6">
        <v>1</v>
      </c>
      <c r="M185" s="46">
        <f ca="1">VLOOKUP(C185,gacha_115_base!A:B,2,FALSE)</f>
        <v>337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8"/>
        <v>02271</v>
      </c>
      <c r="B186" s="2">
        <f t="shared" si="7"/>
        <v>115</v>
      </c>
      <c r="C186" s="10" t="str">
        <f t="shared" ca="1" si="6"/>
        <v>0PremiumS4red</v>
      </c>
      <c r="D186" s="6">
        <v>0</v>
      </c>
      <c r="E186" s="7">
        <v>227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滅弾 アレス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PremiumS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4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ゴッド</v>
      </c>
      <c r="L186" s="6">
        <v>1</v>
      </c>
      <c r="M186" s="46">
        <f ca="1">VLOOKUP(C186,gacha_115_base!A:B,2,FALSE)</f>
        <v>63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8"/>
        <v>02301</v>
      </c>
      <c r="B187" s="2">
        <f t="shared" si="7"/>
        <v>115</v>
      </c>
      <c r="C187" s="10" t="str">
        <f t="shared" ca="1" si="6"/>
        <v>0PremiumS4green</v>
      </c>
      <c r="D187" s="6">
        <v>0</v>
      </c>
      <c r="E187" s="7">
        <v>230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毒銃 ヨルムンガンド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PremiumS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4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ドラゴン</v>
      </c>
      <c r="L187" s="6">
        <v>1</v>
      </c>
      <c r="M187" s="46">
        <f ca="1">VLOOKUP(C187,gacha_115_base!A:B,2,FALSE)</f>
        <v>63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8"/>
        <v>02331</v>
      </c>
      <c r="B188" s="2">
        <f t="shared" si="7"/>
        <v>115</v>
      </c>
      <c r="C188" s="10" t="str">
        <f t="shared" ca="1" si="6"/>
        <v>0PremiumS4blue</v>
      </c>
      <c r="D188" s="38">
        <v>0</v>
      </c>
      <c r="E188" s="39">
        <v>233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遂行 パーシヴァル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PremiumS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4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ヒューマン</v>
      </c>
      <c r="L188" s="38">
        <v>1</v>
      </c>
      <c r="M188" s="46">
        <f ca="1">VLOOKUP(C188,gacha_115_base!A:B,2,FALSE)</f>
        <v>539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8"/>
        <v>02361</v>
      </c>
      <c r="B189" s="2">
        <f t="shared" si="7"/>
        <v>115</v>
      </c>
      <c r="C189" s="10" t="str">
        <f t="shared" ca="1" si="6"/>
        <v>0PremiumS4yellow</v>
      </c>
      <c r="D189" s="6">
        <v>0</v>
      </c>
      <c r="E189" s="7">
        <v>236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神産 イザナミ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PremiumS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4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6">
        <v>1</v>
      </c>
      <c r="M189" s="46">
        <f ca="1">VLOOKUP(C189,gacha_115_base!A:B,2,FALSE)</f>
        <v>63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8"/>
        <v>01681</v>
      </c>
      <c r="B190" s="2">
        <f t="shared" si="7"/>
        <v>115</v>
      </c>
      <c r="C190" s="10" t="str">
        <f t="shared" ca="1" si="6"/>
        <v>0PremiumN5red</v>
      </c>
      <c r="D190" s="6">
        <v>0</v>
      </c>
      <c r="E190" s="7">
        <v>168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ゴッド</v>
      </c>
      <c r="L190" s="6">
        <v>1</v>
      </c>
      <c r="M190" s="46">
        <f ca="1">VLOOKUP(C190,gacha_115_base!A:B,2,FALSE)</f>
        <v>108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8"/>
        <v>01711</v>
      </c>
      <c r="B191" s="2">
        <f t="shared" si="7"/>
        <v>115</v>
      </c>
      <c r="C191" s="10" t="str">
        <f t="shared" ca="1" si="6"/>
        <v>0PremiumN5green</v>
      </c>
      <c r="D191" s="6">
        <v>0</v>
      </c>
      <c r="E191" s="7">
        <v>171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精解の預知者 オセ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6">
        <v>1</v>
      </c>
      <c r="M191" s="46">
        <f ca="1">VLOOKUP(C191,gacha_115_base!A:B,2,FALSE)</f>
        <v>108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8"/>
        <v>01741</v>
      </c>
      <c r="B192" s="2">
        <f t="shared" si="7"/>
        <v>115</v>
      </c>
      <c r="C192" s="10" t="str">
        <f t="shared" ca="1" si="6"/>
        <v>0PremiumN5blue</v>
      </c>
      <c r="D192" s="38">
        <v>0</v>
      </c>
      <c r="E192" s="39">
        <v>174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blue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ゴッド</v>
      </c>
      <c r="L192" s="38">
        <v>1</v>
      </c>
      <c r="M192" s="46">
        <f ca="1">VLOOKUP(C192,gacha_115_base!A:B,2,FALSE)</f>
        <v>751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8"/>
        <v>01771</v>
      </c>
      <c r="B193" s="2">
        <f t="shared" si="7"/>
        <v>115</v>
      </c>
      <c r="C193" s="10" t="str">
        <f t="shared" ca="1" si="6"/>
        <v>0PremiumN5yellow</v>
      </c>
      <c r="D193" s="6">
        <v>0</v>
      </c>
      <c r="E193" s="7">
        <v>177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yellow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ゴッド</v>
      </c>
      <c r="L193" s="6">
        <v>1</v>
      </c>
      <c r="M193" s="46">
        <f ca="1">VLOOKUP(C193,gacha_115_base!A:B,2,FALSE)</f>
        <v>108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8"/>
        <v>01801</v>
      </c>
      <c r="B194" s="2">
        <f t="shared" si="7"/>
        <v>115</v>
      </c>
      <c r="C194" s="10" t="str">
        <f t="shared" ca="1" si="6"/>
        <v>0PremiumN5red</v>
      </c>
      <c r="D194" s="6">
        <v>0</v>
      </c>
      <c r="E194" s="7">
        <v>180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アニマル</v>
      </c>
      <c r="L194" s="6">
        <v>1</v>
      </c>
      <c r="M194" s="46">
        <f ca="1">VLOOKUP(C194,gacha_115_base!A:B,2,FALSE)</f>
        <v>108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8"/>
        <v>01831</v>
      </c>
      <c r="B195" s="2">
        <f t="shared" si="7"/>
        <v>115</v>
      </c>
      <c r="C195" s="10" t="str">
        <f t="shared" ref="C195:C255" ca="1" si="9">D195&amp;G195&amp;H195&amp;I195</f>
        <v>0PremiumN5green</v>
      </c>
      <c r="D195" s="6">
        <v>0</v>
      </c>
      <c r="E195" s="7">
        <v>183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アニマル</v>
      </c>
      <c r="L195" s="6">
        <v>1</v>
      </c>
      <c r="M195" s="46">
        <f ca="1">VLOOKUP(C195,gacha_115_base!A:B,2,FALSE)</f>
        <v>108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8"/>
        <v>01861</v>
      </c>
      <c r="B196" s="2">
        <f t="shared" ref="B196:B255" si="10">$B$2</f>
        <v>115</v>
      </c>
      <c r="C196" s="10" t="str">
        <f t="shared" ca="1" si="9"/>
        <v>0PremiumN5blue</v>
      </c>
      <c r="D196" s="38">
        <v>0</v>
      </c>
      <c r="E196" s="39">
        <v>186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アニマル</v>
      </c>
      <c r="L196" s="38">
        <v>1</v>
      </c>
      <c r="M196" s="46">
        <f ca="1">VLOOKUP(C196,gacha_115_base!A:B,2,FALSE)</f>
        <v>751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8"/>
        <v>01891</v>
      </c>
      <c r="B197" s="2">
        <f t="shared" si="10"/>
        <v>115</v>
      </c>
      <c r="C197" s="10" t="str">
        <f t="shared" ca="1" si="9"/>
        <v>0PremiumN5yellow</v>
      </c>
      <c r="D197" s="6">
        <v>0</v>
      </c>
      <c r="E197" s="7">
        <v>189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迅雷の王禽 ホルス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アニマル</v>
      </c>
      <c r="L197" s="6">
        <v>1</v>
      </c>
      <c r="M197" s="46">
        <f ca="1">VLOOKUP(C197,gacha_115_base!A:B,2,FALSE)</f>
        <v>108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8"/>
        <v>01921</v>
      </c>
      <c r="B198" s="2">
        <f t="shared" si="10"/>
        <v>115</v>
      </c>
      <c r="C198" s="10" t="str">
        <f t="shared" ca="1" si="9"/>
        <v>0PremiumN5red</v>
      </c>
      <c r="D198" s="6">
        <v>0</v>
      </c>
      <c r="E198" s="7">
        <v>192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ヒューマン</v>
      </c>
      <c r="L198" s="6">
        <v>1</v>
      </c>
      <c r="M198" s="46">
        <f ca="1">VLOOKUP(C198,gacha_115_base!A:B,2,FALSE)</f>
        <v>108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8"/>
        <v>01951</v>
      </c>
      <c r="B199" s="2">
        <f t="shared" si="10"/>
        <v>115</v>
      </c>
      <c r="C199" s="10" t="str">
        <f t="shared" ca="1" si="9"/>
        <v>0PremiumN5green</v>
      </c>
      <c r="D199" s="6">
        <v>0</v>
      </c>
      <c r="E199" s="7">
        <v>195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ヒューマン</v>
      </c>
      <c r="L199" s="6">
        <v>1</v>
      </c>
      <c r="M199" s="46">
        <f ca="1">VLOOKUP(C199,gacha_115_base!A:B,2,FALSE)</f>
        <v>108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8"/>
        <v>01981</v>
      </c>
      <c r="B200" s="2">
        <f t="shared" si="10"/>
        <v>115</v>
      </c>
      <c r="C200" s="10" t="str">
        <f t="shared" ca="1" si="9"/>
        <v>0PremiumN5yellow</v>
      </c>
      <c r="D200" s="6">
        <v>0</v>
      </c>
      <c r="E200" s="7">
        <v>198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砕骨の剛腕 アキレス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yellow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ヒューマン</v>
      </c>
      <c r="L200" s="6">
        <v>1</v>
      </c>
      <c r="M200" s="46">
        <f ca="1">VLOOKUP(C200,gacha_115_base!A:B,2,FALSE)</f>
        <v>108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8"/>
        <v>02011</v>
      </c>
      <c r="B201" s="2">
        <f t="shared" si="10"/>
        <v>115</v>
      </c>
      <c r="C201" s="10" t="str">
        <f t="shared" ca="1" si="9"/>
        <v>0PremiumN5blue</v>
      </c>
      <c r="D201" s="38">
        <v>0</v>
      </c>
      <c r="E201" s="39">
        <v>201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blue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38">
        <v>1</v>
      </c>
      <c r="M201" s="46">
        <f ca="1">VLOOKUP(C201,gacha_115_base!A:B,2,FALSE)</f>
        <v>751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8"/>
        <v>02041</v>
      </c>
      <c r="B202" s="2">
        <f t="shared" si="10"/>
        <v>115</v>
      </c>
      <c r="C202" s="10" t="str">
        <f t="shared" ca="1" si="9"/>
        <v>0PremiumN5red</v>
      </c>
      <c r="D202" s="6">
        <v>0</v>
      </c>
      <c r="E202" s="7">
        <v>204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PremiumN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6">
        <v>1</v>
      </c>
      <c r="M202" s="46">
        <f ca="1">VLOOKUP(C202,gacha_115_base!A:B,2,FALSE)</f>
        <v>108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8"/>
        <v>02071</v>
      </c>
      <c r="B203" s="2">
        <f t="shared" si="10"/>
        <v>115</v>
      </c>
      <c r="C203" s="10" t="str">
        <f t="shared" ca="1" si="9"/>
        <v>0PremiumN5green</v>
      </c>
      <c r="D203" s="6">
        <v>0</v>
      </c>
      <c r="E203" s="7">
        <v>207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PremiumN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ゴッド</v>
      </c>
      <c r="L203" s="6">
        <v>1</v>
      </c>
      <c r="M203" s="46">
        <f ca="1">VLOOKUP(C203,gacha_115_base!A:B,2,FALSE)</f>
        <v>108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8"/>
        <v>02101</v>
      </c>
      <c r="B204" s="2">
        <f t="shared" si="10"/>
        <v>115</v>
      </c>
      <c r="C204" s="10" t="str">
        <f t="shared" ca="1" si="9"/>
        <v>0PremiumN5blue</v>
      </c>
      <c r="D204" s="38">
        <v>0</v>
      </c>
      <c r="E204" s="39">
        <v>210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PremiumN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ゴッド</v>
      </c>
      <c r="L204" s="38">
        <v>1</v>
      </c>
      <c r="M204" s="46">
        <f ca="1">VLOOKUP(C204,gacha_115_base!A:B,2,FALSE)</f>
        <v>751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ht="21" customHeight="1">
      <c r="A205" s="8" t="str">
        <f t="shared" si="8"/>
        <v>02131</v>
      </c>
      <c r="B205" s="2">
        <f t="shared" si="10"/>
        <v>115</v>
      </c>
      <c r="C205" s="10" t="str">
        <f t="shared" ca="1" si="9"/>
        <v>0PremiumN5yellow</v>
      </c>
      <c r="D205" s="6">
        <v>0</v>
      </c>
      <c r="E205" s="7">
        <v>213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PremiumN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46">
        <f ca="1">VLOOKUP(C205,gacha_115_base!A:B,2,FALSE)</f>
        <v>108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8"/>
        <v>02161</v>
      </c>
      <c r="B206" s="2">
        <f t="shared" si="10"/>
        <v>115</v>
      </c>
      <c r="C206" s="10" t="str">
        <f t="shared" ca="1" si="9"/>
        <v>0PremiumN5red</v>
      </c>
      <c r="D206" s="6">
        <v>0</v>
      </c>
      <c r="E206" s="7">
        <v>216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PremiumN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5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ゴッド</v>
      </c>
      <c r="L206" s="6">
        <v>1</v>
      </c>
      <c r="M206" s="46">
        <f ca="1">VLOOKUP(C206,gacha_115_base!A:B,2,FALSE)</f>
        <v>108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8"/>
        <v>02191</v>
      </c>
      <c r="B207" s="2">
        <f t="shared" si="10"/>
        <v>115</v>
      </c>
      <c r="C207" s="10" t="str">
        <f t="shared" ca="1" si="9"/>
        <v>0PremiumN5green</v>
      </c>
      <c r="D207" s="6">
        <v>0</v>
      </c>
      <c r="E207" s="7">
        <v>219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PremiumN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5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green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ドラゴン</v>
      </c>
      <c r="L207" s="6">
        <v>1</v>
      </c>
      <c r="M207" s="46">
        <f ca="1">VLOOKUP(C207,gacha_115_base!A:B,2,FALSE)</f>
        <v>108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8"/>
        <v>02221</v>
      </c>
      <c r="B208" s="2">
        <f t="shared" si="10"/>
        <v>115</v>
      </c>
      <c r="C208" s="10" t="str">
        <f t="shared" ca="1" si="9"/>
        <v>0PremiumN5blue</v>
      </c>
      <c r="D208" s="38">
        <v>0</v>
      </c>
      <c r="E208" s="39">
        <v>222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PremiumN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blue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ゴッド</v>
      </c>
      <c r="L208" s="38">
        <v>1</v>
      </c>
      <c r="M208" s="46">
        <f ca="1">VLOOKUP(C208,gacha_115_base!A:B,2,FALSE)</f>
        <v>751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8"/>
        <v>02251</v>
      </c>
      <c r="B209" s="2">
        <f t="shared" si="10"/>
        <v>115</v>
      </c>
      <c r="C209" s="10" t="str">
        <f t="shared" ca="1" si="9"/>
        <v>0PremiumN5yellow</v>
      </c>
      <c r="D209" s="6">
        <v>0</v>
      </c>
      <c r="E209" s="7">
        <v>225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PremiumN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5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yellow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ヒューマン</v>
      </c>
      <c r="L209" s="6">
        <v>1</v>
      </c>
      <c r="M209" s="46">
        <f ca="1">VLOOKUP(C209,gacha_115_base!A:B,2,FALSE)</f>
        <v>108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8"/>
        <v>02281</v>
      </c>
      <c r="B210" s="2">
        <f t="shared" si="10"/>
        <v>115</v>
      </c>
      <c r="C210" s="10" t="str">
        <f t="shared" ca="1" si="9"/>
        <v>0PremiumS5red</v>
      </c>
      <c r="D210" s="6">
        <v>0</v>
      </c>
      <c r="E210" s="7">
        <v>228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殲滅の掃射砲 アレス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5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red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ゴッド</v>
      </c>
      <c r="L210" s="6">
        <v>1</v>
      </c>
      <c r="M210" s="46">
        <f ca="1">VLOOKUP(C210,gacha_115_base!A:B,2,FALSE)</f>
        <v>10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si="8"/>
        <v>02311</v>
      </c>
      <c r="B211" s="2">
        <f t="shared" si="10"/>
        <v>115</v>
      </c>
      <c r="C211" s="10" t="str">
        <f t="shared" ca="1" si="9"/>
        <v>0PremiumS5green</v>
      </c>
      <c r="D211" s="6">
        <v>0</v>
      </c>
      <c r="E211" s="7">
        <v>231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ドラゴン</v>
      </c>
      <c r="L211" s="6">
        <v>1</v>
      </c>
      <c r="M211" s="46">
        <f ca="1">VLOOKUP(C211,gacha_115_base!A:B,2,FALSE)</f>
        <v>10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8"/>
        <v>02341</v>
      </c>
      <c r="B212" s="2">
        <f t="shared" si="10"/>
        <v>115</v>
      </c>
      <c r="C212" s="10" t="str">
        <f t="shared" ca="1" si="9"/>
        <v>0PremiumS5blue</v>
      </c>
      <c r="D212" s="38">
        <v>0</v>
      </c>
      <c r="E212" s="39">
        <v>234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5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ヒューマン</v>
      </c>
      <c r="L212" s="38">
        <v>1</v>
      </c>
      <c r="M212" s="46">
        <f ca="1">VLOOKUP(C212,gacha_115_base!A:B,2,FALSE)</f>
        <v>86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s="26" customFormat="1" ht="21" customHeight="1" thickBot="1">
      <c r="A213" s="22" t="str">
        <f t="shared" si="8"/>
        <v>02371</v>
      </c>
      <c r="B213" s="2">
        <f t="shared" si="10"/>
        <v>115</v>
      </c>
      <c r="C213" s="10" t="str">
        <f t="shared" ca="1" si="9"/>
        <v>0PremiumS5yellow</v>
      </c>
      <c r="D213" s="6">
        <v>0</v>
      </c>
      <c r="E213" s="7">
        <v>237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5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yellow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ゴッド</v>
      </c>
      <c r="L213" s="6">
        <v>1</v>
      </c>
      <c r="M213" s="46">
        <f ca="1">VLOOKUP(C213,gacha_115_base!A:B,2,FALSE)</f>
        <v>10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8"/>
        <v>02381</v>
      </c>
      <c r="B214" s="2">
        <f t="shared" si="10"/>
        <v>115</v>
      </c>
      <c r="C214" s="10" t="str">
        <f t="shared" ca="1" si="9"/>
        <v>0PremiumS3red</v>
      </c>
      <c r="D214" s="6">
        <v>0</v>
      </c>
      <c r="E214" s="19">
        <v>238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ウリエル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3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red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46">
        <f ca="1">VLOOKUP(C214,gacha_115_base!A:B,2,FALSE)</f>
        <v>179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8"/>
        <v>02391</v>
      </c>
      <c r="B215" s="2">
        <f t="shared" si="10"/>
        <v>115</v>
      </c>
      <c r="C215" s="10" t="str">
        <f t="shared" ca="1" si="9"/>
        <v>0PremiumS4red</v>
      </c>
      <c r="D215" s="6">
        <v>0</v>
      </c>
      <c r="E215" s="19">
        <v>239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豪炎の天使 ウリエル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4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red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46">
        <f ca="1">VLOOKUP(C215,gacha_115_base!A:B,2,FALSE)</f>
        <v>63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8"/>
        <v>02401</v>
      </c>
      <c r="B216" s="2">
        <f t="shared" si="10"/>
        <v>115</v>
      </c>
      <c r="C216" s="10" t="str">
        <f t="shared" ca="1" si="9"/>
        <v>0PremiumS5red</v>
      </c>
      <c r="D216" s="6">
        <v>0</v>
      </c>
      <c r="E216" s="19">
        <v>240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5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red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46">
        <f ca="1">VLOOKUP(C216,gacha_115_base!A:B,2,FALSE)</f>
        <v>10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ht="21" customHeight="1">
      <c r="A217" s="8" t="str">
        <f t="shared" si="8"/>
        <v>02411</v>
      </c>
      <c r="B217" s="2">
        <f t="shared" si="10"/>
        <v>115</v>
      </c>
      <c r="C217" s="10" t="str">
        <f t="shared" ca="1" si="9"/>
        <v>0PremiumS3green</v>
      </c>
      <c r="D217" s="6">
        <v>0</v>
      </c>
      <c r="E217" s="19">
        <v>241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ガブリエル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3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green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6">
        <v>1</v>
      </c>
      <c r="M217" s="46">
        <f ca="1">VLOOKUP(C217,gacha_115_base!A:B,2,FALSE)</f>
        <v>179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ht="21" customHeight="1">
      <c r="A218" s="8" t="str">
        <f t="shared" si="8"/>
        <v>02421</v>
      </c>
      <c r="B218" s="2">
        <f t="shared" si="10"/>
        <v>115</v>
      </c>
      <c r="C218" s="10" t="str">
        <f t="shared" ca="1" si="9"/>
        <v>0PremiumS4green</v>
      </c>
      <c r="D218" s="6">
        <v>0</v>
      </c>
      <c r="E218" s="19">
        <v>242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4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green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マシン</v>
      </c>
      <c r="L218" s="6">
        <v>1</v>
      </c>
      <c r="M218" s="46">
        <f ca="1">VLOOKUP(C218,gacha_115_base!A:B,2,FALSE)</f>
        <v>63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>
      <c r="A219" s="8" t="str">
        <f t="shared" ref="A219:A255" si="11">D219&amp;E219&amp;L219</f>
        <v>02431</v>
      </c>
      <c r="B219" s="2">
        <f t="shared" si="10"/>
        <v>115</v>
      </c>
      <c r="C219" s="10" t="str">
        <f t="shared" ca="1" si="9"/>
        <v>0PremiumS5green</v>
      </c>
      <c r="D219" s="6">
        <v>0</v>
      </c>
      <c r="E219" s="19">
        <v>243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5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green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マシン</v>
      </c>
      <c r="L219" s="6">
        <v>1</v>
      </c>
      <c r="M219" s="46">
        <f ca="1">VLOOKUP(C219,gacha_115_base!A:B,2,FALSE)</f>
        <v>10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>
      <c r="A220" s="8" t="str">
        <f t="shared" si="11"/>
        <v>02441</v>
      </c>
      <c r="B220" s="2">
        <f t="shared" si="10"/>
        <v>115</v>
      </c>
      <c r="C220" s="10" t="str">
        <f t="shared" ca="1" si="9"/>
        <v>0PremiumS3blue</v>
      </c>
      <c r="D220" s="38">
        <v>0</v>
      </c>
      <c r="E220" s="40">
        <v>244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ラファエル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3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blue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マシン</v>
      </c>
      <c r="L220" s="38">
        <v>1</v>
      </c>
      <c r="M220" s="46">
        <f ca="1">VLOOKUP(C220,gacha_115_base!A:B,2,FALSE)</f>
        <v>1531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>
      <c r="A221" s="8" t="str">
        <f t="shared" si="11"/>
        <v>02451</v>
      </c>
      <c r="B221" s="2">
        <f t="shared" si="10"/>
        <v>115</v>
      </c>
      <c r="C221" s="10" t="str">
        <f t="shared" ca="1" si="9"/>
        <v>0PremiumS4blue</v>
      </c>
      <c r="D221" s="38">
        <v>0</v>
      </c>
      <c r="E221" s="40">
        <v>245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4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blue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マシン</v>
      </c>
      <c r="L221" s="38">
        <v>1</v>
      </c>
      <c r="M221" s="46">
        <f ca="1">VLOOKUP(C221,gacha_115_base!A:B,2,FALSE)</f>
        <v>539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>
      <c r="A222" s="8" t="str">
        <f t="shared" si="11"/>
        <v>02461</v>
      </c>
      <c r="B222" s="2">
        <f t="shared" si="10"/>
        <v>115</v>
      </c>
      <c r="C222" s="10" t="str">
        <f t="shared" ca="1" si="9"/>
        <v>0PremiumS5blue</v>
      </c>
      <c r="D222" s="38">
        <v>0</v>
      </c>
      <c r="E222" s="40">
        <v>246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5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blue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マシン</v>
      </c>
      <c r="L222" s="38">
        <v>1</v>
      </c>
      <c r="M222" s="46">
        <f ca="1">VLOOKUP(C222,gacha_115_base!A:B,2,FALSE)</f>
        <v>86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>
      <c r="A223" s="8" t="str">
        <f t="shared" si="11"/>
        <v>02471</v>
      </c>
      <c r="B223" s="2">
        <f t="shared" si="10"/>
        <v>115</v>
      </c>
      <c r="C223" s="10" t="str">
        <f t="shared" ca="1" si="9"/>
        <v>0PremiumS3yellow</v>
      </c>
      <c r="D223" s="6">
        <v>0</v>
      </c>
      <c r="E223" s="19">
        <v>247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ミカエル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3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yellow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マシン</v>
      </c>
      <c r="L223" s="6">
        <v>1</v>
      </c>
      <c r="M223" s="46">
        <f ca="1">VLOOKUP(C223,gacha_115_base!A:B,2,FALSE)</f>
        <v>179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>
      <c r="A224" s="8" t="str">
        <f t="shared" si="11"/>
        <v>02481</v>
      </c>
      <c r="B224" s="2">
        <f t="shared" si="10"/>
        <v>115</v>
      </c>
      <c r="C224" s="10" t="str">
        <f t="shared" ca="1" si="9"/>
        <v>0PremiumS4yellow</v>
      </c>
      <c r="D224" s="6">
        <v>0</v>
      </c>
      <c r="E224" s="19">
        <v>248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彩電の天使 ミカエル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4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yellow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マシン</v>
      </c>
      <c r="L224" s="6">
        <v>1</v>
      </c>
      <c r="M224" s="46">
        <f ca="1">VLOOKUP(C224,gacha_115_base!A:B,2,FALSE)</f>
        <v>63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s="26" customFormat="1" ht="21" customHeight="1" thickBot="1">
      <c r="A225" s="22" t="str">
        <f t="shared" si="11"/>
        <v>02491</v>
      </c>
      <c r="B225" s="2">
        <f t="shared" si="10"/>
        <v>115</v>
      </c>
      <c r="C225" s="10" t="str">
        <f t="shared" ca="1" si="9"/>
        <v>0PremiumS5yellow</v>
      </c>
      <c r="D225" s="6">
        <v>0</v>
      </c>
      <c r="E225" s="19">
        <v>249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5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yellow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マシン</v>
      </c>
      <c r="L225" s="6">
        <v>1</v>
      </c>
      <c r="M225" s="46">
        <f ca="1">VLOOKUP(C225,gacha_115_base!A:B,2,FALSE)</f>
        <v>10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s="26" customFormat="1" ht="21" customHeight="1" thickBot="1">
      <c r="A226" s="22" t="str">
        <f t="shared" si="11"/>
        <v>02501</v>
      </c>
      <c r="B226" s="2">
        <f t="shared" si="10"/>
        <v>115</v>
      </c>
      <c r="C226" s="10" t="str">
        <f t="shared" ca="1" si="9"/>
        <v>0PremiumS3red</v>
      </c>
      <c r="D226" s="6">
        <v>0</v>
      </c>
      <c r="E226" s="7">
        <v>250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マンモン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3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red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46">
        <f ca="1">VLOOKUP(C226,gacha_115_base!A:B,2,FALSE)</f>
        <v>179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11"/>
        <v>02511</v>
      </c>
      <c r="B227" s="2">
        <f t="shared" si="10"/>
        <v>115</v>
      </c>
      <c r="C227" s="10" t="str">
        <f t="shared" ca="1" si="9"/>
        <v>0PremiumS4red</v>
      </c>
      <c r="D227" s="6">
        <v>0</v>
      </c>
      <c r="E227" s="7">
        <v>251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強欲 マンモン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4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red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ゴッド</v>
      </c>
      <c r="L227" s="6">
        <v>1</v>
      </c>
      <c r="M227" s="46">
        <f ca="1">VLOOKUP(C227,gacha_115_base!A:B,2,FALSE)</f>
        <v>63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11"/>
        <v>02521</v>
      </c>
      <c r="B228" s="2">
        <f t="shared" si="10"/>
        <v>115</v>
      </c>
      <c r="C228" s="10" t="str">
        <f t="shared" ca="1" si="9"/>
        <v>0PremiumS5red</v>
      </c>
      <c r="D228" s="6">
        <v>0</v>
      </c>
      <c r="E228" s="7">
        <v>252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強欲の沸騰 マンモン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5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red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ゴッド</v>
      </c>
      <c r="L228" s="6">
        <v>1</v>
      </c>
      <c r="M228" s="46">
        <f ca="1">VLOOKUP(C228,gacha_115_base!A:B,2,FALSE)</f>
        <v>10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11"/>
        <v>02531</v>
      </c>
      <c r="B229" s="2">
        <f t="shared" si="10"/>
        <v>115</v>
      </c>
      <c r="C229" s="10" t="str">
        <f t="shared" ca="1" si="9"/>
        <v>0PremiumS3green</v>
      </c>
      <c r="D229" s="6">
        <v>0</v>
      </c>
      <c r="E229" s="7">
        <v>253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ベルフェゴール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3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green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ゴッド</v>
      </c>
      <c r="L229" s="6">
        <v>1</v>
      </c>
      <c r="M229" s="46">
        <f ca="1">VLOOKUP(C229,gacha_115_base!A:B,2,FALSE)</f>
        <v>179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11"/>
        <v>02541</v>
      </c>
      <c r="B230" s="2">
        <f t="shared" si="10"/>
        <v>115</v>
      </c>
      <c r="C230" s="10" t="str">
        <f t="shared" ca="1" si="9"/>
        <v>0PremiumS4green</v>
      </c>
      <c r="D230" s="6">
        <v>0</v>
      </c>
      <c r="E230" s="7">
        <v>254</v>
      </c>
      <c r="F230" s="10" t="str">
        <f ca="1">VLOOKUP($E230,OFFSET([1]characters!$A$2,0,0,COUNTA([1]characters!$A:$A),MATCH(F$1,[1]characters!$2:$2,0)-MATCH($E$1,[1]characters!$2:$2,0)+1),MATCH(F$1,[1]characters!$2:$2,0)-MATCH($E$1,[1]characters!$2:$2,0)+1,FALSE)</f>
        <v>怠惰 ベルフェゴール</v>
      </c>
      <c r="G230" s="10" t="str">
        <f ca="1">VLOOKUP($E230,OFFSET([1]characters!$A$2,0,0,COUNTA([1]characters!$A:$A),MATCH(G$1,[1]characters!$2:$2,0)-MATCH($E$1,[1]characters!$2:$2,0)+1),MATCH(G$1,[1]characters!$2:$2,0)-MATCH($E$1,[1]characters!$2:$2,0)+1,FALSE)</f>
        <v>PremiumS</v>
      </c>
      <c r="H230" s="1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10" t="str">
        <f ca="1">VLOOKUP($E230,OFFSET([1]characters!$A$2,0,0,COUNTA([1]characters!$A:$A),MATCH(I$1,[1]characters!$2:$2,0)-MATCH($E$1,[1]characters!$2:$2,0)+1),MATCH(I$1,[1]characters!$2:$2,0)-MATCH($E$1,[1]characters!$2:$2,0)+1,FALSE)</f>
        <v>green</v>
      </c>
      <c r="J230" s="10" t="str">
        <f ca="1">VLOOKUP($E230,OFFSET([1]characters!$A$2,0,0,COUNTA([1]characters!$A:$A),MATCH("タイプ",[1]characters!$1:$1,0)-MATCH($E$1,[1]characters!$2:$2,0)+2),MATCH("タイプ",[1]characters!$1:$1,0)-MATCH($E$1,[1]characters!$2:$2,0)+2,FALSE)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0" s="10" t="str">
        <f ca="1">VLOOKUP($E230,OFFSET([1]characters!$A$2,0,0,COUNTA([1]characters!$A:$A),MATCH($K$1,[1]characters!$1:$1,0)-MATCH($E$1,[1]characters!$2:$2,0)+2),MATCH($K$1,[1]characters!$1:$1,0)-MATCH($E$1,[1]characters!$2:$2,0)+2,FALSE)</f>
        <v>ゴッド</v>
      </c>
      <c r="L230" s="6">
        <v>1</v>
      </c>
      <c r="M230" s="46">
        <f ca="1">VLOOKUP(C230,gacha_115_base!A:B,2,FALSE)</f>
        <v>63</v>
      </c>
      <c r="N230" s="28">
        <v>0</v>
      </c>
      <c r="O230" s="28">
        <v>0</v>
      </c>
      <c r="P230" s="28">
        <v>0</v>
      </c>
      <c r="Q230" s="28">
        <v>0</v>
      </c>
      <c r="R230" s="28">
        <v>1</v>
      </c>
    </row>
    <row r="231" spans="1:18" ht="21" customHeight="1" thickBot="1">
      <c r="A231" s="22" t="str">
        <f t="shared" si="11"/>
        <v>02551</v>
      </c>
      <c r="B231" s="2">
        <f t="shared" si="10"/>
        <v>115</v>
      </c>
      <c r="C231" s="10" t="str">
        <f t="shared" ca="1" si="9"/>
        <v>0PremiumS5green</v>
      </c>
      <c r="D231" s="6">
        <v>0</v>
      </c>
      <c r="E231" s="7">
        <v>255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green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ゴッド</v>
      </c>
      <c r="L231" s="6">
        <v>1</v>
      </c>
      <c r="M231" s="46">
        <f ca="1">VLOOKUP(C231,gacha_115_base!A:B,2,FALSE)</f>
        <v>10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11"/>
        <v>02561</v>
      </c>
      <c r="B232" s="2">
        <f t="shared" si="10"/>
        <v>115</v>
      </c>
      <c r="C232" s="10" t="str">
        <f t="shared" ca="1" si="9"/>
        <v>0PremiumS3blue</v>
      </c>
      <c r="D232" s="38">
        <v>0</v>
      </c>
      <c r="E232" s="39">
        <v>256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アスモデウス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3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blue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ゴッド</v>
      </c>
      <c r="L232" s="38">
        <v>1</v>
      </c>
      <c r="M232" s="46">
        <f ca="1">VLOOKUP(C232,gacha_115_base!A:B,2,FALSE)</f>
        <v>1531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11"/>
        <v>02571</v>
      </c>
      <c r="B233" s="2">
        <f t="shared" si="10"/>
        <v>115</v>
      </c>
      <c r="C233" s="10" t="str">
        <f t="shared" ca="1" si="9"/>
        <v>0PremiumS4blue</v>
      </c>
      <c r="D233" s="38">
        <v>0</v>
      </c>
      <c r="E233" s="39">
        <v>257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色欲 アスモデウス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4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blue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ゴッド</v>
      </c>
      <c r="L233" s="38">
        <v>1</v>
      </c>
      <c r="M233" s="46">
        <f ca="1">VLOOKUP(C233,gacha_115_base!A:B,2,FALSE)</f>
        <v>539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11"/>
        <v>02581</v>
      </c>
      <c r="B234" s="2">
        <f t="shared" si="10"/>
        <v>115</v>
      </c>
      <c r="C234" s="10" t="str">
        <f t="shared" ca="1" si="9"/>
        <v>0PremiumS5blue</v>
      </c>
      <c r="D234" s="38">
        <v>0</v>
      </c>
      <c r="E234" s="39">
        <v>258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5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ゴッド</v>
      </c>
      <c r="L234" s="38">
        <v>1</v>
      </c>
      <c r="M234" s="46">
        <f ca="1">VLOOKUP(C234,gacha_115_base!A:B,2,FALSE)</f>
        <v>86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11"/>
        <v>02591</v>
      </c>
      <c r="B235" s="2">
        <f t="shared" si="10"/>
        <v>115</v>
      </c>
      <c r="C235" s="10" t="str">
        <f t="shared" ca="1" si="9"/>
        <v>0PremiumS3yellow</v>
      </c>
      <c r="D235" s="6">
        <v>0</v>
      </c>
      <c r="E235" s="7">
        <v>259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ウロボロス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3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yellow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ドラゴン</v>
      </c>
      <c r="L235" s="6">
        <v>1</v>
      </c>
      <c r="M235" s="46">
        <f ca="1">VLOOKUP(C235,gacha_115_base!A:B,2,FALSE)</f>
        <v>179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11"/>
        <v>02601</v>
      </c>
      <c r="B236" s="2">
        <f t="shared" si="10"/>
        <v>115</v>
      </c>
      <c r="C236" s="10" t="str">
        <f t="shared" ca="1" si="9"/>
        <v>0PremiumS4yellow</v>
      </c>
      <c r="D236" s="6">
        <v>0</v>
      </c>
      <c r="E236" s="7">
        <v>260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輪廻 ウロボロス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ドラゴン</v>
      </c>
      <c r="L236" s="6">
        <v>1</v>
      </c>
      <c r="M236" s="46">
        <f ca="1">VLOOKUP(C236,gacha_115_base!A:B,2,FALSE)</f>
        <v>63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11"/>
        <v>02611</v>
      </c>
      <c r="B237" s="2">
        <f t="shared" si="10"/>
        <v>115</v>
      </c>
      <c r="C237" s="10" t="str">
        <f t="shared" ca="1" si="9"/>
        <v>0PremiumS5yellow</v>
      </c>
      <c r="D237" s="6">
        <v>0</v>
      </c>
      <c r="E237" s="7">
        <v>261</v>
      </c>
      <c r="F237" s="10" t="str">
        <f ca="1">VLOOKUP($E237,OFFSET([1]characters!$A$2,0,0,COUNTA([1]characters!$A:$A),MATCH(F$1,[1]characters!$2:$2,0)-MATCH($E$1,[1]characters!$2:$2,0)+1),MATCH(F$1,[1]characters!$2:$2,0)-MATCH($E$1,[1]characters!$2:$2,0)+1,FALSE)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37" s="10" t="str">
        <f ca="1">VLOOKUP($E237,OFFSET([1]characters!$A$2,0,0,COUNTA([1]characters!$A:$A),MATCH(G$1,[1]characters!$2:$2,0)-MATCH($E$1,[1]characters!$2:$2,0)+1),MATCH(G$1,[1]characters!$2:$2,0)-MATCH($E$1,[1]characters!$2:$2,0)+1,FALSE)</f>
        <v>PremiumS</v>
      </c>
      <c r="H237" s="10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10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10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7" s="10" t="str">
        <f ca="1">VLOOKUP($E237,OFFSET([1]characters!$A$2,0,0,COUNTA([1]characters!$A:$A),MATCH($K$1,[1]characters!$1:$1,0)-MATCH($E$1,[1]characters!$2:$2,0)+2),MATCH($K$1,[1]characters!$1:$1,0)-MATCH($E$1,[1]characters!$2:$2,0)+2,FALSE)</f>
        <v>ドラゴン</v>
      </c>
      <c r="L237" s="6">
        <v>1</v>
      </c>
      <c r="M237" s="46">
        <f ca="1">VLOOKUP(C237,gacha_115_base!A:B,2,FALSE)</f>
        <v>10</v>
      </c>
      <c r="N237" s="28">
        <v>0</v>
      </c>
      <c r="O237" s="28">
        <v>0</v>
      </c>
      <c r="P237" s="28">
        <v>0</v>
      </c>
      <c r="Q237" s="28">
        <v>0</v>
      </c>
      <c r="R237" s="28">
        <v>1</v>
      </c>
    </row>
    <row r="238" spans="1:18" ht="21" customHeight="1" thickBot="1">
      <c r="A238" s="22" t="str">
        <f t="shared" si="11"/>
        <v>03201</v>
      </c>
      <c r="B238" s="2">
        <f t="shared" si="10"/>
        <v>115</v>
      </c>
      <c r="C238" s="10" t="str">
        <f t="shared" ca="1" si="9"/>
        <v>0PremiumSS4red</v>
      </c>
      <c r="D238" s="21">
        <v>0</v>
      </c>
      <c r="E238" s="27">
        <v>320</v>
      </c>
      <c r="F238" s="20" t="str">
        <f ca="1">VLOOKUP($E238,OFFSET([1]characters!$A$2,0,0,COUNTA([1]characters!$A:$A),MATCH(F$1,[1]characters!$2:$2,0)-MATCH($E$1,[1]characters!$2:$2,0)+1),MATCH(F$1,[1]characters!$2:$2,0)-MATCH($E$1,[1]characters!$2:$2,0)+1,FALSE)</f>
        <v>烈志士 近藤勇</v>
      </c>
      <c r="G238" s="20" t="str">
        <f ca="1">VLOOKUP($E238,OFFSET([1]characters!$A$2,0,0,COUNTA([1]characters!$A:$A),MATCH(G$1,[1]characters!$2:$2,0)-MATCH($E$1,[1]characters!$2:$2,0)+1),MATCH(G$1,[1]characters!$2:$2,0)-MATCH($E$1,[1]characters!$2:$2,0)+1,FALSE)</f>
        <v>PremiumSS</v>
      </c>
      <c r="H238" s="20">
        <f ca="1">VLOOKUP($E238,OFFSET([1]characters!$A$2,0,0,COUNTA([1]characters!$A:$A),MATCH(H$1,[1]characters!$2:$2,0)-MATCH($E$1,[1]characters!$2:$2,0)+1),MATCH(H$1,[1]characters!$2:$2,0)-MATCH($E$1,[1]characters!$2:$2,0)+1,FALSE)</f>
        <v>4</v>
      </c>
      <c r="I238" s="20" t="str">
        <f ca="1">VLOOKUP($E238,OFFSET([1]characters!$A$2,0,0,COUNTA([1]characters!$A:$A),MATCH(I$1,[1]characters!$2:$2,0)-MATCH($E$1,[1]characters!$2:$2,0)+1),MATCH(I$1,[1]characters!$2:$2,0)-MATCH($E$1,[1]characters!$2:$2,0)+1,FALSE)</f>
        <v>red</v>
      </c>
      <c r="J238" s="20" t="str">
        <f ca="1">VLOOKUP($E238,OFFSET([1]characters!$A$2,0,0,COUNTA([1]characters!$A:$A),MATCH("タイプ",[1]characters!$1:$1,0)-MATCH($E$1,[1]characters!$2:$2,0)+2),MATCH("タイプ",[1]characters!$1:$1,0)-MATCH($E$1,[1]characters!$2:$2,0)+2,FALSE)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8" s="20" t="str">
        <f ca="1">VLOOKUP($E238,OFFSET([1]characters!$A$2,0,0,COUNTA([1]characters!$A:$A),MATCH($K$1,[1]characters!$1:$1,0)-MATCH($E$1,[1]characters!$2:$2,0)+2),MATCH($K$1,[1]characters!$1:$1,0)-MATCH($E$1,[1]characters!$2:$2,0)+2,FALSE)</f>
        <v>ヒューマン</v>
      </c>
      <c r="L238" s="21">
        <v>1</v>
      </c>
      <c r="M238" s="46">
        <f ca="1">VLOOKUP(C238,gacha_115_base!A:B,2,FALSE)</f>
        <v>162</v>
      </c>
      <c r="N238" s="18">
        <v>0</v>
      </c>
      <c r="O238" s="18">
        <v>0</v>
      </c>
      <c r="P238" s="18">
        <v>0</v>
      </c>
      <c r="Q238" s="18">
        <v>0</v>
      </c>
      <c r="R238" s="18">
        <v>1</v>
      </c>
    </row>
    <row r="239" spans="1:18" ht="21" customHeight="1" thickBot="1">
      <c r="A239" s="22" t="str">
        <f t="shared" si="11"/>
        <v>03211</v>
      </c>
      <c r="B239" s="2">
        <f t="shared" si="10"/>
        <v>115</v>
      </c>
      <c r="C239" s="10" t="str">
        <f t="shared" ca="1" si="9"/>
        <v>0PremiumSS5red</v>
      </c>
      <c r="D239" s="21">
        <v>0</v>
      </c>
      <c r="E239" s="7">
        <v>321</v>
      </c>
      <c r="F239" s="10" t="str">
        <f ca="1">VLOOKUP($E239,OFFSET([1]characters!$A$2,0,0,COUNTA([1]characters!$A:$A),MATCH(F$1,[1]characters!$2:$2,0)-MATCH($E$1,[1]characters!$2:$2,0)+1),MATCH(F$1,[1]characters!$2:$2,0)-MATCH($E$1,[1]characters!$2:$2,0)+1,FALSE)</f>
        <v>巌鉄の烈志士 近藤勇</v>
      </c>
      <c r="G239" s="10" t="str">
        <f ca="1">VLOOKUP($E239,OFFSET([1]characters!$A$2,0,0,COUNTA([1]characters!$A:$A),MATCH(G$1,[1]characters!$2:$2,0)-MATCH($E$1,[1]characters!$2:$2,0)+1),MATCH(G$1,[1]characters!$2:$2,0)-MATCH($E$1,[1]characters!$2:$2,0)+1,FALSE)</f>
        <v>PremiumSS</v>
      </c>
      <c r="H239" s="10">
        <f ca="1">VLOOKUP($E239,OFFSET([1]characters!$A$2,0,0,COUNTA([1]characters!$A:$A),MATCH(H$1,[1]characters!$2:$2,0)-MATCH($E$1,[1]characters!$2:$2,0)+1),MATCH(H$1,[1]characters!$2:$2,0)-MATCH($E$1,[1]characters!$2:$2,0)+1,FALSE)</f>
        <v>5</v>
      </c>
      <c r="I239" s="10" t="str">
        <f ca="1">VLOOKUP($E239,OFFSET([1]characters!$A$2,0,0,COUNTA([1]characters!$A:$A),MATCH(I$1,[1]characters!$2:$2,0)-MATCH($E$1,[1]characters!$2:$2,0)+1),MATCH(I$1,[1]characters!$2:$2,0)-MATCH($E$1,[1]characters!$2:$2,0)+1,FALSE)</f>
        <v>red</v>
      </c>
      <c r="J239" s="10" t="str">
        <f ca="1">VLOOKUP($E239,OFFSET([1]characters!$A$2,0,0,COUNTA([1]characters!$A:$A),MATCH("タイプ",[1]characters!$1:$1,0)-MATCH($E$1,[1]characters!$2:$2,0)+2),MATCH("タイプ",[1]characters!$1:$1,0)-MATCH($E$1,[1]characters!$2:$2,0)+2,FALSE)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9" s="10" t="str">
        <f ca="1">VLOOKUP($E239,OFFSET([1]characters!$A$2,0,0,COUNTA([1]characters!$A:$A),MATCH($K$1,[1]characters!$1:$1,0)-MATCH($E$1,[1]characters!$2:$2,0)+2),MATCH($K$1,[1]characters!$1:$1,0)-MATCH($E$1,[1]characters!$2:$2,0)+2,FALSE)</f>
        <v>ヒューマン</v>
      </c>
      <c r="L239" s="6">
        <v>1</v>
      </c>
      <c r="M239" s="46">
        <f ca="1">VLOOKUP(C239,gacha_115_base!A:B,2,FALSE)</f>
        <v>31</v>
      </c>
      <c r="N239" s="28">
        <v>0</v>
      </c>
      <c r="O239" s="28">
        <v>0</v>
      </c>
      <c r="P239" s="28">
        <v>0</v>
      </c>
      <c r="Q239" s="28">
        <v>0</v>
      </c>
      <c r="R239" s="28">
        <v>1</v>
      </c>
    </row>
    <row r="240" spans="1:18" ht="21" customHeight="1" thickBot="1">
      <c r="A240" s="22" t="str">
        <f t="shared" si="11"/>
        <v>03221</v>
      </c>
      <c r="B240" s="2">
        <f t="shared" si="10"/>
        <v>115</v>
      </c>
      <c r="C240" s="10" t="str">
        <f t="shared" ca="1" si="9"/>
        <v>0PremiumSS4green</v>
      </c>
      <c r="D240" s="21">
        <v>0</v>
      </c>
      <c r="E240" s="7">
        <v>322</v>
      </c>
      <c r="F240" s="10" t="str">
        <f ca="1">VLOOKUP($E240,OFFSET([1]characters!$A$2,0,0,COUNTA([1]characters!$A:$A),MATCH(F$1,[1]characters!$2:$2,0)-MATCH($E$1,[1]characters!$2:$2,0)+1),MATCH(F$1,[1]characters!$2:$2,0)-MATCH($E$1,[1]characters!$2:$2,0)+1,FALSE)</f>
        <v>愛志士 土方歳三</v>
      </c>
      <c r="G240" s="10" t="str">
        <f ca="1">VLOOKUP($E240,OFFSET([1]characters!$A$2,0,0,COUNTA([1]characters!$A:$A),MATCH(G$1,[1]characters!$2:$2,0)-MATCH($E$1,[1]characters!$2:$2,0)+1),MATCH(G$1,[1]characters!$2:$2,0)-MATCH($E$1,[1]characters!$2:$2,0)+1,FALSE)</f>
        <v>PremiumSS</v>
      </c>
      <c r="H240" s="10">
        <f ca="1">VLOOKUP($E240,OFFSET([1]characters!$A$2,0,0,COUNTA([1]characters!$A:$A),MATCH(H$1,[1]characters!$2:$2,0)-MATCH($E$1,[1]characters!$2:$2,0)+1),MATCH(H$1,[1]characters!$2:$2,0)-MATCH($E$1,[1]characters!$2:$2,0)+1,FALSE)</f>
        <v>4</v>
      </c>
      <c r="I240" s="10" t="str">
        <f ca="1">VLOOKUP($E240,OFFSET([1]characters!$A$2,0,0,COUNTA([1]characters!$A:$A),MATCH(I$1,[1]characters!$2:$2,0)-MATCH($E$1,[1]characters!$2:$2,0)+1),MATCH(I$1,[1]characters!$2:$2,0)-MATCH($E$1,[1]characters!$2:$2,0)+1,FALSE)</f>
        <v>green</v>
      </c>
      <c r="J240" s="10" t="str">
        <f ca="1">VLOOKUP($E240,OFFSET([1]characters!$A$2,0,0,COUNTA([1]characters!$A:$A),MATCH("タイプ",[1]characters!$1:$1,0)-MATCH($E$1,[1]characters!$2:$2,0)+2),MATCH("タイプ",[1]characters!$1:$1,0)-MATCH($E$1,[1]characters!$2:$2,0)+2,FALSE)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0" s="10" t="str">
        <f ca="1">VLOOKUP($E240,OFFSET([1]characters!$A$2,0,0,COUNTA([1]characters!$A:$A),MATCH($K$1,[1]characters!$1:$1,0)-MATCH($E$1,[1]characters!$2:$2,0)+2),MATCH($K$1,[1]characters!$1:$1,0)-MATCH($E$1,[1]characters!$2:$2,0)+2,FALSE)</f>
        <v>ヒューマン</v>
      </c>
      <c r="L240" s="6">
        <v>1</v>
      </c>
      <c r="M240" s="46">
        <f ca="1">VLOOKUP(C240,gacha_115_base!A:B,2,FALSE)</f>
        <v>162</v>
      </c>
      <c r="N240" s="28">
        <v>0</v>
      </c>
      <c r="O240" s="28">
        <v>0</v>
      </c>
      <c r="P240" s="28">
        <v>0</v>
      </c>
      <c r="Q240" s="28">
        <v>0</v>
      </c>
      <c r="R240" s="28">
        <v>1</v>
      </c>
    </row>
    <row r="241" spans="1:18" ht="21" customHeight="1" thickBot="1">
      <c r="A241" s="22" t="str">
        <f t="shared" si="11"/>
        <v>03231</v>
      </c>
      <c r="B241" s="2">
        <f t="shared" si="10"/>
        <v>115</v>
      </c>
      <c r="C241" s="10" t="str">
        <f t="shared" ca="1" si="9"/>
        <v>0PremiumSS5green</v>
      </c>
      <c r="D241" s="21">
        <v>0</v>
      </c>
      <c r="E241" s="7">
        <v>323</v>
      </c>
      <c r="F241" s="10" t="str">
        <f ca="1">VLOOKUP($E241,OFFSET([1]characters!$A$2,0,0,COUNTA([1]characters!$A:$A),MATCH(F$1,[1]characters!$2:$2,0)-MATCH($E$1,[1]characters!$2:$2,0)+1),MATCH(F$1,[1]characters!$2:$2,0)-MATCH($E$1,[1]characters!$2:$2,0)+1,FALSE)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41" s="10" t="str">
        <f ca="1">VLOOKUP($E241,OFFSET([1]characters!$A$2,0,0,COUNTA([1]characters!$A:$A),MATCH(G$1,[1]characters!$2:$2,0)-MATCH($E$1,[1]characters!$2:$2,0)+1),MATCH(G$1,[1]characters!$2:$2,0)-MATCH($E$1,[1]characters!$2:$2,0)+1,FALSE)</f>
        <v>PremiumSS</v>
      </c>
      <c r="H241" s="10">
        <f ca="1">VLOOKUP($E241,OFFSET([1]characters!$A$2,0,0,COUNTA([1]characters!$A:$A),MATCH(H$1,[1]characters!$2:$2,0)-MATCH($E$1,[1]characters!$2:$2,0)+1),MATCH(H$1,[1]characters!$2:$2,0)-MATCH($E$1,[1]characters!$2:$2,0)+1,FALSE)</f>
        <v>5</v>
      </c>
      <c r="I241" s="10" t="str">
        <f ca="1">VLOOKUP($E241,OFFSET([1]characters!$A$2,0,0,COUNTA([1]characters!$A:$A),MATCH(I$1,[1]characters!$2:$2,0)-MATCH($E$1,[1]characters!$2:$2,0)+1),MATCH(I$1,[1]characters!$2:$2,0)-MATCH($E$1,[1]characters!$2:$2,0)+1,FALSE)</f>
        <v>green</v>
      </c>
      <c r="J241" s="10" t="str">
        <f ca="1">VLOOKUP($E241,OFFSET([1]characters!$A$2,0,0,COUNTA([1]characters!$A:$A),MATCH("タイプ",[1]characters!$1:$1,0)-MATCH($E$1,[1]characters!$2:$2,0)+2),MATCH("タイプ",[1]characters!$1:$1,0)-MATCH($E$1,[1]characters!$2:$2,0)+2,FALSE)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1" s="10" t="str">
        <f ca="1">VLOOKUP($E241,OFFSET([1]characters!$A$2,0,0,COUNTA([1]characters!$A:$A),MATCH($K$1,[1]characters!$1:$1,0)-MATCH($E$1,[1]characters!$2:$2,0)+2),MATCH($K$1,[1]characters!$1:$1,0)-MATCH($E$1,[1]characters!$2:$2,0)+2,FALSE)</f>
        <v>ヒューマン</v>
      </c>
      <c r="L241" s="6">
        <v>1</v>
      </c>
      <c r="M241" s="46">
        <f ca="1">VLOOKUP(C241,gacha_115_base!A:B,2,FALSE)</f>
        <v>31</v>
      </c>
      <c r="N241" s="28">
        <v>0</v>
      </c>
      <c r="O241" s="28">
        <v>0</v>
      </c>
      <c r="P241" s="28">
        <v>0</v>
      </c>
      <c r="Q241" s="28">
        <v>0</v>
      </c>
      <c r="R241" s="28">
        <v>1</v>
      </c>
    </row>
    <row r="242" spans="1:18" ht="21" customHeight="1" thickBot="1">
      <c r="A242" s="22" t="str">
        <f t="shared" si="11"/>
        <v>03241</v>
      </c>
      <c r="B242" s="2">
        <f t="shared" si="10"/>
        <v>115</v>
      </c>
      <c r="C242" s="10" t="str">
        <f t="shared" ca="1" si="9"/>
        <v>0PremiumSS4blue</v>
      </c>
      <c r="D242" s="44">
        <v>0</v>
      </c>
      <c r="E242" s="39">
        <v>324</v>
      </c>
      <c r="F242" s="10" t="str">
        <f ca="1">VLOOKUP($E242,OFFSET([1]characters!$A$2,0,0,COUNTA([1]characters!$A:$A),MATCH(F$1,[1]characters!$2:$2,0)-MATCH($E$1,[1]characters!$2:$2,0)+1),MATCH(F$1,[1]characters!$2:$2,0)-MATCH($E$1,[1]characters!$2:$2,0)+1,FALSE)</f>
        <v>凛志士 沖田総司</v>
      </c>
      <c r="G242" s="10" t="str">
        <f ca="1">VLOOKUP($E242,OFFSET([1]characters!$A$2,0,0,COUNTA([1]characters!$A:$A),MATCH(G$1,[1]characters!$2:$2,0)-MATCH($E$1,[1]characters!$2:$2,0)+1),MATCH(G$1,[1]characters!$2:$2,0)-MATCH($E$1,[1]characters!$2:$2,0)+1,FALSE)</f>
        <v>PremiumSS</v>
      </c>
      <c r="H242" s="10">
        <f ca="1">VLOOKUP($E242,OFFSET([1]characters!$A$2,0,0,COUNTA([1]characters!$A:$A),MATCH(H$1,[1]characters!$2:$2,0)-MATCH($E$1,[1]characters!$2:$2,0)+1),MATCH(H$1,[1]characters!$2:$2,0)-MATCH($E$1,[1]characters!$2:$2,0)+1,FALSE)</f>
        <v>4</v>
      </c>
      <c r="I242" s="10" t="str">
        <f ca="1">VLOOKUP($E242,OFFSET([1]characters!$A$2,0,0,COUNTA([1]characters!$A:$A),MATCH(I$1,[1]characters!$2:$2,0)-MATCH($E$1,[1]characters!$2:$2,0)+1),MATCH(I$1,[1]characters!$2:$2,0)-MATCH($E$1,[1]characters!$2:$2,0)+1,FALSE)</f>
        <v>blue</v>
      </c>
      <c r="J242" s="10" t="str">
        <f ca="1">VLOOKUP($E242,OFFSET([1]characters!$A$2,0,0,COUNTA([1]characters!$A:$A),MATCH("タイプ",[1]characters!$1:$1,0)-MATCH($E$1,[1]characters!$2:$2,0)+2),MATCH("タイプ",[1]characters!$1:$1,0)-MATCH($E$1,[1]characters!$2:$2,0)+2,FALSE)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2" s="10" t="str">
        <f ca="1">VLOOKUP($E242,OFFSET([1]characters!$A$2,0,0,COUNTA([1]characters!$A:$A),MATCH($K$1,[1]characters!$1:$1,0)-MATCH($E$1,[1]characters!$2:$2,0)+2),MATCH($K$1,[1]characters!$1:$1,0)-MATCH($E$1,[1]characters!$2:$2,0)+2,FALSE)</f>
        <v>ヒューマン</v>
      </c>
      <c r="L242" s="38">
        <v>1</v>
      </c>
      <c r="M242" s="46">
        <f ca="1">VLOOKUP(C242,gacha_115_base!A:B,2,FALSE)</f>
        <v>662</v>
      </c>
      <c r="N242" s="28">
        <v>0</v>
      </c>
      <c r="O242" s="28">
        <v>0</v>
      </c>
      <c r="P242" s="28">
        <v>0</v>
      </c>
      <c r="Q242" s="28">
        <v>0</v>
      </c>
      <c r="R242" s="28">
        <v>1</v>
      </c>
    </row>
    <row r="243" spans="1:18" ht="21" customHeight="1" thickBot="1">
      <c r="A243" s="22" t="str">
        <f t="shared" si="11"/>
        <v>03251</v>
      </c>
      <c r="B243" s="2">
        <f t="shared" si="10"/>
        <v>115</v>
      </c>
      <c r="C243" s="10" t="str">
        <f t="shared" ca="1" si="9"/>
        <v>0PremiumSS5blue</v>
      </c>
      <c r="D243" s="44">
        <v>0</v>
      </c>
      <c r="E243" s="39">
        <v>325</v>
      </c>
      <c r="F243" s="10" t="str">
        <f ca="1">VLOOKUP($E243,OFFSET([1]characters!$A$2,0,0,COUNTA([1]characters!$A:$A),MATCH(F$1,[1]characters!$2:$2,0)-MATCH($E$1,[1]characters!$2:$2,0)+1),MATCH(F$1,[1]characters!$2:$2,0)-MATCH($E$1,[1]characters!$2:$2,0)+1,FALSE)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43" s="10" t="str">
        <f ca="1">VLOOKUP($E243,OFFSET([1]characters!$A$2,0,0,COUNTA([1]characters!$A:$A),MATCH(G$1,[1]characters!$2:$2,0)-MATCH($E$1,[1]characters!$2:$2,0)+1),MATCH(G$1,[1]characters!$2:$2,0)-MATCH($E$1,[1]characters!$2:$2,0)+1,FALSE)</f>
        <v>PremiumSS</v>
      </c>
      <c r="H243" s="10">
        <f ca="1">VLOOKUP($E243,OFFSET([1]characters!$A$2,0,0,COUNTA([1]characters!$A:$A),MATCH(H$1,[1]characters!$2:$2,0)-MATCH($E$1,[1]characters!$2:$2,0)+1),MATCH(H$1,[1]characters!$2:$2,0)-MATCH($E$1,[1]characters!$2:$2,0)+1,FALSE)</f>
        <v>5</v>
      </c>
      <c r="I243" s="10" t="str">
        <f ca="1">VLOOKUP($E243,OFFSET([1]characters!$A$2,0,0,COUNTA([1]characters!$A:$A),MATCH(I$1,[1]characters!$2:$2,0)-MATCH($E$1,[1]characters!$2:$2,0)+1),MATCH(I$1,[1]characters!$2:$2,0)-MATCH($E$1,[1]characters!$2:$2,0)+1,FALSE)</f>
        <v>blue</v>
      </c>
      <c r="J243" s="10" t="str">
        <f ca="1">VLOOKUP($E243,OFFSET([1]characters!$A$2,0,0,COUNTA([1]characters!$A:$A),MATCH("タイプ",[1]characters!$1:$1,0)-MATCH($E$1,[1]characters!$2:$2,0)+2),MATCH("タイプ",[1]characters!$1:$1,0)-MATCH($E$1,[1]characters!$2:$2,0)+2,FALSE)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3" s="10" t="str">
        <f ca="1">VLOOKUP($E243,OFFSET([1]characters!$A$2,0,0,COUNTA([1]characters!$A:$A),MATCH($K$1,[1]characters!$1:$1,0)-MATCH($E$1,[1]characters!$2:$2,0)+2),MATCH($K$1,[1]characters!$1:$1,0)-MATCH($E$1,[1]characters!$2:$2,0)+2,FALSE)</f>
        <v>ヒューマン</v>
      </c>
      <c r="L243" s="38">
        <v>1</v>
      </c>
      <c r="M243" s="46">
        <f ca="1">VLOOKUP(C243,gacha_115_base!A:B,2,FALSE)</f>
        <v>108</v>
      </c>
      <c r="N243" s="28">
        <v>0</v>
      </c>
      <c r="O243" s="28">
        <v>0</v>
      </c>
      <c r="P243" s="28">
        <v>0</v>
      </c>
      <c r="Q243" s="28">
        <v>0</v>
      </c>
      <c r="R243" s="28">
        <v>1</v>
      </c>
    </row>
    <row r="244" spans="1:18" ht="21" customHeight="1" thickBot="1">
      <c r="A244" s="22" t="str">
        <f t="shared" si="11"/>
        <v>03261</v>
      </c>
      <c r="B244" s="2">
        <f t="shared" si="10"/>
        <v>115</v>
      </c>
      <c r="C244" s="10" t="str">
        <f t="shared" ca="1" si="9"/>
        <v>0PremiumSS4yellow</v>
      </c>
      <c r="D244" s="21">
        <v>0</v>
      </c>
      <c r="E244" s="32">
        <v>326</v>
      </c>
      <c r="F244" s="33" t="str">
        <f ca="1">VLOOKUP($E244,OFFSET([1]characters!$A$2,0,0,COUNTA([1]characters!$A:$A),MATCH(F$1,[1]characters!$2:$2,0)-MATCH($E$1,[1]characters!$2:$2,0)+1),MATCH(F$1,[1]characters!$2:$2,0)-MATCH($E$1,[1]characters!$2:$2,0)+1,FALSE)</f>
        <v>妖志士 斎藤一</v>
      </c>
      <c r="G244" s="33" t="str">
        <f ca="1">VLOOKUP($E244,OFFSET([1]characters!$A$2,0,0,COUNTA([1]characters!$A:$A),MATCH(G$1,[1]characters!$2:$2,0)-MATCH($E$1,[1]characters!$2:$2,0)+1),MATCH(G$1,[1]characters!$2:$2,0)-MATCH($E$1,[1]characters!$2:$2,0)+1,FALSE)</f>
        <v>PremiumSS</v>
      </c>
      <c r="H244" s="33">
        <f ca="1">VLOOKUP($E244,OFFSET([1]characters!$A$2,0,0,COUNTA([1]characters!$A:$A),MATCH(H$1,[1]characters!$2:$2,0)-MATCH($E$1,[1]characters!$2:$2,0)+1),MATCH(H$1,[1]characters!$2:$2,0)-MATCH($E$1,[1]characters!$2:$2,0)+1,FALSE)</f>
        <v>4</v>
      </c>
      <c r="I244" s="33" t="str">
        <f ca="1">VLOOKUP($E244,OFFSET([1]characters!$A$2,0,0,COUNTA([1]characters!$A:$A),MATCH(I$1,[1]characters!$2:$2,0)-MATCH($E$1,[1]characters!$2:$2,0)+1),MATCH(I$1,[1]characters!$2:$2,0)-MATCH($E$1,[1]characters!$2:$2,0)+1,FALSE)</f>
        <v>yellow</v>
      </c>
      <c r="J244" s="33" t="str">
        <f ca="1">VLOOKUP($E244,OFFSET([1]characters!$A$2,0,0,COUNTA([1]characters!$A:$A),MATCH("タイプ",[1]characters!$1:$1,0)-MATCH($E$1,[1]characters!$2:$2,0)+2),MATCH("タイプ",[1]characters!$1:$1,0)-MATCH($E$1,[1]characters!$2:$2,0)+2,FALSE)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4" s="33" t="str">
        <f ca="1">VLOOKUP($E244,OFFSET([1]characters!$A$2,0,0,COUNTA([1]characters!$A:$A),MATCH($K$1,[1]characters!$1:$1,0)-MATCH($E$1,[1]characters!$2:$2,0)+2),MATCH($K$1,[1]characters!$1:$1,0)-MATCH($E$1,[1]characters!$2:$2,0)+2,FALSE)</f>
        <v>ヒューマン</v>
      </c>
      <c r="L244" s="31">
        <v>1</v>
      </c>
      <c r="M244" s="46">
        <f ca="1">VLOOKUP(C244,gacha_115_base!A:B,2,FALSE)</f>
        <v>162</v>
      </c>
      <c r="N244" s="34">
        <v>0</v>
      </c>
      <c r="O244" s="34">
        <v>0</v>
      </c>
      <c r="P244" s="34">
        <v>0</v>
      </c>
      <c r="Q244" s="34">
        <v>0</v>
      </c>
      <c r="R244" s="34">
        <v>1</v>
      </c>
    </row>
    <row r="245" spans="1:18" ht="21" customHeight="1" thickBot="1">
      <c r="A245" s="22" t="str">
        <f t="shared" si="11"/>
        <v>03271</v>
      </c>
      <c r="B245" s="2">
        <f t="shared" si="10"/>
        <v>115</v>
      </c>
      <c r="C245" s="10" t="str">
        <f t="shared" ca="1" si="9"/>
        <v>0PremiumSS5yellow</v>
      </c>
      <c r="D245" s="37">
        <v>0</v>
      </c>
      <c r="E245" s="7">
        <v>327</v>
      </c>
      <c r="F245" s="10" t="str">
        <f ca="1">VLOOKUP($E245,OFFSET([1]characters!$A$2,0,0,COUNTA([1]characters!$A:$A),MATCH(F$1,[1]characters!$2:$2,0)-MATCH($E$1,[1]characters!$2:$2,0)+1),MATCH(F$1,[1]characters!$2:$2,0)-MATCH($E$1,[1]characters!$2:$2,0)+1,FALSE)</f>
        <v>千殺の妖志士 斎藤一</v>
      </c>
      <c r="G245" s="10" t="str">
        <f ca="1">VLOOKUP($E245,OFFSET([1]characters!$A$2,0,0,COUNTA([1]characters!$A:$A),MATCH(G$1,[1]characters!$2:$2,0)-MATCH($E$1,[1]characters!$2:$2,0)+1),MATCH(G$1,[1]characters!$2:$2,0)-MATCH($E$1,[1]characters!$2:$2,0)+1,FALSE)</f>
        <v>PremiumSS</v>
      </c>
      <c r="H245" s="10">
        <f ca="1">VLOOKUP($E245,OFFSET([1]characters!$A$2,0,0,COUNTA([1]characters!$A:$A),MATCH(H$1,[1]characters!$2:$2,0)-MATCH($E$1,[1]characters!$2:$2,0)+1),MATCH(H$1,[1]characters!$2:$2,0)-MATCH($E$1,[1]characters!$2:$2,0)+1,FALSE)</f>
        <v>5</v>
      </c>
      <c r="I245" s="10" t="str">
        <f ca="1">VLOOKUP($E245,OFFSET([1]characters!$A$2,0,0,COUNTA([1]characters!$A:$A),MATCH(I$1,[1]characters!$2:$2,0)-MATCH($E$1,[1]characters!$2:$2,0)+1),MATCH(I$1,[1]characters!$2:$2,0)-MATCH($E$1,[1]characters!$2:$2,0)+1,FALSE)</f>
        <v>yellow</v>
      </c>
      <c r="J245" s="10" t="str">
        <f ca="1">VLOOKUP($E245,OFFSET([1]characters!$A$2,0,0,COUNTA([1]characters!$A:$A),MATCH("タイプ",[1]characters!$1:$1,0)-MATCH($E$1,[1]characters!$2:$2,0)+2),MATCH("タイプ",[1]characters!$1:$1,0)-MATCH($E$1,[1]characters!$2:$2,0)+2,FALSE)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5" s="10" t="str">
        <f ca="1">VLOOKUP($E245,OFFSET([1]characters!$A$2,0,0,COUNTA([1]characters!$A:$A),MATCH($K$1,[1]characters!$1:$1,0)-MATCH($E$1,[1]characters!$2:$2,0)+2),MATCH($K$1,[1]characters!$1:$1,0)-MATCH($E$1,[1]characters!$2:$2,0)+2,FALSE)</f>
        <v>ヒューマン</v>
      </c>
      <c r="L245" s="6">
        <v>1</v>
      </c>
      <c r="M245" s="46">
        <f ca="1">VLOOKUP(C245,gacha_115_base!A:B,2,FALSE)</f>
        <v>31</v>
      </c>
      <c r="N245" s="28">
        <v>0</v>
      </c>
      <c r="O245" s="28">
        <v>0</v>
      </c>
      <c r="P245" s="28">
        <v>0</v>
      </c>
      <c r="Q245" s="28">
        <v>0</v>
      </c>
      <c r="R245" s="28">
        <v>1</v>
      </c>
    </row>
    <row r="246" spans="1:18" ht="21" customHeight="1" thickBot="1">
      <c r="A246" s="22" t="str">
        <f t="shared" si="11"/>
        <v>03801</v>
      </c>
      <c r="B246" s="2">
        <f t="shared" si="10"/>
        <v>115</v>
      </c>
      <c r="C246" s="10" t="str">
        <f t="shared" ca="1" si="9"/>
        <v>0PremiumS3red</v>
      </c>
      <c r="D246" s="37">
        <v>0</v>
      </c>
      <c r="E246" s="27">
        <v>380</v>
      </c>
      <c r="F246" s="20" t="str">
        <f ca="1">VLOOKUP($E246,OFFSET([1]characters!$A$2,0,0,COUNTA([1]characters!$A:$A),MATCH(F$1,[1]characters!$2:$2,0)-MATCH($E$1,[1]characters!$2:$2,0)+1),MATCH(F$1,[1]characters!$2:$2,0)-MATCH($E$1,[1]characters!$2:$2,0)+1,FALSE)</f>
        <v>バハムート</v>
      </c>
      <c r="G246" s="20" t="str">
        <f ca="1">VLOOKUP($E246,OFFSET([1]characters!$A$2,0,0,COUNTA([1]characters!$A:$A),MATCH(G$1,[1]characters!$2:$2,0)-MATCH($E$1,[1]characters!$2:$2,0)+1),MATCH(G$1,[1]characters!$2:$2,0)-MATCH($E$1,[1]characters!$2:$2,0)+1,FALSE)</f>
        <v>PremiumS</v>
      </c>
      <c r="H246" s="20">
        <f ca="1">VLOOKUP($E246,OFFSET([1]characters!$A$2,0,0,COUNTA([1]characters!$A:$A),MATCH(H$1,[1]characters!$2:$2,0)-MATCH($E$1,[1]characters!$2:$2,0)+1),MATCH(H$1,[1]characters!$2:$2,0)-MATCH($E$1,[1]characters!$2:$2,0)+1,FALSE)</f>
        <v>3</v>
      </c>
      <c r="I246" s="20" t="str">
        <f ca="1">VLOOKUP($E246,OFFSET([1]characters!$A$2,0,0,COUNTA([1]characters!$A:$A),MATCH(I$1,[1]characters!$2:$2,0)-MATCH($E$1,[1]characters!$2:$2,0)+1),MATCH(I$1,[1]characters!$2:$2,0)-MATCH($E$1,[1]characters!$2:$2,0)+1,FALSE)</f>
        <v>red</v>
      </c>
      <c r="J246" s="20" t="str">
        <f ca="1">VLOOKUP($E246,OFFSET([1]characters!$A$2,0,0,COUNTA([1]characters!$A:$A),MATCH("タイプ",[1]characters!$1:$1,0)-MATCH($E$1,[1]characters!$2:$2,0)+2),MATCH("タイプ",[1]characters!$1:$1,0)-MATCH($E$1,[1]characters!$2:$2,0)+2,FALSE)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6" s="20" t="str">
        <f ca="1">VLOOKUP($E246,OFFSET([1]characters!$A$2,0,0,COUNTA([1]characters!$A:$A),MATCH($K$1,[1]characters!$1:$1,0)-MATCH($E$1,[1]characters!$2:$2,0)+2),MATCH($K$1,[1]characters!$1:$1,0)-MATCH($E$1,[1]characters!$2:$2,0)+2,FALSE)</f>
        <v>ドラゴン</v>
      </c>
      <c r="L246" s="21">
        <v>1</v>
      </c>
      <c r="M246" s="46">
        <f ca="1">VLOOKUP(C246,gacha_115_base!A:B,2,FALSE)</f>
        <v>179</v>
      </c>
      <c r="N246" s="18">
        <v>0</v>
      </c>
      <c r="O246" s="18">
        <v>0</v>
      </c>
      <c r="P246" s="18">
        <v>0</v>
      </c>
      <c r="Q246" s="18">
        <v>0</v>
      </c>
      <c r="R246" s="18">
        <v>1</v>
      </c>
    </row>
    <row r="247" spans="1:18" ht="21" customHeight="1" thickBot="1">
      <c r="A247" s="22" t="str">
        <f t="shared" si="11"/>
        <v>03811</v>
      </c>
      <c r="B247" s="2">
        <f t="shared" si="10"/>
        <v>115</v>
      </c>
      <c r="C247" s="10" t="str">
        <f t="shared" ca="1" si="9"/>
        <v>0PremiumS4red</v>
      </c>
      <c r="D247" s="37">
        <v>0</v>
      </c>
      <c r="E247" s="27">
        <v>381</v>
      </c>
      <c r="F247" s="10" t="str">
        <f ca="1">VLOOKUP($E247,OFFSET([1]characters!$A$2,0,0,COUNTA([1]characters!$A:$A),MATCH(F$1,[1]characters!$2:$2,0)-MATCH($E$1,[1]characters!$2:$2,0)+1),MATCH(F$1,[1]characters!$2:$2,0)-MATCH($E$1,[1]characters!$2:$2,0)+1,FALSE)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247" s="10" t="str">
        <f ca="1">VLOOKUP($E247,OFFSET([1]characters!$A$2,0,0,COUNTA([1]characters!$A:$A),MATCH(G$1,[1]characters!$2:$2,0)-MATCH($E$1,[1]characters!$2:$2,0)+1),MATCH(G$1,[1]characters!$2:$2,0)-MATCH($E$1,[1]characters!$2:$2,0)+1,FALSE)</f>
        <v>PremiumS</v>
      </c>
      <c r="H247" s="10">
        <f ca="1">VLOOKUP($E247,OFFSET([1]characters!$A$2,0,0,COUNTA([1]characters!$A:$A),MATCH(H$1,[1]characters!$2:$2,0)-MATCH($E$1,[1]characters!$2:$2,0)+1),MATCH(H$1,[1]characters!$2:$2,0)-MATCH($E$1,[1]characters!$2:$2,0)+1,FALSE)</f>
        <v>4</v>
      </c>
      <c r="I247" s="10" t="str">
        <f ca="1">VLOOKUP($E247,OFFSET([1]characters!$A$2,0,0,COUNTA([1]characters!$A:$A),MATCH(I$1,[1]characters!$2:$2,0)-MATCH($E$1,[1]characters!$2:$2,0)+1),MATCH(I$1,[1]characters!$2:$2,0)-MATCH($E$1,[1]characters!$2:$2,0)+1,FALSE)</f>
        <v>red</v>
      </c>
      <c r="J247" s="10" t="str">
        <f ca="1">VLOOKUP($E247,OFFSET([1]characters!$A$2,0,0,COUNTA([1]characters!$A:$A),MATCH("タイプ",[1]characters!$1:$1,0)-MATCH($E$1,[1]characters!$2:$2,0)+2),MATCH("タイプ",[1]characters!$1:$1,0)-MATCH($E$1,[1]characters!$2:$2,0)+2,FALSE)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7" s="10" t="str">
        <f ca="1">VLOOKUP($E247,OFFSET([1]characters!$A$2,0,0,COUNTA([1]characters!$A:$A),MATCH($K$1,[1]characters!$1:$1,0)-MATCH($E$1,[1]characters!$2:$2,0)+2),MATCH($K$1,[1]characters!$1:$1,0)-MATCH($E$1,[1]characters!$2:$2,0)+2,FALSE)</f>
        <v>ドラゴン</v>
      </c>
      <c r="L247" s="6">
        <v>1</v>
      </c>
      <c r="M247" s="46">
        <f ca="1">VLOOKUP(C247,gacha_115_base!A:B,2,FALSE)</f>
        <v>63</v>
      </c>
      <c r="N247" s="28">
        <v>0</v>
      </c>
      <c r="O247" s="28">
        <v>0</v>
      </c>
      <c r="P247" s="28">
        <v>0</v>
      </c>
      <c r="Q247" s="28">
        <v>0</v>
      </c>
      <c r="R247" s="28">
        <v>1</v>
      </c>
    </row>
    <row r="248" spans="1:18" ht="21" customHeight="1" thickBot="1">
      <c r="A248" s="22" t="str">
        <f t="shared" si="11"/>
        <v>03821</v>
      </c>
      <c r="B248" s="2">
        <f t="shared" si="10"/>
        <v>115</v>
      </c>
      <c r="C248" s="10" t="str">
        <f t="shared" ca="1" si="9"/>
        <v>0PremiumS5red</v>
      </c>
      <c r="D248" s="37">
        <v>0</v>
      </c>
      <c r="E248" s="27">
        <v>382</v>
      </c>
      <c r="F248" s="10" t="str">
        <f ca="1">VLOOKUP($E248,OFFSET([1]characters!$A$2,0,0,COUNTA([1]characters!$A:$A),MATCH(F$1,[1]characters!$2:$2,0)-MATCH($E$1,[1]characters!$2:$2,0)+1),MATCH(F$1,[1]characters!$2:$2,0)-MATCH($E$1,[1]characters!$2:$2,0)+1,FALSE)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248" s="10" t="str">
        <f ca="1">VLOOKUP($E248,OFFSET([1]characters!$A$2,0,0,COUNTA([1]characters!$A:$A),MATCH(G$1,[1]characters!$2:$2,0)-MATCH($E$1,[1]characters!$2:$2,0)+1),MATCH(G$1,[1]characters!$2:$2,0)-MATCH($E$1,[1]characters!$2:$2,0)+1,FALSE)</f>
        <v>PremiumS</v>
      </c>
      <c r="H248" s="10">
        <f ca="1">VLOOKUP($E248,OFFSET([1]characters!$A$2,0,0,COUNTA([1]characters!$A:$A),MATCH(H$1,[1]characters!$2:$2,0)-MATCH($E$1,[1]characters!$2:$2,0)+1),MATCH(H$1,[1]characters!$2:$2,0)-MATCH($E$1,[1]characters!$2:$2,0)+1,FALSE)</f>
        <v>5</v>
      </c>
      <c r="I248" s="10" t="str">
        <f ca="1">VLOOKUP($E248,OFFSET([1]characters!$A$2,0,0,COUNTA([1]characters!$A:$A),MATCH(I$1,[1]characters!$2:$2,0)-MATCH($E$1,[1]characters!$2:$2,0)+1),MATCH(I$1,[1]characters!$2:$2,0)-MATCH($E$1,[1]characters!$2:$2,0)+1,FALSE)</f>
        <v>red</v>
      </c>
      <c r="J248" s="10" t="str">
        <f ca="1">VLOOKUP($E248,OFFSET([1]characters!$A$2,0,0,COUNTA([1]characters!$A:$A),MATCH("タイプ",[1]characters!$1:$1,0)-MATCH($E$1,[1]characters!$2:$2,0)+2),MATCH("タイプ",[1]characters!$1:$1,0)-MATCH($E$1,[1]characters!$2:$2,0)+2,FALSE)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8" s="10" t="str">
        <f ca="1">VLOOKUP($E248,OFFSET([1]characters!$A$2,0,0,COUNTA([1]characters!$A:$A),MATCH($K$1,[1]characters!$1:$1,0)-MATCH($E$1,[1]characters!$2:$2,0)+2),MATCH($K$1,[1]characters!$1:$1,0)-MATCH($E$1,[1]characters!$2:$2,0)+2,FALSE)</f>
        <v>ドラゴン</v>
      </c>
      <c r="L248" s="6">
        <v>1</v>
      </c>
      <c r="M248" s="46">
        <f ca="1">VLOOKUP(C248,gacha_115_base!A:B,2,FALSE)</f>
        <v>10</v>
      </c>
      <c r="N248" s="28">
        <v>0</v>
      </c>
      <c r="O248" s="28">
        <v>0</v>
      </c>
      <c r="P248" s="28">
        <v>0</v>
      </c>
      <c r="Q248" s="28">
        <v>0</v>
      </c>
      <c r="R248" s="28">
        <v>1</v>
      </c>
    </row>
    <row r="249" spans="1:18" ht="21" customHeight="1" thickBot="1">
      <c r="A249" s="22" t="str">
        <f t="shared" si="11"/>
        <v>03831</v>
      </c>
      <c r="B249" s="2">
        <f t="shared" si="10"/>
        <v>115</v>
      </c>
      <c r="C249" s="10" t="str">
        <f t="shared" ca="1" si="9"/>
        <v>0PremiumSS4green</v>
      </c>
      <c r="D249" s="37">
        <v>0</v>
      </c>
      <c r="E249" s="27">
        <v>383</v>
      </c>
      <c r="F249" s="10" t="str">
        <f ca="1">VLOOKUP($E249,OFFSET([1]characters!$A$2,0,0,COUNTA([1]characters!$A:$A),MATCH(F$1,[1]characters!$2:$2,0)-MATCH($E$1,[1]characters!$2:$2,0)+1),MATCH(F$1,[1]characters!$2:$2,0)-MATCH($E$1,[1]characters!$2:$2,0)+1,FALSE)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249" s="10" t="str">
        <f ca="1">VLOOKUP($E249,OFFSET([1]characters!$A$2,0,0,COUNTA([1]characters!$A:$A),MATCH(G$1,[1]characters!$2:$2,0)-MATCH($E$1,[1]characters!$2:$2,0)+1),MATCH(G$1,[1]characters!$2:$2,0)-MATCH($E$1,[1]characters!$2:$2,0)+1,FALSE)</f>
        <v>PremiumSS</v>
      </c>
      <c r="H249" s="10">
        <f ca="1">VLOOKUP($E249,OFFSET([1]characters!$A$2,0,0,COUNTA([1]characters!$A:$A),MATCH(H$1,[1]characters!$2:$2,0)-MATCH($E$1,[1]characters!$2:$2,0)+1),MATCH(H$1,[1]characters!$2:$2,0)-MATCH($E$1,[1]characters!$2:$2,0)+1,FALSE)</f>
        <v>4</v>
      </c>
      <c r="I249" s="10" t="str">
        <f ca="1">VLOOKUP($E249,OFFSET([1]characters!$A$2,0,0,COUNTA([1]characters!$A:$A),MATCH(I$1,[1]characters!$2:$2,0)-MATCH($E$1,[1]characters!$2:$2,0)+1),MATCH(I$1,[1]characters!$2:$2,0)-MATCH($E$1,[1]characters!$2:$2,0)+1,FALSE)</f>
        <v>green</v>
      </c>
      <c r="J249" s="10" t="str">
        <f ca="1">VLOOKUP($E249,OFFSET([1]characters!$A$2,0,0,COUNTA([1]characters!$A:$A),MATCH("タイプ",[1]characters!$1:$1,0)-MATCH($E$1,[1]characters!$2:$2,0)+2),MATCH("タイプ",[1]characters!$1:$1,0)-MATCH($E$1,[1]characters!$2:$2,0)+2,FALSE)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49" s="10" t="str">
        <f ca="1">VLOOKUP($E249,OFFSET([1]characters!$A$2,0,0,COUNTA([1]characters!$A:$A),MATCH($K$1,[1]characters!$1:$1,0)-MATCH($E$1,[1]characters!$2:$2,0)+2),MATCH($K$1,[1]characters!$1:$1,0)-MATCH($E$1,[1]characters!$2:$2,0)+2,FALSE)</f>
        <v>ドラゴン</v>
      </c>
      <c r="L249" s="6">
        <v>1</v>
      </c>
      <c r="M249" s="46">
        <f ca="1">VLOOKUP(C249,gacha_115_base!A:B,2,FALSE)</f>
        <v>162</v>
      </c>
      <c r="N249" s="28">
        <v>0</v>
      </c>
      <c r="O249" s="28">
        <v>0</v>
      </c>
      <c r="P249" s="28">
        <v>0</v>
      </c>
      <c r="Q249" s="28">
        <v>0</v>
      </c>
      <c r="R249" s="28">
        <v>1</v>
      </c>
    </row>
    <row r="250" spans="1:18" ht="21" customHeight="1" thickBot="1">
      <c r="A250" s="22" t="str">
        <f t="shared" si="11"/>
        <v>03841</v>
      </c>
      <c r="B250" s="2">
        <f t="shared" si="10"/>
        <v>115</v>
      </c>
      <c r="C250" s="10" t="str">
        <f t="shared" ca="1" si="9"/>
        <v>0PremiumSS5green</v>
      </c>
      <c r="D250" s="37">
        <v>0</v>
      </c>
      <c r="E250" s="27">
        <v>384</v>
      </c>
      <c r="F250" s="10" t="str">
        <f ca="1">VLOOKUP($E250,OFFSET([1]characters!$A$2,0,0,COUNTA([1]characters!$A:$A),MATCH(F$1,[1]characters!$2:$2,0)-MATCH($E$1,[1]characters!$2:$2,0)+1),MATCH(F$1,[1]characters!$2:$2,0)-MATCH($E$1,[1]characters!$2:$2,0)+1,FALSE)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250" s="10" t="str">
        <f ca="1">VLOOKUP($E250,OFFSET([1]characters!$A$2,0,0,COUNTA([1]characters!$A:$A),MATCH(G$1,[1]characters!$2:$2,0)-MATCH($E$1,[1]characters!$2:$2,0)+1),MATCH(G$1,[1]characters!$2:$2,0)-MATCH($E$1,[1]characters!$2:$2,0)+1,FALSE)</f>
        <v>PremiumSS</v>
      </c>
      <c r="H250" s="10">
        <f ca="1">VLOOKUP($E250,OFFSET([1]characters!$A$2,0,0,COUNTA([1]characters!$A:$A),MATCH(H$1,[1]characters!$2:$2,0)-MATCH($E$1,[1]characters!$2:$2,0)+1),MATCH(H$1,[1]characters!$2:$2,0)-MATCH($E$1,[1]characters!$2:$2,0)+1,FALSE)</f>
        <v>5</v>
      </c>
      <c r="I250" s="10" t="str">
        <f ca="1">VLOOKUP($E250,OFFSET([1]characters!$A$2,0,0,COUNTA([1]characters!$A:$A),MATCH(I$1,[1]characters!$2:$2,0)-MATCH($E$1,[1]characters!$2:$2,0)+1),MATCH(I$1,[1]characters!$2:$2,0)-MATCH($E$1,[1]characters!$2:$2,0)+1,FALSE)</f>
        <v>green</v>
      </c>
      <c r="J250" s="10" t="str">
        <f ca="1">VLOOKUP($E250,OFFSET([1]characters!$A$2,0,0,COUNTA([1]characters!$A:$A),MATCH("タイプ",[1]characters!$1:$1,0)-MATCH($E$1,[1]characters!$2:$2,0)+2),MATCH("タイプ",[1]characters!$1:$1,0)-MATCH($E$1,[1]characters!$2:$2,0)+2,FALSE)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0" s="10" t="str">
        <f ca="1">VLOOKUP($E250,OFFSET([1]characters!$A$2,0,0,COUNTA([1]characters!$A:$A),MATCH($K$1,[1]characters!$1:$1,0)-MATCH($E$1,[1]characters!$2:$2,0)+2),MATCH($K$1,[1]characters!$1:$1,0)-MATCH($E$1,[1]characters!$2:$2,0)+2,FALSE)</f>
        <v>ドラゴン</v>
      </c>
      <c r="L250" s="6">
        <v>1</v>
      </c>
      <c r="M250" s="46">
        <f ca="1">VLOOKUP(C250,gacha_115_base!A:B,2,FALSE)</f>
        <v>31</v>
      </c>
      <c r="N250" s="28">
        <v>0</v>
      </c>
      <c r="O250" s="28">
        <v>0</v>
      </c>
      <c r="P250" s="28">
        <v>0</v>
      </c>
      <c r="Q250" s="28">
        <v>0</v>
      </c>
      <c r="R250" s="28">
        <v>1</v>
      </c>
    </row>
    <row r="251" spans="1:18" ht="21" customHeight="1" thickBot="1">
      <c r="A251" s="22" t="str">
        <f t="shared" si="11"/>
        <v>03851</v>
      </c>
      <c r="B251" s="2">
        <f t="shared" si="10"/>
        <v>115</v>
      </c>
      <c r="C251" s="10" t="str">
        <f ca="1">D251&amp;G251&amp;H251&amp;I251&amp;"pick"</f>
        <v>0PremiumSS4bluepick</v>
      </c>
      <c r="D251" s="45">
        <v>0</v>
      </c>
      <c r="E251" s="41">
        <v>385</v>
      </c>
      <c r="F251" s="10" t="str">
        <f ca="1">VLOOKUP($E251,OFFSET([1]characters!$A$2,0,0,COUNTA([1]characters!$A:$A),MATCH(F$1,[1]characters!$2:$2,0)-MATCH($E$1,[1]characters!$2:$2,0)+1),MATCH(F$1,[1]characters!$2:$2,0)-MATCH($E$1,[1]characters!$2:$2,0)+1,FALSE)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251" s="10" t="str">
        <f ca="1">VLOOKUP($E251,OFFSET([1]characters!$A$2,0,0,COUNTA([1]characters!$A:$A),MATCH(G$1,[1]characters!$2:$2,0)-MATCH($E$1,[1]characters!$2:$2,0)+1),MATCH(G$1,[1]characters!$2:$2,0)-MATCH($E$1,[1]characters!$2:$2,0)+1,FALSE)</f>
        <v>PremiumSS</v>
      </c>
      <c r="H251" s="10">
        <f ca="1">VLOOKUP($E251,OFFSET([1]characters!$A$2,0,0,COUNTA([1]characters!$A:$A),MATCH(H$1,[1]characters!$2:$2,0)-MATCH($E$1,[1]characters!$2:$2,0)+1),MATCH(H$1,[1]characters!$2:$2,0)-MATCH($E$1,[1]characters!$2:$2,0)+1,FALSE)</f>
        <v>4</v>
      </c>
      <c r="I251" s="10" t="str">
        <f ca="1">VLOOKUP($E251,OFFSET([1]characters!$A$2,0,0,COUNTA([1]characters!$A:$A),MATCH(I$1,[1]characters!$2:$2,0)-MATCH($E$1,[1]characters!$2:$2,0)+1),MATCH(I$1,[1]characters!$2:$2,0)-MATCH($E$1,[1]characters!$2:$2,0)+1,FALSE)</f>
        <v>blue</v>
      </c>
      <c r="J251" s="10" t="str">
        <f ca="1">VLOOKUP($E251,OFFSET([1]characters!$A$2,0,0,COUNTA([1]characters!$A:$A),MATCH("タイプ",[1]characters!$1:$1,0)-MATCH($E$1,[1]characters!$2:$2,0)+2),MATCH("タイプ",[1]characters!$1:$1,0)-MATCH($E$1,[1]characters!$2:$2,0)+2,FALSE)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1" s="10" t="str">
        <f ca="1">VLOOKUP($E251,OFFSET([1]characters!$A$2,0,0,COUNTA([1]characters!$A:$A),MATCH($K$1,[1]characters!$1:$1,0)-MATCH($E$1,[1]characters!$2:$2,0)+2),MATCH($K$1,[1]characters!$1:$1,0)-MATCH($E$1,[1]characters!$2:$2,0)+2,FALSE)</f>
        <v>ドラゴン</v>
      </c>
      <c r="L251" s="38">
        <v>1</v>
      </c>
      <c r="M251" s="46">
        <f ca="1">VLOOKUP(C251,gacha_115_base!A:B,2,FALSE)</f>
        <v>1348</v>
      </c>
      <c r="N251" s="28">
        <v>0</v>
      </c>
      <c r="O251" s="28">
        <v>0</v>
      </c>
      <c r="P251" s="28">
        <v>0</v>
      </c>
      <c r="Q251" s="28">
        <v>0</v>
      </c>
      <c r="R251" s="28">
        <v>1</v>
      </c>
    </row>
    <row r="252" spans="1:18" ht="21" customHeight="1" thickBot="1">
      <c r="A252" s="22" t="str">
        <f t="shared" si="11"/>
        <v>03861</v>
      </c>
      <c r="B252" s="2">
        <f t="shared" si="10"/>
        <v>115</v>
      </c>
      <c r="C252" s="10" t="str">
        <f ca="1">D252&amp;G252&amp;H252&amp;I252&amp;"pick"</f>
        <v>0PremiumSS5bluepick</v>
      </c>
      <c r="D252" s="45">
        <v>0</v>
      </c>
      <c r="E252" s="43">
        <v>386</v>
      </c>
      <c r="F252" s="33" t="str">
        <f ca="1">VLOOKUP($E252,OFFSET([1]characters!$A$2,0,0,COUNTA([1]characters!$A:$A),MATCH(F$1,[1]characters!$2:$2,0)-MATCH($E$1,[1]characters!$2:$2,0)+1),MATCH(F$1,[1]characters!$2:$2,0)-MATCH($E$1,[1]characters!$2:$2,0)+1,FALSE)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252" s="33" t="str">
        <f ca="1">VLOOKUP($E252,OFFSET([1]characters!$A$2,0,0,COUNTA([1]characters!$A:$A),MATCH(G$1,[1]characters!$2:$2,0)-MATCH($E$1,[1]characters!$2:$2,0)+1),MATCH(G$1,[1]characters!$2:$2,0)-MATCH($E$1,[1]characters!$2:$2,0)+1,FALSE)</f>
        <v>PremiumSS</v>
      </c>
      <c r="H252" s="33">
        <f ca="1">VLOOKUP($E252,OFFSET([1]characters!$A$2,0,0,COUNTA([1]characters!$A:$A),MATCH(H$1,[1]characters!$2:$2,0)-MATCH($E$1,[1]characters!$2:$2,0)+1),MATCH(H$1,[1]characters!$2:$2,0)-MATCH($E$1,[1]characters!$2:$2,0)+1,FALSE)</f>
        <v>5</v>
      </c>
      <c r="I252" s="33" t="str">
        <f ca="1">VLOOKUP($E252,OFFSET([1]characters!$A$2,0,0,COUNTA([1]characters!$A:$A),MATCH(I$1,[1]characters!$2:$2,0)-MATCH($E$1,[1]characters!$2:$2,0)+1),MATCH(I$1,[1]characters!$2:$2,0)-MATCH($E$1,[1]characters!$2:$2,0)+1,FALSE)</f>
        <v>blue</v>
      </c>
      <c r="J252" s="33" t="str">
        <f ca="1">VLOOKUP($E252,OFFSET([1]characters!$A$2,0,0,COUNTA([1]characters!$A:$A),MATCH("タイプ",[1]characters!$1:$1,0)-MATCH($E$1,[1]characters!$2:$2,0)+2),MATCH("タイプ",[1]characters!$1:$1,0)-MATCH($E$1,[1]characters!$2:$2,0)+2,FALSE)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2" s="33" t="str">
        <f ca="1">VLOOKUP($E252,OFFSET([1]characters!$A$2,0,0,COUNTA([1]characters!$A:$A),MATCH($K$1,[1]characters!$1:$1,0)-MATCH($E$1,[1]characters!$2:$2,0)+2),MATCH($K$1,[1]characters!$1:$1,0)-MATCH($E$1,[1]characters!$2:$2,0)+2,FALSE)</f>
        <v>ドラゴン</v>
      </c>
      <c r="L252" s="42">
        <v>1</v>
      </c>
      <c r="M252" s="46">
        <f ca="1">VLOOKUP(C252,gacha_115_base!A:B,2,FALSE)</f>
        <v>193</v>
      </c>
      <c r="N252" s="34">
        <v>0</v>
      </c>
      <c r="O252" s="34">
        <v>0</v>
      </c>
      <c r="P252" s="34">
        <v>0</v>
      </c>
      <c r="Q252" s="34">
        <v>0</v>
      </c>
      <c r="R252" s="34">
        <v>1</v>
      </c>
    </row>
    <row r="253" spans="1:18" ht="21" customHeight="1" thickBot="1">
      <c r="A253" s="22" t="str">
        <f t="shared" si="11"/>
        <v>03871</v>
      </c>
      <c r="B253" s="2">
        <f t="shared" si="10"/>
        <v>115</v>
      </c>
      <c r="C253" s="10" t="str">
        <f t="shared" ca="1" si="9"/>
        <v>0PremiumS3yellow</v>
      </c>
      <c r="D253" s="37">
        <v>0</v>
      </c>
      <c r="E253" s="7">
        <v>387</v>
      </c>
      <c r="F253" s="10" t="str">
        <f ca="1">VLOOKUP($E253,OFFSET([1]characters!$A$2,0,0,COUNTA([1]characters!$A:$A),MATCH(F$1,[1]characters!$2:$2,0)-MATCH($E$1,[1]characters!$2:$2,0)+1),MATCH(F$1,[1]characters!$2:$2,0)-MATCH($E$1,[1]characters!$2:$2,0)+1,FALSE)</f>
        <v>スフィンクス</v>
      </c>
      <c r="G253" s="10" t="str">
        <f ca="1">VLOOKUP($E253,OFFSET([1]characters!$A$2,0,0,COUNTA([1]characters!$A:$A),MATCH(G$1,[1]characters!$2:$2,0)-MATCH($E$1,[1]characters!$2:$2,0)+1),MATCH(G$1,[1]characters!$2:$2,0)-MATCH($E$1,[1]characters!$2:$2,0)+1,FALSE)</f>
        <v>PremiumS</v>
      </c>
      <c r="H253" s="10">
        <f ca="1">VLOOKUP($E253,OFFSET([1]characters!$A$2,0,0,COUNTA([1]characters!$A:$A),MATCH(H$1,[1]characters!$2:$2,0)-MATCH($E$1,[1]characters!$2:$2,0)+1),MATCH(H$1,[1]characters!$2:$2,0)-MATCH($E$1,[1]characters!$2:$2,0)+1,FALSE)</f>
        <v>3</v>
      </c>
      <c r="I253" s="10" t="str">
        <f ca="1">VLOOKUP($E253,OFFSET([1]characters!$A$2,0,0,COUNTA([1]characters!$A:$A),MATCH(I$1,[1]characters!$2:$2,0)-MATCH($E$1,[1]characters!$2:$2,0)+1),MATCH(I$1,[1]characters!$2:$2,0)-MATCH($E$1,[1]characters!$2:$2,0)+1,FALSE)</f>
        <v>yellow</v>
      </c>
      <c r="J253" s="10" t="str">
        <f ca="1">VLOOKUP($E253,OFFSET([1]characters!$A$2,0,0,COUNTA([1]characters!$A:$A),MATCH("タイプ",[1]characters!$1:$1,0)-MATCH($E$1,[1]characters!$2:$2,0)+2),MATCH("タイプ",[1]characters!$1:$1,0)-MATCH($E$1,[1]characters!$2:$2,0)+2,FALSE)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3" s="10" t="str">
        <f ca="1">VLOOKUP($E253,OFFSET([1]characters!$A$2,0,0,COUNTA([1]characters!$A:$A),MATCH($K$1,[1]characters!$1:$1,0)-MATCH($E$1,[1]characters!$2:$2,0)+2),MATCH($K$1,[1]characters!$1:$1,0)-MATCH($E$1,[1]characters!$2:$2,0)+2,FALSE)</f>
        <v>アニマル</v>
      </c>
      <c r="L253" s="6">
        <v>1</v>
      </c>
      <c r="M253" s="46">
        <f ca="1">VLOOKUP(C253,gacha_115_base!A:B,2,FALSE)</f>
        <v>179</v>
      </c>
      <c r="N253" s="28">
        <v>0</v>
      </c>
      <c r="O253" s="28">
        <v>0</v>
      </c>
      <c r="P253" s="28">
        <v>0</v>
      </c>
      <c r="Q253" s="28">
        <v>0</v>
      </c>
      <c r="R253" s="28">
        <v>1</v>
      </c>
    </row>
    <row r="254" spans="1:18" ht="21" customHeight="1">
      <c r="A254" s="30" t="str">
        <f t="shared" si="11"/>
        <v>03881</v>
      </c>
      <c r="B254" s="2">
        <f t="shared" si="10"/>
        <v>115</v>
      </c>
      <c r="C254" s="10" t="str">
        <f t="shared" ca="1" si="9"/>
        <v>0PremiumS4yellow</v>
      </c>
      <c r="D254" s="37">
        <v>0</v>
      </c>
      <c r="E254" s="32">
        <v>388</v>
      </c>
      <c r="F254" s="33" t="str">
        <f ca="1">VLOOKUP($E254,OFFSET([1]characters!$A$2,0,0,COUNTA([1]characters!$A:$A),MATCH(F$1,[1]characters!$2:$2,0)-MATCH($E$1,[1]characters!$2:$2,0)+1),MATCH(F$1,[1]characters!$2:$2,0)-MATCH($E$1,[1]characters!$2:$2,0)+1,FALSE)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254" s="33" t="str">
        <f ca="1">VLOOKUP($E254,OFFSET([1]characters!$A$2,0,0,COUNTA([1]characters!$A:$A),MATCH(G$1,[1]characters!$2:$2,0)-MATCH($E$1,[1]characters!$2:$2,0)+1),MATCH(G$1,[1]characters!$2:$2,0)-MATCH($E$1,[1]characters!$2:$2,0)+1,FALSE)</f>
        <v>PremiumS</v>
      </c>
      <c r="H254" s="33">
        <f ca="1">VLOOKUP($E254,OFFSET([1]characters!$A$2,0,0,COUNTA([1]characters!$A:$A),MATCH(H$1,[1]characters!$2:$2,0)-MATCH($E$1,[1]characters!$2:$2,0)+1),MATCH(H$1,[1]characters!$2:$2,0)-MATCH($E$1,[1]characters!$2:$2,0)+1,FALSE)</f>
        <v>4</v>
      </c>
      <c r="I254" s="33" t="str">
        <f ca="1">VLOOKUP($E254,OFFSET([1]characters!$A$2,0,0,COUNTA([1]characters!$A:$A),MATCH(I$1,[1]characters!$2:$2,0)-MATCH($E$1,[1]characters!$2:$2,0)+1),MATCH(I$1,[1]characters!$2:$2,0)-MATCH($E$1,[1]characters!$2:$2,0)+1,FALSE)</f>
        <v>yellow</v>
      </c>
      <c r="J254" s="33" t="str">
        <f ca="1">VLOOKUP($E254,OFFSET([1]characters!$A$2,0,0,COUNTA([1]characters!$A:$A),MATCH("タイプ",[1]characters!$1:$1,0)-MATCH($E$1,[1]characters!$2:$2,0)+2),MATCH("タイプ",[1]characters!$1:$1,0)-MATCH($E$1,[1]characters!$2:$2,0)+2,FALSE)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4" s="33" t="str">
        <f ca="1">VLOOKUP($E254,OFFSET([1]characters!$A$2,0,0,COUNTA([1]characters!$A:$A),MATCH($K$1,[1]characters!$1:$1,0)-MATCH($E$1,[1]characters!$2:$2,0)+2),MATCH($K$1,[1]characters!$1:$1,0)-MATCH($E$1,[1]characters!$2:$2,0)+2,FALSE)</f>
        <v>アニマル</v>
      </c>
      <c r="L254" s="31">
        <v>1</v>
      </c>
      <c r="M254" s="46">
        <f ca="1">VLOOKUP(C254,gacha_115_base!A:B,2,FALSE)</f>
        <v>63</v>
      </c>
      <c r="N254" s="34">
        <v>0</v>
      </c>
      <c r="O254" s="34">
        <v>0</v>
      </c>
      <c r="P254" s="34">
        <v>0</v>
      </c>
      <c r="Q254" s="34">
        <v>0</v>
      </c>
      <c r="R254" s="34">
        <v>1</v>
      </c>
    </row>
    <row r="255" spans="1:18" s="36" customFormat="1" ht="21" customHeight="1" thickBot="1">
      <c r="A255" s="35" t="str">
        <f t="shared" si="11"/>
        <v>03891</v>
      </c>
      <c r="B255" s="2">
        <f t="shared" si="10"/>
        <v>115</v>
      </c>
      <c r="C255" s="10" t="str">
        <f t="shared" ca="1" si="9"/>
        <v>0PremiumS5yellow</v>
      </c>
      <c r="D255" s="37">
        <v>0</v>
      </c>
      <c r="E255" s="25">
        <v>389</v>
      </c>
      <c r="F255" s="23" t="str">
        <f ca="1">VLOOKUP($E255,OFFSET([1]characters!$A$2,0,0,COUNTA([1]characters!$A:$A),MATCH(F$1,[1]characters!$2:$2,0)-MATCH($E$1,[1]characters!$2:$2,0)+1),MATCH(F$1,[1]characters!$2:$2,0)-MATCH($E$1,[1]characters!$2:$2,0)+1,FALSE)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255" s="23" t="str">
        <f ca="1">VLOOKUP($E255,OFFSET([1]characters!$A$2,0,0,COUNTA([1]characters!$A:$A),MATCH(G$1,[1]characters!$2:$2,0)-MATCH($E$1,[1]characters!$2:$2,0)+1),MATCH(G$1,[1]characters!$2:$2,0)-MATCH($E$1,[1]characters!$2:$2,0)+1,FALSE)</f>
        <v>PremiumS</v>
      </c>
      <c r="H255" s="23">
        <f ca="1">VLOOKUP($E255,OFFSET([1]characters!$A$2,0,0,COUNTA([1]characters!$A:$A),MATCH(H$1,[1]characters!$2:$2,0)-MATCH($E$1,[1]characters!$2:$2,0)+1),MATCH(H$1,[1]characters!$2:$2,0)-MATCH($E$1,[1]characters!$2:$2,0)+1,FALSE)</f>
        <v>5</v>
      </c>
      <c r="I255" s="23" t="str">
        <f ca="1">VLOOKUP($E255,OFFSET([1]characters!$A$2,0,0,COUNTA([1]characters!$A:$A),MATCH(I$1,[1]characters!$2:$2,0)-MATCH($E$1,[1]characters!$2:$2,0)+1),MATCH(I$1,[1]characters!$2:$2,0)-MATCH($E$1,[1]characters!$2:$2,0)+1,FALSE)</f>
        <v>yellow</v>
      </c>
      <c r="J255" s="23" t="str">
        <f ca="1">VLOOKUP($E255,OFFSET([1]characters!$A$2,0,0,COUNTA([1]characters!$A:$A),MATCH("タイプ",[1]characters!$1:$1,0)-MATCH($E$1,[1]characters!$2:$2,0)+2),MATCH("タイプ",[1]characters!$1:$1,0)-MATCH($E$1,[1]characters!$2:$2,0)+2,FALSE)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5" s="23" t="str">
        <f ca="1">VLOOKUP($E255,OFFSET([1]characters!$A$2,0,0,COUNTA([1]characters!$A:$A),MATCH($K$1,[1]characters!$1:$1,0)-MATCH($E$1,[1]characters!$2:$2,0)+2),MATCH($K$1,[1]characters!$1:$1,0)-MATCH($E$1,[1]characters!$2:$2,0)+2,FALSE)</f>
        <v>アニマル</v>
      </c>
      <c r="L255" s="24">
        <v>1</v>
      </c>
      <c r="M255" s="46">
        <f ca="1">VLOOKUP(C255,gacha_115_base!A:B,2,FALSE)</f>
        <v>10</v>
      </c>
      <c r="N255" s="29">
        <v>0</v>
      </c>
      <c r="O255" s="29">
        <v>0</v>
      </c>
      <c r="P255" s="29">
        <v>0</v>
      </c>
      <c r="Q255" s="29">
        <v>0</v>
      </c>
      <c r="R255" s="29">
        <v>1</v>
      </c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R255"/>
  <sheetViews>
    <sheetView showGridLines="0" workbookViewId="0">
      <pane ySplit="1" topLeftCell="A173" activePane="bottomLeft" state="frozen"/>
      <selection pane="bottomLeft" activeCell="B3" sqref="B3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1" bestFit="1" customWidth="1"/>
    <col min="3" max="3" width="17.7109375" style="1" bestFit="1" customWidth="1" outlineLevel="1"/>
    <col min="4" max="4" width="7.42578125" style="1" customWidth="1"/>
    <col min="5" max="5" width="10.42578125" style="1" customWidth="1"/>
    <col min="6" max="6" width="23.28515625" style="1" customWidth="1" outlineLevel="1"/>
    <col min="7" max="7" width="13.7109375" style="1" customWidth="1" outlineLevel="1"/>
    <col min="8" max="8" width="9.7109375" style="1" customWidth="1" outlineLevel="1"/>
    <col min="9" max="9" width="10.42578125" style="5" customWidth="1" outlineLevel="1"/>
    <col min="10" max="10" width="18.85546875" style="1" customWidth="1" outlineLevel="1"/>
    <col min="11" max="11" width="19" style="1" customWidth="1" outlineLevel="1"/>
    <col min="12" max="12" width="13.140625" style="1" bestFit="1" customWidth="1"/>
    <col min="13" max="13" width="11.28515625" style="1" bestFit="1" customWidth="1"/>
    <col min="14" max="16384" width="12.710937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9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2">
        <v>116</v>
      </c>
      <c r="C2" s="10" t="str">
        <f ca="1">D2&amp;G2&amp;H2&amp;I2</f>
        <v>1PremiumW4red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46">
        <f ca="1">VLOOKUP(C2,gacha_115_base!A:B,2,FALSE)</f>
        <v>864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f>$B$2</f>
        <v>116</v>
      </c>
      <c r="C3" s="10" t="str">
        <f t="shared" ref="C3:C66" ca="1" si="1">D3&amp;G3&amp;H3&amp;I3</f>
        <v>1PremiumW4green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46">
        <f ca="1">VLOOKUP(C3,gacha_115_base!A:B,2,FALSE)</f>
        <v>864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f t="shared" ref="B4:B67" si="2">$B$2</f>
        <v>116</v>
      </c>
      <c r="C4" s="10" t="str">
        <f t="shared" ca="1" si="1"/>
        <v>1PremiumW4blue</v>
      </c>
      <c r="D4" s="38">
        <v>1</v>
      </c>
      <c r="E4" s="39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38">
        <v>1</v>
      </c>
      <c r="M4" s="46">
        <f ca="1">VLOOKUP(C4,gacha_115_base!A:B,2,FALSE)</f>
        <v>6021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f t="shared" si="2"/>
        <v>116</v>
      </c>
      <c r="C5" s="10" t="str">
        <f t="shared" ca="1" si="1"/>
        <v>1PremiumW4yellow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46">
        <f ca="1">VLOOKUP(C5,gacha_115_base!A:B,2,FALSE)</f>
        <v>864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f t="shared" si="2"/>
        <v>116</v>
      </c>
      <c r="C6" s="10" t="str">
        <f t="shared" ca="1" si="1"/>
        <v>1PremiumW4red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46">
        <f ca="1">VLOOKUP(C6,gacha_115_base!A:B,2,FALSE)</f>
        <v>864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f t="shared" si="2"/>
        <v>116</v>
      </c>
      <c r="C7" s="10" t="str">
        <f t="shared" ca="1" si="1"/>
        <v>1PremiumW4green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46">
        <f ca="1">VLOOKUP(C7,gacha_115_base!A:B,2,FALSE)</f>
        <v>864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f t="shared" si="2"/>
        <v>116</v>
      </c>
      <c r="C8" s="10" t="str">
        <f t="shared" ca="1" si="1"/>
        <v>1PremiumW4blue</v>
      </c>
      <c r="D8" s="38">
        <v>1</v>
      </c>
      <c r="E8" s="39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38">
        <v>1</v>
      </c>
      <c r="M8" s="46">
        <f ca="1">VLOOKUP(C8,gacha_115_base!A:B,2,FALSE)</f>
        <v>6021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f t="shared" si="2"/>
        <v>116</v>
      </c>
      <c r="C9" s="10" t="str">
        <f t="shared" ca="1" si="1"/>
        <v>1PremiumW4yellow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46">
        <f ca="1">VLOOKUP(C9,gacha_115_base!A:B,2,FALSE)</f>
        <v>864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f t="shared" si="2"/>
        <v>116</v>
      </c>
      <c r="C10" s="10" t="str">
        <f t="shared" ca="1" si="1"/>
        <v>1PremiumW4red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46">
        <f ca="1">VLOOKUP(C10,gacha_115_base!A:B,2,FALSE)</f>
        <v>864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f t="shared" si="2"/>
        <v>116</v>
      </c>
      <c r="C11" s="10" t="str">
        <f t="shared" ca="1" si="1"/>
        <v>1PremiumW4green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46">
        <f ca="1">VLOOKUP(C11,gacha_115_base!A:B,2,FALSE)</f>
        <v>864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f t="shared" si="2"/>
        <v>116</v>
      </c>
      <c r="C12" s="10" t="str">
        <f t="shared" ca="1" si="1"/>
        <v>1PremiumW4blue</v>
      </c>
      <c r="D12" s="38">
        <v>1</v>
      </c>
      <c r="E12" s="39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38">
        <v>1</v>
      </c>
      <c r="M12" s="46">
        <f ca="1">VLOOKUP(C12,gacha_115_base!A:B,2,FALSE)</f>
        <v>6021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f t="shared" si="2"/>
        <v>116</v>
      </c>
      <c r="C13" s="10" t="str">
        <f t="shared" ca="1" si="1"/>
        <v>1PremiumW4yellow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46">
        <f ca="1">VLOOKUP(C13,gacha_115_base!A:B,2,FALSE)</f>
        <v>864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f t="shared" si="2"/>
        <v>116</v>
      </c>
      <c r="C14" s="10" t="str">
        <f t="shared" ca="1" si="1"/>
        <v>1PremiumW4red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46">
        <f ca="1">VLOOKUP(C14,gacha_115_base!A:B,2,FALSE)</f>
        <v>864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f t="shared" si="2"/>
        <v>116</v>
      </c>
      <c r="C15" s="10" t="str">
        <f t="shared" ca="1" si="1"/>
        <v>1PremiumW4green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46">
        <f ca="1">VLOOKUP(C15,gacha_115_base!A:B,2,FALSE)</f>
        <v>864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f t="shared" si="2"/>
        <v>116</v>
      </c>
      <c r="C16" s="10" t="str">
        <f t="shared" ca="1" si="1"/>
        <v>1PremiumW4blue</v>
      </c>
      <c r="D16" s="38">
        <v>1</v>
      </c>
      <c r="E16" s="39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38">
        <v>1</v>
      </c>
      <c r="M16" s="46">
        <f ca="1">VLOOKUP(C16,gacha_115_base!A:B,2,FALSE)</f>
        <v>6021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f t="shared" si="2"/>
        <v>116</v>
      </c>
      <c r="C17" s="10" t="str">
        <f t="shared" ca="1" si="1"/>
        <v>1PremiumW4yellow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46">
        <f ca="1">VLOOKUP(C17,gacha_115_base!A:B,2,FALSE)</f>
        <v>864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f t="shared" si="2"/>
        <v>116</v>
      </c>
      <c r="C18" s="10" t="str">
        <f t="shared" ca="1" si="1"/>
        <v>1PremiumW4red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46">
        <f ca="1">VLOOKUP(C18,gacha_115_base!A:B,2,FALSE)</f>
        <v>864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f t="shared" si="2"/>
        <v>116</v>
      </c>
      <c r="C19" s="10" t="str">
        <f t="shared" ca="1" si="1"/>
        <v>1PremiumW4green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46">
        <f ca="1">VLOOKUP(C19,gacha_115_base!A:B,2,FALSE)</f>
        <v>864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f t="shared" si="2"/>
        <v>116</v>
      </c>
      <c r="C20" s="10" t="str">
        <f t="shared" ca="1" si="1"/>
        <v>1PremiumW4blue</v>
      </c>
      <c r="D20" s="38">
        <v>1</v>
      </c>
      <c r="E20" s="39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38">
        <v>1</v>
      </c>
      <c r="M20" s="46">
        <f ca="1">VLOOKUP(C20,gacha_115_base!A:B,2,FALSE)</f>
        <v>6021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f t="shared" si="2"/>
        <v>116</v>
      </c>
      <c r="C21" s="10" t="str">
        <f t="shared" ca="1" si="1"/>
        <v>1PremiumW4yellow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46">
        <f ca="1">VLOOKUP(C21,gacha_115_base!A:B,2,FALSE)</f>
        <v>864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f t="shared" si="2"/>
        <v>116</v>
      </c>
      <c r="C22" s="10" t="str">
        <f t="shared" ca="1" si="1"/>
        <v>1PremiumN4red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46">
        <f ca="1">VLOOKUP(C22,gacha_115_base!A:B,2,FALSE)</f>
        <v>912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f t="shared" si="2"/>
        <v>116</v>
      </c>
      <c r="C23" s="10" t="str">
        <f t="shared" ca="1" si="1"/>
        <v>1PremiumN4green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46">
        <f ca="1">VLOOKUP(C23,gacha_115_base!A:B,2,FALSE)</f>
        <v>912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f t="shared" si="2"/>
        <v>116</v>
      </c>
      <c r="C24" s="10" t="str">
        <f t="shared" ca="1" si="1"/>
        <v>1PremiumN4blue</v>
      </c>
      <c r="D24" s="38">
        <v>1</v>
      </c>
      <c r="E24" s="39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38">
        <v>1</v>
      </c>
      <c r="M24" s="46">
        <f ca="1">VLOOKUP(C24,gacha_115_base!A:B,2,FALSE)</f>
        <v>6368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f t="shared" si="2"/>
        <v>116</v>
      </c>
      <c r="C25" s="10" t="str">
        <f t="shared" ca="1" si="1"/>
        <v>1PremiumN4yellow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46">
        <f ca="1">VLOOKUP(C25,gacha_115_base!A:B,2,FALSE)</f>
        <v>912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f t="shared" si="2"/>
        <v>116</v>
      </c>
      <c r="C26" s="10" t="str">
        <f t="shared" ca="1" si="1"/>
        <v>1PremiumN4red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46">
        <f ca="1">VLOOKUP(C26,gacha_115_base!A:B,2,FALSE)</f>
        <v>912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f t="shared" si="2"/>
        <v>116</v>
      </c>
      <c r="C27" s="10" t="str">
        <f t="shared" ca="1" si="1"/>
        <v>1PremiumN4green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46">
        <f ca="1">VLOOKUP(C27,gacha_115_base!A:B,2,FALSE)</f>
        <v>912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f t="shared" si="2"/>
        <v>116</v>
      </c>
      <c r="C28" s="10" t="str">
        <f t="shared" ca="1" si="1"/>
        <v>1PremiumN4blue</v>
      </c>
      <c r="D28" s="38">
        <v>1</v>
      </c>
      <c r="E28" s="39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38">
        <v>1</v>
      </c>
      <c r="M28" s="46">
        <f ca="1">VLOOKUP(C28,gacha_115_base!A:B,2,FALSE)</f>
        <v>6368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f t="shared" si="2"/>
        <v>116</v>
      </c>
      <c r="C29" s="10" t="str">
        <f t="shared" ca="1" si="1"/>
        <v>1PremiumN4yellow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46">
        <f ca="1">VLOOKUP(C29,gacha_115_base!A:B,2,FALSE)</f>
        <v>912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f t="shared" si="2"/>
        <v>116</v>
      </c>
      <c r="C30" s="10" t="str">
        <f t="shared" ca="1" si="1"/>
        <v>1PremiumN4red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46">
        <f ca="1">VLOOKUP(C30,gacha_115_base!A:B,2,FALSE)</f>
        <v>912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f t="shared" si="2"/>
        <v>116</v>
      </c>
      <c r="C31" s="10" t="str">
        <f t="shared" ca="1" si="1"/>
        <v>1PremiumN4green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46">
        <f ca="1">VLOOKUP(C31,gacha_115_base!A:B,2,FALSE)</f>
        <v>912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f t="shared" si="2"/>
        <v>116</v>
      </c>
      <c r="C32" s="10" t="str">
        <f t="shared" ca="1" si="1"/>
        <v>1PremiumN4yellow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46">
        <f ca="1">VLOOKUP(C32,gacha_115_base!A:B,2,FALSE)</f>
        <v>912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f t="shared" si="2"/>
        <v>116</v>
      </c>
      <c r="C33" s="10" t="str">
        <f t="shared" ca="1" si="1"/>
        <v>1PremiumN4blue</v>
      </c>
      <c r="D33" s="38">
        <v>1</v>
      </c>
      <c r="E33" s="39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38">
        <v>1</v>
      </c>
      <c r="M33" s="46">
        <f ca="1">VLOOKUP(C33,gacha_115_base!A:B,2,FALSE)</f>
        <v>6368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f t="shared" si="2"/>
        <v>116</v>
      </c>
      <c r="C34" s="10" t="str">
        <f t="shared" ca="1" si="1"/>
        <v>1PremiumN4red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46">
        <f ca="1">VLOOKUP(C34,gacha_115_base!A:B,2,FALSE)</f>
        <v>912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f t="shared" si="2"/>
        <v>116</v>
      </c>
      <c r="C35" s="10" t="str">
        <f t="shared" ca="1" si="1"/>
        <v>1PremiumN4green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46">
        <f ca="1">VLOOKUP(C35,gacha_115_base!A:B,2,FALSE)</f>
        <v>912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f t="shared" si="2"/>
        <v>116</v>
      </c>
      <c r="C36" s="10" t="str">
        <f t="shared" ca="1" si="1"/>
        <v>1PremiumN4blue</v>
      </c>
      <c r="D36" s="38">
        <v>1</v>
      </c>
      <c r="E36" s="39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38">
        <v>1</v>
      </c>
      <c r="M36" s="46">
        <f ca="1">VLOOKUP(C36,gacha_115_base!A:B,2,FALSE)</f>
        <v>6368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f t="shared" si="2"/>
        <v>116</v>
      </c>
      <c r="C37" s="10" t="str">
        <f t="shared" ca="1" si="1"/>
        <v>1PremiumN4yellow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46">
        <f ca="1">VLOOKUP(C37,gacha_115_base!A:B,2,FALSE)</f>
        <v>912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f t="shared" si="2"/>
        <v>116</v>
      </c>
      <c r="C38" s="10" t="str">
        <f t="shared" ca="1" si="1"/>
        <v>1PremiumN4red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46">
        <f ca="1">VLOOKUP(C38,gacha_115_base!A:B,2,FALSE)</f>
        <v>912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f t="shared" si="2"/>
        <v>116</v>
      </c>
      <c r="C39" s="10" t="str">
        <f t="shared" ca="1" si="1"/>
        <v>1PremiumN4green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46">
        <f ca="1">VLOOKUP(C39,gacha_115_base!A:B,2,FALSE)</f>
        <v>912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f t="shared" si="2"/>
        <v>116</v>
      </c>
      <c r="C40" s="10" t="str">
        <f t="shared" ca="1" si="1"/>
        <v>1PremiumN4blue</v>
      </c>
      <c r="D40" s="38">
        <v>1</v>
      </c>
      <c r="E40" s="39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38">
        <v>1</v>
      </c>
      <c r="M40" s="46">
        <f ca="1">VLOOKUP(C40,gacha_115_base!A:B,2,FALSE)</f>
        <v>6368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f t="shared" si="2"/>
        <v>116</v>
      </c>
      <c r="C41" s="10" t="str">
        <f t="shared" ca="1" si="1"/>
        <v>1PremiumN4yellow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46">
        <f ca="1">VLOOKUP(C41,gacha_115_base!A:B,2,FALSE)</f>
        <v>912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f t="shared" si="2"/>
        <v>116</v>
      </c>
      <c r="C42" s="10" t="str">
        <f t="shared" ca="1" si="1"/>
        <v>1PremiumS4red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46">
        <f ca="1">VLOOKUP(C42,gacha_115_base!A:B,2,FALSE)</f>
        <v>157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f t="shared" si="2"/>
        <v>116</v>
      </c>
      <c r="C43" s="10" t="str">
        <f t="shared" ca="1" si="1"/>
        <v>1PremiumS4green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46">
        <f ca="1">VLOOKUP(C43,gacha_115_base!A:B,2,FALSE)</f>
        <v>157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f t="shared" si="2"/>
        <v>116</v>
      </c>
      <c r="C44" s="10" t="str">
        <f t="shared" ca="1" si="1"/>
        <v>1PremiumS4blue</v>
      </c>
      <c r="D44" s="38">
        <v>1</v>
      </c>
      <c r="E44" s="39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38">
        <v>1</v>
      </c>
      <c r="M44" s="46">
        <f ca="1">VLOOKUP(C44,gacha_115_base!A:B,2,FALSE)</f>
        <v>1344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f t="shared" si="2"/>
        <v>116</v>
      </c>
      <c r="C45" s="10" t="str">
        <f t="shared" ca="1" si="1"/>
        <v>1PremiumS4yellow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46">
        <f ca="1">VLOOKUP(C45,gacha_115_base!A:B,2,FALSE)</f>
        <v>157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2">
        <f t="shared" si="2"/>
        <v>116</v>
      </c>
      <c r="C46" s="10" t="str">
        <f t="shared" ca="1" si="1"/>
        <v>1PremiumN5red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46">
        <f ca="1">VLOOKUP(C46,gacha_115_base!A:B,2,FALSE)</f>
        <v>71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2">
        <f t="shared" si="2"/>
        <v>116</v>
      </c>
      <c r="C47" s="10" t="str">
        <f t="shared" ca="1" si="1"/>
        <v>1PremiumN5green</v>
      </c>
      <c r="D47" s="6">
        <v>1</v>
      </c>
      <c r="E47" s="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6">
        <v>1</v>
      </c>
      <c r="M47" s="46">
        <f ca="1">VLOOKUP(C47,gacha_115_base!A:B,2,FALSE)</f>
        <v>71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2">
        <f t="shared" si="2"/>
        <v>116</v>
      </c>
      <c r="C48" s="10" t="str">
        <f t="shared" ca="1" si="1"/>
        <v>1PremiumN5blue</v>
      </c>
      <c r="D48" s="38">
        <v>1</v>
      </c>
      <c r="E48" s="39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38">
        <v>1</v>
      </c>
      <c r="M48" s="46">
        <f ca="1">VLOOKUP(C48,gacha_115_base!A:B,2,FALSE)</f>
        <v>471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2">
        <f t="shared" si="2"/>
        <v>116</v>
      </c>
      <c r="C49" s="10" t="str">
        <f t="shared" ca="1" si="1"/>
        <v>1PremiumN5yellow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46">
        <f ca="1">VLOOKUP(C49,gacha_115_base!A:B,2,FALSE)</f>
        <v>71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2">
        <f t="shared" si="2"/>
        <v>116</v>
      </c>
      <c r="C50" s="10" t="str">
        <f t="shared" ca="1" si="1"/>
        <v>1PremiumN5red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46">
        <f ca="1">VLOOKUP(C50,gacha_115_base!A:B,2,FALSE)</f>
        <v>71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2">
        <f t="shared" si="2"/>
        <v>116</v>
      </c>
      <c r="C51" s="10" t="str">
        <f t="shared" ca="1" si="1"/>
        <v>1PremiumN5green</v>
      </c>
      <c r="D51" s="6">
        <v>1</v>
      </c>
      <c r="E51" s="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6">
        <v>1</v>
      </c>
      <c r="M51" s="46">
        <f ca="1">VLOOKUP(C51,gacha_115_base!A:B,2,FALSE)</f>
        <v>71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2">
        <f t="shared" si="2"/>
        <v>116</v>
      </c>
      <c r="C52" s="10" t="str">
        <f t="shared" ca="1" si="1"/>
        <v>1PremiumN5blue</v>
      </c>
      <c r="D52" s="38">
        <v>1</v>
      </c>
      <c r="E52" s="39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38">
        <v>1</v>
      </c>
      <c r="M52" s="46">
        <f ca="1">VLOOKUP(C52,gacha_115_base!A:B,2,FALSE)</f>
        <v>471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2">
        <f t="shared" si="2"/>
        <v>116</v>
      </c>
      <c r="C53" s="10" t="str">
        <f t="shared" ca="1" si="1"/>
        <v>1PremiumN5yellow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46">
        <f ca="1">VLOOKUP(C53,gacha_115_base!A:B,2,FALSE)</f>
        <v>71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2">
        <f t="shared" si="2"/>
        <v>116</v>
      </c>
      <c r="C54" s="10" t="str">
        <f t="shared" ca="1" si="1"/>
        <v>1PremiumN5red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46">
        <f ca="1">VLOOKUP(C54,gacha_115_base!A:B,2,FALSE)</f>
        <v>71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2">
        <f t="shared" si="2"/>
        <v>116</v>
      </c>
      <c r="C55" s="10" t="str">
        <f t="shared" ca="1" si="1"/>
        <v>1PremiumN5green</v>
      </c>
      <c r="D55" s="6">
        <v>1</v>
      </c>
      <c r="E55" s="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6">
        <v>1</v>
      </c>
      <c r="M55" s="46">
        <f ca="1">VLOOKUP(C55,gacha_115_base!A:B,2,FALSE)</f>
        <v>71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2">
        <f t="shared" si="2"/>
        <v>116</v>
      </c>
      <c r="C56" s="10" t="str">
        <f t="shared" ca="1" si="1"/>
        <v>1PremiumN5yellow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46">
        <f ca="1">VLOOKUP(C56,gacha_115_base!A:B,2,FALSE)</f>
        <v>71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2">
        <f t="shared" si="2"/>
        <v>116</v>
      </c>
      <c r="C57" s="10" t="str">
        <f t="shared" ca="1" si="1"/>
        <v>1PremiumN5blue</v>
      </c>
      <c r="D57" s="38">
        <v>1</v>
      </c>
      <c r="E57" s="39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38">
        <v>1</v>
      </c>
      <c r="M57" s="46">
        <f ca="1">VLOOKUP(C57,gacha_115_base!A:B,2,FALSE)</f>
        <v>471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2">
        <f t="shared" si="2"/>
        <v>116</v>
      </c>
      <c r="C58" s="10" t="str">
        <f t="shared" ca="1" si="1"/>
        <v>1PremiumN5red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46">
        <f ca="1">VLOOKUP(C58,gacha_115_base!A:B,2,FALSE)</f>
        <v>71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2">
        <f t="shared" si="2"/>
        <v>116</v>
      </c>
      <c r="C59" s="10" t="str">
        <f t="shared" ca="1" si="1"/>
        <v>1PremiumN5green</v>
      </c>
      <c r="D59" s="6">
        <v>1</v>
      </c>
      <c r="E59" s="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6">
        <v>1</v>
      </c>
      <c r="M59" s="46">
        <f ca="1">VLOOKUP(C59,gacha_115_base!A:B,2,FALSE)</f>
        <v>71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2">
        <f t="shared" si="2"/>
        <v>116</v>
      </c>
      <c r="C60" s="10" t="str">
        <f t="shared" ca="1" si="1"/>
        <v>1PremiumN5blue</v>
      </c>
      <c r="D60" s="38">
        <v>1</v>
      </c>
      <c r="E60" s="39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38">
        <v>1</v>
      </c>
      <c r="M60" s="46">
        <f ca="1">VLOOKUP(C60,gacha_115_base!A:B,2,FALSE)</f>
        <v>471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2">
        <f t="shared" si="2"/>
        <v>116</v>
      </c>
      <c r="C61" s="10" t="str">
        <f t="shared" ca="1" si="1"/>
        <v>1PremiumN5yellow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46">
        <f ca="1">VLOOKUP(C61,gacha_115_base!A:B,2,FALSE)</f>
        <v>71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2">
        <f t="shared" si="2"/>
        <v>116</v>
      </c>
      <c r="C62" s="10" t="str">
        <f t="shared" ca="1" si="1"/>
        <v>1PremiumN5red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46">
        <f ca="1">VLOOKUP(C62,gacha_115_base!A:B,2,FALSE)</f>
        <v>71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2">
        <f t="shared" si="2"/>
        <v>116</v>
      </c>
      <c r="C63" s="10" t="str">
        <f t="shared" ca="1" si="1"/>
        <v>1PremiumN5green</v>
      </c>
      <c r="D63" s="6">
        <v>1</v>
      </c>
      <c r="E63" s="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6">
        <v>1</v>
      </c>
      <c r="M63" s="46">
        <f ca="1">VLOOKUP(C63,gacha_115_base!A:B,2,FALSE)</f>
        <v>71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2">
        <f t="shared" si="2"/>
        <v>116</v>
      </c>
      <c r="C64" s="10" t="str">
        <f t="shared" ca="1" si="1"/>
        <v>1PremiumN5blue</v>
      </c>
      <c r="D64" s="38">
        <v>1</v>
      </c>
      <c r="E64" s="39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38">
        <v>1</v>
      </c>
      <c r="M64" s="46">
        <f ca="1">VLOOKUP(C64,gacha_115_base!A:B,2,FALSE)</f>
        <v>471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2">
        <f t="shared" si="2"/>
        <v>116</v>
      </c>
      <c r="C65" s="10" t="str">
        <f t="shared" ca="1" si="1"/>
        <v>1PremiumN5yellow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46">
        <f ca="1">VLOOKUP(C65,gacha_115_base!A:B,2,FALSE)</f>
        <v>71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54" si="3">D66&amp;E66&amp;L66</f>
        <v>12281</v>
      </c>
      <c r="B66" s="2">
        <f t="shared" si="2"/>
        <v>116</v>
      </c>
      <c r="C66" s="10" t="str">
        <f t="shared" ca="1" si="1"/>
        <v>1PremiumS5red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46">
        <f ca="1">VLOOKUP(C66,gacha_115_base!A:B,2,FALSE)</f>
        <v>7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3"/>
        <v>12311</v>
      </c>
      <c r="B67" s="2">
        <f t="shared" si="2"/>
        <v>116</v>
      </c>
      <c r="C67" s="10" t="str">
        <f t="shared" ref="C67:C130" ca="1" si="4">D67&amp;G67&amp;H67&amp;I67</f>
        <v>1PremiumS5green</v>
      </c>
      <c r="D67" s="6">
        <v>1</v>
      </c>
      <c r="E67" s="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6">
        <v>1</v>
      </c>
      <c r="M67" s="46">
        <f ca="1">VLOOKUP(C67,gacha_115_base!A:B,2,FALSE)</f>
        <v>7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3"/>
        <v>12341</v>
      </c>
      <c r="B68" s="2">
        <f t="shared" ref="B68:B131" si="5">$B$2</f>
        <v>116</v>
      </c>
      <c r="C68" s="10" t="str">
        <f t="shared" ca="1" si="4"/>
        <v>1PremiumS5blue</v>
      </c>
      <c r="D68" s="38">
        <v>1</v>
      </c>
      <c r="E68" s="39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38">
        <v>1</v>
      </c>
      <c r="M68" s="46">
        <f ca="1">VLOOKUP(C68,gacha_115_base!A:B,2,FALSE)</f>
        <v>56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3"/>
        <v>12371</v>
      </c>
      <c r="B69" s="2">
        <f t="shared" si="5"/>
        <v>116</v>
      </c>
      <c r="C69" s="10" t="str">
        <f t="shared" ca="1" si="4"/>
        <v>1PremiumS5yellow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46">
        <f ca="1">VLOOKUP(C69,gacha_115_base!A:B,2,FALSE)</f>
        <v>7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3"/>
        <v>12391</v>
      </c>
      <c r="B70" s="2">
        <f t="shared" si="5"/>
        <v>116</v>
      </c>
      <c r="C70" s="10" t="str">
        <f t="shared" ca="1" si="4"/>
        <v>1PremiumS4red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46">
        <f ca="1">VLOOKUP(C70,gacha_115_base!A:B,2,FALSE)</f>
        <v>157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3"/>
        <v>12401</v>
      </c>
      <c r="B71" s="2">
        <f t="shared" si="5"/>
        <v>116</v>
      </c>
      <c r="C71" s="10" t="str">
        <f t="shared" ca="1" si="4"/>
        <v>1PremiumS5red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46">
        <f ca="1">VLOOKUP(C71,gacha_115_base!A:B,2,FALSE)</f>
        <v>7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3"/>
        <v>12421</v>
      </c>
      <c r="B72" s="2">
        <f t="shared" si="5"/>
        <v>116</v>
      </c>
      <c r="C72" s="10" t="str">
        <f t="shared" ca="1" si="4"/>
        <v>1PremiumS4green</v>
      </c>
      <c r="D72" s="6">
        <v>1</v>
      </c>
      <c r="E72" s="19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6">
        <v>1</v>
      </c>
      <c r="M72" s="46">
        <f ca="1">VLOOKUP(C72,gacha_115_base!A:B,2,FALSE)</f>
        <v>157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3"/>
        <v>12431</v>
      </c>
      <c r="B73" s="2">
        <f t="shared" si="5"/>
        <v>116</v>
      </c>
      <c r="C73" s="10" t="str">
        <f t="shared" ca="1" si="4"/>
        <v>1PremiumS5green</v>
      </c>
      <c r="D73" s="6">
        <v>1</v>
      </c>
      <c r="E73" s="19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6">
        <v>1</v>
      </c>
      <c r="M73" s="46">
        <f ca="1">VLOOKUP(C73,gacha_115_base!A:B,2,FALSE)</f>
        <v>7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3"/>
        <v>12451</v>
      </c>
      <c r="B74" s="2">
        <f t="shared" si="5"/>
        <v>116</v>
      </c>
      <c r="C74" s="10" t="str">
        <f t="shared" ca="1" si="4"/>
        <v>1PremiumS4blue</v>
      </c>
      <c r="D74" s="38">
        <v>1</v>
      </c>
      <c r="E74" s="40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38">
        <v>1</v>
      </c>
      <c r="M74" s="46">
        <f ca="1">VLOOKUP(C74,gacha_115_base!A:B,2,FALSE)</f>
        <v>1344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3"/>
        <v>12461</v>
      </c>
      <c r="B75" s="2">
        <f t="shared" si="5"/>
        <v>116</v>
      </c>
      <c r="C75" s="10" t="str">
        <f t="shared" ca="1" si="4"/>
        <v>1PremiumS5blue</v>
      </c>
      <c r="D75" s="38">
        <v>1</v>
      </c>
      <c r="E75" s="40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38">
        <v>1</v>
      </c>
      <c r="M75" s="46">
        <f ca="1">VLOOKUP(C75,gacha_115_base!A:B,2,FALSE)</f>
        <v>56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3"/>
        <v>12481</v>
      </c>
      <c r="B76" s="2">
        <f t="shared" si="5"/>
        <v>116</v>
      </c>
      <c r="C76" s="10" t="str">
        <f t="shared" ca="1" si="4"/>
        <v>1PremiumS4yellow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46">
        <f ca="1">VLOOKUP(C76,gacha_115_base!A:B,2,FALSE)</f>
        <v>157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3"/>
        <v>12491</v>
      </c>
      <c r="B77" s="2">
        <f t="shared" si="5"/>
        <v>116</v>
      </c>
      <c r="C77" s="10" t="str">
        <f t="shared" ca="1" si="4"/>
        <v>1PremiumS5yellow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46">
        <f ca="1">VLOOKUP(C77,gacha_115_base!A:B,2,FALSE)</f>
        <v>7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3"/>
        <v>12511</v>
      </c>
      <c r="B78" s="2">
        <f t="shared" si="5"/>
        <v>116</v>
      </c>
      <c r="C78" s="10" t="str">
        <f t="shared" ca="1" si="4"/>
        <v>1PremiumS4red</v>
      </c>
      <c r="D78" s="6">
        <v>1</v>
      </c>
      <c r="E78" s="7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46">
        <f ca="1">VLOOKUP(C78,gacha_115_base!A:B,2,FALSE)</f>
        <v>157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3"/>
        <v>12521</v>
      </c>
      <c r="B79" s="2">
        <f t="shared" si="5"/>
        <v>116</v>
      </c>
      <c r="C79" s="10" t="str">
        <f t="shared" ca="1" si="4"/>
        <v>1PremiumS5red</v>
      </c>
      <c r="D79" s="6">
        <v>1</v>
      </c>
      <c r="E79" s="7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46">
        <f ca="1">VLOOKUP(C79,gacha_115_base!A:B,2,FALSE)</f>
        <v>7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3"/>
        <v>12541</v>
      </c>
      <c r="B80" s="2">
        <f t="shared" si="5"/>
        <v>116</v>
      </c>
      <c r="C80" s="10" t="str">
        <f t="shared" ca="1" si="4"/>
        <v>1PremiumS4green</v>
      </c>
      <c r="D80" s="6">
        <v>1</v>
      </c>
      <c r="E80" s="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6">
        <v>1</v>
      </c>
      <c r="M80" s="46">
        <f ca="1">VLOOKUP(C80,gacha_115_base!A:B,2,FALSE)</f>
        <v>157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3"/>
        <v>12551</v>
      </c>
      <c r="B81" s="2">
        <f t="shared" si="5"/>
        <v>116</v>
      </c>
      <c r="C81" s="10" t="str">
        <f t="shared" ca="1" si="4"/>
        <v>1PremiumS5green</v>
      </c>
      <c r="D81" s="6">
        <v>1</v>
      </c>
      <c r="E81" s="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6">
        <v>1</v>
      </c>
      <c r="M81" s="46">
        <f ca="1">VLOOKUP(C81,gacha_115_base!A:B,2,FALSE)</f>
        <v>7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3"/>
        <v>12571</v>
      </c>
      <c r="B82" s="2">
        <f t="shared" si="5"/>
        <v>116</v>
      </c>
      <c r="C82" s="10" t="str">
        <f t="shared" ca="1" si="4"/>
        <v>1PremiumS4blue</v>
      </c>
      <c r="D82" s="38">
        <v>1</v>
      </c>
      <c r="E82" s="39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38">
        <v>1</v>
      </c>
      <c r="M82" s="46">
        <f ca="1">VLOOKUP(C82,gacha_115_base!A:B,2,FALSE)</f>
        <v>1344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3"/>
        <v>12581</v>
      </c>
      <c r="B83" s="2">
        <f t="shared" si="5"/>
        <v>116</v>
      </c>
      <c r="C83" s="10" t="str">
        <f t="shared" ca="1" si="4"/>
        <v>1PremiumS5blue</v>
      </c>
      <c r="D83" s="38">
        <v>1</v>
      </c>
      <c r="E83" s="39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38">
        <v>1</v>
      </c>
      <c r="M83" s="46">
        <f ca="1">VLOOKUP(C83,gacha_115_base!A:B,2,FALSE)</f>
        <v>56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3"/>
        <v>12601</v>
      </c>
      <c r="B84" s="2">
        <f t="shared" si="5"/>
        <v>116</v>
      </c>
      <c r="C84" s="10" t="str">
        <f t="shared" ca="1" si="4"/>
        <v>1PremiumS4yellow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46">
        <f ca="1">VLOOKUP(C84,gacha_115_base!A:B,2,FALSE)</f>
        <v>157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3"/>
        <v>12611</v>
      </c>
      <c r="B85" s="2">
        <f t="shared" si="5"/>
        <v>116</v>
      </c>
      <c r="C85" s="10" t="str">
        <f t="shared" ca="1" si="4"/>
        <v>1PremiumS5yellow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46">
        <f ca="1">VLOOKUP(C85,gacha_115_base!A:B,2,FALSE)</f>
        <v>7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3"/>
        <v>13201</v>
      </c>
      <c r="B86" s="2">
        <f t="shared" si="5"/>
        <v>116</v>
      </c>
      <c r="C86" s="10" t="str">
        <f t="shared" ca="1" si="4"/>
        <v>1PremiumSS4red</v>
      </c>
      <c r="D86" s="21">
        <v>1</v>
      </c>
      <c r="E86" s="27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21">
        <v>1</v>
      </c>
      <c r="M86" s="46">
        <f ca="1">VLOOKUP(C86,gacha_115_base!A:B,2,FALSE)</f>
        <v>108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3"/>
        <v>13211</v>
      </c>
      <c r="B87" s="2">
        <f t="shared" si="5"/>
        <v>116</v>
      </c>
      <c r="C87" s="10" t="str">
        <f t="shared" ca="1" si="4"/>
        <v>1PremiumSS5red</v>
      </c>
      <c r="D87" s="6">
        <v>1</v>
      </c>
      <c r="E87" s="7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46">
        <f ca="1">VLOOKUP(C87,gacha_115_base!A:B,2,FALSE)</f>
        <v>17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3"/>
        <v>13221</v>
      </c>
      <c r="B88" s="2">
        <f t="shared" si="5"/>
        <v>116</v>
      </c>
      <c r="C88" s="10" t="str">
        <f t="shared" ca="1" si="4"/>
        <v>1PremiumSS4green</v>
      </c>
      <c r="D88" s="6">
        <v>1</v>
      </c>
      <c r="E88" s="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6">
        <v>1</v>
      </c>
      <c r="M88" s="46">
        <f ca="1">VLOOKUP(C88,gacha_115_base!A:B,2,FALSE)</f>
        <v>108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3"/>
        <v>13231</v>
      </c>
      <c r="B89" s="2">
        <f t="shared" si="5"/>
        <v>116</v>
      </c>
      <c r="C89" s="10" t="str">
        <f t="shared" ca="1" si="4"/>
        <v>1PremiumSS5green</v>
      </c>
      <c r="D89" s="6">
        <v>1</v>
      </c>
      <c r="E89" s="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6">
        <v>1</v>
      </c>
      <c r="M89" s="46">
        <f ca="1">VLOOKUP(C89,gacha_115_base!A:B,2,FALSE)</f>
        <v>17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3"/>
        <v>13241</v>
      </c>
      <c r="B90" s="2">
        <f t="shared" si="5"/>
        <v>116</v>
      </c>
      <c r="C90" s="10" t="str">
        <f t="shared" ca="1" si="4"/>
        <v>1PremiumSS4blue</v>
      </c>
      <c r="D90" s="38">
        <v>1</v>
      </c>
      <c r="E90" s="39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38">
        <v>1</v>
      </c>
      <c r="M90" s="46">
        <f ca="1">VLOOKUP(C90,gacha_115_base!A:B,2,FALSE)</f>
        <v>383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3"/>
        <v>13251</v>
      </c>
      <c r="B91" s="2">
        <f t="shared" si="5"/>
        <v>116</v>
      </c>
      <c r="C91" s="10" t="str">
        <f t="shared" ca="1" si="4"/>
        <v>1PremiumSS5blue</v>
      </c>
      <c r="D91" s="38">
        <v>1</v>
      </c>
      <c r="E91" s="39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38">
        <v>1</v>
      </c>
      <c r="M91" s="46">
        <f ca="1">VLOOKUP(C91,gacha_115_base!A:B,2,FALSE)</f>
        <v>117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3"/>
        <v>13261</v>
      </c>
      <c r="B92" s="2">
        <f t="shared" si="5"/>
        <v>116</v>
      </c>
      <c r="C92" s="10" t="str">
        <f t="shared" ca="1" si="4"/>
        <v>1PremiumSS4yellow</v>
      </c>
      <c r="D92" s="31">
        <v>1</v>
      </c>
      <c r="E92" s="32">
        <v>326</v>
      </c>
      <c r="F92" s="33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33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33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33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33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33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31">
        <v>1</v>
      </c>
      <c r="M92" s="46">
        <f ca="1">VLOOKUP(C92,gacha_115_base!A:B,2,FALSE)</f>
        <v>108</v>
      </c>
      <c r="N92" s="34">
        <v>0</v>
      </c>
      <c r="O92" s="34">
        <v>0</v>
      </c>
      <c r="P92" s="34">
        <v>0</v>
      </c>
      <c r="Q92" s="34">
        <v>0</v>
      </c>
      <c r="R92" s="34">
        <v>1</v>
      </c>
    </row>
    <row r="93" spans="1:18" ht="21" customHeight="1" thickBot="1">
      <c r="A93" s="22" t="str">
        <f t="shared" si="3"/>
        <v>13271</v>
      </c>
      <c r="B93" s="2">
        <f t="shared" si="5"/>
        <v>116</v>
      </c>
      <c r="C93" s="10" t="str">
        <f t="shared" ca="1" si="4"/>
        <v>1PremiumSS5yellow</v>
      </c>
      <c r="D93" s="6">
        <v>1</v>
      </c>
      <c r="E93" s="7">
        <v>327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6">
        <v>1</v>
      </c>
      <c r="M93" s="46">
        <f ca="1">VLOOKUP(C93,gacha_115_base!A:B,2,FALSE)</f>
        <v>17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 thickBot="1">
      <c r="A94" s="22" t="str">
        <f t="shared" si="3"/>
        <v>13811</v>
      </c>
      <c r="B94" s="2">
        <f t="shared" si="5"/>
        <v>116</v>
      </c>
      <c r="C94" s="10" t="str">
        <f t="shared" ca="1" si="4"/>
        <v>1PremiumS4red</v>
      </c>
      <c r="D94" s="6">
        <v>1</v>
      </c>
      <c r="E94" s="27">
        <v>381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PremiumS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4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ドラゴン</v>
      </c>
      <c r="L94" s="6">
        <v>1</v>
      </c>
      <c r="M94" s="46">
        <f ca="1">VLOOKUP(C94,gacha_115_base!A:B,2,FALSE)</f>
        <v>157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 thickBot="1">
      <c r="A95" s="22" t="str">
        <f t="shared" si="3"/>
        <v>13821</v>
      </c>
      <c r="B95" s="2">
        <f t="shared" si="5"/>
        <v>116</v>
      </c>
      <c r="C95" s="10" t="str">
        <f t="shared" ca="1" si="4"/>
        <v>1PremiumS5red</v>
      </c>
      <c r="D95" s="6">
        <v>1</v>
      </c>
      <c r="E95" s="27">
        <v>382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PremiumS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red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ドラゴン</v>
      </c>
      <c r="L95" s="6">
        <v>1</v>
      </c>
      <c r="M95" s="46">
        <f ca="1">VLOOKUP(C95,gacha_115_base!A:B,2,FALSE)</f>
        <v>7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 thickBot="1">
      <c r="A96" s="22" t="str">
        <f t="shared" si="3"/>
        <v>13831</v>
      </c>
      <c r="B96" s="2">
        <f t="shared" si="5"/>
        <v>116</v>
      </c>
      <c r="C96" s="10" t="str">
        <f t="shared" ca="1" si="4"/>
        <v>1PremiumSS4green</v>
      </c>
      <c r="D96" s="6">
        <v>1</v>
      </c>
      <c r="E96" s="27">
        <v>383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4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6">
        <v>1</v>
      </c>
      <c r="M96" s="46">
        <f ca="1">VLOOKUP(C96,gacha_115_base!A:B,2,FALSE)</f>
        <v>108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 thickBot="1">
      <c r="A97" s="22" t="str">
        <f t="shared" si="3"/>
        <v>13841</v>
      </c>
      <c r="B97" s="2">
        <f t="shared" si="5"/>
        <v>116</v>
      </c>
      <c r="C97" s="10" t="str">
        <f t="shared" ca="1" si="4"/>
        <v>1PremiumSS5green</v>
      </c>
      <c r="D97" s="6">
        <v>1</v>
      </c>
      <c r="E97" s="27">
        <v>384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green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ドラゴン</v>
      </c>
      <c r="L97" s="6">
        <v>1</v>
      </c>
      <c r="M97" s="46">
        <f ca="1">VLOOKUP(C97,gacha_115_base!A:B,2,FALSE)</f>
        <v>17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 thickBot="1">
      <c r="A98" s="22" t="str">
        <f t="shared" si="3"/>
        <v>13851</v>
      </c>
      <c r="B98" s="2">
        <f t="shared" si="5"/>
        <v>116</v>
      </c>
      <c r="C98" s="10" t="str">
        <f ca="1">D98&amp;G98&amp;H98&amp;I98&amp;"pick"</f>
        <v>1PremiumSS4bluepick</v>
      </c>
      <c r="D98" s="38">
        <v>1</v>
      </c>
      <c r="E98" s="41">
        <v>385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PremiumSS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blue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38">
        <v>1</v>
      </c>
      <c r="M98" s="46">
        <f ca="1">VLOOKUP(C98,gacha_115_base!A:B,2,FALSE)</f>
        <v>840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 thickBot="1">
      <c r="A99" s="22" t="str">
        <f t="shared" si="3"/>
        <v>13861</v>
      </c>
      <c r="B99" s="2">
        <f t="shared" si="5"/>
        <v>116</v>
      </c>
      <c r="C99" s="10" t="str">
        <f ca="1">D99&amp;G99&amp;H99&amp;I99&amp;"pick"</f>
        <v>1PremiumSS5bluepick</v>
      </c>
      <c r="D99" s="42">
        <v>1</v>
      </c>
      <c r="E99" s="43">
        <v>386</v>
      </c>
      <c r="F99" s="33" t="str">
        <f ca="1">VLOOKUP($E99,OFFSET([1]characters!$A$2,0,0,COUNTA([1]characters!$A:$A),MATCH(F$1,[1]characters!$2:$2,0)-MATCH($E$1,[1]characters!$2:$2,0)+1),MATCH(F$1,[1]characters!$2:$2,0)-MATCH($E$1,[1]characters!$2:$2,0)+1,FALSE)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99" s="33" t="str">
        <f ca="1">VLOOKUP($E99,OFFSET([1]characters!$A$2,0,0,COUNTA([1]characters!$A:$A),MATCH(G$1,[1]characters!$2:$2,0)-MATCH($E$1,[1]characters!$2:$2,0)+1),MATCH(G$1,[1]characters!$2:$2,0)-MATCH($E$1,[1]characters!$2:$2,0)+1,FALSE)</f>
        <v>PremiumSS</v>
      </c>
      <c r="H99" s="33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33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33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33" t="str">
        <f ca="1">VLOOKUP($E99,OFFSET([1]characters!$A$2,0,0,COUNTA([1]characters!$A:$A),MATCH($K$1,[1]characters!$1:$1,0)-MATCH($E$1,[1]characters!$2:$2,0)+2),MATCH($K$1,[1]characters!$1:$1,0)-MATCH($E$1,[1]characters!$2:$2,0)+2,FALSE)</f>
        <v>ドラゴン</v>
      </c>
      <c r="L99" s="42">
        <v>1</v>
      </c>
      <c r="M99" s="46">
        <f ca="1">VLOOKUP(C99,gacha_115_base!A:B,2,FALSE)</f>
        <v>160</v>
      </c>
      <c r="N99" s="34">
        <v>0</v>
      </c>
      <c r="O99" s="34">
        <v>0</v>
      </c>
      <c r="P99" s="34">
        <v>0</v>
      </c>
      <c r="Q99" s="34">
        <v>0</v>
      </c>
      <c r="R99" s="34">
        <v>1</v>
      </c>
    </row>
    <row r="100" spans="1:18" ht="21" customHeight="1">
      <c r="A100" s="30" t="str">
        <f t="shared" si="3"/>
        <v>13881</v>
      </c>
      <c r="B100" s="2">
        <f t="shared" si="5"/>
        <v>116</v>
      </c>
      <c r="C100" s="10" t="str">
        <f t="shared" ca="1" si="4"/>
        <v>1PremiumS4yellow</v>
      </c>
      <c r="D100" s="31">
        <v>1</v>
      </c>
      <c r="E100" s="32">
        <v>388</v>
      </c>
      <c r="F100" s="33" t="str">
        <f ca="1">VLOOKUP($E100,OFFSET([1]characters!$A$2,0,0,COUNTA([1]characters!$A:$A),MATCH(F$1,[1]characters!$2:$2,0)-MATCH($E$1,[1]characters!$2:$2,0)+1),MATCH(F$1,[1]characters!$2:$2,0)-MATCH($E$1,[1]characters!$2:$2,0)+1,FALSE)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00" s="33" t="str">
        <f ca="1">VLOOKUP($E100,OFFSET([1]characters!$A$2,0,0,COUNTA([1]characters!$A:$A),MATCH(G$1,[1]characters!$2:$2,0)-MATCH($E$1,[1]characters!$2:$2,0)+1),MATCH(G$1,[1]characters!$2:$2,0)-MATCH($E$1,[1]characters!$2:$2,0)+1,FALSE)</f>
        <v>PremiumS</v>
      </c>
      <c r="H100" s="33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33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33" t="str">
        <f ca="1">VLOOKUP($E100,OFFSET([1]characters!$A$2,0,0,COUNTA([1]characters!$A:$A),MATCH("タイプ",[1]characters!$1:$1,0)-MATCH($E$1,[1]characters!$2:$2,0)+2),MATCH("タイプ",[1]characters!$1:$1,0)-MATCH($E$1,[1]characters!$2:$2,0)+2,FALSE)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0" s="33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31">
        <v>1</v>
      </c>
      <c r="M100" s="46">
        <f ca="1">VLOOKUP(C100,gacha_115_base!A:B,2,FALSE)</f>
        <v>157</v>
      </c>
      <c r="N100" s="34">
        <v>0</v>
      </c>
      <c r="O100" s="34">
        <v>0</v>
      </c>
      <c r="P100" s="34">
        <v>0</v>
      </c>
      <c r="Q100" s="34">
        <v>0</v>
      </c>
      <c r="R100" s="34">
        <v>1</v>
      </c>
    </row>
    <row r="101" spans="1:18" s="36" customFormat="1" ht="21" customHeight="1" thickBot="1">
      <c r="A101" s="35" t="str">
        <f t="shared" si="3"/>
        <v>13891</v>
      </c>
      <c r="B101" s="2">
        <f t="shared" si="5"/>
        <v>116</v>
      </c>
      <c r="C101" s="10" t="str">
        <f t="shared" ca="1" si="4"/>
        <v>1PremiumS5yellow</v>
      </c>
      <c r="D101" s="24">
        <v>1</v>
      </c>
      <c r="E101" s="25">
        <v>389</v>
      </c>
      <c r="F101" s="23" t="str">
        <f ca="1">VLOOKUP($E101,OFFSET([1]characters!$A$2,0,0,COUNTA([1]characters!$A:$A),MATCH(F$1,[1]characters!$2:$2,0)-MATCH($E$1,[1]characters!$2:$2,0)+1),MATCH(F$1,[1]characters!$2:$2,0)-MATCH($E$1,[1]characters!$2:$2,0)+1,FALSE)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01" s="23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23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23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23" t="str">
        <f ca="1">VLOOKUP($E101,OFFSET([1]characters!$A$2,0,0,COUNTA([1]characters!$A:$A),MATCH("タイプ",[1]characters!$1:$1,0)-MATCH($E$1,[1]characters!$2:$2,0)+2),MATCH("タイプ",[1]characters!$1:$1,0)-MATCH($E$1,[1]characters!$2:$2,0)+2,FALSE)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1" s="23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24">
        <v>1</v>
      </c>
      <c r="M101" s="46">
        <f ca="1">VLOOKUP(C101,gacha_115_base!A:B,2,FALSE)</f>
        <v>7</v>
      </c>
      <c r="N101" s="29">
        <v>0</v>
      </c>
      <c r="O101" s="29">
        <v>0</v>
      </c>
      <c r="P101" s="29">
        <v>0</v>
      </c>
      <c r="Q101" s="29">
        <v>0</v>
      </c>
      <c r="R101" s="29">
        <v>1</v>
      </c>
    </row>
    <row r="102" spans="1:18" ht="21" customHeight="1">
      <c r="A102" s="8" t="str">
        <f t="shared" si="3"/>
        <v>01261</v>
      </c>
      <c r="B102" s="2">
        <f t="shared" si="5"/>
        <v>116</v>
      </c>
      <c r="C102" s="10" t="str">
        <f t="shared" ca="1" si="4"/>
        <v>0PremiumW3red</v>
      </c>
      <c r="D102" s="21">
        <v>0</v>
      </c>
      <c r="E102" s="27">
        <v>126</v>
      </c>
      <c r="F102" s="20" t="str">
        <f ca="1">VLOOKUP($E102,OFFSET([1]characters!$A$2,0,0,COUNTA([1]characters!$A:$A),MATCH(F$1,[1]characters!$2:$2,0)-MATCH($E$1,[1]characters!$2:$2,0)+1),MATCH(F$1,[1]characters!$2:$2,0)-MATCH($E$1,[1]characters!$2:$2,0)+1,FALSE)</f>
        <v>骨器使い ユノ</v>
      </c>
      <c r="G102" s="2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2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2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20" t="str">
        <f ca="1">VLOOKUP($E102,OFFSET([1]characters!$A$2,0,0,COUNTA([1]characters!$A:$A),MATCH("タイプ",[1]characters!$1:$1,0)-MATCH($E$1,[1]characters!$2:$2,0)+2),MATCH("タイプ",[1]characters!$1:$1,0)-MATCH($E$1,[1]characters!$2:$2,0)+2,FALSE)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2" s="2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1">
        <v>1</v>
      </c>
      <c r="M102" s="46">
        <f ca="1">VLOOKUP(C102,gacha_115_base!A:B,2,FALSE)</f>
        <v>984</v>
      </c>
      <c r="N102" s="18">
        <v>0</v>
      </c>
      <c r="O102" s="18">
        <v>0</v>
      </c>
      <c r="P102" s="18">
        <v>0</v>
      </c>
      <c r="Q102" s="18">
        <v>0</v>
      </c>
      <c r="R102" s="18">
        <v>1</v>
      </c>
    </row>
    <row r="103" spans="1:18" ht="21" customHeight="1">
      <c r="A103" s="8" t="str">
        <f t="shared" si="3"/>
        <v>01281</v>
      </c>
      <c r="B103" s="2">
        <f t="shared" si="5"/>
        <v>116</v>
      </c>
      <c r="C103" s="10" t="str">
        <f t="shared" ca="1" si="4"/>
        <v>0PremiumW3green</v>
      </c>
      <c r="D103" s="21">
        <v>0</v>
      </c>
      <c r="E103" s="27">
        <v>128</v>
      </c>
      <c r="F103" s="20" t="str">
        <f ca="1">VLOOKUP($E103,OFFSET([1]characters!$A$2,0,0,COUNTA([1]characters!$A:$A),MATCH(F$1,[1]characters!$2:$2,0)-MATCH($E$1,[1]characters!$2:$2,0)+1),MATCH(F$1,[1]characters!$2:$2,0)-MATCH($E$1,[1]characters!$2:$2,0)+1,FALSE)</f>
        <v>野生児 アマラ</v>
      </c>
      <c r="G103" s="2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2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2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2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2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21">
        <v>1</v>
      </c>
      <c r="M103" s="46">
        <f ca="1">VLOOKUP(C103,gacha_115_base!A:B,2,FALSE)</f>
        <v>984</v>
      </c>
      <c r="N103" s="18">
        <v>0</v>
      </c>
      <c r="O103" s="18">
        <v>0</v>
      </c>
      <c r="P103" s="18">
        <v>0</v>
      </c>
      <c r="Q103" s="18">
        <v>0</v>
      </c>
      <c r="R103" s="18">
        <v>1</v>
      </c>
    </row>
    <row r="104" spans="1:18" ht="21" customHeight="1">
      <c r="A104" s="8" t="str">
        <f t="shared" si="3"/>
        <v>01301</v>
      </c>
      <c r="B104" s="2">
        <f t="shared" si="5"/>
        <v>116</v>
      </c>
      <c r="C104" s="10" t="str">
        <f t="shared" ca="1" si="4"/>
        <v>0PremiumW3blue</v>
      </c>
      <c r="D104" s="38">
        <v>0</v>
      </c>
      <c r="E104" s="39">
        <v>130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狼男 ローレンス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アニマル</v>
      </c>
      <c r="L104" s="38">
        <v>1</v>
      </c>
      <c r="M104" s="46">
        <f ca="1">VLOOKUP(C104,gacha_115_base!A:B,2,FALSE)</f>
        <v>6888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3"/>
        <v>01321</v>
      </c>
      <c r="B105" s="2">
        <f t="shared" si="5"/>
        <v>116</v>
      </c>
      <c r="C105" s="10" t="str">
        <f t="shared" ca="1" si="4"/>
        <v>0PremiumW3yellow</v>
      </c>
      <c r="D105" s="6">
        <v>0</v>
      </c>
      <c r="E105" s="7">
        <v>132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鳥人ハヤト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46">
        <f ca="1">VLOOKUP(C105,gacha_115_base!A:B,2,FALSE)</f>
        <v>984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3"/>
        <v>01341</v>
      </c>
      <c r="B106" s="2">
        <f t="shared" si="5"/>
        <v>116</v>
      </c>
      <c r="C106" s="10" t="str">
        <f t="shared" ca="1" si="4"/>
        <v>0PremiumW3red</v>
      </c>
      <c r="D106" s="6">
        <v>0</v>
      </c>
      <c r="E106" s="7">
        <v>134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妖炎の夕霧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46">
        <f ca="1">VLOOKUP(C106,gacha_115_base!A:B,2,FALSE)</f>
        <v>984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3"/>
        <v>01361</v>
      </c>
      <c r="B107" s="2">
        <f t="shared" si="5"/>
        <v>116</v>
      </c>
      <c r="C107" s="10" t="str">
        <f t="shared" ca="1" si="4"/>
        <v>0PremiumW3green</v>
      </c>
      <c r="D107" s="6">
        <v>0</v>
      </c>
      <c r="E107" s="7">
        <v>136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お針子チハヤ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46">
        <f ca="1">VLOOKUP(C107,gacha_115_base!A:B,2,FALSE)</f>
        <v>984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3"/>
        <v>01381</v>
      </c>
      <c r="B108" s="2">
        <f t="shared" si="5"/>
        <v>116</v>
      </c>
      <c r="C108" s="10" t="str">
        <f t="shared" ca="1" si="4"/>
        <v>0PremiumW3blue</v>
      </c>
      <c r="D108" s="38">
        <v>0</v>
      </c>
      <c r="E108" s="39">
        <v>138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蒼薙のトモエ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38">
        <v>1</v>
      </c>
      <c r="M108" s="46">
        <f ca="1">VLOOKUP(C108,gacha_115_base!A:B,2,FALSE)</f>
        <v>6888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3"/>
        <v>01401</v>
      </c>
      <c r="B109" s="2">
        <f t="shared" si="5"/>
        <v>116</v>
      </c>
      <c r="C109" s="10" t="str">
        <f t="shared" ca="1" si="4"/>
        <v>0PremiumW3yellow</v>
      </c>
      <c r="D109" s="6">
        <v>0</v>
      </c>
      <c r="E109" s="7">
        <v>140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秋祭のタマモ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アニマル</v>
      </c>
      <c r="L109" s="6">
        <v>1</v>
      </c>
      <c r="M109" s="46">
        <f ca="1">VLOOKUP(C109,gacha_115_base!A:B,2,FALSE)</f>
        <v>984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3"/>
        <v>01421</v>
      </c>
      <c r="B110" s="2">
        <f t="shared" si="5"/>
        <v>116</v>
      </c>
      <c r="C110" s="10" t="str">
        <f t="shared" ca="1" si="4"/>
        <v>0PremiumW3red</v>
      </c>
      <c r="D110" s="6">
        <v>0</v>
      </c>
      <c r="E110" s="7">
        <v>142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赤ずきん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46">
        <f ca="1">VLOOKUP(C110,gacha_115_base!A:B,2,FALSE)</f>
        <v>984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3"/>
        <v>01441</v>
      </c>
      <c r="B111" s="2">
        <f t="shared" si="5"/>
        <v>116</v>
      </c>
      <c r="C111" s="10" t="str">
        <f t="shared" ca="1" si="4"/>
        <v>0PremiumW3green</v>
      </c>
      <c r="D111" s="6">
        <v>0</v>
      </c>
      <c r="E111" s="7">
        <v>144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かぐや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6">
        <v>1</v>
      </c>
      <c r="M111" s="46">
        <f ca="1">VLOOKUP(C111,gacha_115_base!A:B,2,FALSE)</f>
        <v>984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3"/>
        <v>01461</v>
      </c>
      <c r="B112" s="2">
        <f t="shared" si="5"/>
        <v>116</v>
      </c>
      <c r="C112" s="10" t="str">
        <f t="shared" ca="1" si="4"/>
        <v>0PremiumW3blue</v>
      </c>
      <c r="D112" s="38">
        <v>0</v>
      </c>
      <c r="E112" s="39">
        <v>146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マーメイド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38">
        <v>1</v>
      </c>
      <c r="M112" s="46">
        <f ca="1">VLOOKUP(C112,gacha_115_base!A:B,2,FALSE)</f>
        <v>6888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3"/>
        <v>01481</v>
      </c>
      <c r="B113" s="2">
        <f t="shared" si="5"/>
        <v>116</v>
      </c>
      <c r="C113" s="10" t="str">
        <f t="shared" ca="1" si="4"/>
        <v>0PremiumW3yellow</v>
      </c>
      <c r="D113" s="6">
        <v>0</v>
      </c>
      <c r="E113" s="7">
        <v>148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シンデレラ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46">
        <f ca="1">VLOOKUP(C113,gacha_115_base!A:B,2,FALSE)</f>
        <v>984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3"/>
        <v>01501</v>
      </c>
      <c r="B114" s="2">
        <f t="shared" si="5"/>
        <v>116</v>
      </c>
      <c r="C114" s="10" t="str">
        <f t="shared" ca="1" si="4"/>
        <v>0PremiumW3red</v>
      </c>
      <c r="D114" s="6">
        <v>0</v>
      </c>
      <c r="E114" s="7">
        <v>150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46">
        <f ca="1">VLOOKUP(C114,gacha_115_base!A:B,2,FALSE)</f>
        <v>984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3"/>
        <v>01521</v>
      </c>
      <c r="B115" s="2">
        <f t="shared" si="5"/>
        <v>116</v>
      </c>
      <c r="C115" s="10" t="str">
        <f t="shared" ca="1" si="4"/>
        <v>0PremiumW3green</v>
      </c>
      <c r="D115" s="6">
        <v>0</v>
      </c>
      <c r="E115" s="7">
        <v>152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功夫少女ランラン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6">
        <v>1</v>
      </c>
      <c r="M115" s="46">
        <f ca="1">VLOOKUP(C115,gacha_115_base!A:B,2,FALSE)</f>
        <v>984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3"/>
        <v>01541</v>
      </c>
      <c r="B116" s="2">
        <f t="shared" si="5"/>
        <v>116</v>
      </c>
      <c r="C116" s="10" t="str">
        <f t="shared" ca="1" si="4"/>
        <v>0PremiumW3blue</v>
      </c>
      <c r="D116" s="38">
        <v>0</v>
      </c>
      <c r="E116" s="39">
        <v>154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始末屋 ハンナ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38">
        <v>1</v>
      </c>
      <c r="M116" s="46">
        <f ca="1">VLOOKUP(C116,gacha_115_base!A:B,2,FALSE)</f>
        <v>6888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3"/>
        <v>01561</v>
      </c>
      <c r="B117" s="2">
        <f t="shared" si="5"/>
        <v>116</v>
      </c>
      <c r="C117" s="10" t="str">
        <f t="shared" ca="1" si="4"/>
        <v>0PremiumW3yellow</v>
      </c>
      <c r="D117" s="6">
        <v>0</v>
      </c>
      <c r="E117" s="7">
        <v>156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踊り子 エレナ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46">
        <f ca="1">VLOOKUP(C117,gacha_115_base!A:B,2,FALSE)</f>
        <v>984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3"/>
        <v>01581</v>
      </c>
      <c r="B118" s="2">
        <f t="shared" si="5"/>
        <v>116</v>
      </c>
      <c r="C118" s="10" t="str">
        <f t="shared" ca="1" si="4"/>
        <v>0PremiumW3red</v>
      </c>
      <c r="D118" s="6">
        <v>0</v>
      </c>
      <c r="E118" s="7">
        <v>158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46">
        <f ca="1">VLOOKUP(C118,gacha_115_base!A:B,2,FALSE)</f>
        <v>984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3"/>
        <v>01601</v>
      </c>
      <c r="B119" s="2">
        <f t="shared" si="5"/>
        <v>116</v>
      </c>
      <c r="C119" s="10" t="str">
        <f t="shared" ca="1" si="4"/>
        <v>0PremiumW3green</v>
      </c>
      <c r="D119" s="6">
        <v>0</v>
      </c>
      <c r="E119" s="7">
        <v>160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反逆者 クリエ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6">
        <v>1</v>
      </c>
      <c r="M119" s="46">
        <f ca="1">VLOOKUP(C119,gacha_115_base!A:B,2,FALSE)</f>
        <v>984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3"/>
        <v>01621</v>
      </c>
      <c r="B120" s="2">
        <f t="shared" si="5"/>
        <v>116</v>
      </c>
      <c r="C120" s="10" t="str">
        <f t="shared" ca="1" si="4"/>
        <v>0PremiumW3blue</v>
      </c>
      <c r="D120" s="38">
        <v>0</v>
      </c>
      <c r="E120" s="39">
        <v>162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狂女 クララ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38">
        <v>1</v>
      </c>
      <c r="M120" s="46">
        <f ca="1">VLOOKUP(C120,gacha_115_base!A:B,2,FALSE)</f>
        <v>6888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3"/>
        <v>01641</v>
      </c>
      <c r="B121" s="2">
        <f t="shared" si="5"/>
        <v>116</v>
      </c>
      <c r="C121" s="10" t="str">
        <f t="shared" ca="1" si="4"/>
        <v>0PremiumW3yellow</v>
      </c>
      <c r="D121" s="6">
        <v>0</v>
      </c>
      <c r="E121" s="7">
        <v>164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イブとトモダチ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46">
        <f ca="1">VLOOKUP(C121,gacha_115_base!A:B,2,FALSE)</f>
        <v>984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3"/>
        <v>01661</v>
      </c>
      <c r="B122" s="2">
        <f t="shared" si="5"/>
        <v>116</v>
      </c>
      <c r="C122" s="10" t="str">
        <f t="shared" ca="1" si="4"/>
        <v>0PremiumN3red</v>
      </c>
      <c r="D122" s="6">
        <v>0</v>
      </c>
      <c r="E122" s="7">
        <v>166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ベリアル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ゴッド</v>
      </c>
      <c r="L122" s="6">
        <v>1</v>
      </c>
      <c r="M122" s="46">
        <f ca="1">VLOOKUP(C122,gacha_115_base!A:B,2,FALSE)</f>
        <v>1072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3"/>
        <v>01691</v>
      </c>
      <c r="B123" s="2">
        <f t="shared" si="5"/>
        <v>116</v>
      </c>
      <c r="C123" s="10" t="str">
        <f t="shared" ca="1" si="4"/>
        <v>0PremiumN3green</v>
      </c>
      <c r="D123" s="6">
        <v>0</v>
      </c>
      <c r="E123" s="7">
        <v>169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オセ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ゴッド</v>
      </c>
      <c r="L123" s="6">
        <v>1</v>
      </c>
      <c r="M123" s="46">
        <f ca="1">VLOOKUP(C123,gacha_115_base!A:B,2,FALSE)</f>
        <v>1072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3"/>
        <v>01721</v>
      </c>
      <c r="B124" s="2">
        <f t="shared" si="5"/>
        <v>116</v>
      </c>
      <c r="C124" s="10" t="str">
        <f t="shared" ca="1" si="4"/>
        <v>0PremiumN3blue</v>
      </c>
      <c r="D124" s="38">
        <v>0</v>
      </c>
      <c r="E124" s="39">
        <v>172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フォルネウス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38">
        <v>1</v>
      </c>
      <c r="M124" s="46">
        <f ca="1">VLOOKUP(C124,gacha_115_base!A:B,2,FALSE)</f>
        <v>7501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3"/>
        <v>01751</v>
      </c>
      <c r="B125" s="2">
        <f t="shared" si="5"/>
        <v>116</v>
      </c>
      <c r="C125" s="10" t="str">
        <f t="shared" ca="1" si="4"/>
        <v>0PremiumN3yellow</v>
      </c>
      <c r="D125" s="6">
        <v>0</v>
      </c>
      <c r="E125" s="7">
        <v>175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バフォメット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46">
        <f ca="1">VLOOKUP(C125,gacha_115_base!A:B,2,FALSE)</f>
        <v>1072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3"/>
        <v>01781</v>
      </c>
      <c r="B126" s="2">
        <f t="shared" si="5"/>
        <v>116</v>
      </c>
      <c r="C126" s="10" t="str">
        <f t="shared" ca="1" si="4"/>
        <v>0PremiumN3red</v>
      </c>
      <c r="D126" s="6">
        <v>0</v>
      </c>
      <c r="E126" s="7">
        <v>178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ケルベロス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アニマル</v>
      </c>
      <c r="L126" s="6">
        <v>1</v>
      </c>
      <c r="M126" s="46">
        <f ca="1">VLOOKUP(C126,gacha_115_base!A:B,2,FALSE)</f>
        <v>1072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3"/>
        <v>01811</v>
      </c>
      <c r="B127" s="2">
        <f t="shared" si="5"/>
        <v>116</v>
      </c>
      <c r="C127" s="10" t="str">
        <f t="shared" ca="1" si="4"/>
        <v>0PremiumN3green</v>
      </c>
      <c r="D127" s="6">
        <v>0</v>
      </c>
      <c r="E127" s="7">
        <v>181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ベヒモス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アニマル</v>
      </c>
      <c r="L127" s="6">
        <v>1</v>
      </c>
      <c r="M127" s="46">
        <f ca="1">VLOOKUP(C127,gacha_115_base!A:B,2,FALSE)</f>
        <v>1072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3"/>
        <v>01841</v>
      </c>
      <c r="B128" s="2">
        <f t="shared" si="5"/>
        <v>116</v>
      </c>
      <c r="C128" s="10" t="str">
        <f t="shared" ca="1" si="4"/>
        <v>0PremiumN3blue</v>
      </c>
      <c r="D128" s="38">
        <v>0</v>
      </c>
      <c r="E128" s="39">
        <v>184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クラーケン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38">
        <v>1</v>
      </c>
      <c r="M128" s="46">
        <f ca="1">VLOOKUP(C128,gacha_115_base!A:B,2,FALSE)</f>
        <v>7501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3"/>
        <v>01871</v>
      </c>
      <c r="B129" s="2">
        <f t="shared" si="5"/>
        <v>116</v>
      </c>
      <c r="C129" s="10" t="str">
        <f t="shared" ca="1" si="4"/>
        <v>0PremiumN3yellow</v>
      </c>
      <c r="D129" s="6">
        <v>0</v>
      </c>
      <c r="E129" s="7">
        <v>187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ホルス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46">
        <f ca="1">VLOOKUP(C129,gacha_115_base!A:B,2,FALSE)</f>
        <v>1072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3"/>
        <v>01901</v>
      </c>
      <c r="B130" s="2">
        <f t="shared" si="5"/>
        <v>116</v>
      </c>
      <c r="C130" s="10" t="str">
        <f t="shared" ca="1" si="4"/>
        <v>0PremiumN3red</v>
      </c>
      <c r="D130" s="6">
        <v>0</v>
      </c>
      <c r="E130" s="7">
        <v>190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卑弥呼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ヒューマン</v>
      </c>
      <c r="L130" s="6">
        <v>1</v>
      </c>
      <c r="M130" s="46">
        <f ca="1">VLOOKUP(C130,gacha_115_base!A:B,2,FALSE)</f>
        <v>1072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3"/>
        <v>01931</v>
      </c>
      <c r="B131" s="2">
        <f t="shared" si="5"/>
        <v>116</v>
      </c>
      <c r="C131" s="10" t="str">
        <f t="shared" ref="C131:C194" ca="1" si="6">D131&amp;G131&amp;H131&amp;I131</f>
        <v>0PremiumN3green</v>
      </c>
      <c r="D131" s="6">
        <v>0</v>
      </c>
      <c r="E131" s="7">
        <v>193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ロビンフッド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ヒューマン</v>
      </c>
      <c r="L131" s="6">
        <v>1</v>
      </c>
      <c r="M131" s="46">
        <f ca="1">VLOOKUP(C131,gacha_115_base!A:B,2,FALSE)</f>
        <v>1072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3"/>
        <v>01961</v>
      </c>
      <c r="B132" s="2">
        <f t="shared" ref="B132:B195" si="7">$B$2</f>
        <v>116</v>
      </c>
      <c r="C132" s="10" t="str">
        <f t="shared" ca="1" si="6"/>
        <v>0PremiumN3yellow</v>
      </c>
      <c r="D132" s="6">
        <v>0</v>
      </c>
      <c r="E132" s="7">
        <v>196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アキレス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yellow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46">
        <f ca="1">VLOOKUP(C132,gacha_115_base!A:B,2,FALSE)</f>
        <v>1072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3"/>
        <v>01991</v>
      </c>
      <c r="B133" s="2">
        <f t="shared" si="7"/>
        <v>116</v>
      </c>
      <c r="C133" s="10" t="str">
        <f t="shared" ca="1" si="6"/>
        <v>0PremiumN3blue</v>
      </c>
      <c r="D133" s="38">
        <v>0</v>
      </c>
      <c r="E133" s="39">
        <v>199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ジークフリート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38">
        <v>1</v>
      </c>
      <c r="M133" s="46">
        <f ca="1">VLOOKUP(C133,gacha_115_base!A:B,2,FALSE)</f>
        <v>7501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3"/>
        <v>02021</v>
      </c>
      <c r="B134" s="2">
        <f t="shared" si="7"/>
        <v>116</v>
      </c>
      <c r="C134" s="10" t="str">
        <f t="shared" ca="1" si="6"/>
        <v>0PremiumN3red</v>
      </c>
      <c r="D134" s="6">
        <v>0</v>
      </c>
      <c r="E134" s="7">
        <v>202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プロメテウス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46">
        <f ca="1">VLOOKUP(C134,gacha_115_base!A:B,2,FALSE)</f>
        <v>1072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3"/>
        <v>02051</v>
      </c>
      <c r="B135" s="2">
        <f t="shared" si="7"/>
        <v>116</v>
      </c>
      <c r="C135" s="10" t="str">
        <f t="shared" ca="1" si="6"/>
        <v>0PremiumN3green</v>
      </c>
      <c r="D135" s="6">
        <v>0</v>
      </c>
      <c r="E135" s="7">
        <v>205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アフロディーテ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ゴッド</v>
      </c>
      <c r="L135" s="6">
        <v>1</v>
      </c>
      <c r="M135" s="46">
        <f ca="1">VLOOKUP(C135,gacha_115_base!A:B,2,FALSE)</f>
        <v>1072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3"/>
        <v>02081</v>
      </c>
      <c r="B136" s="2">
        <f t="shared" si="7"/>
        <v>116</v>
      </c>
      <c r="C136" s="10" t="str">
        <f t="shared" ca="1" si="6"/>
        <v>0PremiumN3blue</v>
      </c>
      <c r="D136" s="38">
        <v>0</v>
      </c>
      <c r="E136" s="39">
        <v>208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テティス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38">
        <v>1</v>
      </c>
      <c r="M136" s="46">
        <f ca="1">VLOOKUP(C136,gacha_115_base!A:B,2,FALSE)</f>
        <v>7501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3"/>
        <v>02111</v>
      </c>
      <c r="B137" s="2">
        <f t="shared" si="7"/>
        <v>116</v>
      </c>
      <c r="C137" s="10" t="str">
        <f t="shared" ca="1" si="6"/>
        <v>0PremiumN3yellow</v>
      </c>
      <c r="D137" s="6">
        <v>0</v>
      </c>
      <c r="E137" s="7">
        <v>211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アストライアー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46">
        <f ca="1">VLOOKUP(C137,gacha_115_base!A:B,2,FALSE)</f>
        <v>1072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3"/>
        <v>02141</v>
      </c>
      <c r="B138" s="2">
        <f t="shared" si="7"/>
        <v>116</v>
      </c>
      <c r="C138" s="10" t="str">
        <f t="shared" ca="1" si="6"/>
        <v>0PremiumN3red</v>
      </c>
      <c r="D138" s="6">
        <v>0</v>
      </c>
      <c r="E138" s="7">
        <v>214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アズラエル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3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46">
        <f ca="1">VLOOKUP(C138,gacha_115_base!A:B,2,FALSE)</f>
        <v>1072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3"/>
        <v>02171</v>
      </c>
      <c r="B139" s="2">
        <f t="shared" si="7"/>
        <v>116</v>
      </c>
      <c r="C139" s="10" t="str">
        <f t="shared" ca="1" si="6"/>
        <v>0PremiumN3green</v>
      </c>
      <c r="D139" s="6">
        <v>0</v>
      </c>
      <c r="E139" s="7">
        <v>217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ケツァクアトル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3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6">
        <v>1</v>
      </c>
      <c r="M139" s="46">
        <f ca="1">VLOOKUP(C139,gacha_115_base!A:B,2,FALSE)</f>
        <v>1072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3"/>
        <v>02201</v>
      </c>
      <c r="B140" s="2">
        <f t="shared" si="7"/>
        <v>116</v>
      </c>
      <c r="C140" s="10" t="str">
        <f t="shared" ca="1" si="6"/>
        <v>0PremiumN3blue</v>
      </c>
      <c r="D140" s="38">
        <v>0</v>
      </c>
      <c r="E140" s="39">
        <v>220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ルキフグス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3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38">
        <v>1</v>
      </c>
      <c r="M140" s="46">
        <f ca="1">VLOOKUP(C140,gacha_115_base!A:B,2,FALSE)</f>
        <v>7501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3"/>
        <v>02231</v>
      </c>
      <c r="B141" s="2">
        <f t="shared" si="7"/>
        <v>116</v>
      </c>
      <c r="C141" s="10" t="str">
        <f t="shared" ca="1" si="6"/>
        <v>0PremiumN3yellow</v>
      </c>
      <c r="D141" s="6">
        <v>0</v>
      </c>
      <c r="E141" s="7">
        <v>223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ヘラクレス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3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46">
        <f ca="1">VLOOKUP(C141,gacha_115_base!A:B,2,FALSE)</f>
        <v>1072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3"/>
        <v>02261</v>
      </c>
      <c r="B142" s="2">
        <f t="shared" si="7"/>
        <v>116</v>
      </c>
      <c r="C142" s="10" t="str">
        <f t="shared" ca="1" si="6"/>
        <v>0PremiumS3red</v>
      </c>
      <c r="D142" s="6">
        <v>0</v>
      </c>
      <c r="E142" s="7">
        <v>226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アレス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PremiumS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3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46">
        <f ca="1">VLOOKUP(C142,gacha_115_base!A:B,2,FALSE)</f>
        <v>179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3"/>
        <v>02291</v>
      </c>
      <c r="B143" s="2">
        <f t="shared" si="7"/>
        <v>116</v>
      </c>
      <c r="C143" s="10" t="str">
        <f t="shared" ca="1" si="6"/>
        <v>0PremiumS3green</v>
      </c>
      <c r="D143" s="6">
        <v>0</v>
      </c>
      <c r="E143" s="7">
        <v>229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ヨルムンガンド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PremiumS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3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ドラゴン</v>
      </c>
      <c r="L143" s="6">
        <v>1</v>
      </c>
      <c r="M143" s="46">
        <f ca="1">VLOOKUP(C143,gacha_115_base!A:B,2,FALSE)</f>
        <v>179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3"/>
        <v>02321</v>
      </c>
      <c r="B144" s="2">
        <f t="shared" si="7"/>
        <v>116</v>
      </c>
      <c r="C144" s="10" t="str">
        <f t="shared" ca="1" si="6"/>
        <v>0PremiumS3blue</v>
      </c>
      <c r="D144" s="38">
        <v>0</v>
      </c>
      <c r="E144" s="39">
        <v>232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パーシヴァル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3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38">
        <v>1</v>
      </c>
      <c r="M144" s="46">
        <f ca="1">VLOOKUP(C144,gacha_115_base!A:B,2,FALSE)</f>
        <v>1531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3"/>
        <v>02351</v>
      </c>
      <c r="B145" s="2">
        <f t="shared" si="7"/>
        <v>116</v>
      </c>
      <c r="C145" s="10" t="str">
        <f t="shared" ca="1" si="6"/>
        <v>0PremiumS3yellow</v>
      </c>
      <c r="D145" s="6">
        <v>0</v>
      </c>
      <c r="E145" s="7">
        <v>235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3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6">
        <v>1</v>
      </c>
      <c r="M145" s="46">
        <f ca="1">VLOOKUP(C145,gacha_115_base!A:B,2,FALSE)</f>
        <v>179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3"/>
        <v>01271</v>
      </c>
      <c r="B146" s="2">
        <f t="shared" si="7"/>
        <v>116</v>
      </c>
      <c r="C146" s="10" t="str">
        <f t="shared" ca="1" si="6"/>
        <v>0PremiumW4red</v>
      </c>
      <c r="D146" s="6">
        <v>0</v>
      </c>
      <c r="E146" s="7">
        <v>127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狂喜の賢者 ユノ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46">
        <f ca="1">VLOOKUP(C146,gacha_115_base!A:B,2,FALSE)</f>
        <v>344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3"/>
        <v>01291</v>
      </c>
      <c r="B147" s="2">
        <f t="shared" si="7"/>
        <v>116</v>
      </c>
      <c r="C147" s="10" t="str">
        <f t="shared" ca="1" si="6"/>
        <v>0PremiumW4green</v>
      </c>
      <c r="D147" s="6">
        <v>0</v>
      </c>
      <c r="E147" s="7">
        <v>129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孤高の狼憑き アマラ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6">
        <v>1</v>
      </c>
      <c r="M147" s="46">
        <f ca="1">VLOOKUP(C147,gacha_115_base!A:B,2,FALSE)</f>
        <v>344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3"/>
        <v>01311</v>
      </c>
      <c r="B148" s="2">
        <f t="shared" si="7"/>
        <v>116</v>
      </c>
      <c r="C148" s="10" t="str">
        <f t="shared" ca="1" si="6"/>
        <v>0PremiumW4blue</v>
      </c>
      <c r="D148" s="38">
        <v>0</v>
      </c>
      <c r="E148" s="39">
        <v>131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アニマル</v>
      </c>
      <c r="L148" s="38">
        <v>1</v>
      </c>
      <c r="M148" s="46">
        <f ca="1">VLOOKUP(C148,gacha_115_base!A:B,2,FALSE)</f>
        <v>2372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3"/>
        <v>01331</v>
      </c>
      <c r="B149" s="2">
        <f t="shared" si="7"/>
        <v>116</v>
      </c>
      <c r="C149" s="10" t="str">
        <f t="shared" ca="1" si="6"/>
        <v>0PremiumW4yellow</v>
      </c>
      <c r="D149" s="6">
        <v>0</v>
      </c>
      <c r="E149" s="7">
        <v>133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迅雷の刀剣 ハヤト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46">
        <f ca="1">VLOOKUP(C149,gacha_115_base!A:B,2,FALSE)</f>
        <v>344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3"/>
        <v>01351</v>
      </c>
      <c r="B150" s="2">
        <f t="shared" si="7"/>
        <v>116</v>
      </c>
      <c r="C150" s="10" t="str">
        <f t="shared" ca="1" si="6"/>
        <v>0PremiumW4red</v>
      </c>
      <c r="D150" s="6">
        <v>0</v>
      </c>
      <c r="E150" s="7">
        <v>135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京の炎華夕霧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6">
        <v>1</v>
      </c>
      <c r="M150" s="46">
        <f ca="1">VLOOKUP(C150,gacha_115_base!A:B,2,FALSE)</f>
        <v>344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3"/>
        <v>01371</v>
      </c>
      <c r="B151" s="2">
        <f t="shared" si="7"/>
        <v>116</v>
      </c>
      <c r="C151" s="10" t="str">
        <f t="shared" ca="1" si="6"/>
        <v>0PremiumW4green</v>
      </c>
      <c r="D151" s="6">
        <v>0</v>
      </c>
      <c r="E151" s="7">
        <v>137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清福の仕立屋 チハヤ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6">
        <v>1</v>
      </c>
      <c r="M151" s="46">
        <f ca="1">VLOOKUP(C151,gacha_115_base!A:B,2,FALSE)</f>
        <v>344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3"/>
        <v>01391</v>
      </c>
      <c r="B152" s="2">
        <f t="shared" si="7"/>
        <v>116</v>
      </c>
      <c r="C152" s="10" t="str">
        <f t="shared" ca="1" si="6"/>
        <v>0PremiumW4blue</v>
      </c>
      <c r="D152" s="38">
        <v>0</v>
      </c>
      <c r="E152" s="39">
        <v>139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蒼昇刃姫 トモエ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38">
        <v>1</v>
      </c>
      <c r="M152" s="46">
        <f ca="1">VLOOKUP(C152,gacha_115_base!A:B,2,FALSE)</f>
        <v>2372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3"/>
        <v>01411</v>
      </c>
      <c r="B153" s="2">
        <f t="shared" si="7"/>
        <v>116</v>
      </c>
      <c r="C153" s="10" t="str">
        <f t="shared" ca="1" si="6"/>
        <v>0PremiumW4yellow</v>
      </c>
      <c r="D153" s="6">
        <v>0</v>
      </c>
      <c r="E153" s="7">
        <v>141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妖狐演舞 タマモ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6">
        <v>1</v>
      </c>
      <c r="M153" s="46">
        <f ca="1">VLOOKUP(C153,gacha_115_base!A:B,2,FALSE)</f>
        <v>344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3"/>
        <v>01431</v>
      </c>
      <c r="B154" s="2">
        <f t="shared" si="7"/>
        <v>116</v>
      </c>
      <c r="C154" s="10" t="str">
        <f t="shared" ca="1" si="6"/>
        <v>0PremiumW4red</v>
      </c>
      <c r="D154" s="6">
        <v>0</v>
      </c>
      <c r="E154" s="7">
        <v>143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深紅の死神 赤ずきん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6">
        <v>1</v>
      </c>
      <c r="M154" s="46">
        <f ca="1">VLOOKUP(C154,gacha_115_base!A:B,2,FALSE)</f>
        <v>344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ref="A155:A218" si="8">D155&amp;E155&amp;L155</f>
        <v>01451</v>
      </c>
      <c r="B155" s="2">
        <f t="shared" si="7"/>
        <v>116</v>
      </c>
      <c r="C155" s="10" t="str">
        <f t="shared" ca="1" si="6"/>
        <v>0PremiumW4green</v>
      </c>
      <c r="D155" s="6">
        <v>0</v>
      </c>
      <c r="E155" s="7">
        <v>145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魔性妖艶 かぐや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6">
        <v>1</v>
      </c>
      <c r="M155" s="46">
        <f ca="1">VLOOKUP(C155,gacha_115_base!A:B,2,FALSE)</f>
        <v>344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8"/>
        <v>01471</v>
      </c>
      <c r="B156" s="2">
        <f t="shared" si="7"/>
        <v>116</v>
      </c>
      <c r="C156" s="10" t="str">
        <f t="shared" ca="1" si="6"/>
        <v>0PremiumW4blue</v>
      </c>
      <c r="D156" s="38">
        <v>0</v>
      </c>
      <c r="E156" s="39">
        <v>147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38">
        <v>1</v>
      </c>
      <c r="M156" s="46">
        <f ca="1">VLOOKUP(C156,gacha_115_base!A:B,2,FALSE)</f>
        <v>2372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8"/>
        <v>01491</v>
      </c>
      <c r="B157" s="2">
        <f t="shared" si="7"/>
        <v>116</v>
      </c>
      <c r="C157" s="10" t="str">
        <f t="shared" ca="1" si="6"/>
        <v>0PremiumW4yellow</v>
      </c>
      <c r="D157" s="6">
        <v>0</v>
      </c>
      <c r="E157" s="7">
        <v>149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46">
        <f ca="1">VLOOKUP(C157,gacha_115_base!A:B,2,FALSE)</f>
        <v>344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8"/>
        <v>01511</v>
      </c>
      <c r="B158" s="2">
        <f t="shared" si="7"/>
        <v>116</v>
      </c>
      <c r="C158" s="10" t="str">
        <f t="shared" ca="1" si="6"/>
        <v>0PremiumW4red</v>
      </c>
      <c r="D158" s="6">
        <v>0</v>
      </c>
      <c r="E158" s="7">
        <v>151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毒煙の処刑人サキ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PremiumW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ヒューマン</v>
      </c>
      <c r="L158" s="6">
        <v>1</v>
      </c>
      <c r="M158" s="46">
        <f ca="1">VLOOKUP(C158,gacha_115_base!A:B,2,FALSE)</f>
        <v>344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8"/>
        <v>01531</v>
      </c>
      <c r="B159" s="2">
        <f t="shared" si="7"/>
        <v>116</v>
      </c>
      <c r="C159" s="10" t="str">
        <f t="shared" ca="1" si="6"/>
        <v>0PremiumW4green</v>
      </c>
      <c r="D159" s="6">
        <v>0</v>
      </c>
      <c r="E159" s="7">
        <v>153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拳聖ランラン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PremiumW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6">
        <v>1</v>
      </c>
      <c r="M159" s="46">
        <f ca="1">VLOOKUP(C159,gacha_115_base!A:B,2,FALSE)</f>
        <v>344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8"/>
        <v>01551</v>
      </c>
      <c r="B160" s="2">
        <f t="shared" si="7"/>
        <v>116</v>
      </c>
      <c r="C160" s="10" t="str">
        <f t="shared" ca="1" si="6"/>
        <v>0PremiumW4blue</v>
      </c>
      <c r="D160" s="38">
        <v>0</v>
      </c>
      <c r="E160" s="39">
        <v>155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隻眼の掃除屋 ハンナ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PremiumW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38">
        <v>1</v>
      </c>
      <c r="M160" s="46">
        <f ca="1">VLOOKUP(C160,gacha_115_base!A:B,2,FALSE)</f>
        <v>2372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8"/>
        <v>01571</v>
      </c>
      <c r="B161" s="2">
        <f t="shared" si="7"/>
        <v>116</v>
      </c>
      <c r="C161" s="10" t="str">
        <f t="shared" ca="1" si="6"/>
        <v>0PremiumW4yellow</v>
      </c>
      <c r="D161" s="6">
        <v>0</v>
      </c>
      <c r="E161" s="7">
        <v>157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雷光舞姫 エレナ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PremiumW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ヒューマン</v>
      </c>
      <c r="L161" s="6">
        <v>1</v>
      </c>
      <c r="M161" s="46">
        <f ca="1">VLOOKUP(C161,gacha_115_base!A:B,2,FALSE)</f>
        <v>344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8"/>
        <v>01591</v>
      </c>
      <c r="B162" s="2">
        <f t="shared" si="7"/>
        <v>116</v>
      </c>
      <c r="C162" s="10" t="str">
        <f t="shared" ca="1" si="6"/>
        <v>0PremiumW4red</v>
      </c>
      <c r="D162" s="6">
        <v>0</v>
      </c>
      <c r="E162" s="7">
        <v>159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PremiumW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ヒューマン</v>
      </c>
      <c r="L162" s="6">
        <v>1</v>
      </c>
      <c r="M162" s="46">
        <f ca="1">VLOOKUP(C162,gacha_115_base!A:B,2,FALSE)</f>
        <v>344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8"/>
        <v>01611</v>
      </c>
      <c r="B163" s="2">
        <f t="shared" si="7"/>
        <v>116</v>
      </c>
      <c r="C163" s="10" t="str">
        <f t="shared" ca="1" si="6"/>
        <v>0PremiumW4green</v>
      </c>
      <c r="D163" s="6">
        <v>0</v>
      </c>
      <c r="E163" s="7">
        <v>161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咆哮の先導者 クリエ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PremiumW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ヒューマン</v>
      </c>
      <c r="L163" s="6">
        <v>1</v>
      </c>
      <c r="M163" s="46">
        <f ca="1">VLOOKUP(C163,gacha_115_base!A:B,2,FALSE)</f>
        <v>344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8"/>
        <v>01631</v>
      </c>
      <c r="B164" s="2">
        <f t="shared" si="7"/>
        <v>116</v>
      </c>
      <c r="C164" s="10" t="str">
        <f t="shared" ca="1" si="6"/>
        <v>0PremiumW4blue</v>
      </c>
      <c r="D164" s="38">
        <v>0</v>
      </c>
      <c r="E164" s="39">
        <v>163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冷酷な狂嬢 クララ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PremiumW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ヒューマン</v>
      </c>
      <c r="L164" s="38">
        <v>1</v>
      </c>
      <c r="M164" s="46">
        <f ca="1">VLOOKUP(C164,gacha_115_base!A:B,2,FALSE)</f>
        <v>2372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8"/>
        <v>01651</v>
      </c>
      <c r="B165" s="2">
        <f t="shared" si="7"/>
        <v>116</v>
      </c>
      <c r="C165" s="10" t="str">
        <f t="shared" ca="1" si="6"/>
        <v>0PremiumW4yellow</v>
      </c>
      <c r="D165" s="6">
        <v>0</v>
      </c>
      <c r="E165" s="7">
        <v>165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PremiumW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6">
        <v>1</v>
      </c>
      <c r="M165" s="46">
        <f ca="1">VLOOKUP(C165,gacha_115_base!A:B,2,FALSE)</f>
        <v>344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8"/>
        <v>01671</v>
      </c>
      <c r="B166" s="2">
        <f t="shared" si="7"/>
        <v>116</v>
      </c>
      <c r="C166" s="10" t="str">
        <f t="shared" ca="1" si="6"/>
        <v>0PremiumN4red</v>
      </c>
      <c r="D166" s="6">
        <v>0</v>
      </c>
      <c r="E166" s="7">
        <v>167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逆徒 ベリアル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ゴッド</v>
      </c>
      <c r="L166" s="6">
        <v>1</v>
      </c>
      <c r="M166" s="46">
        <f ca="1">VLOOKUP(C166,gacha_115_base!A:B,2,FALSE)</f>
        <v>337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8"/>
        <v>01701</v>
      </c>
      <c r="B167" s="2">
        <f t="shared" si="7"/>
        <v>116</v>
      </c>
      <c r="C167" s="10" t="str">
        <f t="shared" ca="1" si="6"/>
        <v>0PremiumN4green</v>
      </c>
      <c r="D167" s="6">
        <v>0</v>
      </c>
      <c r="E167" s="7">
        <v>170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識徒 オセ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ゴッド</v>
      </c>
      <c r="L167" s="6">
        <v>1</v>
      </c>
      <c r="M167" s="46">
        <f ca="1">VLOOKUP(C167,gacha_115_base!A:B,2,FALSE)</f>
        <v>337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8"/>
        <v>01731</v>
      </c>
      <c r="B168" s="2">
        <f t="shared" si="7"/>
        <v>116</v>
      </c>
      <c r="C168" s="10" t="str">
        <f t="shared" ca="1" si="6"/>
        <v>0PremiumN4blue</v>
      </c>
      <c r="D168" s="38">
        <v>0</v>
      </c>
      <c r="E168" s="39">
        <v>173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公爵 フォルネウス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ゴッド</v>
      </c>
      <c r="L168" s="38">
        <v>1</v>
      </c>
      <c r="M168" s="46">
        <f ca="1">VLOOKUP(C168,gacha_115_base!A:B,2,FALSE)</f>
        <v>2293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8"/>
        <v>01761</v>
      </c>
      <c r="B169" s="2">
        <f t="shared" si="7"/>
        <v>116</v>
      </c>
      <c r="C169" s="10" t="str">
        <f t="shared" ca="1" si="6"/>
        <v>0PremiumN4yellow</v>
      </c>
      <c r="D169" s="6">
        <v>0</v>
      </c>
      <c r="E169" s="7">
        <v>176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異教徒 バフォメット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ゴッド</v>
      </c>
      <c r="L169" s="6">
        <v>1</v>
      </c>
      <c r="M169" s="46">
        <f ca="1">VLOOKUP(C169,gacha_115_base!A:B,2,FALSE)</f>
        <v>337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8"/>
        <v>01791</v>
      </c>
      <c r="B170" s="2">
        <f t="shared" si="7"/>
        <v>116</v>
      </c>
      <c r="C170" s="10" t="str">
        <f t="shared" ca="1" si="6"/>
        <v>0PremiumN4red</v>
      </c>
      <c r="D170" s="6">
        <v>0</v>
      </c>
      <c r="E170" s="7">
        <v>179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番犬 ケルベロス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アニマル</v>
      </c>
      <c r="L170" s="6">
        <v>1</v>
      </c>
      <c r="M170" s="46">
        <f ca="1">VLOOKUP(C170,gacha_115_base!A:B,2,FALSE)</f>
        <v>337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8"/>
        <v>01821</v>
      </c>
      <c r="B171" s="2">
        <f t="shared" si="7"/>
        <v>116</v>
      </c>
      <c r="C171" s="10" t="str">
        <f t="shared" ca="1" si="6"/>
        <v>0PremiumN4green</v>
      </c>
      <c r="D171" s="6">
        <v>0</v>
      </c>
      <c r="E171" s="7">
        <v>182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放蕩者 ベヒモス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アニマル</v>
      </c>
      <c r="L171" s="6">
        <v>1</v>
      </c>
      <c r="M171" s="46">
        <f ca="1">VLOOKUP(C171,gacha_115_base!A:B,2,FALSE)</f>
        <v>337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8"/>
        <v>01851</v>
      </c>
      <c r="B172" s="2">
        <f t="shared" si="7"/>
        <v>116</v>
      </c>
      <c r="C172" s="10" t="str">
        <f t="shared" ca="1" si="6"/>
        <v>0PremiumN4blue</v>
      </c>
      <c r="D172" s="38">
        <v>0</v>
      </c>
      <c r="E172" s="39">
        <v>185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海姫 クラーケン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アニマル</v>
      </c>
      <c r="L172" s="38">
        <v>1</v>
      </c>
      <c r="M172" s="46">
        <f ca="1">VLOOKUP(C172,gacha_115_base!A:B,2,FALSE)</f>
        <v>2293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8"/>
        <v>01881</v>
      </c>
      <c r="B173" s="2">
        <f t="shared" si="7"/>
        <v>116</v>
      </c>
      <c r="C173" s="10" t="str">
        <f t="shared" ca="1" si="6"/>
        <v>0PremiumN4yellow</v>
      </c>
      <c r="D173" s="6">
        <v>0</v>
      </c>
      <c r="E173" s="7">
        <v>188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猛禽 ホルス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アニマル</v>
      </c>
      <c r="L173" s="6">
        <v>1</v>
      </c>
      <c r="M173" s="46">
        <f ca="1">VLOOKUP(C173,gacha_115_base!A:B,2,FALSE)</f>
        <v>337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8"/>
        <v>01911</v>
      </c>
      <c r="B174" s="2">
        <f t="shared" si="7"/>
        <v>116</v>
      </c>
      <c r="C174" s="10" t="str">
        <f t="shared" ca="1" si="6"/>
        <v>0PremiumN4red</v>
      </c>
      <c r="D174" s="6">
        <v>0</v>
      </c>
      <c r="E174" s="7">
        <v>191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始祖 卑弥呼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ヒューマン</v>
      </c>
      <c r="L174" s="6">
        <v>1</v>
      </c>
      <c r="M174" s="46">
        <f ca="1">VLOOKUP(C174,gacha_115_base!A:B,2,FALSE)</f>
        <v>337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8"/>
        <v>01941</v>
      </c>
      <c r="B175" s="2">
        <f t="shared" si="7"/>
        <v>116</v>
      </c>
      <c r="C175" s="10" t="str">
        <f t="shared" ca="1" si="6"/>
        <v>0PremiumN4green</v>
      </c>
      <c r="D175" s="6">
        <v>0</v>
      </c>
      <c r="E175" s="7">
        <v>194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ヒューマン</v>
      </c>
      <c r="L175" s="6">
        <v>1</v>
      </c>
      <c r="M175" s="46">
        <f ca="1">VLOOKUP(C175,gacha_115_base!A:B,2,FALSE)</f>
        <v>337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8"/>
        <v>01971</v>
      </c>
      <c r="B176" s="2">
        <f t="shared" si="7"/>
        <v>116</v>
      </c>
      <c r="C176" s="10" t="str">
        <f t="shared" ca="1" si="6"/>
        <v>0PremiumN4yellow</v>
      </c>
      <c r="D176" s="6">
        <v>0</v>
      </c>
      <c r="E176" s="7">
        <v>197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鉄腕 アキレス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yellow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ヒューマン</v>
      </c>
      <c r="L176" s="6">
        <v>1</v>
      </c>
      <c r="M176" s="46">
        <f ca="1">VLOOKUP(C176,gacha_115_base!A:B,2,FALSE)</f>
        <v>337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8"/>
        <v>02001</v>
      </c>
      <c r="B177" s="2">
        <f t="shared" si="7"/>
        <v>116</v>
      </c>
      <c r="C177" s="10" t="str">
        <f t="shared" ca="1" si="6"/>
        <v>0PremiumN4blue</v>
      </c>
      <c r="D177" s="38">
        <v>0</v>
      </c>
      <c r="E177" s="39">
        <v>200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blue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38">
        <v>1</v>
      </c>
      <c r="M177" s="46">
        <f ca="1">VLOOKUP(C177,gacha_115_base!A:B,2,FALSE)</f>
        <v>2293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8"/>
        <v>02031</v>
      </c>
      <c r="B178" s="2">
        <f t="shared" si="7"/>
        <v>116</v>
      </c>
      <c r="C178" s="10" t="str">
        <f t="shared" ca="1" si="6"/>
        <v>0PremiumN4red</v>
      </c>
      <c r="D178" s="6">
        <v>0</v>
      </c>
      <c r="E178" s="7">
        <v>203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焔神 プロメテウス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6">
        <v>1</v>
      </c>
      <c r="M178" s="46">
        <f ca="1">VLOOKUP(C178,gacha_115_base!A:B,2,FALSE)</f>
        <v>337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8"/>
        <v>02061</v>
      </c>
      <c r="B179" s="2">
        <f t="shared" si="7"/>
        <v>116</v>
      </c>
      <c r="C179" s="10" t="str">
        <f t="shared" ca="1" si="6"/>
        <v>0PremiumN4green</v>
      </c>
      <c r="D179" s="6">
        <v>0</v>
      </c>
      <c r="E179" s="7">
        <v>206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美神 アフロディーテ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ゴッド</v>
      </c>
      <c r="L179" s="6">
        <v>1</v>
      </c>
      <c r="M179" s="46">
        <f ca="1">VLOOKUP(C179,gacha_115_base!A:B,2,FALSE)</f>
        <v>337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8"/>
        <v>02091</v>
      </c>
      <c r="B180" s="2">
        <f t="shared" si="7"/>
        <v>116</v>
      </c>
      <c r="C180" s="10" t="str">
        <f t="shared" ca="1" si="6"/>
        <v>0PremiumN4blue</v>
      </c>
      <c r="D180" s="38">
        <v>0</v>
      </c>
      <c r="E180" s="39">
        <v>209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孤神 テティス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ゴッド</v>
      </c>
      <c r="L180" s="38">
        <v>1</v>
      </c>
      <c r="M180" s="46">
        <f ca="1">VLOOKUP(C180,gacha_115_base!A:B,2,FALSE)</f>
        <v>2293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8"/>
        <v>02121</v>
      </c>
      <c r="B181" s="2">
        <f t="shared" si="7"/>
        <v>116</v>
      </c>
      <c r="C181" s="10" t="str">
        <f t="shared" ca="1" si="6"/>
        <v>0PremiumN4yellow</v>
      </c>
      <c r="D181" s="6">
        <v>0</v>
      </c>
      <c r="E181" s="7">
        <v>212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星神 アストライアー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46">
        <f ca="1">VLOOKUP(C181,gacha_115_base!A:B,2,FALSE)</f>
        <v>337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8"/>
        <v>02151</v>
      </c>
      <c r="B182" s="2">
        <f t="shared" si="7"/>
        <v>116</v>
      </c>
      <c r="C182" s="10" t="str">
        <f t="shared" ca="1" si="6"/>
        <v>0PremiumN4red</v>
      </c>
      <c r="D182" s="6">
        <v>0</v>
      </c>
      <c r="E182" s="7">
        <v>215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死導者 アズラエル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4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6">
        <v>1</v>
      </c>
      <c r="M182" s="46">
        <f ca="1">VLOOKUP(C182,gacha_115_base!A:B,2,FALSE)</f>
        <v>337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8"/>
        <v>02181</v>
      </c>
      <c r="B183" s="2">
        <f t="shared" si="7"/>
        <v>116</v>
      </c>
      <c r="C183" s="10" t="str">
        <f t="shared" ca="1" si="6"/>
        <v>0PremiumN4green</v>
      </c>
      <c r="D183" s="6">
        <v>0</v>
      </c>
      <c r="E183" s="7">
        <v>218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聖蛇 ケツァクアトル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4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ドラゴン</v>
      </c>
      <c r="L183" s="6">
        <v>1</v>
      </c>
      <c r="M183" s="46">
        <f ca="1">VLOOKUP(C183,gacha_115_base!A:B,2,FALSE)</f>
        <v>337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8"/>
        <v>02211</v>
      </c>
      <c r="B184" s="2">
        <f t="shared" si="7"/>
        <v>116</v>
      </c>
      <c r="C184" s="10" t="str">
        <f t="shared" ca="1" si="6"/>
        <v>0PremiumN4blue</v>
      </c>
      <c r="D184" s="38">
        <v>0</v>
      </c>
      <c r="E184" s="39">
        <v>221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宰相 ルキフグス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4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38">
        <v>1</v>
      </c>
      <c r="M184" s="46">
        <f ca="1">VLOOKUP(C184,gacha_115_base!A:B,2,FALSE)</f>
        <v>2293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8"/>
        <v>02241</v>
      </c>
      <c r="B185" s="2">
        <f t="shared" si="7"/>
        <v>116</v>
      </c>
      <c r="C185" s="10" t="str">
        <f t="shared" ca="1" si="6"/>
        <v>0PremiumN4yellow</v>
      </c>
      <c r="D185" s="6">
        <v>0</v>
      </c>
      <c r="E185" s="7">
        <v>224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巨腕 ヘラクレス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4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ヒューマン</v>
      </c>
      <c r="L185" s="6">
        <v>1</v>
      </c>
      <c r="M185" s="46">
        <f ca="1">VLOOKUP(C185,gacha_115_base!A:B,2,FALSE)</f>
        <v>337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8"/>
        <v>02271</v>
      </c>
      <c r="B186" s="2">
        <f t="shared" si="7"/>
        <v>116</v>
      </c>
      <c r="C186" s="10" t="str">
        <f t="shared" ca="1" si="6"/>
        <v>0PremiumS4red</v>
      </c>
      <c r="D186" s="6">
        <v>0</v>
      </c>
      <c r="E186" s="7">
        <v>227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滅弾 アレス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PremiumS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4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ゴッド</v>
      </c>
      <c r="L186" s="6">
        <v>1</v>
      </c>
      <c r="M186" s="46">
        <f ca="1">VLOOKUP(C186,gacha_115_base!A:B,2,FALSE)</f>
        <v>63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8"/>
        <v>02301</v>
      </c>
      <c r="B187" s="2">
        <f t="shared" si="7"/>
        <v>116</v>
      </c>
      <c r="C187" s="10" t="str">
        <f t="shared" ca="1" si="6"/>
        <v>0PremiumS4green</v>
      </c>
      <c r="D187" s="6">
        <v>0</v>
      </c>
      <c r="E187" s="7">
        <v>230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毒銃 ヨルムンガンド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PremiumS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4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ドラゴン</v>
      </c>
      <c r="L187" s="6">
        <v>1</v>
      </c>
      <c r="M187" s="46">
        <f ca="1">VLOOKUP(C187,gacha_115_base!A:B,2,FALSE)</f>
        <v>63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8"/>
        <v>02331</v>
      </c>
      <c r="B188" s="2">
        <f t="shared" si="7"/>
        <v>116</v>
      </c>
      <c r="C188" s="10" t="str">
        <f t="shared" ca="1" si="6"/>
        <v>0PremiumS4blue</v>
      </c>
      <c r="D188" s="38">
        <v>0</v>
      </c>
      <c r="E188" s="39">
        <v>233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遂行 パーシヴァル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PremiumS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4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ヒューマン</v>
      </c>
      <c r="L188" s="38">
        <v>1</v>
      </c>
      <c r="M188" s="46">
        <f ca="1">VLOOKUP(C188,gacha_115_base!A:B,2,FALSE)</f>
        <v>539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8"/>
        <v>02361</v>
      </c>
      <c r="B189" s="2">
        <f t="shared" si="7"/>
        <v>116</v>
      </c>
      <c r="C189" s="10" t="str">
        <f t="shared" ca="1" si="6"/>
        <v>0PremiumS4yellow</v>
      </c>
      <c r="D189" s="6">
        <v>0</v>
      </c>
      <c r="E189" s="7">
        <v>236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神産 イザナミ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PremiumS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4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6">
        <v>1</v>
      </c>
      <c r="M189" s="46">
        <f ca="1">VLOOKUP(C189,gacha_115_base!A:B,2,FALSE)</f>
        <v>63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8"/>
        <v>01681</v>
      </c>
      <c r="B190" s="2">
        <f t="shared" si="7"/>
        <v>116</v>
      </c>
      <c r="C190" s="10" t="str">
        <f t="shared" ca="1" si="6"/>
        <v>0PremiumN5red</v>
      </c>
      <c r="D190" s="6">
        <v>0</v>
      </c>
      <c r="E190" s="7">
        <v>168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ゴッド</v>
      </c>
      <c r="L190" s="6">
        <v>1</v>
      </c>
      <c r="M190" s="46">
        <f ca="1">VLOOKUP(C190,gacha_115_base!A:B,2,FALSE)</f>
        <v>108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8"/>
        <v>01711</v>
      </c>
      <c r="B191" s="2">
        <f t="shared" si="7"/>
        <v>116</v>
      </c>
      <c r="C191" s="10" t="str">
        <f t="shared" ca="1" si="6"/>
        <v>0PremiumN5green</v>
      </c>
      <c r="D191" s="6">
        <v>0</v>
      </c>
      <c r="E191" s="7">
        <v>171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精解の預知者 オセ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6">
        <v>1</v>
      </c>
      <c r="M191" s="46">
        <f ca="1">VLOOKUP(C191,gacha_115_base!A:B,2,FALSE)</f>
        <v>108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8"/>
        <v>01741</v>
      </c>
      <c r="B192" s="2">
        <f t="shared" si="7"/>
        <v>116</v>
      </c>
      <c r="C192" s="10" t="str">
        <f t="shared" ca="1" si="6"/>
        <v>0PremiumN5blue</v>
      </c>
      <c r="D192" s="38">
        <v>0</v>
      </c>
      <c r="E192" s="39">
        <v>174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blue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ゴッド</v>
      </c>
      <c r="L192" s="38">
        <v>1</v>
      </c>
      <c r="M192" s="46">
        <f ca="1">VLOOKUP(C192,gacha_115_base!A:B,2,FALSE)</f>
        <v>751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8"/>
        <v>01771</v>
      </c>
      <c r="B193" s="2">
        <f t="shared" si="7"/>
        <v>116</v>
      </c>
      <c r="C193" s="10" t="str">
        <f t="shared" ca="1" si="6"/>
        <v>0PremiumN5yellow</v>
      </c>
      <c r="D193" s="6">
        <v>0</v>
      </c>
      <c r="E193" s="7">
        <v>177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yellow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ゴッド</v>
      </c>
      <c r="L193" s="6">
        <v>1</v>
      </c>
      <c r="M193" s="46">
        <f ca="1">VLOOKUP(C193,gacha_115_base!A:B,2,FALSE)</f>
        <v>108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8"/>
        <v>01801</v>
      </c>
      <c r="B194" s="2">
        <f t="shared" si="7"/>
        <v>116</v>
      </c>
      <c r="C194" s="10" t="str">
        <f t="shared" ca="1" si="6"/>
        <v>0PremiumN5red</v>
      </c>
      <c r="D194" s="6">
        <v>0</v>
      </c>
      <c r="E194" s="7">
        <v>180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アニマル</v>
      </c>
      <c r="L194" s="6">
        <v>1</v>
      </c>
      <c r="M194" s="46">
        <f ca="1">VLOOKUP(C194,gacha_115_base!A:B,2,FALSE)</f>
        <v>108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8"/>
        <v>01831</v>
      </c>
      <c r="B195" s="2">
        <f t="shared" si="7"/>
        <v>116</v>
      </c>
      <c r="C195" s="10" t="str">
        <f t="shared" ref="C195:C255" ca="1" si="9">D195&amp;G195&amp;H195&amp;I195</f>
        <v>0PremiumN5green</v>
      </c>
      <c r="D195" s="6">
        <v>0</v>
      </c>
      <c r="E195" s="7">
        <v>183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アニマル</v>
      </c>
      <c r="L195" s="6">
        <v>1</v>
      </c>
      <c r="M195" s="46">
        <f ca="1">VLOOKUP(C195,gacha_115_base!A:B,2,FALSE)</f>
        <v>108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8"/>
        <v>01861</v>
      </c>
      <c r="B196" s="2">
        <f t="shared" ref="B196:B255" si="10">$B$2</f>
        <v>116</v>
      </c>
      <c r="C196" s="10" t="str">
        <f t="shared" ca="1" si="9"/>
        <v>0PremiumN5blue</v>
      </c>
      <c r="D196" s="38">
        <v>0</v>
      </c>
      <c r="E196" s="39">
        <v>186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アニマル</v>
      </c>
      <c r="L196" s="38">
        <v>1</v>
      </c>
      <c r="M196" s="46">
        <f ca="1">VLOOKUP(C196,gacha_115_base!A:B,2,FALSE)</f>
        <v>751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8"/>
        <v>01891</v>
      </c>
      <c r="B197" s="2">
        <f t="shared" si="10"/>
        <v>116</v>
      </c>
      <c r="C197" s="10" t="str">
        <f t="shared" ca="1" si="9"/>
        <v>0PremiumN5yellow</v>
      </c>
      <c r="D197" s="6">
        <v>0</v>
      </c>
      <c r="E197" s="7">
        <v>189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迅雷の王禽 ホルス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アニマル</v>
      </c>
      <c r="L197" s="6">
        <v>1</v>
      </c>
      <c r="M197" s="46">
        <f ca="1">VLOOKUP(C197,gacha_115_base!A:B,2,FALSE)</f>
        <v>108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8"/>
        <v>01921</v>
      </c>
      <c r="B198" s="2">
        <f t="shared" si="10"/>
        <v>116</v>
      </c>
      <c r="C198" s="10" t="str">
        <f t="shared" ca="1" si="9"/>
        <v>0PremiumN5red</v>
      </c>
      <c r="D198" s="6">
        <v>0</v>
      </c>
      <c r="E198" s="7">
        <v>192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ヒューマン</v>
      </c>
      <c r="L198" s="6">
        <v>1</v>
      </c>
      <c r="M198" s="46">
        <f ca="1">VLOOKUP(C198,gacha_115_base!A:B,2,FALSE)</f>
        <v>108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8"/>
        <v>01951</v>
      </c>
      <c r="B199" s="2">
        <f t="shared" si="10"/>
        <v>116</v>
      </c>
      <c r="C199" s="10" t="str">
        <f t="shared" ca="1" si="9"/>
        <v>0PremiumN5green</v>
      </c>
      <c r="D199" s="6">
        <v>0</v>
      </c>
      <c r="E199" s="7">
        <v>195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ヒューマン</v>
      </c>
      <c r="L199" s="6">
        <v>1</v>
      </c>
      <c r="M199" s="46">
        <f ca="1">VLOOKUP(C199,gacha_115_base!A:B,2,FALSE)</f>
        <v>108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8"/>
        <v>01981</v>
      </c>
      <c r="B200" s="2">
        <f t="shared" si="10"/>
        <v>116</v>
      </c>
      <c r="C200" s="10" t="str">
        <f t="shared" ca="1" si="9"/>
        <v>0PremiumN5yellow</v>
      </c>
      <c r="D200" s="6">
        <v>0</v>
      </c>
      <c r="E200" s="7">
        <v>198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砕骨の剛腕 アキレス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yellow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ヒューマン</v>
      </c>
      <c r="L200" s="6">
        <v>1</v>
      </c>
      <c r="M200" s="46">
        <f ca="1">VLOOKUP(C200,gacha_115_base!A:B,2,FALSE)</f>
        <v>108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8"/>
        <v>02011</v>
      </c>
      <c r="B201" s="2">
        <f t="shared" si="10"/>
        <v>116</v>
      </c>
      <c r="C201" s="10" t="str">
        <f t="shared" ca="1" si="9"/>
        <v>0PremiumN5blue</v>
      </c>
      <c r="D201" s="38">
        <v>0</v>
      </c>
      <c r="E201" s="39">
        <v>201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blue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38">
        <v>1</v>
      </c>
      <c r="M201" s="46">
        <f ca="1">VLOOKUP(C201,gacha_115_base!A:B,2,FALSE)</f>
        <v>751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8"/>
        <v>02041</v>
      </c>
      <c r="B202" s="2">
        <f t="shared" si="10"/>
        <v>116</v>
      </c>
      <c r="C202" s="10" t="str">
        <f t="shared" ca="1" si="9"/>
        <v>0PremiumN5red</v>
      </c>
      <c r="D202" s="6">
        <v>0</v>
      </c>
      <c r="E202" s="7">
        <v>204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PremiumN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6">
        <v>1</v>
      </c>
      <c r="M202" s="46">
        <f ca="1">VLOOKUP(C202,gacha_115_base!A:B,2,FALSE)</f>
        <v>108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8"/>
        <v>02071</v>
      </c>
      <c r="B203" s="2">
        <f t="shared" si="10"/>
        <v>116</v>
      </c>
      <c r="C203" s="10" t="str">
        <f t="shared" ca="1" si="9"/>
        <v>0PremiumN5green</v>
      </c>
      <c r="D203" s="6">
        <v>0</v>
      </c>
      <c r="E203" s="7">
        <v>207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PremiumN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ゴッド</v>
      </c>
      <c r="L203" s="6">
        <v>1</v>
      </c>
      <c r="M203" s="46">
        <f ca="1">VLOOKUP(C203,gacha_115_base!A:B,2,FALSE)</f>
        <v>108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8"/>
        <v>02101</v>
      </c>
      <c r="B204" s="2">
        <f t="shared" si="10"/>
        <v>116</v>
      </c>
      <c r="C204" s="10" t="str">
        <f t="shared" ca="1" si="9"/>
        <v>0PremiumN5blue</v>
      </c>
      <c r="D204" s="38">
        <v>0</v>
      </c>
      <c r="E204" s="39">
        <v>210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PremiumN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ゴッド</v>
      </c>
      <c r="L204" s="38">
        <v>1</v>
      </c>
      <c r="M204" s="46">
        <f ca="1">VLOOKUP(C204,gacha_115_base!A:B,2,FALSE)</f>
        <v>751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ht="21" customHeight="1">
      <c r="A205" s="8" t="str">
        <f t="shared" si="8"/>
        <v>02131</v>
      </c>
      <c r="B205" s="2">
        <f t="shared" si="10"/>
        <v>116</v>
      </c>
      <c r="C205" s="10" t="str">
        <f t="shared" ca="1" si="9"/>
        <v>0PremiumN5yellow</v>
      </c>
      <c r="D205" s="6">
        <v>0</v>
      </c>
      <c r="E205" s="7">
        <v>213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PremiumN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46">
        <f ca="1">VLOOKUP(C205,gacha_115_base!A:B,2,FALSE)</f>
        <v>108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8"/>
        <v>02161</v>
      </c>
      <c r="B206" s="2">
        <f t="shared" si="10"/>
        <v>116</v>
      </c>
      <c r="C206" s="10" t="str">
        <f t="shared" ca="1" si="9"/>
        <v>0PremiumN5red</v>
      </c>
      <c r="D206" s="6">
        <v>0</v>
      </c>
      <c r="E206" s="7">
        <v>216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PremiumN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5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ゴッド</v>
      </c>
      <c r="L206" s="6">
        <v>1</v>
      </c>
      <c r="M206" s="46">
        <f ca="1">VLOOKUP(C206,gacha_115_base!A:B,2,FALSE)</f>
        <v>108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8"/>
        <v>02191</v>
      </c>
      <c r="B207" s="2">
        <f t="shared" si="10"/>
        <v>116</v>
      </c>
      <c r="C207" s="10" t="str">
        <f t="shared" ca="1" si="9"/>
        <v>0PremiumN5green</v>
      </c>
      <c r="D207" s="6">
        <v>0</v>
      </c>
      <c r="E207" s="7">
        <v>219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PremiumN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5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green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ドラゴン</v>
      </c>
      <c r="L207" s="6">
        <v>1</v>
      </c>
      <c r="M207" s="46">
        <f ca="1">VLOOKUP(C207,gacha_115_base!A:B,2,FALSE)</f>
        <v>108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8"/>
        <v>02221</v>
      </c>
      <c r="B208" s="2">
        <f t="shared" si="10"/>
        <v>116</v>
      </c>
      <c r="C208" s="10" t="str">
        <f t="shared" ca="1" si="9"/>
        <v>0PremiumN5blue</v>
      </c>
      <c r="D208" s="38">
        <v>0</v>
      </c>
      <c r="E208" s="39">
        <v>222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PremiumN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blue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ゴッド</v>
      </c>
      <c r="L208" s="38">
        <v>1</v>
      </c>
      <c r="M208" s="46">
        <f ca="1">VLOOKUP(C208,gacha_115_base!A:B,2,FALSE)</f>
        <v>751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8"/>
        <v>02251</v>
      </c>
      <c r="B209" s="2">
        <f t="shared" si="10"/>
        <v>116</v>
      </c>
      <c r="C209" s="10" t="str">
        <f t="shared" ca="1" si="9"/>
        <v>0PremiumN5yellow</v>
      </c>
      <c r="D209" s="6">
        <v>0</v>
      </c>
      <c r="E209" s="7">
        <v>225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PremiumN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5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yellow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ヒューマン</v>
      </c>
      <c r="L209" s="6">
        <v>1</v>
      </c>
      <c r="M209" s="46">
        <f ca="1">VLOOKUP(C209,gacha_115_base!A:B,2,FALSE)</f>
        <v>108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8"/>
        <v>02281</v>
      </c>
      <c r="B210" s="2">
        <f t="shared" si="10"/>
        <v>116</v>
      </c>
      <c r="C210" s="10" t="str">
        <f t="shared" ca="1" si="9"/>
        <v>0PremiumS5red</v>
      </c>
      <c r="D210" s="6">
        <v>0</v>
      </c>
      <c r="E210" s="7">
        <v>228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殲滅の掃射砲 アレス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5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red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ゴッド</v>
      </c>
      <c r="L210" s="6">
        <v>1</v>
      </c>
      <c r="M210" s="46">
        <f ca="1">VLOOKUP(C210,gacha_115_base!A:B,2,FALSE)</f>
        <v>10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si="8"/>
        <v>02311</v>
      </c>
      <c r="B211" s="2">
        <f t="shared" si="10"/>
        <v>116</v>
      </c>
      <c r="C211" s="10" t="str">
        <f t="shared" ca="1" si="9"/>
        <v>0PremiumS5green</v>
      </c>
      <c r="D211" s="6">
        <v>0</v>
      </c>
      <c r="E211" s="7">
        <v>231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ドラゴン</v>
      </c>
      <c r="L211" s="6">
        <v>1</v>
      </c>
      <c r="M211" s="46">
        <f ca="1">VLOOKUP(C211,gacha_115_base!A:B,2,FALSE)</f>
        <v>10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8"/>
        <v>02341</v>
      </c>
      <c r="B212" s="2">
        <f t="shared" si="10"/>
        <v>116</v>
      </c>
      <c r="C212" s="10" t="str">
        <f t="shared" ca="1" si="9"/>
        <v>0PremiumS5blue</v>
      </c>
      <c r="D212" s="38">
        <v>0</v>
      </c>
      <c r="E212" s="39">
        <v>234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5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ヒューマン</v>
      </c>
      <c r="L212" s="38">
        <v>1</v>
      </c>
      <c r="M212" s="46">
        <f ca="1">VLOOKUP(C212,gacha_115_base!A:B,2,FALSE)</f>
        <v>86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s="26" customFormat="1" ht="21" customHeight="1" thickBot="1">
      <c r="A213" s="22" t="str">
        <f t="shared" si="8"/>
        <v>02371</v>
      </c>
      <c r="B213" s="2">
        <f t="shared" si="10"/>
        <v>116</v>
      </c>
      <c r="C213" s="10" t="str">
        <f t="shared" ca="1" si="9"/>
        <v>0PremiumS5yellow</v>
      </c>
      <c r="D213" s="6">
        <v>0</v>
      </c>
      <c r="E213" s="7">
        <v>237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5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yellow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ゴッド</v>
      </c>
      <c r="L213" s="6">
        <v>1</v>
      </c>
      <c r="M213" s="46">
        <f ca="1">VLOOKUP(C213,gacha_115_base!A:B,2,FALSE)</f>
        <v>10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8"/>
        <v>02381</v>
      </c>
      <c r="B214" s="2">
        <f t="shared" si="10"/>
        <v>116</v>
      </c>
      <c r="C214" s="10" t="str">
        <f t="shared" ca="1" si="9"/>
        <v>0PremiumS3red</v>
      </c>
      <c r="D214" s="6">
        <v>0</v>
      </c>
      <c r="E214" s="19">
        <v>238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ウリエル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3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red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46">
        <f ca="1">VLOOKUP(C214,gacha_115_base!A:B,2,FALSE)</f>
        <v>179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8"/>
        <v>02391</v>
      </c>
      <c r="B215" s="2">
        <f t="shared" si="10"/>
        <v>116</v>
      </c>
      <c r="C215" s="10" t="str">
        <f t="shared" ca="1" si="9"/>
        <v>0PremiumS4red</v>
      </c>
      <c r="D215" s="6">
        <v>0</v>
      </c>
      <c r="E215" s="19">
        <v>239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豪炎の天使 ウリエル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4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red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46">
        <f ca="1">VLOOKUP(C215,gacha_115_base!A:B,2,FALSE)</f>
        <v>63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8"/>
        <v>02401</v>
      </c>
      <c r="B216" s="2">
        <f t="shared" si="10"/>
        <v>116</v>
      </c>
      <c r="C216" s="10" t="str">
        <f t="shared" ca="1" si="9"/>
        <v>0PremiumS5red</v>
      </c>
      <c r="D216" s="6">
        <v>0</v>
      </c>
      <c r="E216" s="19">
        <v>240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5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red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46">
        <f ca="1">VLOOKUP(C216,gacha_115_base!A:B,2,FALSE)</f>
        <v>10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ht="21" customHeight="1">
      <c r="A217" s="8" t="str">
        <f t="shared" si="8"/>
        <v>02411</v>
      </c>
      <c r="B217" s="2">
        <f t="shared" si="10"/>
        <v>116</v>
      </c>
      <c r="C217" s="10" t="str">
        <f t="shared" ca="1" si="9"/>
        <v>0PremiumS3green</v>
      </c>
      <c r="D217" s="6">
        <v>0</v>
      </c>
      <c r="E217" s="19">
        <v>241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ガブリエル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3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green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6">
        <v>1</v>
      </c>
      <c r="M217" s="46">
        <f ca="1">VLOOKUP(C217,gacha_115_base!A:B,2,FALSE)</f>
        <v>179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ht="21" customHeight="1">
      <c r="A218" s="8" t="str">
        <f t="shared" si="8"/>
        <v>02421</v>
      </c>
      <c r="B218" s="2">
        <f t="shared" si="10"/>
        <v>116</v>
      </c>
      <c r="C218" s="10" t="str">
        <f t="shared" ca="1" si="9"/>
        <v>0PremiumS4green</v>
      </c>
      <c r="D218" s="6">
        <v>0</v>
      </c>
      <c r="E218" s="19">
        <v>242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4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green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マシン</v>
      </c>
      <c r="L218" s="6">
        <v>1</v>
      </c>
      <c r="M218" s="46">
        <f ca="1">VLOOKUP(C218,gacha_115_base!A:B,2,FALSE)</f>
        <v>63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>
      <c r="A219" s="8" t="str">
        <f t="shared" ref="A219:A255" si="11">D219&amp;E219&amp;L219</f>
        <v>02431</v>
      </c>
      <c r="B219" s="2">
        <f t="shared" si="10"/>
        <v>116</v>
      </c>
      <c r="C219" s="10" t="str">
        <f t="shared" ca="1" si="9"/>
        <v>0PremiumS5green</v>
      </c>
      <c r="D219" s="6">
        <v>0</v>
      </c>
      <c r="E219" s="19">
        <v>243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5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green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マシン</v>
      </c>
      <c r="L219" s="6">
        <v>1</v>
      </c>
      <c r="M219" s="46">
        <f ca="1">VLOOKUP(C219,gacha_115_base!A:B,2,FALSE)</f>
        <v>10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>
      <c r="A220" s="8" t="str">
        <f t="shared" si="11"/>
        <v>02441</v>
      </c>
      <c r="B220" s="2">
        <f t="shared" si="10"/>
        <v>116</v>
      </c>
      <c r="C220" s="10" t="str">
        <f t="shared" ca="1" si="9"/>
        <v>0PremiumS3blue</v>
      </c>
      <c r="D220" s="38">
        <v>0</v>
      </c>
      <c r="E220" s="40">
        <v>244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ラファエル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3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blue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マシン</v>
      </c>
      <c r="L220" s="38">
        <v>1</v>
      </c>
      <c r="M220" s="46">
        <f ca="1">VLOOKUP(C220,gacha_115_base!A:B,2,FALSE)</f>
        <v>1531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>
      <c r="A221" s="8" t="str">
        <f t="shared" si="11"/>
        <v>02451</v>
      </c>
      <c r="B221" s="2">
        <f t="shared" si="10"/>
        <v>116</v>
      </c>
      <c r="C221" s="10" t="str">
        <f t="shared" ca="1" si="9"/>
        <v>0PremiumS4blue</v>
      </c>
      <c r="D221" s="38">
        <v>0</v>
      </c>
      <c r="E221" s="40">
        <v>245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4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blue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マシン</v>
      </c>
      <c r="L221" s="38">
        <v>1</v>
      </c>
      <c r="M221" s="46">
        <f ca="1">VLOOKUP(C221,gacha_115_base!A:B,2,FALSE)</f>
        <v>539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>
      <c r="A222" s="8" t="str">
        <f t="shared" si="11"/>
        <v>02461</v>
      </c>
      <c r="B222" s="2">
        <f t="shared" si="10"/>
        <v>116</v>
      </c>
      <c r="C222" s="10" t="str">
        <f t="shared" ca="1" si="9"/>
        <v>0PremiumS5blue</v>
      </c>
      <c r="D222" s="38">
        <v>0</v>
      </c>
      <c r="E222" s="40">
        <v>246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5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blue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マシン</v>
      </c>
      <c r="L222" s="38">
        <v>1</v>
      </c>
      <c r="M222" s="46">
        <f ca="1">VLOOKUP(C222,gacha_115_base!A:B,2,FALSE)</f>
        <v>86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>
      <c r="A223" s="8" t="str">
        <f t="shared" si="11"/>
        <v>02471</v>
      </c>
      <c r="B223" s="2">
        <f t="shared" si="10"/>
        <v>116</v>
      </c>
      <c r="C223" s="10" t="str">
        <f t="shared" ca="1" si="9"/>
        <v>0PremiumS3yellow</v>
      </c>
      <c r="D223" s="6">
        <v>0</v>
      </c>
      <c r="E223" s="19">
        <v>247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ミカエル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3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yellow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マシン</v>
      </c>
      <c r="L223" s="6">
        <v>1</v>
      </c>
      <c r="M223" s="46">
        <f ca="1">VLOOKUP(C223,gacha_115_base!A:B,2,FALSE)</f>
        <v>179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>
      <c r="A224" s="8" t="str">
        <f t="shared" si="11"/>
        <v>02481</v>
      </c>
      <c r="B224" s="2">
        <f t="shared" si="10"/>
        <v>116</v>
      </c>
      <c r="C224" s="10" t="str">
        <f t="shared" ca="1" si="9"/>
        <v>0PremiumS4yellow</v>
      </c>
      <c r="D224" s="6">
        <v>0</v>
      </c>
      <c r="E224" s="19">
        <v>248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彩電の天使 ミカエル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4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yellow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マシン</v>
      </c>
      <c r="L224" s="6">
        <v>1</v>
      </c>
      <c r="M224" s="46">
        <f ca="1">VLOOKUP(C224,gacha_115_base!A:B,2,FALSE)</f>
        <v>63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s="26" customFormat="1" ht="21" customHeight="1" thickBot="1">
      <c r="A225" s="22" t="str">
        <f t="shared" si="11"/>
        <v>02491</v>
      </c>
      <c r="B225" s="2">
        <f t="shared" si="10"/>
        <v>116</v>
      </c>
      <c r="C225" s="10" t="str">
        <f t="shared" ca="1" si="9"/>
        <v>0PremiumS5yellow</v>
      </c>
      <c r="D225" s="6">
        <v>0</v>
      </c>
      <c r="E225" s="19">
        <v>249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5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yellow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マシン</v>
      </c>
      <c r="L225" s="6">
        <v>1</v>
      </c>
      <c r="M225" s="46">
        <f ca="1">VLOOKUP(C225,gacha_115_base!A:B,2,FALSE)</f>
        <v>10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s="26" customFormat="1" ht="21" customHeight="1" thickBot="1">
      <c r="A226" s="22" t="str">
        <f t="shared" si="11"/>
        <v>02501</v>
      </c>
      <c r="B226" s="2">
        <f t="shared" si="10"/>
        <v>116</v>
      </c>
      <c r="C226" s="10" t="str">
        <f t="shared" ca="1" si="9"/>
        <v>0PremiumS3red</v>
      </c>
      <c r="D226" s="6">
        <v>0</v>
      </c>
      <c r="E226" s="7">
        <v>250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マンモン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3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red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46">
        <f ca="1">VLOOKUP(C226,gacha_115_base!A:B,2,FALSE)</f>
        <v>179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11"/>
        <v>02511</v>
      </c>
      <c r="B227" s="2">
        <f t="shared" si="10"/>
        <v>116</v>
      </c>
      <c r="C227" s="10" t="str">
        <f t="shared" ca="1" si="9"/>
        <v>0PremiumS4red</v>
      </c>
      <c r="D227" s="6">
        <v>0</v>
      </c>
      <c r="E227" s="7">
        <v>251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強欲 マンモン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4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red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ゴッド</v>
      </c>
      <c r="L227" s="6">
        <v>1</v>
      </c>
      <c r="M227" s="46">
        <f ca="1">VLOOKUP(C227,gacha_115_base!A:B,2,FALSE)</f>
        <v>63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11"/>
        <v>02521</v>
      </c>
      <c r="B228" s="2">
        <f t="shared" si="10"/>
        <v>116</v>
      </c>
      <c r="C228" s="10" t="str">
        <f t="shared" ca="1" si="9"/>
        <v>0PremiumS5red</v>
      </c>
      <c r="D228" s="6">
        <v>0</v>
      </c>
      <c r="E228" s="7">
        <v>252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強欲の沸騰 マンモン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5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red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ゴッド</v>
      </c>
      <c r="L228" s="6">
        <v>1</v>
      </c>
      <c r="M228" s="46">
        <f ca="1">VLOOKUP(C228,gacha_115_base!A:B,2,FALSE)</f>
        <v>10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11"/>
        <v>02531</v>
      </c>
      <c r="B229" s="2">
        <f t="shared" si="10"/>
        <v>116</v>
      </c>
      <c r="C229" s="10" t="str">
        <f t="shared" ca="1" si="9"/>
        <v>0PremiumS3green</v>
      </c>
      <c r="D229" s="6">
        <v>0</v>
      </c>
      <c r="E229" s="7">
        <v>253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ベルフェゴール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3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green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ゴッド</v>
      </c>
      <c r="L229" s="6">
        <v>1</v>
      </c>
      <c r="M229" s="46">
        <f ca="1">VLOOKUP(C229,gacha_115_base!A:B,2,FALSE)</f>
        <v>179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11"/>
        <v>02541</v>
      </c>
      <c r="B230" s="2">
        <f t="shared" si="10"/>
        <v>116</v>
      </c>
      <c r="C230" s="10" t="str">
        <f t="shared" ca="1" si="9"/>
        <v>0PremiumS4green</v>
      </c>
      <c r="D230" s="6">
        <v>0</v>
      </c>
      <c r="E230" s="7">
        <v>254</v>
      </c>
      <c r="F230" s="10" t="str">
        <f ca="1">VLOOKUP($E230,OFFSET([1]characters!$A$2,0,0,COUNTA([1]characters!$A:$A),MATCH(F$1,[1]characters!$2:$2,0)-MATCH($E$1,[1]characters!$2:$2,0)+1),MATCH(F$1,[1]characters!$2:$2,0)-MATCH($E$1,[1]characters!$2:$2,0)+1,FALSE)</f>
        <v>怠惰 ベルフェゴール</v>
      </c>
      <c r="G230" s="10" t="str">
        <f ca="1">VLOOKUP($E230,OFFSET([1]characters!$A$2,0,0,COUNTA([1]characters!$A:$A),MATCH(G$1,[1]characters!$2:$2,0)-MATCH($E$1,[1]characters!$2:$2,0)+1),MATCH(G$1,[1]characters!$2:$2,0)-MATCH($E$1,[1]characters!$2:$2,0)+1,FALSE)</f>
        <v>PremiumS</v>
      </c>
      <c r="H230" s="1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10" t="str">
        <f ca="1">VLOOKUP($E230,OFFSET([1]characters!$A$2,0,0,COUNTA([1]characters!$A:$A),MATCH(I$1,[1]characters!$2:$2,0)-MATCH($E$1,[1]characters!$2:$2,0)+1),MATCH(I$1,[1]characters!$2:$2,0)-MATCH($E$1,[1]characters!$2:$2,0)+1,FALSE)</f>
        <v>green</v>
      </c>
      <c r="J230" s="10" t="str">
        <f ca="1">VLOOKUP($E230,OFFSET([1]characters!$A$2,0,0,COUNTA([1]characters!$A:$A),MATCH("タイプ",[1]characters!$1:$1,0)-MATCH($E$1,[1]characters!$2:$2,0)+2),MATCH("タイプ",[1]characters!$1:$1,0)-MATCH($E$1,[1]characters!$2:$2,0)+2,FALSE)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0" s="10" t="str">
        <f ca="1">VLOOKUP($E230,OFFSET([1]characters!$A$2,0,0,COUNTA([1]characters!$A:$A),MATCH($K$1,[1]characters!$1:$1,0)-MATCH($E$1,[1]characters!$2:$2,0)+2),MATCH($K$1,[1]characters!$1:$1,0)-MATCH($E$1,[1]characters!$2:$2,0)+2,FALSE)</f>
        <v>ゴッド</v>
      </c>
      <c r="L230" s="6">
        <v>1</v>
      </c>
      <c r="M230" s="46">
        <f ca="1">VLOOKUP(C230,gacha_115_base!A:B,2,FALSE)</f>
        <v>63</v>
      </c>
      <c r="N230" s="28">
        <v>0</v>
      </c>
      <c r="O230" s="28">
        <v>0</v>
      </c>
      <c r="P230" s="28">
        <v>0</v>
      </c>
      <c r="Q230" s="28">
        <v>0</v>
      </c>
      <c r="R230" s="28">
        <v>1</v>
      </c>
    </row>
    <row r="231" spans="1:18" ht="21" customHeight="1" thickBot="1">
      <c r="A231" s="22" t="str">
        <f t="shared" si="11"/>
        <v>02551</v>
      </c>
      <c r="B231" s="2">
        <f t="shared" si="10"/>
        <v>116</v>
      </c>
      <c r="C231" s="10" t="str">
        <f t="shared" ca="1" si="9"/>
        <v>0PremiumS5green</v>
      </c>
      <c r="D231" s="6">
        <v>0</v>
      </c>
      <c r="E231" s="7">
        <v>255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green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ゴッド</v>
      </c>
      <c r="L231" s="6">
        <v>1</v>
      </c>
      <c r="M231" s="46">
        <f ca="1">VLOOKUP(C231,gacha_115_base!A:B,2,FALSE)</f>
        <v>10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11"/>
        <v>02561</v>
      </c>
      <c r="B232" s="2">
        <f t="shared" si="10"/>
        <v>116</v>
      </c>
      <c r="C232" s="10" t="str">
        <f t="shared" ca="1" si="9"/>
        <v>0PremiumS3blue</v>
      </c>
      <c r="D232" s="38">
        <v>0</v>
      </c>
      <c r="E232" s="39">
        <v>256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アスモデウス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3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blue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ゴッド</v>
      </c>
      <c r="L232" s="38">
        <v>1</v>
      </c>
      <c r="M232" s="46">
        <f ca="1">VLOOKUP(C232,gacha_115_base!A:B,2,FALSE)</f>
        <v>1531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11"/>
        <v>02571</v>
      </c>
      <c r="B233" s="2">
        <f t="shared" si="10"/>
        <v>116</v>
      </c>
      <c r="C233" s="10" t="str">
        <f t="shared" ca="1" si="9"/>
        <v>0PremiumS4blue</v>
      </c>
      <c r="D233" s="38">
        <v>0</v>
      </c>
      <c r="E233" s="39">
        <v>257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色欲 アスモデウス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4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blue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ゴッド</v>
      </c>
      <c r="L233" s="38">
        <v>1</v>
      </c>
      <c r="M233" s="46">
        <f ca="1">VLOOKUP(C233,gacha_115_base!A:B,2,FALSE)</f>
        <v>539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11"/>
        <v>02581</v>
      </c>
      <c r="B234" s="2">
        <f t="shared" si="10"/>
        <v>116</v>
      </c>
      <c r="C234" s="10" t="str">
        <f t="shared" ca="1" si="9"/>
        <v>0PremiumS5blue</v>
      </c>
      <c r="D234" s="38">
        <v>0</v>
      </c>
      <c r="E234" s="39">
        <v>258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5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ゴッド</v>
      </c>
      <c r="L234" s="38">
        <v>1</v>
      </c>
      <c r="M234" s="46">
        <f ca="1">VLOOKUP(C234,gacha_115_base!A:B,2,FALSE)</f>
        <v>86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11"/>
        <v>02591</v>
      </c>
      <c r="B235" s="2">
        <f t="shared" si="10"/>
        <v>116</v>
      </c>
      <c r="C235" s="10" t="str">
        <f t="shared" ca="1" si="9"/>
        <v>0PremiumS3yellow</v>
      </c>
      <c r="D235" s="6">
        <v>0</v>
      </c>
      <c r="E235" s="7">
        <v>259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ウロボロス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3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yellow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ドラゴン</v>
      </c>
      <c r="L235" s="6">
        <v>1</v>
      </c>
      <c r="M235" s="46">
        <f ca="1">VLOOKUP(C235,gacha_115_base!A:B,2,FALSE)</f>
        <v>179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11"/>
        <v>02601</v>
      </c>
      <c r="B236" s="2">
        <f t="shared" si="10"/>
        <v>116</v>
      </c>
      <c r="C236" s="10" t="str">
        <f t="shared" ca="1" si="9"/>
        <v>0PremiumS4yellow</v>
      </c>
      <c r="D236" s="6">
        <v>0</v>
      </c>
      <c r="E236" s="7">
        <v>260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輪廻 ウロボロス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ドラゴン</v>
      </c>
      <c r="L236" s="6">
        <v>1</v>
      </c>
      <c r="M236" s="46">
        <f ca="1">VLOOKUP(C236,gacha_115_base!A:B,2,FALSE)</f>
        <v>63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11"/>
        <v>02611</v>
      </c>
      <c r="B237" s="2">
        <f t="shared" si="10"/>
        <v>116</v>
      </c>
      <c r="C237" s="10" t="str">
        <f t="shared" ca="1" si="9"/>
        <v>0PremiumS5yellow</v>
      </c>
      <c r="D237" s="6">
        <v>0</v>
      </c>
      <c r="E237" s="7">
        <v>261</v>
      </c>
      <c r="F237" s="10" t="str">
        <f ca="1">VLOOKUP($E237,OFFSET([1]characters!$A$2,0,0,COUNTA([1]characters!$A:$A),MATCH(F$1,[1]characters!$2:$2,0)-MATCH($E$1,[1]characters!$2:$2,0)+1),MATCH(F$1,[1]characters!$2:$2,0)-MATCH($E$1,[1]characters!$2:$2,0)+1,FALSE)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37" s="10" t="str">
        <f ca="1">VLOOKUP($E237,OFFSET([1]characters!$A$2,0,0,COUNTA([1]characters!$A:$A),MATCH(G$1,[1]characters!$2:$2,0)-MATCH($E$1,[1]characters!$2:$2,0)+1),MATCH(G$1,[1]characters!$2:$2,0)-MATCH($E$1,[1]characters!$2:$2,0)+1,FALSE)</f>
        <v>PremiumS</v>
      </c>
      <c r="H237" s="10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10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10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7" s="10" t="str">
        <f ca="1">VLOOKUP($E237,OFFSET([1]characters!$A$2,0,0,COUNTA([1]characters!$A:$A),MATCH($K$1,[1]characters!$1:$1,0)-MATCH($E$1,[1]characters!$2:$2,0)+2),MATCH($K$1,[1]characters!$1:$1,0)-MATCH($E$1,[1]characters!$2:$2,0)+2,FALSE)</f>
        <v>ドラゴン</v>
      </c>
      <c r="L237" s="6">
        <v>1</v>
      </c>
      <c r="M237" s="46">
        <f ca="1">VLOOKUP(C237,gacha_115_base!A:B,2,FALSE)</f>
        <v>10</v>
      </c>
      <c r="N237" s="28">
        <v>0</v>
      </c>
      <c r="O237" s="28">
        <v>0</v>
      </c>
      <c r="P237" s="28">
        <v>0</v>
      </c>
      <c r="Q237" s="28">
        <v>0</v>
      </c>
      <c r="R237" s="28">
        <v>1</v>
      </c>
    </row>
    <row r="238" spans="1:18" ht="21" customHeight="1" thickBot="1">
      <c r="A238" s="22" t="str">
        <f t="shared" si="11"/>
        <v>03201</v>
      </c>
      <c r="B238" s="2">
        <f t="shared" si="10"/>
        <v>116</v>
      </c>
      <c r="C238" s="10" t="str">
        <f t="shared" ca="1" si="9"/>
        <v>0PremiumSS4red</v>
      </c>
      <c r="D238" s="21">
        <v>0</v>
      </c>
      <c r="E238" s="27">
        <v>320</v>
      </c>
      <c r="F238" s="20" t="str">
        <f ca="1">VLOOKUP($E238,OFFSET([1]characters!$A$2,0,0,COUNTA([1]characters!$A:$A),MATCH(F$1,[1]characters!$2:$2,0)-MATCH($E$1,[1]characters!$2:$2,0)+1),MATCH(F$1,[1]characters!$2:$2,0)-MATCH($E$1,[1]characters!$2:$2,0)+1,FALSE)</f>
        <v>烈志士 近藤勇</v>
      </c>
      <c r="G238" s="20" t="str">
        <f ca="1">VLOOKUP($E238,OFFSET([1]characters!$A$2,0,0,COUNTA([1]characters!$A:$A),MATCH(G$1,[1]characters!$2:$2,0)-MATCH($E$1,[1]characters!$2:$2,0)+1),MATCH(G$1,[1]characters!$2:$2,0)-MATCH($E$1,[1]characters!$2:$2,0)+1,FALSE)</f>
        <v>PremiumSS</v>
      </c>
      <c r="H238" s="20">
        <f ca="1">VLOOKUP($E238,OFFSET([1]characters!$A$2,0,0,COUNTA([1]characters!$A:$A),MATCH(H$1,[1]characters!$2:$2,0)-MATCH($E$1,[1]characters!$2:$2,0)+1),MATCH(H$1,[1]characters!$2:$2,0)-MATCH($E$1,[1]characters!$2:$2,0)+1,FALSE)</f>
        <v>4</v>
      </c>
      <c r="I238" s="20" t="str">
        <f ca="1">VLOOKUP($E238,OFFSET([1]characters!$A$2,0,0,COUNTA([1]characters!$A:$A),MATCH(I$1,[1]characters!$2:$2,0)-MATCH($E$1,[1]characters!$2:$2,0)+1),MATCH(I$1,[1]characters!$2:$2,0)-MATCH($E$1,[1]characters!$2:$2,0)+1,FALSE)</f>
        <v>red</v>
      </c>
      <c r="J238" s="20" t="str">
        <f ca="1">VLOOKUP($E238,OFFSET([1]characters!$A$2,0,0,COUNTA([1]characters!$A:$A),MATCH("タイプ",[1]characters!$1:$1,0)-MATCH($E$1,[1]characters!$2:$2,0)+2),MATCH("タイプ",[1]characters!$1:$1,0)-MATCH($E$1,[1]characters!$2:$2,0)+2,FALSE)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8" s="20" t="str">
        <f ca="1">VLOOKUP($E238,OFFSET([1]characters!$A$2,0,0,COUNTA([1]characters!$A:$A),MATCH($K$1,[1]characters!$1:$1,0)-MATCH($E$1,[1]characters!$2:$2,0)+2),MATCH($K$1,[1]characters!$1:$1,0)-MATCH($E$1,[1]characters!$2:$2,0)+2,FALSE)</f>
        <v>ヒューマン</v>
      </c>
      <c r="L238" s="21">
        <v>1</v>
      </c>
      <c r="M238" s="46">
        <f ca="1">VLOOKUP(C238,gacha_115_base!A:B,2,FALSE)</f>
        <v>162</v>
      </c>
      <c r="N238" s="18">
        <v>0</v>
      </c>
      <c r="O238" s="18">
        <v>0</v>
      </c>
      <c r="P238" s="18">
        <v>0</v>
      </c>
      <c r="Q238" s="18">
        <v>0</v>
      </c>
      <c r="R238" s="18">
        <v>1</v>
      </c>
    </row>
    <row r="239" spans="1:18" ht="21" customHeight="1" thickBot="1">
      <c r="A239" s="22" t="str">
        <f t="shared" si="11"/>
        <v>03211</v>
      </c>
      <c r="B239" s="2">
        <f t="shared" si="10"/>
        <v>116</v>
      </c>
      <c r="C239" s="10" t="str">
        <f t="shared" ca="1" si="9"/>
        <v>0PremiumSS5red</v>
      </c>
      <c r="D239" s="21">
        <v>0</v>
      </c>
      <c r="E239" s="7">
        <v>321</v>
      </c>
      <c r="F239" s="10" t="str">
        <f ca="1">VLOOKUP($E239,OFFSET([1]characters!$A$2,0,0,COUNTA([1]characters!$A:$A),MATCH(F$1,[1]characters!$2:$2,0)-MATCH($E$1,[1]characters!$2:$2,0)+1),MATCH(F$1,[1]characters!$2:$2,0)-MATCH($E$1,[1]characters!$2:$2,0)+1,FALSE)</f>
        <v>巌鉄の烈志士 近藤勇</v>
      </c>
      <c r="G239" s="10" t="str">
        <f ca="1">VLOOKUP($E239,OFFSET([1]characters!$A$2,0,0,COUNTA([1]characters!$A:$A),MATCH(G$1,[1]characters!$2:$2,0)-MATCH($E$1,[1]characters!$2:$2,0)+1),MATCH(G$1,[1]characters!$2:$2,0)-MATCH($E$1,[1]characters!$2:$2,0)+1,FALSE)</f>
        <v>PremiumSS</v>
      </c>
      <c r="H239" s="10">
        <f ca="1">VLOOKUP($E239,OFFSET([1]characters!$A$2,0,0,COUNTA([1]characters!$A:$A),MATCH(H$1,[1]characters!$2:$2,0)-MATCH($E$1,[1]characters!$2:$2,0)+1),MATCH(H$1,[1]characters!$2:$2,0)-MATCH($E$1,[1]characters!$2:$2,0)+1,FALSE)</f>
        <v>5</v>
      </c>
      <c r="I239" s="10" t="str">
        <f ca="1">VLOOKUP($E239,OFFSET([1]characters!$A$2,0,0,COUNTA([1]characters!$A:$A),MATCH(I$1,[1]characters!$2:$2,0)-MATCH($E$1,[1]characters!$2:$2,0)+1),MATCH(I$1,[1]characters!$2:$2,0)-MATCH($E$1,[1]characters!$2:$2,0)+1,FALSE)</f>
        <v>red</v>
      </c>
      <c r="J239" s="10" t="str">
        <f ca="1">VLOOKUP($E239,OFFSET([1]characters!$A$2,0,0,COUNTA([1]characters!$A:$A),MATCH("タイプ",[1]characters!$1:$1,0)-MATCH($E$1,[1]characters!$2:$2,0)+2),MATCH("タイプ",[1]characters!$1:$1,0)-MATCH($E$1,[1]characters!$2:$2,0)+2,FALSE)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9" s="10" t="str">
        <f ca="1">VLOOKUP($E239,OFFSET([1]characters!$A$2,0,0,COUNTA([1]characters!$A:$A),MATCH($K$1,[1]characters!$1:$1,0)-MATCH($E$1,[1]characters!$2:$2,0)+2),MATCH($K$1,[1]characters!$1:$1,0)-MATCH($E$1,[1]characters!$2:$2,0)+2,FALSE)</f>
        <v>ヒューマン</v>
      </c>
      <c r="L239" s="6">
        <v>1</v>
      </c>
      <c r="M239" s="46">
        <f ca="1">VLOOKUP(C239,gacha_115_base!A:B,2,FALSE)</f>
        <v>31</v>
      </c>
      <c r="N239" s="28">
        <v>0</v>
      </c>
      <c r="O239" s="28">
        <v>0</v>
      </c>
      <c r="P239" s="28">
        <v>0</v>
      </c>
      <c r="Q239" s="28">
        <v>0</v>
      </c>
      <c r="R239" s="28">
        <v>1</v>
      </c>
    </row>
    <row r="240" spans="1:18" ht="21" customHeight="1" thickBot="1">
      <c r="A240" s="22" t="str">
        <f t="shared" si="11"/>
        <v>03221</v>
      </c>
      <c r="B240" s="2">
        <f t="shared" si="10"/>
        <v>116</v>
      </c>
      <c r="C240" s="10" t="str">
        <f t="shared" ca="1" si="9"/>
        <v>0PremiumSS4green</v>
      </c>
      <c r="D240" s="21">
        <v>0</v>
      </c>
      <c r="E240" s="7">
        <v>322</v>
      </c>
      <c r="F240" s="10" t="str">
        <f ca="1">VLOOKUP($E240,OFFSET([1]characters!$A$2,0,0,COUNTA([1]characters!$A:$A),MATCH(F$1,[1]characters!$2:$2,0)-MATCH($E$1,[1]characters!$2:$2,0)+1),MATCH(F$1,[1]characters!$2:$2,0)-MATCH($E$1,[1]characters!$2:$2,0)+1,FALSE)</f>
        <v>愛志士 土方歳三</v>
      </c>
      <c r="G240" s="10" t="str">
        <f ca="1">VLOOKUP($E240,OFFSET([1]characters!$A$2,0,0,COUNTA([1]characters!$A:$A),MATCH(G$1,[1]characters!$2:$2,0)-MATCH($E$1,[1]characters!$2:$2,0)+1),MATCH(G$1,[1]characters!$2:$2,0)-MATCH($E$1,[1]characters!$2:$2,0)+1,FALSE)</f>
        <v>PremiumSS</v>
      </c>
      <c r="H240" s="10">
        <f ca="1">VLOOKUP($E240,OFFSET([1]characters!$A$2,0,0,COUNTA([1]characters!$A:$A),MATCH(H$1,[1]characters!$2:$2,0)-MATCH($E$1,[1]characters!$2:$2,0)+1),MATCH(H$1,[1]characters!$2:$2,0)-MATCH($E$1,[1]characters!$2:$2,0)+1,FALSE)</f>
        <v>4</v>
      </c>
      <c r="I240" s="10" t="str">
        <f ca="1">VLOOKUP($E240,OFFSET([1]characters!$A$2,0,0,COUNTA([1]characters!$A:$A),MATCH(I$1,[1]characters!$2:$2,0)-MATCH($E$1,[1]characters!$2:$2,0)+1),MATCH(I$1,[1]characters!$2:$2,0)-MATCH($E$1,[1]characters!$2:$2,0)+1,FALSE)</f>
        <v>green</v>
      </c>
      <c r="J240" s="10" t="str">
        <f ca="1">VLOOKUP($E240,OFFSET([1]characters!$A$2,0,0,COUNTA([1]characters!$A:$A),MATCH("タイプ",[1]characters!$1:$1,0)-MATCH($E$1,[1]characters!$2:$2,0)+2),MATCH("タイプ",[1]characters!$1:$1,0)-MATCH($E$1,[1]characters!$2:$2,0)+2,FALSE)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0" s="10" t="str">
        <f ca="1">VLOOKUP($E240,OFFSET([1]characters!$A$2,0,0,COUNTA([1]characters!$A:$A),MATCH($K$1,[1]characters!$1:$1,0)-MATCH($E$1,[1]characters!$2:$2,0)+2),MATCH($K$1,[1]characters!$1:$1,0)-MATCH($E$1,[1]characters!$2:$2,0)+2,FALSE)</f>
        <v>ヒューマン</v>
      </c>
      <c r="L240" s="6">
        <v>1</v>
      </c>
      <c r="M240" s="46">
        <f ca="1">VLOOKUP(C240,gacha_115_base!A:B,2,FALSE)</f>
        <v>162</v>
      </c>
      <c r="N240" s="28">
        <v>0</v>
      </c>
      <c r="O240" s="28">
        <v>0</v>
      </c>
      <c r="P240" s="28">
        <v>0</v>
      </c>
      <c r="Q240" s="28">
        <v>0</v>
      </c>
      <c r="R240" s="28">
        <v>1</v>
      </c>
    </row>
    <row r="241" spans="1:18" ht="21" customHeight="1" thickBot="1">
      <c r="A241" s="22" t="str">
        <f t="shared" si="11"/>
        <v>03231</v>
      </c>
      <c r="B241" s="2">
        <f t="shared" si="10"/>
        <v>116</v>
      </c>
      <c r="C241" s="10" t="str">
        <f t="shared" ca="1" si="9"/>
        <v>0PremiumSS5green</v>
      </c>
      <c r="D241" s="21">
        <v>0</v>
      </c>
      <c r="E241" s="7">
        <v>323</v>
      </c>
      <c r="F241" s="10" t="str">
        <f ca="1">VLOOKUP($E241,OFFSET([1]characters!$A$2,0,0,COUNTA([1]characters!$A:$A),MATCH(F$1,[1]characters!$2:$2,0)-MATCH($E$1,[1]characters!$2:$2,0)+1),MATCH(F$1,[1]characters!$2:$2,0)-MATCH($E$1,[1]characters!$2:$2,0)+1,FALSE)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41" s="10" t="str">
        <f ca="1">VLOOKUP($E241,OFFSET([1]characters!$A$2,0,0,COUNTA([1]characters!$A:$A),MATCH(G$1,[1]characters!$2:$2,0)-MATCH($E$1,[1]characters!$2:$2,0)+1),MATCH(G$1,[1]characters!$2:$2,0)-MATCH($E$1,[1]characters!$2:$2,0)+1,FALSE)</f>
        <v>PremiumSS</v>
      </c>
      <c r="H241" s="10">
        <f ca="1">VLOOKUP($E241,OFFSET([1]characters!$A$2,0,0,COUNTA([1]characters!$A:$A),MATCH(H$1,[1]characters!$2:$2,0)-MATCH($E$1,[1]characters!$2:$2,0)+1),MATCH(H$1,[1]characters!$2:$2,0)-MATCH($E$1,[1]characters!$2:$2,0)+1,FALSE)</f>
        <v>5</v>
      </c>
      <c r="I241" s="10" t="str">
        <f ca="1">VLOOKUP($E241,OFFSET([1]characters!$A$2,0,0,COUNTA([1]characters!$A:$A),MATCH(I$1,[1]characters!$2:$2,0)-MATCH($E$1,[1]characters!$2:$2,0)+1),MATCH(I$1,[1]characters!$2:$2,0)-MATCH($E$1,[1]characters!$2:$2,0)+1,FALSE)</f>
        <v>green</v>
      </c>
      <c r="J241" s="10" t="str">
        <f ca="1">VLOOKUP($E241,OFFSET([1]characters!$A$2,0,0,COUNTA([1]characters!$A:$A),MATCH("タイプ",[1]characters!$1:$1,0)-MATCH($E$1,[1]characters!$2:$2,0)+2),MATCH("タイプ",[1]characters!$1:$1,0)-MATCH($E$1,[1]characters!$2:$2,0)+2,FALSE)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1" s="10" t="str">
        <f ca="1">VLOOKUP($E241,OFFSET([1]characters!$A$2,0,0,COUNTA([1]characters!$A:$A),MATCH($K$1,[1]characters!$1:$1,0)-MATCH($E$1,[1]characters!$2:$2,0)+2),MATCH($K$1,[1]characters!$1:$1,0)-MATCH($E$1,[1]characters!$2:$2,0)+2,FALSE)</f>
        <v>ヒューマン</v>
      </c>
      <c r="L241" s="6">
        <v>1</v>
      </c>
      <c r="M241" s="46">
        <f ca="1">VLOOKUP(C241,gacha_115_base!A:B,2,FALSE)</f>
        <v>31</v>
      </c>
      <c r="N241" s="28">
        <v>0</v>
      </c>
      <c r="O241" s="28">
        <v>0</v>
      </c>
      <c r="P241" s="28">
        <v>0</v>
      </c>
      <c r="Q241" s="28">
        <v>0</v>
      </c>
      <c r="R241" s="28">
        <v>1</v>
      </c>
    </row>
    <row r="242" spans="1:18" ht="21" customHeight="1" thickBot="1">
      <c r="A242" s="22" t="str">
        <f t="shared" si="11"/>
        <v>03241</v>
      </c>
      <c r="B242" s="2">
        <f t="shared" si="10"/>
        <v>116</v>
      </c>
      <c r="C242" s="10" t="str">
        <f t="shared" ca="1" si="9"/>
        <v>0PremiumSS4blue</v>
      </c>
      <c r="D242" s="44">
        <v>0</v>
      </c>
      <c r="E242" s="39">
        <v>324</v>
      </c>
      <c r="F242" s="10" t="str">
        <f ca="1">VLOOKUP($E242,OFFSET([1]characters!$A$2,0,0,COUNTA([1]characters!$A:$A),MATCH(F$1,[1]characters!$2:$2,0)-MATCH($E$1,[1]characters!$2:$2,0)+1),MATCH(F$1,[1]characters!$2:$2,0)-MATCH($E$1,[1]characters!$2:$2,0)+1,FALSE)</f>
        <v>凛志士 沖田総司</v>
      </c>
      <c r="G242" s="10" t="str">
        <f ca="1">VLOOKUP($E242,OFFSET([1]characters!$A$2,0,0,COUNTA([1]characters!$A:$A),MATCH(G$1,[1]characters!$2:$2,0)-MATCH($E$1,[1]characters!$2:$2,0)+1),MATCH(G$1,[1]characters!$2:$2,0)-MATCH($E$1,[1]characters!$2:$2,0)+1,FALSE)</f>
        <v>PremiumSS</v>
      </c>
      <c r="H242" s="10">
        <f ca="1">VLOOKUP($E242,OFFSET([1]characters!$A$2,0,0,COUNTA([1]characters!$A:$A),MATCH(H$1,[1]characters!$2:$2,0)-MATCH($E$1,[1]characters!$2:$2,0)+1),MATCH(H$1,[1]characters!$2:$2,0)-MATCH($E$1,[1]characters!$2:$2,0)+1,FALSE)</f>
        <v>4</v>
      </c>
      <c r="I242" s="10" t="str">
        <f ca="1">VLOOKUP($E242,OFFSET([1]characters!$A$2,0,0,COUNTA([1]characters!$A:$A),MATCH(I$1,[1]characters!$2:$2,0)-MATCH($E$1,[1]characters!$2:$2,0)+1),MATCH(I$1,[1]characters!$2:$2,0)-MATCH($E$1,[1]characters!$2:$2,0)+1,FALSE)</f>
        <v>blue</v>
      </c>
      <c r="J242" s="10" t="str">
        <f ca="1">VLOOKUP($E242,OFFSET([1]characters!$A$2,0,0,COUNTA([1]characters!$A:$A),MATCH("タイプ",[1]characters!$1:$1,0)-MATCH($E$1,[1]characters!$2:$2,0)+2),MATCH("タイプ",[1]characters!$1:$1,0)-MATCH($E$1,[1]characters!$2:$2,0)+2,FALSE)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2" s="10" t="str">
        <f ca="1">VLOOKUP($E242,OFFSET([1]characters!$A$2,0,0,COUNTA([1]characters!$A:$A),MATCH($K$1,[1]characters!$1:$1,0)-MATCH($E$1,[1]characters!$2:$2,0)+2),MATCH($K$1,[1]characters!$1:$1,0)-MATCH($E$1,[1]characters!$2:$2,0)+2,FALSE)</f>
        <v>ヒューマン</v>
      </c>
      <c r="L242" s="38">
        <v>1</v>
      </c>
      <c r="M242" s="46">
        <f ca="1">VLOOKUP(C242,gacha_115_base!A:B,2,FALSE)</f>
        <v>662</v>
      </c>
      <c r="N242" s="28">
        <v>0</v>
      </c>
      <c r="O242" s="28">
        <v>0</v>
      </c>
      <c r="P242" s="28">
        <v>0</v>
      </c>
      <c r="Q242" s="28">
        <v>0</v>
      </c>
      <c r="R242" s="28">
        <v>1</v>
      </c>
    </row>
    <row r="243" spans="1:18" ht="21" customHeight="1" thickBot="1">
      <c r="A243" s="22" t="str">
        <f t="shared" si="11"/>
        <v>03251</v>
      </c>
      <c r="B243" s="2">
        <f t="shared" si="10"/>
        <v>116</v>
      </c>
      <c r="C243" s="10" t="str">
        <f t="shared" ca="1" si="9"/>
        <v>0PremiumSS5blue</v>
      </c>
      <c r="D243" s="44">
        <v>0</v>
      </c>
      <c r="E243" s="39">
        <v>325</v>
      </c>
      <c r="F243" s="10" t="str">
        <f ca="1">VLOOKUP($E243,OFFSET([1]characters!$A$2,0,0,COUNTA([1]characters!$A:$A),MATCH(F$1,[1]characters!$2:$2,0)-MATCH($E$1,[1]characters!$2:$2,0)+1),MATCH(F$1,[1]characters!$2:$2,0)-MATCH($E$1,[1]characters!$2:$2,0)+1,FALSE)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43" s="10" t="str">
        <f ca="1">VLOOKUP($E243,OFFSET([1]characters!$A$2,0,0,COUNTA([1]characters!$A:$A),MATCH(G$1,[1]characters!$2:$2,0)-MATCH($E$1,[1]characters!$2:$2,0)+1),MATCH(G$1,[1]characters!$2:$2,0)-MATCH($E$1,[1]characters!$2:$2,0)+1,FALSE)</f>
        <v>PremiumSS</v>
      </c>
      <c r="H243" s="10">
        <f ca="1">VLOOKUP($E243,OFFSET([1]characters!$A$2,0,0,COUNTA([1]characters!$A:$A),MATCH(H$1,[1]characters!$2:$2,0)-MATCH($E$1,[1]characters!$2:$2,0)+1),MATCH(H$1,[1]characters!$2:$2,0)-MATCH($E$1,[1]characters!$2:$2,0)+1,FALSE)</f>
        <v>5</v>
      </c>
      <c r="I243" s="10" t="str">
        <f ca="1">VLOOKUP($E243,OFFSET([1]characters!$A$2,0,0,COUNTA([1]characters!$A:$A),MATCH(I$1,[1]characters!$2:$2,0)-MATCH($E$1,[1]characters!$2:$2,0)+1),MATCH(I$1,[1]characters!$2:$2,0)-MATCH($E$1,[1]characters!$2:$2,0)+1,FALSE)</f>
        <v>blue</v>
      </c>
      <c r="J243" s="10" t="str">
        <f ca="1">VLOOKUP($E243,OFFSET([1]characters!$A$2,0,0,COUNTA([1]characters!$A:$A),MATCH("タイプ",[1]characters!$1:$1,0)-MATCH($E$1,[1]characters!$2:$2,0)+2),MATCH("タイプ",[1]characters!$1:$1,0)-MATCH($E$1,[1]characters!$2:$2,0)+2,FALSE)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3" s="10" t="str">
        <f ca="1">VLOOKUP($E243,OFFSET([1]characters!$A$2,0,0,COUNTA([1]characters!$A:$A),MATCH($K$1,[1]characters!$1:$1,0)-MATCH($E$1,[1]characters!$2:$2,0)+2),MATCH($K$1,[1]characters!$1:$1,0)-MATCH($E$1,[1]characters!$2:$2,0)+2,FALSE)</f>
        <v>ヒューマン</v>
      </c>
      <c r="L243" s="38">
        <v>1</v>
      </c>
      <c r="M243" s="46">
        <f ca="1">VLOOKUP(C243,gacha_115_base!A:B,2,FALSE)</f>
        <v>108</v>
      </c>
      <c r="N243" s="28">
        <v>0</v>
      </c>
      <c r="O243" s="28">
        <v>0</v>
      </c>
      <c r="P243" s="28">
        <v>0</v>
      </c>
      <c r="Q243" s="28">
        <v>0</v>
      </c>
      <c r="R243" s="28">
        <v>1</v>
      </c>
    </row>
    <row r="244" spans="1:18" ht="21" customHeight="1" thickBot="1">
      <c r="A244" s="22" t="str">
        <f t="shared" si="11"/>
        <v>03261</v>
      </c>
      <c r="B244" s="2">
        <f t="shared" si="10"/>
        <v>116</v>
      </c>
      <c r="C244" s="10" t="str">
        <f t="shared" ca="1" si="9"/>
        <v>0PremiumSS4yellow</v>
      </c>
      <c r="D244" s="21">
        <v>0</v>
      </c>
      <c r="E244" s="32">
        <v>326</v>
      </c>
      <c r="F244" s="33" t="str">
        <f ca="1">VLOOKUP($E244,OFFSET([1]characters!$A$2,0,0,COUNTA([1]characters!$A:$A),MATCH(F$1,[1]characters!$2:$2,0)-MATCH($E$1,[1]characters!$2:$2,0)+1),MATCH(F$1,[1]characters!$2:$2,0)-MATCH($E$1,[1]characters!$2:$2,0)+1,FALSE)</f>
        <v>妖志士 斎藤一</v>
      </c>
      <c r="G244" s="33" t="str">
        <f ca="1">VLOOKUP($E244,OFFSET([1]characters!$A$2,0,0,COUNTA([1]characters!$A:$A),MATCH(G$1,[1]characters!$2:$2,0)-MATCH($E$1,[1]characters!$2:$2,0)+1),MATCH(G$1,[1]characters!$2:$2,0)-MATCH($E$1,[1]characters!$2:$2,0)+1,FALSE)</f>
        <v>PremiumSS</v>
      </c>
      <c r="H244" s="33">
        <f ca="1">VLOOKUP($E244,OFFSET([1]characters!$A$2,0,0,COUNTA([1]characters!$A:$A),MATCH(H$1,[1]characters!$2:$2,0)-MATCH($E$1,[1]characters!$2:$2,0)+1),MATCH(H$1,[1]characters!$2:$2,0)-MATCH($E$1,[1]characters!$2:$2,0)+1,FALSE)</f>
        <v>4</v>
      </c>
      <c r="I244" s="33" t="str">
        <f ca="1">VLOOKUP($E244,OFFSET([1]characters!$A$2,0,0,COUNTA([1]characters!$A:$A),MATCH(I$1,[1]characters!$2:$2,0)-MATCH($E$1,[1]characters!$2:$2,0)+1),MATCH(I$1,[1]characters!$2:$2,0)-MATCH($E$1,[1]characters!$2:$2,0)+1,FALSE)</f>
        <v>yellow</v>
      </c>
      <c r="J244" s="33" t="str">
        <f ca="1">VLOOKUP($E244,OFFSET([1]characters!$A$2,0,0,COUNTA([1]characters!$A:$A),MATCH("タイプ",[1]characters!$1:$1,0)-MATCH($E$1,[1]characters!$2:$2,0)+2),MATCH("タイプ",[1]characters!$1:$1,0)-MATCH($E$1,[1]characters!$2:$2,0)+2,FALSE)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4" s="33" t="str">
        <f ca="1">VLOOKUP($E244,OFFSET([1]characters!$A$2,0,0,COUNTA([1]characters!$A:$A),MATCH($K$1,[1]characters!$1:$1,0)-MATCH($E$1,[1]characters!$2:$2,0)+2),MATCH($K$1,[1]characters!$1:$1,0)-MATCH($E$1,[1]characters!$2:$2,0)+2,FALSE)</f>
        <v>ヒューマン</v>
      </c>
      <c r="L244" s="31">
        <v>1</v>
      </c>
      <c r="M244" s="46">
        <f ca="1">VLOOKUP(C244,gacha_115_base!A:B,2,FALSE)</f>
        <v>162</v>
      </c>
      <c r="N244" s="34">
        <v>0</v>
      </c>
      <c r="O244" s="34">
        <v>0</v>
      </c>
      <c r="P244" s="34">
        <v>0</v>
      </c>
      <c r="Q244" s="34">
        <v>0</v>
      </c>
      <c r="R244" s="34">
        <v>1</v>
      </c>
    </row>
    <row r="245" spans="1:18" ht="21" customHeight="1" thickBot="1">
      <c r="A245" s="22" t="str">
        <f t="shared" si="11"/>
        <v>03271</v>
      </c>
      <c r="B245" s="2">
        <f t="shared" si="10"/>
        <v>116</v>
      </c>
      <c r="C245" s="10" t="str">
        <f t="shared" ca="1" si="9"/>
        <v>0PremiumSS5yellow</v>
      </c>
      <c r="D245" s="37">
        <v>0</v>
      </c>
      <c r="E245" s="7">
        <v>327</v>
      </c>
      <c r="F245" s="10" t="str">
        <f ca="1">VLOOKUP($E245,OFFSET([1]characters!$A$2,0,0,COUNTA([1]characters!$A:$A),MATCH(F$1,[1]characters!$2:$2,0)-MATCH($E$1,[1]characters!$2:$2,0)+1),MATCH(F$1,[1]characters!$2:$2,0)-MATCH($E$1,[1]characters!$2:$2,0)+1,FALSE)</f>
        <v>千殺の妖志士 斎藤一</v>
      </c>
      <c r="G245" s="10" t="str">
        <f ca="1">VLOOKUP($E245,OFFSET([1]characters!$A$2,0,0,COUNTA([1]characters!$A:$A),MATCH(G$1,[1]characters!$2:$2,0)-MATCH($E$1,[1]characters!$2:$2,0)+1),MATCH(G$1,[1]characters!$2:$2,0)-MATCH($E$1,[1]characters!$2:$2,0)+1,FALSE)</f>
        <v>PremiumSS</v>
      </c>
      <c r="H245" s="10">
        <f ca="1">VLOOKUP($E245,OFFSET([1]characters!$A$2,0,0,COUNTA([1]characters!$A:$A),MATCH(H$1,[1]characters!$2:$2,0)-MATCH($E$1,[1]characters!$2:$2,0)+1),MATCH(H$1,[1]characters!$2:$2,0)-MATCH($E$1,[1]characters!$2:$2,0)+1,FALSE)</f>
        <v>5</v>
      </c>
      <c r="I245" s="10" t="str">
        <f ca="1">VLOOKUP($E245,OFFSET([1]characters!$A$2,0,0,COUNTA([1]characters!$A:$A),MATCH(I$1,[1]characters!$2:$2,0)-MATCH($E$1,[1]characters!$2:$2,0)+1),MATCH(I$1,[1]characters!$2:$2,0)-MATCH($E$1,[1]characters!$2:$2,0)+1,FALSE)</f>
        <v>yellow</v>
      </c>
      <c r="J245" s="10" t="str">
        <f ca="1">VLOOKUP($E245,OFFSET([1]characters!$A$2,0,0,COUNTA([1]characters!$A:$A),MATCH("タイプ",[1]characters!$1:$1,0)-MATCH($E$1,[1]characters!$2:$2,0)+2),MATCH("タイプ",[1]characters!$1:$1,0)-MATCH($E$1,[1]characters!$2:$2,0)+2,FALSE)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5" s="10" t="str">
        <f ca="1">VLOOKUP($E245,OFFSET([1]characters!$A$2,0,0,COUNTA([1]characters!$A:$A),MATCH($K$1,[1]characters!$1:$1,0)-MATCH($E$1,[1]characters!$2:$2,0)+2),MATCH($K$1,[1]characters!$1:$1,0)-MATCH($E$1,[1]characters!$2:$2,0)+2,FALSE)</f>
        <v>ヒューマン</v>
      </c>
      <c r="L245" s="6">
        <v>1</v>
      </c>
      <c r="M245" s="46">
        <f ca="1">VLOOKUP(C245,gacha_115_base!A:B,2,FALSE)</f>
        <v>31</v>
      </c>
      <c r="N245" s="28">
        <v>0</v>
      </c>
      <c r="O245" s="28">
        <v>0</v>
      </c>
      <c r="P245" s="28">
        <v>0</v>
      </c>
      <c r="Q245" s="28">
        <v>0</v>
      </c>
      <c r="R245" s="28">
        <v>1</v>
      </c>
    </row>
    <row r="246" spans="1:18" ht="21" customHeight="1" thickBot="1">
      <c r="A246" s="22" t="str">
        <f t="shared" si="11"/>
        <v>03801</v>
      </c>
      <c r="B246" s="2">
        <f t="shared" si="10"/>
        <v>116</v>
      </c>
      <c r="C246" s="10" t="str">
        <f t="shared" ca="1" si="9"/>
        <v>0PremiumS3red</v>
      </c>
      <c r="D246" s="37">
        <v>0</v>
      </c>
      <c r="E246" s="27">
        <v>380</v>
      </c>
      <c r="F246" s="20" t="str">
        <f ca="1">VLOOKUP($E246,OFFSET([1]characters!$A$2,0,0,COUNTA([1]characters!$A:$A),MATCH(F$1,[1]characters!$2:$2,0)-MATCH($E$1,[1]characters!$2:$2,0)+1),MATCH(F$1,[1]characters!$2:$2,0)-MATCH($E$1,[1]characters!$2:$2,0)+1,FALSE)</f>
        <v>バハムート</v>
      </c>
      <c r="G246" s="20" t="str">
        <f ca="1">VLOOKUP($E246,OFFSET([1]characters!$A$2,0,0,COUNTA([1]characters!$A:$A),MATCH(G$1,[1]characters!$2:$2,0)-MATCH($E$1,[1]characters!$2:$2,0)+1),MATCH(G$1,[1]characters!$2:$2,0)-MATCH($E$1,[1]characters!$2:$2,0)+1,FALSE)</f>
        <v>PremiumS</v>
      </c>
      <c r="H246" s="20">
        <f ca="1">VLOOKUP($E246,OFFSET([1]characters!$A$2,0,0,COUNTA([1]characters!$A:$A),MATCH(H$1,[1]characters!$2:$2,0)-MATCH($E$1,[1]characters!$2:$2,0)+1),MATCH(H$1,[1]characters!$2:$2,0)-MATCH($E$1,[1]characters!$2:$2,0)+1,FALSE)</f>
        <v>3</v>
      </c>
      <c r="I246" s="20" t="str">
        <f ca="1">VLOOKUP($E246,OFFSET([1]characters!$A$2,0,0,COUNTA([1]characters!$A:$A),MATCH(I$1,[1]characters!$2:$2,0)-MATCH($E$1,[1]characters!$2:$2,0)+1),MATCH(I$1,[1]characters!$2:$2,0)-MATCH($E$1,[1]characters!$2:$2,0)+1,FALSE)</f>
        <v>red</v>
      </c>
      <c r="J246" s="20" t="str">
        <f ca="1">VLOOKUP($E246,OFFSET([1]characters!$A$2,0,0,COUNTA([1]characters!$A:$A),MATCH("タイプ",[1]characters!$1:$1,0)-MATCH($E$1,[1]characters!$2:$2,0)+2),MATCH("タイプ",[1]characters!$1:$1,0)-MATCH($E$1,[1]characters!$2:$2,0)+2,FALSE)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6" s="20" t="str">
        <f ca="1">VLOOKUP($E246,OFFSET([1]characters!$A$2,0,0,COUNTA([1]characters!$A:$A),MATCH($K$1,[1]characters!$1:$1,0)-MATCH($E$1,[1]characters!$2:$2,0)+2),MATCH($K$1,[1]characters!$1:$1,0)-MATCH($E$1,[1]characters!$2:$2,0)+2,FALSE)</f>
        <v>ドラゴン</v>
      </c>
      <c r="L246" s="21">
        <v>1</v>
      </c>
      <c r="M246" s="46">
        <f ca="1">VLOOKUP(C246,gacha_115_base!A:B,2,FALSE)</f>
        <v>179</v>
      </c>
      <c r="N246" s="18">
        <v>0</v>
      </c>
      <c r="O246" s="18">
        <v>0</v>
      </c>
      <c r="P246" s="18">
        <v>0</v>
      </c>
      <c r="Q246" s="18">
        <v>0</v>
      </c>
      <c r="R246" s="18">
        <v>1</v>
      </c>
    </row>
    <row r="247" spans="1:18" ht="21" customHeight="1" thickBot="1">
      <c r="A247" s="22" t="str">
        <f t="shared" si="11"/>
        <v>03811</v>
      </c>
      <c r="B247" s="2">
        <f t="shared" si="10"/>
        <v>116</v>
      </c>
      <c r="C247" s="10" t="str">
        <f t="shared" ca="1" si="9"/>
        <v>0PremiumS4red</v>
      </c>
      <c r="D247" s="37">
        <v>0</v>
      </c>
      <c r="E247" s="27">
        <v>381</v>
      </c>
      <c r="F247" s="10" t="str">
        <f ca="1">VLOOKUP($E247,OFFSET([1]characters!$A$2,0,0,COUNTA([1]characters!$A:$A),MATCH(F$1,[1]characters!$2:$2,0)-MATCH($E$1,[1]characters!$2:$2,0)+1),MATCH(F$1,[1]characters!$2:$2,0)-MATCH($E$1,[1]characters!$2:$2,0)+1,FALSE)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247" s="10" t="str">
        <f ca="1">VLOOKUP($E247,OFFSET([1]characters!$A$2,0,0,COUNTA([1]characters!$A:$A),MATCH(G$1,[1]characters!$2:$2,0)-MATCH($E$1,[1]characters!$2:$2,0)+1),MATCH(G$1,[1]characters!$2:$2,0)-MATCH($E$1,[1]characters!$2:$2,0)+1,FALSE)</f>
        <v>PremiumS</v>
      </c>
      <c r="H247" s="10">
        <f ca="1">VLOOKUP($E247,OFFSET([1]characters!$A$2,0,0,COUNTA([1]characters!$A:$A),MATCH(H$1,[1]characters!$2:$2,0)-MATCH($E$1,[1]characters!$2:$2,0)+1),MATCH(H$1,[1]characters!$2:$2,0)-MATCH($E$1,[1]characters!$2:$2,0)+1,FALSE)</f>
        <v>4</v>
      </c>
      <c r="I247" s="10" t="str">
        <f ca="1">VLOOKUP($E247,OFFSET([1]characters!$A$2,0,0,COUNTA([1]characters!$A:$A),MATCH(I$1,[1]characters!$2:$2,0)-MATCH($E$1,[1]characters!$2:$2,0)+1),MATCH(I$1,[1]characters!$2:$2,0)-MATCH($E$1,[1]characters!$2:$2,0)+1,FALSE)</f>
        <v>red</v>
      </c>
      <c r="J247" s="10" t="str">
        <f ca="1">VLOOKUP($E247,OFFSET([1]characters!$A$2,0,0,COUNTA([1]characters!$A:$A),MATCH("タイプ",[1]characters!$1:$1,0)-MATCH($E$1,[1]characters!$2:$2,0)+2),MATCH("タイプ",[1]characters!$1:$1,0)-MATCH($E$1,[1]characters!$2:$2,0)+2,FALSE)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7" s="10" t="str">
        <f ca="1">VLOOKUP($E247,OFFSET([1]characters!$A$2,0,0,COUNTA([1]characters!$A:$A),MATCH($K$1,[1]characters!$1:$1,0)-MATCH($E$1,[1]characters!$2:$2,0)+2),MATCH($K$1,[1]characters!$1:$1,0)-MATCH($E$1,[1]characters!$2:$2,0)+2,FALSE)</f>
        <v>ドラゴン</v>
      </c>
      <c r="L247" s="6">
        <v>1</v>
      </c>
      <c r="M247" s="46">
        <f ca="1">VLOOKUP(C247,gacha_115_base!A:B,2,FALSE)</f>
        <v>63</v>
      </c>
      <c r="N247" s="28">
        <v>0</v>
      </c>
      <c r="O247" s="28">
        <v>0</v>
      </c>
      <c r="P247" s="28">
        <v>0</v>
      </c>
      <c r="Q247" s="28">
        <v>0</v>
      </c>
      <c r="R247" s="28">
        <v>1</v>
      </c>
    </row>
    <row r="248" spans="1:18" ht="21" customHeight="1" thickBot="1">
      <c r="A248" s="22" t="str">
        <f t="shared" si="11"/>
        <v>03821</v>
      </c>
      <c r="B248" s="2">
        <f t="shared" si="10"/>
        <v>116</v>
      </c>
      <c r="C248" s="10" t="str">
        <f t="shared" ca="1" si="9"/>
        <v>0PremiumS5red</v>
      </c>
      <c r="D248" s="37">
        <v>0</v>
      </c>
      <c r="E248" s="27">
        <v>382</v>
      </c>
      <c r="F248" s="10" t="str">
        <f ca="1">VLOOKUP($E248,OFFSET([1]characters!$A$2,0,0,COUNTA([1]characters!$A:$A),MATCH(F$1,[1]characters!$2:$2,0)-MATCH($E$1,[1]characters!$2:$2,0)+1),MATCH(F$1,[1]characters!$2:$2,0)-MATCH($E$1,[1]characters!$2:$2,0)+1,FALSE)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248" s="10" t="str">
        <f ca="1">VLOOKUP($E248,OFFSET([1]characters!$A$2,0,0,COUNTA([1]characters!$A:$A),MATCH(G$1,[1]characters!$2:$2,0)-MATCH($E$1,[1]characters!$2:$2,0)+1),MATCH(G$1,[1]characters!$2:$2,0)-MATCH($E$1,[1]characters!$2:$2,0)+1,FALSE)</f>
        <v>PremiumS</v>
      </c>
      <c r="H248" s="10">
        <f ca="1">VLOOKUP($E248,OFFSET([1]characters!$A$2,0,0,COUNTA([1]characters!$A:$A),MATCH(H$1,[1]characters!$2:$2,0)-MATCH($E$1,[1]characters!$2:$2,0)+1),MATCH(H$1,[1]characters!$2:$2,0)-MATCH($E$1,[1]characters!$2:$2,0)+1,FALSE)</f>
        <v>5</v>
      </c>
      <c r="I248" s="10" t="str">
        <f ca="1">VLOOKUP($E248,OFFSET([1]characters!$A$2,0,0,COUNTA([1]characters!$A:$A),MATCH(I$1,[1]characters!$2:$2,0)-MATCH($E$1,[1]characters!$2:$2,0)+1),MATCH(I$1,[1]characters!$2:$2,0)-MATCH($E$1,[1]characters!$2:$2,0)+1,FALSE)</f>
        <v>red</v>
      </c>
      <c r="J248" s="10" t="str">
        <f ca="1">VLOOKUP($E248,OFFSET([1]characters!$A$2,0,0,COUNTA([1]characters!$A:$A),MATCH("タイプ",[1]characters!$1:$1,0)-MATCH($E$1,[1]characters!$2:$2,0)+2),MATCH("タイプ",[1]characters!$1:$1,0)-MATCH($E$1,[1]characters!$2:$2,0)+2,FALSE)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8" s="10" t="str">
        <f ca="1">VLOOKUP($E248,OFFSET([1]characters!$A$2,0,0,COUNTA([1]characters!$A:$A),MATCH($K$1,[1]characters!$1:$1,0)-MATCH($E$1,[1]characters!$2:$2,0)+2),MATCH($K$1,[1]characters!$1:$1,0)-MATCH($E$1,[1]characters!$2:$2,0)+2,FALSE)</f>
        <v>ドラゴン</v>
      </c>
      <c r="L248" s="6">
        <v>1</v>
      </c>
      <c r="M248" s="46">
        <f ca="1">VLOOKUP(C248,gacha_115_base!A:B,2,FALSE)</f>
        <v>10</v>
      </c>
      <c r="N248" s="28">
        <v>0</v>
      </c>
      <c r="O248" s="28">
        <v>0</v>
      </c>
      <c r="P248" s="28">
        <v>0</v>
      </c>
      <c r="Q248" s="28">
        <v>0</v>
      </c>
      <c r="R248" s="28">
        <v>1</v>
      </c>
    </row>
    <row r="249" spans="1:18" ht="21" customHeight="1" thickBot="1">
      <c r="A249" s="22" t="str">
        <f t="shared" si="11"/>
        <v>03831</v>
      </c>
      <c r="B249" s="2">
        <f t="shared" si="10"/>
        <v>116</v>
      </c>
      <c r="C249" s="10" t="str">
        <f t="shared" ca="1" si="9"/>
        <v>0PremiumSS4green</v>
      </c>
      <c r="D249" s="37">
        <v>0</v>
      </c>
      <c r="E249" s="27">
        <v>383</v>
      </c>
      <c r="F249" s="10" t="str">
        <f ca="1">VLOOKUP($E249,OFFSET([1]characters!$A$2,0,0,COUNTA([1]characters!$A:$A),MATCH(F$1,[1]characters!$2:$2,0)-MATCH($E$1,[1]characters!$2:$2,0)+1),MATCH(F$1,[1]characters!$2:$2,0)-MATCH($E$1,[1]characters!$2:$2,0)+1,FALSE)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249" s="10" t="str">
        <f ca="1">VLOOKUP($E249,OFFSET([1]characters!$A$2,0,0,COUNTA([1]characters!$A:$A),MATCH(G$1,[1]characters!$2:$2,0)-MATCH($E$1,[1]characters!$2:$2,0)+1),MATCH(G$1,[1]characters!$2:$2,0)-MATCH($E$1,[1]characters!$2:$2,0)+1,FALSE)</f>
        <v>PremiumSS</v>
      </c>
      <c r="H249" s="10">
        <f ca="1">VLOOKUP($E249,OFFSET([1]characters!$A$2,0,0,COUNTA([1]characters!$A:$A),MATCH(H$1,[1]characters!$2:$2,0)-MATCH($E$1,[1]characters!$2:$2,0)+1),MATCH(H$1,[1]characters!$2:$2,0)-MATCH($E$1,[1]characters!$2:$2,0)+1,FALSE)</f>
        <v>4</v>
      </c>
      <c r="I249" s="10" t="str">
        <f ca="1">VLOOKUP($E249,OFFSET([1]characters!$A$2,0,0,COUNTA([1]characters!$A:$A),MATCH(I$1,[1]characters!$2:$2,0)-MATCH($E$1,[1]characters!$2:$2,0)+1),MATCH(I$1,[1]characters!$2:$2,0)-MATCH($E$1,[1]characters!$2:$2,0)+1,FALSE)</f>
        <v>green</v>
      </c>
      <c r="J249" s="10" t="str">
        <f ca="1">VLOOKUP($E249,OFFSET([1]characters!$A$2,0,0,COUNTA([1]characters!$A:$A),MATCH("タイプ",[1]characters!$1:$1,0)-MATCH($E$1,[1]characters!$2:$2,0)+2),MATCH("タイプ",[1]characters!$1:$1,0)-MATCH($E$1,[1]characters!$2:$2,0)+2,FALSE)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49" s="10" t="str">
        <f ca="1">VLOOKUP($E249,OFFSET([1]characters!$A$2,0,0,COUNTA([1]characters!$A:$A),MATCH($K$1,[1]characters!$1:$1,0)-MATCH($E$1,[1]characters!$2:$2,0)+2),MATCH($K$1,[1]characters!$1:$1,0)-MATCH($E$1,[1]characters!$2:$2,0)+2,FALSE)</f>
        <v>ドラゴン</v>
      </c>
      <c r="L249" s="6">
        <v>1</v>
      </c>
      <c r="M249" s="46">
        <f ca="1">VLOOKUP(C249,gacha_115_base!A:B,2,FALSE)</f>
        <v>162</v>
      </c>
      <c r="N249" s="28">
        <v>0</v>
      </c>
      <c r="O249" s="28">
        <v>0</v>
      </c>
      <c r="P249" s="28">
        <v>0</v>
      </c>
      <c r="Q249" s="28">
        <v>0</v>
      </c>
      <c r="R249" s="28">
        <v>1</v>
      </c>
    </row>
    <row r="250" spans="1:18" ht="21" customHeight="1" thickBot="1">
      <c r="A250" s="22" t="str">
        <f t="shared" si="11"/>
        <v>03841</v>
      </c>
      <c r="B250" s="2">
        <f t="shared" si="10"/>
        <v>116</v>
      </c>
      <c r="C250" s="10" t="str">
        <f t="shared" ca="1" si="9"/>
        <v>0PremiumSS5green</v>
      </c>
      <c r="D250" s="37">
        <v>0</v>
      </c>
      <c r="E250" s="27">
        <v>384</v>
      </c>
      <c r="F250" s="10" t="str">
        <f ca="1">VLOOKUP($E250,OFFSET([1]characters!$A$2,0,0,COUNTA([1]characters!$A:$A),MATCH(F$1,[1]characters!$2:$2,0)-MATCH($E$1,[1]characters!$2:$2,0)+1),MATCH(F$1,[1]characters!$2:$2,0)-MATCH($E$1,[1]characters!$2:$2,0)+1,FALSE)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250" s="10" t="str">
        <f ca="1">VLOOKUP($E250,OFFSET([1]characters!$A$2,0,0,COUNTA([1]characters!$A:$A),MATCH(G$1,[1]characters!$2:$2,0)-MATCH($E$1,[1]characters!$2:$2,0)+1),MATCH(G$1,[1]characters!$2:$2,0)-MATCH($E$1,[1]characters!$2:$2,0)+1,FALSE)</f>
        <v>PremiumSS</v>
      </c>
      <c r="H250" s="10">
        <f ca="1">VLOOKUP($E250,OFFSET([1]characters!$A$2,0,0,COUNTA([1]characters!$A:$A),MATCH(H$1,[1]characters!$2:$2,0)-MATCH($E$1,[1]characters!$2:$2,0)+1),MATCH(H$1,[1]characters!$2:$2,0)-MATCH($E$1,[1]characters!$2:$2,0)+1,FALSE)</f>
        <v>5</v>
      </c>
      <c r="I250" s="10" t="str">
        <f ca="1">VLOOKUP($E250,OFFSET([1]characters!$A$2,0,0,COUNTA([1]characters!$A:$A),MATCH(I$1,[1]characters!$2:$2,0)-MATCH($E$1,[1]characters!$2:$2,0)+1),MATCH(I$1,[1]characters!$2:$2,0)-MATCH($E$1,[1]characters!$2:$2,0)+1,FALSE)</f>
        <v>green</v>
      </c>
      <c r="J250" s="10" t="str">
        <f ca="1">VLOOKUP($E250,OFFSET([1]characters!$A$2,0,0,COUNTA([1]characters!$A:$A),MATCH("タイプ",[1]characters!$1:$1,0)-MATCH($E$1,[1]characters!$2:$2,0)+2),MATCH("タイプ",[1]characters!$1:$1,0)-MATCH($E$1,[1]characters!$2:$2,0)+2,FALSE)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0" s="10" t="str">
        <f ca="1">VLOOKUP($E250,OFFSET([1]characters!$A$2,0,0,COUNTA([1]characters!$A:$A),MATCH($K$1,[1]characters!$1:$1,0)-MATCH($E$1,[1]characters!$2:$2,0)+2),MATCH($K$1,[1]characters!$1:$1,0)-MATCH($E$1,[1]characters!$2:$2,0)+2,FALSE)</f>
        <v>ドラゴン</v>
      </c>
      <c r="L250" s="6">
        <v>1</v>
      </c>
      <c r="M250" s="46">
        <f ca="1">VLOOKUP(C250,gacha_115_base!A:B,2,FALSE)</f>
        <v>31</v>
      </c>
      <c r="N250" s="28">
        <v>0</v>
      </c>
      <c r="O250" s="28">
        <v>0</v>
      </c>
      <c r="P250" s="28">
        <v>0</v>
      </c>
      <c r="Q250" s="28">
        <v>0</v>
      </c>
      <c r="R250" s="28">
        <v>1</v>
      </c>
    </row>
    <row r="251" spans="1:18" ht="21" customHeight="1" thickBot="1">
      <c r="A251" s="22" t="str">
        <f t="shared" si="11"/>
        <v>03851</v>
      </c>
      <c r="B251" s="2">
        <f t="shared" si="10"/>
        <v>116</v>
      </c>
      <c r="C251" s="10" t="str">
        <f ca="1">D251&amp;G251&amp;H251&amp;I251&amp;"pick"</f>
        <v>0PremiumSS4bluepick</v>
      </c>
      <c r="D251" s="45">
        <v>0</v>
      </c>
      <c r="E251" s="41">
        <v>385</v>
      </c>
      <c r="F251" s="10" t="str">
        <f ca="1">VLOOKUP($E251,OFFSET([1]characters!$A$2,0,0,COUNTA([1]characters!$A:$A),MATCH(F$1,[1]characters!$2:$2,0)-MATCH($E$1,[1]characters!$2:$2,0)+1),MATCH(F$1,[1]characters!$2:$2,0)-MATCH($E$1,[1]characters!$2:$2,0)+1,FALSE)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251" s="10" t="str">
        <f ca="1">VLOOKUP($E251,OFFSET([1]characters!$A$2,0,0,COUNTA([1]characters!$A:$A),MATCH(G$1,[1]characters!$2:$2,0)-MATCH($E$1,[1]characters!$2:$2,0)+1),MATCH(G$1,[1]characters!$2:$2,0)-MATCH($E$1,[1]characters!$2:$2,0)+1,FALSE)</f>
        <v>PremiumSS</v>
      </c>
      <c r="H251" s="10">
        <f ca="1">VLOOKUP($E251,OFFSET([1]characters!$A$2,0,0,COUNTA([1]characters!$A:$A),MATCH(H$1,[1]characters!$2:$2,0)-MATCH($E$1,[1]characters!$2:$2,0)+1),MATCH(H$1,[1]characters!$2:$2,0)-MATCH($E$1,[1]characters!$2:$2,0)+1,FALSE)</f>
        <v>4</v>
      </c>
      <c r="I251" s="10" t="str">
        <f ca="1">VLOOKUP($E251,OFFSET([1]characters!$A$2,0,0,COUNTA([1]characters!$A:$A),MATCH(I$1,[1]characters!$2:$2,0)-MATCH($E$1,[1]characters!$2:$2,0)+1),MATCH(I$1,[1]characters!$2:$2,0)-MATCH($E$1,[1]characters!$2:$2,0)+1,FALSE)</f>
        <v>blue</v>
      </c>
      <c r="J251" s="10" t="str">
        <f ca="1">VLOOKUP($E251,OFFSET([1]characters!$A$2,0,0,COUNTA([1]characters!$A:$A),MATCH("タイプ",[1]characters!$1:$1,0)-MATCH($E$1,[1]characters!$2:$2,0)+2),MATCH("タイプ",[1]characters!$1:$1,0)-MATCH($E$1,[1]characters!$2:$2,0)+2,FALSE)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1" s="10" t="str">
        <f ca="1">VLOOKUP($E251,OFFSET([1]characters!$A$2,0,0,COUNTA([1]characters!$A:$A),MATCH($K$1,[1]characters!$1:$1,0)-MATCH($E$1,[1]characters!$2:$2,0)+2),MATCH($K$1,[1]characters!$1:$1,0)-MATCH($E$1,[1]characters!$2:$2,0)+2,FALSE)</f>
        <v>ドラゴン</v>
      </c>
      <c r="L251" s="38">
        <v>1</v>
      </c>
      <c r="M251" s="46">
        <f ca="1">VLOOKUP(C251,gacha_115_base!A:B,2,FALSE)</f>
        <v>1348</v>
      </c>
      <c r="N251" s="28">
        <v>0</v>
      </c>
      <c r="O251" s="28">
        <v>0</v>
      </c>
      <c r="P251" s="28">
        <v>0</v>
      </c>
      <c r="Q251" s="28">
        <v>0</v>
      </c>
      <c r="R251" s="28">
        <v>1</v>
      </c>
    </row>
    <row r="252" spans="1:18" ht="21" customHeight="1" thickBot="1">
      <c r="A252" s="22" t="str">
        <f t="shared" si="11"/>
        <v>03861</v>
      </c>
      <c r="B252" s="2">
        <f t="shared" si="10"/>
        <v>116</v>
      </c>
      <c r="C252" s="10" t="str">
        <f ca="1">D252&amp;G252&amp;H252&amp;I252&amp;"pick"</f>
        <v>0PremiumSS5bluepick</v>
      </c>
      <c r="D252" s="45">
        <v>0</v>
      </c>
      <c r="E252" s="43">
        <v>386</v>
      </c>
      <c r="F252" s="33" t="str">
        <f ca="1">VLOOKUP($E252,OFFSET([1]characters!$A$2,0,0,COUNTA([1]characters!$A:$A),MATCH(F$1,[1]characters!$2:$2,0)-MATCH($E$1,[1]characters!$2:$2,0)+1),MATCH(F$1,[1]characters!$2:$2,0)-MATCH($E$1,[1]characters!$2:$2,0)+1,FALSE)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252" s="33" t="str">
        <f ca="1">VLOOKUP($E252,OFFSET([1]characters!$A$2,0,0,COUNTA([1]characters!$A:$A),MATCH(G$1,[1]characters!$2:$2,0)-MATCH($E$1,[1]characters!$2:$2,0)+1),MATCH(G$1,[1]characters!$2:$2,0)-MATCH($E$1,[1]characters!$2:$2,0)+1,FALSE)</f>
        <v>PremiumSS</v>
      </c>
      <c r="H252" s="33">
        <f ca="1">VLOOKUP($E252,OFFSET([1]characters!$A$2,0,0,COUNTA([1]characters!$A:$A),MATCH(H$1,[1]characters!$2:$2,0)-MATCH($E$1,[1]characters!$2:$2,0)+1),MATCH(H$1,[1]characters!$2:$2,0)-MATCH($E$1,[1]characters!$2:$2,0)+1,FALSE)</f>
        <v>5</v>
      </c>
      <c r="I252" s="33" t="str">
        <f ca="1">VLOOKUP($E252,OFFSET([1]characters!$A$2,0,0,COUNTA([1]characters!$A:$A),MATCH(I$1,[1]characters!$2:$2,0)-MATCH($E$1,[1]characters!$2:$2,0)+1),MATCH(I$1,[1]characters!$2:$2,0)-MATCH($E$1,[1]characters!$2:$2,0)+1,FALSE)</f>
        <v>blue</v>
      </c>
      <c r="J252" s="33" t="str">
        <f ca="1">VLOOKUP($E252,OFFSET([1]characters!$A$2,0,0,COUNTA([1]characters!$A:$A),MATCH("タイプ",[1]characters!$1:$1,0)-MATCH($E$1,[1]characters!$2:$2,0)+2),MATCH("タイプ",[1]characters!$1:$1,0)-MATCH($E$1,[1]characters!$2:$2,0)+2,FALSE)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2" s="33" t="str">
        <f ca="1">VLOOKUP($E252,OFFSET([1]characters!$A$2,0,0,COUNTA([1]characters!$A:$A),MATCH($K$1,[1]characters!$1:$1,0)-MATCH($E$1,[1]characters!$2:$2,0)+2),MATCH($K$1,[1]characters!$1:$1,0)-MATCH($E$1,[1]characters!$2:$2,0)+2,FALSE)</f>
        <v>ドラゴン</v>
      </c>
      <c r="L252" s="42">
        <v>1</v>
      </c>
      <c r="M252" s="46">
        <f ca="1">VLOOKUP(C252,gacha_115_base!A:B,2,FALSE)</f>
        <v>193</v>
      </c>
      <c r="N252" s="34">
        <v>0</v>
      </c>
      <c r="O252" s="34">
        <v>0</v>
      </c>
      <c r="P252" s="34">
        <v>0</v>
      </c>
      <c r="Q252" s="34">
        <v>0</v>
      </c>
      <c r="R252" s="34">
        <v>1</v>
      </c>
    </row>
    <row r="253" spans="1:18" ht="21" customHeight="1" thickBot="1">
      <c r="A253" s="22" t="str">
        <f t="shared" si="11"/>
        <v>03871</v>
      </c>
      <c r="B253" s="2">
        <f t="shared" si="10"/>
        <v>116</v>
      </c>
      <c r="C253" s="10" t="str">
        <f t="shared" ca="1" si="9"/>
        <v>0PremiumS3yellow</v>
      </c>
      <c r="D253" s="37">
        <v>0</v>
      </c>
      <c r="E253" s="7">
        <v>387</v>
      </c>
      <c r="F253" s="10" t="str">
        <f ca="1">VLOOKUP($E253,OFFSET([1]characters!$A$2,0,0,COUNTA([1]characters!$A:$A),MATCH(F$1,[1]characters!$2:$2,0)-MATCH($E$1,[1]characters!$2:$2,0)+1),MATCH(F$1,[1]characters!$2:$2,0)-MATCH($E$1,[1]characters!$2:$2,0)+1,FALSE)</f>
        <v>スフィンクス</v>
      </c>
      <c r="G253" s="10" t="str">
        <f ca="1">VLOOKUP($E253,OFFSET([1]characters!$A$2,0,0,COUNTA([1]characters!$A:$A),MATCH(G$1,[1]characters!$2:$2,0)-MATCH($E$1,[1]characters!$2:$2,0)+1),MATCH(G$1,[1]characters!$2:$2,0)-MATCH($E$1,[1]characters!$2:$2,0)+1,FALSE)</f>
        <v>PremiumS</v>
      </c>
      <c r="H253" s="10">
        <f ca="1">VLOOKUP($E253,OFFSET([1]characters!$A$2,0,0,COUNTA([1]characters!$A:$A),MATCH(H$1,[1]characters!$2:$2,0)-MATCH($E$1,[1]characters!$2:$2,0)+1),MATCH(H$1,[1]characters!$2:$2,0)-MATCH($E$1,[1]characters!$2:$2,0)+1,FALSE)</f>
        <v>3</v>
      </c>
      <c r="I253" s="10" t="str">
        <f ca="1">VLOOKUP($E253,OFFSET([1]characters!$A$2,0,0,COUNTA([1]characters!$A:$A),MATCH(I$1,[1]characters!$2:$2,0)-MATCH($E$1,[1]characters!$2:$2,0)+1),MATCH(I$1,[1]characters!$2:$2,0)-MATCH($E$1,[1]characters!$2:$2,0)+1,FALSE)</f>
        <v>yellow</v>
      </c>
      <c r="J253" s="10" t="str">
        <f ca="1">VLOOKUP($E253,OFFSET([1]characters!$A$2,0,0,COUNTA([1]characters!$A:$A),MATCH("タイプ",[1]characters!$1:$1,0)-MATCH($E$1,[1]characters!$2:$2,0)+2),MATCH("タイプ",[1]characters!$1:$1,0)-MATCH($E$1,[1]characters!$2:$2,0)+2,FALSE)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3" s="10" t="str">
        <f ca="1">VLOOKUP($E253,OFFSET([1]characters!$A$2,0,0,COUNTA([1]characters!$A:$A),MATCH($K$1,[1]characters!$1:$1,0)-MATCH($E$1,[1]characters!$2:$2,0)+2),MATCH($K$1,[1]characters!$1:$1,0)-MATCH($E$1,[1]characters!$2:$2,0)+2,FALSE)</f>
        <v>アニマル</v>
      </c>
      <c r="L253" s="6">
        <v>1</v>
      </c>
      <c r="M253" s="46">
        <f ca="1">VLOOKUP(C253,gacha_115_base!A:B,2,FALSE)</f>
        <v>179</v>
      </c>
      <c r="N253" s="28">
        <v>0</v>
      </c>
      <c r="O253" s="28">
        <v>0</v>
      </c>
      <c r="P253" s="28">
        <v>0</v>
      </c>
      <c r="Q253" s="28">
        <v>0</v>
      </c>
      <c r="R253" s="28">
        <v>1</v>
      </c>
    </row>
    <row r="254" spans="1:18" ht="21" customHeight="1">
      <c r="A254" s="30" t="str">
        <f t="shared" si="11"/>
        <v>03881</v>
      </c>
      <c r="B254" s="2">
        <f t="shared" si="10"/>
        <v>116</v>
      </c>
      <c r="C254" s="10" t="str">
        <f t="shared" ca="1" si="9"/>
        <v>0PremiumS4yellow</v>
      </c>
      <c r="D254" s="37">
        <v>0</v>
      </c>
      <c r="E254" s="32">
        <v>388</v>
      </c>
      <c r="F254" s="33" t="str">
        <f ca="1">VLOOKUP($E254,OFFSET([1]characters!$A$2,0,0,COUNTA([1]characters!$A:$A),MATCH(F$1,[1]characters!$2:$2,0)-MATCH($E$1,[1]characters!$2:$2,0)+1),MATCH(F$1,[1]characters!$2:$2,0)-MATCH($E$1,[1]characters!$2:$2,0)+1,FALSE)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254" s="33" t="str">
        <f ca="1">VLOOKUP($E254,OFFSET([1]characters!$A$2,0,0,COUNTA([1]characters!$A:$A),MATCH(G$1,[1]characters!$2:$2,0)-MATCH($E$1,[1]characters!$2:$2,0)+1),MATCH(G$1,[1]characters!$2:$2,0)-MATCH($E$1,[1]characters!$2:$2,0)+1,FALSE)</f>
        <v>PremiumS</v>
      </c>
      <c r="H254" s="33">
        <f ca="1">VLOOKUP($E254,OFFSET([1]characters!$A$2,0,0,COUNTA([1]characters!$A:$A),MATCH(H$1,[1]characters!$2:$2,0)-MATCH($E$1,[1]characters!$2:$2,0)+1),MATCH(H$1,[1]characters!$2:$2,0)-MATCH($E$1,[1]characters!$2:$2,0)+1,FALSE)</f>
        <v>4</v>
      </c>
      <c r="I254" s="33" t="str">
        <f ca="1">VLOOKUP($E254,OFFSET([1]characters!$A$2,0,0,COUNTA([1]characters!$A:$A),MATCH(I$1,[1]characters!$2:$2,0)-MATCH($E$1,[1]characters!$2:$2,0)+1),MATCH(I$1,[1]characters!$2:$2,0)-MATCH($E$1,[1]characters!$2:$2,0)+1,FALSE)</f>
        <v>yellow</v>
      </c>
      <c r="J254" s="33" t="str">
        <f ca="1">VLOOKUP($E254,OFFSET([1]characters!$A$2,0,0,COUNTA([1]characters!$A:$A),MATCH("タイプ",[1]characters!$1:$1,0)-MATCH($E$1,[1]characters!$2:$2,0)+2),MATCH("タイプ",[1]characters!$1:$1,0)-MATCH($E$1,[1]characters!$2:$2,0)+2,FALSE)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4" s="33" t="str">
        <f ca="1">VLOOKUP($E254,OFFSET([1]characters!$A$2,0,0,COUNTA([1]characters!$A:$A),MATCH($K$1,[1]characters!$1:$1,0)-MATCH($E$1,[1]characters!$2:$2,0)+2),MATCH($K$1,[1]characters!$1:$1,0)-MATCH($E$1,[1]characters!$2:$2,0)+2,FALSE)</f>
        <v>アニマル</v>
      </c>
      <c r="L254" s="31">
        <v>1</v>
      </c>
      <c r="M254" s="46">
        <f ca="1">VLOOKUP(C254,gacha_115_base!A:B,2,FALSE)</f>
        <v>63</v>
      </c>
      <c r="N254" s="34">
        <v>0</v>
      </c>
      <c r="O254" s="34">
        <v>0</v>
      </c>
      <c r="P254" s="34">
        <v>0</v>
      </c>
      <c r="Q254" s="34">
        <v>0</v>
      </c>
      <c r="R254" s="34">
        <v>1</v>
      </c>
    </row>
    <row r="255" spans="1:18" s="36" customFormat="1" ht="21" customHeight="1" thickBot="1">
      <c r="A255" s="35" t="str">
        <f t="shared" si="11"/>
        <v>03891</v>
      </c>
      <c r="B255" s="2">
        <f t="shared" si="10"/>
        <v>116</v>
      </c>
      <c r="C255" s="10" t="str">
        <f t="shared" ca="1" si="9"/>
        <v>0PremiumS5yellow</v>
      </c>
      <c r="D255" s="37">
        <v>0</v>
      </c>
      <c r="E255" s="25">
        <v>389</v>
      </c>
      <c r="F255" s="23" t="str">
        <f ca="1">VLOOKUP($E255,OFFSET([1]characters!$A$2,0,0,COUNTA([1]characters!$A:$A),MATCH(F$1,[1]characters!$2:$2,0)-MATCH($E$1,[1]characters!$2:$2,0)+1),MATCH(F$1,[1]characters!$2:$2,0)-MATCH($E$1,[1]characters!$2:$2,0)+1,FALSE)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255" s="23" t="str">
        <f ca="1">VLOOKUP($E255,OFFSET([1]characters!$A$2,0,0,COUNTA([1]characters!$A:$A),MATCH(G$1,[1]characters!$2:$2,0)-MATCH($E$1,[1]characters!$2:$2,0)+1),MATCH(G$1,[1]characters!$2:$2,0)-MATCH($E$1,[1]characters!$2:$2,0)+1,FALSE)</f>
        <v>PremiumS</v>
      </c>
      <c r="H255" s="23">
        <f ca="1">VLOOKUP($E255,OFFSET([1]characters!$A$2,0,0,COUNTA([1]characters!$A:$A),MATCH(H$1,[1]characters!$2:$2,0)-MATCH($E$1,[1]characters!$2:$2,0)+1),MATCH(H$1,[1]characters!$2:$2,0)-MATCH($E$1,[1]characters!$2:$2,0)+1,FALSE)</f>
        <v>5</v>
      </c>
      <c r="I255" s="23" t="str">
        <f ca="1">VLOOKUP($E255,OFFSET([1]characters!$A$2,0,0,COUNTA([1]characters!$A:$A),MATCH(I$1,[1]characters!$2:$2,0)-MATCH($E$1,[1]characters!$2:$2,0)+1),MATCH(I$1,[1]characters!$2:$2,0)-MATCH($E$1,[1]characters!$2:$2,0)+1,FALSE)</f>
        <v>yellow</v>
      </c>
      <c r="J255" s="23" t="str">
        <f ca="1">VLOOKUP($E255,OFFSET([1]characters!$A$2,0,0,COUNTA([1]characters!$A:$A),MATCH("タイプ",[1]characters!$1:$1,0)-MATCH($E$1,[1]characters!$2:$2,0)+2),MATCH("タイプ",[1]characters!$1:$1,0)-MATCH($E$1,[1]characters!$2:$2,0)+2,FALSE)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5" s="23" t="str">
        <f ca="1">VLOOKUP($E255,OFFSET([1]characters!$A$2,0,0,COUNTA([1]characters!$A:$A),MATCH($K$1,[1]characters!$1:$1,0)-MATCH($E$1,[1]characters!$2:$2,0)+2),MATCH($K$1,[1]characters!$1:$1,0)-MATCH($E$1,[1]characters!$2:$2,0)+2,FALSE)</f>
        <v>アニマル</v>
      </c>
      <c r="L255" s="24">
        <v>1</v>
      </c>
      <c r="M255" s="46">
        <f ca="1">VLOOKUP(C255,gacha_115_base!A:B,2,FALSE)</f>
        <v>10</v>
      </c>
      <c r="N255" s="29">
        <v>0</v>
      </c>
      <c r="O255" s="29">
        <v>0</v>
      </c>
      <c r="P255" s="29">
        <v>0</v>
      </c>
      <c r="Q255" s="29">
        <v>0</v>
      </c>
      <c r="R255" s="29">
        <v>1</v>
      </c>
    </row>
  </sheetData>
  <autoFilter ref="B1:M24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R255"/>
  <sheetViews>
    <sheetView showGridLines="0" tabSelected="1" workbookViewId="0">
      <pane ySplit="1" topLeftCell="A2" activePane="bottomLeft" state="frozen"/>
      <selection pane="bottomLeft" activeCell="B3" sqref="B3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1" bestFit="1" customWidth="1"/>
    <col min="3" max="3" width="17.7109375" style="1" bestFit="1" customWidth="1" outlineLevel="1"/>
    <col min="4" max="4" width="7.42578125" style="1" customWidth="1"/>
    <col min="5" max="5" width="10.42578125" style="1" customWidth="1"/>
    <col min="6" max="6" width="23.28515625" style="1" customWidth="1" outlineLevel="1"/>
    <col min="7" max="7" width="13.7109375" style="1" customWidth="1" outlineLevel="1"/>
    <col min="8" max="8" width="9.7109375" style="1" customWidth="1" outlineLevel="1"/>
    <col min="9" max="9" width="10.42578125" style="5" customWidth="1" outlineLevel="1"/>
    <col min="10" max="10" width="18.85546875" style="1" customWidth="1" outlineLevel="1"/>
    <col min="11" max="11" width="19" style="1" customWidth="1" outlineLevel="1"/>
    <col min="12" max="12" width="13.140625" style="1" bestFit="1" customWidth="1"/>
    <col min="13" max="13" width="11.28515625" style="1" bestFit="1" customWidth="1"/>
    <col min="14" max="16384" width="12.710937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9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2">
        <v>117</v>
      </c>
      <c r="C2" s="10" t="str">
        <f ca="1">D2&amp;G2&amp;H2&amp;I2</f>
        <v>1PremiumW4red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46">
        <f ca="1">VLOOKUP(C2,gacha_115_base!A:B,2,FALSE)</f>
        <v>864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f>$B$2</f>
        <v>117</v>
      </c>
      <c r="C3" s="10" t="str">
        <f t="shared" ref="C3:C66" ca="1" si="1">D3&amp;G3&amp;H3&amp;I3</f>
        <v>1PremiumW4green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46">
        <f ca="1">VLOOKUP(C3,gacha_115_base!A:B,2,FALSE)</f>
        <v>864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f t="shared" ref="B4:B67" si="2">$B$2</f>
        <v>117</v>
      </c>
      <c r="C4" s="10" t="str">
        <f t="shared" ca="1" si="1"/>
        <v>1PremiumW4blue</v>
      </c>
      <c r="D4" s="38">
        <v>1</v>
      </c>
      <c r="E4" s="39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38">
        <v>1</v>
      </c>
      <c r="M4" s="46">
        <f ca="1">VLOOKUP(C4,gacha_115_base!A:B,2,FALSE)</f>
        <v>6021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f t="shared" si="2"/>
        <v>117</v>
      </c>
      <c r="C5" s="10" t="str">
        <f t="shared" ca="1" si="1"/>
        <v>1PremiumW4yellow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46">
        <f ca="1">VLOOKUP(C5,gacha_115_base!A:B,2,FALSE)</f>
        <v>864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f t="shared" si="2"/>
        <v>117</v>
      </c>
      <c r="C6" s="10" t="str">
        <f t="shared" ca="1" si="1"/>
        <v>1PremiumW4red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46">
        <f ca="1">VLOOKUP(C6,gacha_115_base!A:B,2,FALSE)</f>
        <v>864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f t="shared" si="2"/>
        <v>117</v>
      </c>
      <c r="C7" s="10" t="str">
        <f t="shared" ca="1" si="1"/>
        <v>1PremiumW4green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46">
        <f ca="1">VLOOKUP(C7,gacha_115_base!A:B,2,FALSE)</f>
        <v>864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f t="shared" si="2"/>
        <v>117</v>
      </c>
      <c r="C8" s="10" t="str">
        <f t="shared" ca="1" si="1"/>
        <v>1PremiumW4blue</v>
      </c>
      <c r="D8" s="38">
        <v>1</v>
      </c>
      <c r="E8" s="39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38">
        <v>1</v>
      </c>
      <c r="M8" s="46">
        <f ca="1">VLOOKUP(C8,gacha_115_base!A:B,2,FALSE)</f>
        <v>6021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f t="shared" si="2"/>
        <v>117</v>
      </c>
      <c r="C9" s="10" t="str">
        <f t="shared" ca="1" si="1"/>
        <v>1PremiumW4yellow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46">
        <f ca="1">VLOOKUP(C9,gacha_115_base!A:B,2,FALSE)</f>
        <v>864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f t="shared" si="2"/>
        <v>117</v>
      </c>
      <c r="C10" s="10" t="str">
        <f t="shared" ca="1" si="1"/>
        <v>1PremiumW4red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46">
        <f ca="1">VLOOKUP(C10,gacha_115_base!A:B,2,FALSE)</f>
        <v>864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f t="shared" si="2"/>
        <v>117</v>
      </c>
      <c r="C11" s="10" t="str">
        <f t="shared" ca="1" si="1"/>
        <v>1PremiumW4green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46">
        <f ca="1">VLOOKUP(C11,gacha_115_base!A:B,2,FALSE)</f>
        <v>864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f t="shared" si="2"/>
        <v>117</v>
      </c>
      <c r="C12" s="10" t="str">
        <f t="shared" ca="1" si="1"/>
        <v>1PremiumW4blue</v>
      </c>
      <c r="D12" s="38">
        <v>1</v>
      </c>
      <c r="E12" s="39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38">
        <v>1</v>
      </c>
      <c r="M12" s="46">
        <f ca="1">VLOOKUP(C12,gacha_115_base!A:B,2,FALSE)</f>
        <v>6021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f t="shared" si="2"/>
        <v>117</v>
      </c>
      <c r="C13" s="10" t="str">
        <f t="shared" ca="1" si="1"/>
        <v>1PremiumW4yellow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46">
        <f ca="1">VLOOKUP(C13,gacha_115_base!A:B,2,FALSE)</f>
        <v>864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f t="shared" si="2"/>
        <v>117</v>
      </c>
      <c r="C14" s="10" t="str">
        <f t="shared" ca="1" si="1"/>
        <v>1PremiumW4red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46">
        <f ca="1">VLOOKUP(C14,gacha_115_base!A:B,2,FALSE)</f>
        <v>864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f t="shared" si="2"/>
        <v>117</v>
      </c>
      <c r="C15" s="10" t="str">
        <f t="shared" ca="1" si="1"/>
        <v>1PremiumW4green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46">
        <f ca="1">VLOOKUP(C15,gacha_115_base!A:B,2,FALSE)</f>
        <v>864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f t="shared" si="2"/>
        <v>117</v>
      </c>
      <c r="C16" s="10" t="str">
        <f t="shared" ca="1" si="1"/>
        <v>1PremiumW4blue</v>
      </c>
      <c r="D16" s="38">
        <v>1</v>
      </c>
      <c r="E16" s="39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38">
        <v>1</v>
      </c>
      <c r="M16" s="46">
        <f ca="1">VLOOKUP(C16,gacha_115_base!A:B,2,FALSE)</f>
        <v>6021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f t="shared" si="2"/>
        <v>117</v>
      </c>
      <c r="C17" s="10" t="str">
        <f t="shared" ca="1" si="1"/>
        <v>1PremiumW4yellow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46">
        <f ca="1">VLOOKUP(C17,gacha_115_base!A:B,2,FALSE)</f>
        <v>864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f t="shared" si="2"/>
        <v>117</v>
      </c>
      <c r="C18" s="10" t="str">
        <f t="shared" ca="1" si="1"/>
        <v>1PremiumW4red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46">
        <f ca="1">VLOOKUP(C18,gacha_115_base!A:B,2,FALSE)</f>
        <v>864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f t="shared" si="2"/>
        <v>117</v>
      </c>
      <c r="C19" s="10" t="str">
        <f t="shared" ca="1" si="1"/>
        <v>1PremiumW4green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46">
        <f ca="1">VLOOKUP(C19,gacha_115_base!A:B,2,FALSE)</f>
        <v>864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f t="shared" si="2"/>
        <v>117</v>
      </c>
      <c r="C20" s="10" t="str">
        <f t="shared" ca="1" si="1"/>
        <v>1PremiumW4blue</v>
      </c>
      <c r="D20" s="38">
        <v>1</v>
      </c>
      <c r="E20" s="39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38">
        <v>1</v>
      </c>
      <c r="M20" s="46">
        <f ca="1">VLOOKUP(C20,gacha_115_base!A:B,2,FALSE)</f>
        <v>6021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f t="shared" si="2"/>
        <v>117</v>
      </c>
      <c r="C21" s="10" t="str">
        <f t="shared" ca="1" si="1"/>
        <v>1PremiumW4yellow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46">
        <f ca="1">VLOOKUP(C21,gacha_115_base!A:B,2,FALSE)</f>
        <v>864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f t="shared" si="2"/>
        <v>117</v>
      </c>
      <c r="C22" s="10" t="str">
        <f t="shared" ca="1" si="1"/>
        <v>1PremiumN4red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46">
        <f ca="1">VLOOKUP(C22,gacha_115_base!A:B,2,FALSE)</f>
        <v>912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f t="shared" si="2"/>
        <v>117</v>
      </c>
      <c r="C23" s="10" t="str">
        <f t="shared" ca="1" si="1"/>
        <v>1PremiumN4green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46">
        <f ca="1">VLOOKUP(C23,gacha_115_base!A:B,2,FALSE)</f>
        <v>912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f t="shared" si="2"/>
        <v>117</v>
      </c>
      <c r="C24" s="10" t="str">
        <f t="shared" ca="1" si="1"/>
        <v>1PremiumN4blue</v>
      </c>
      <c r="D24" s="38">
        <v>1</v>
      </c>
      <c r="E24" s="39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38">
        <v>1</v>
      </c>
      <c r="M24" s="46">
        <f ca="1">VLOOKUP(C24,gacha_115_base!A:B,2,FALSE)</f>
        <v>6368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f t="shared" si="2"/>
        <v>117</v>
      </c>
      <c r="C25" s="10" t="str">
        <f t="shared" ca="1" si="1"/>
        <v>1PremiumN4yellow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46">
        <f ca="1">VLOOKUP(C25,gacha_115_base!A:B,2,FALSE)</f>
        <v>912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f t="shared" si="2"/>
        <v>117</v>
      </c>
      <c r="C26" s="10" t="str">
        <f t="shared" ca="1" si="1"/>
        <v>1PremiumN4red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46">
        <f ca="1">VLOOKUP(C26,gacha_115_base!A:B,2,FALSE)</f>
        <v>912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f t="shared" si="2"/>
        <v>117</v>
      </c>
      <c r="C27" s="10" t="str">
        <f t="shared" ca="1" si="1"/>
        <v>1PremiumN4green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46">
        <f ca="1">VLOOKUP(C27,gacha_115_base!A:B,2,FALSE)</f>
        <v>912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f t="shared" si="2"/>
        <v>117</v>
      </c>
      <c r="C28" s="10" t="str">
        <f t="shared" ca="1" si="1"/>
        <v>1PremiumN4blue</v>
      </c>
      <c r="D28" s="38">
        <v>1</v>
      </c>
      <c r="E28" s="39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38">
        <v>1</v>
      </c>
      <c r="M28" s="46">
        <f ca="1">VLOOKUP(C28,gacha_115_base!A:B,2,FALSE)</f>
        <v>6368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f t="shared" si="2"/>
        <v>117</v>
      </c>
      <c r="C29" s="10" t="str">
        <f t="shared" ca="1" si="1"/>
        <v>1PremiumN4yellow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46">
        <f ca="1">VLOOKUP(C29,gacha_115_base!A:B,2,FALSE)</f>
        <v>912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f t="shared" si="2"/>
        <v>117</v>
      </c>
      <c r="C30" s="10" t="str">
        <f t="shared" ca="1" si="1"/>
        <v>1PremiumN4red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46">
        <f ca="1">VLOOKUP(C30,gacha_115_base!A:B,2,FALSE)</f>
        <v>912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f t="shared" si="2"/>
        <v>117</v>
      </c>
      <c r="C31" s="10" t="str">
        <f t="shared" ca="1" si="1"/>
        <v>1PremiumN4green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46">
        <f ca="1">VLOOKUP(C31,gacha_115_base!A:B,2,FALSE)</f>
        <v>912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f t="shared" si="2"/>
        <v>117</v>
      </c>
      <c r="C32" s="10" t="str">
        <f t="shared" ca="1" si="1"/>
        <v>1PremiumN4yellow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46">
        <f ca="1">VLOOKUP(C32,gacha_115_base!A:B,2,FALSE)</f>
        <v>912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f t="shared" si="2"/>
        <v>117</v>
      </c>
      <c r="C33" s="10" t="str">
        <f t="shared" ca="1" si="1"/>
        <v>1PremiumN4blue</v>
      </c>
      <c r="D33" s="38">
        <v>1</v>
      </c>
      <c r="E33" s="39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38">
        <v>1</v>
      </c>
      <c r="M33" s="46">
        <f ca="1">VLOOKUP(C33,gacha_115_base!A:B,2,FALSE)</f>
        <v>6368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f t="shared" si="2"/>
        <v>117</v>
      </c>
      <c r="C34" s="10" t="str">
        <f t="shared" ca="1" si="1"/>
        <v>1PremiumN4red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46">
        <f ca="1">VLOOKUP(C34,gacha_115_base!A:B,2,FALSE)</f>
        <v>912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f t="shared" si="2"/>
        <v>117</v>
      </c>
      <c r="C35" s="10" t="str">
        <f t="shared" ca="1" si="1"/>
        <v>1PremiumN4green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46">
        <f ca="1">VLOOKUP(C35,gacha_115_base!A:B,2,FALSE)</f>
        <v>912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f t="shared" si="2"/>
        <v>117</v>
      </c>
      <c r="C36" s="10" t="str">
        <f t="shared" ca="1" si="1"/>
        <v>1PremiumN4blue</v>
      </c>
      <c r="D36" s="38">
        <v>1</v>
      </c>
      <c r="E36" s="39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38">
        <v>1</v>
      </c>
      <c r="M36" s="46">
        <f ca="1">VLOOKUP(C36,gacha_115_base!A:B,2,FALSE)</f>
        <v>6368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f t="shared" si="2"/>
        <v>117</v>
      </c>
      <c r="C37" s="10" t="str">
        <f t="shared" ca="1" si="1"/>
        <v>1PremiumN4yellow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46">
        <f ca="1">VLOOKUP(C37,gacha_115_base!A:B,2,FALSE)</f>
        <v>912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f t="shared" si="2"/>
        <v>117</v>
      </c>
      <c r="C38" s="10" t="str">
        <f t="shared" ca="1" si="1"/>
        <v>1PremiumN4red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46">
        <f ca="1">VLOOKUP(C38,gacha_115_base!A:B,2,FALSE)</f>
        <v>912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f t="shared" si="2"/>
        <v>117</v>
      </c>
      <c r="C39" s="10" t="str">
        <f t="shared" ca="1" si="1"/>
        <v>1PremiumN4green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46">
        <f ca="1">VLOOKUP(C39,gacha_115_base!A:B,2,FALSE)</f>
        <v>912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f t="shared" si="2"/>
        <v>117</v>
      </c>
      <c r="C40" s="10" t="str">
        <f t="shared" ca="1" si="1"/>
        <v>1PremiumN4blue</v>
      </c>
      <c r="D40" s="38">
        <v>1</v>
      </c>
      <c r="E40" s="39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38">
        <v>1</v>
      </c>
      <c r="M40" s="46">
        <f ca="1">VLOOKUP(C40,gacha_115_base!A:B,2,FALSE)</f>
        <v>6368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f t="shared" si="2"/>
        <v>117</v>
      </c>
      <c r="C41" s="10" t="str">
        <f t="shared" ca="1" si="1"/>
        <v>1PremiumN4yellow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46">
        <f ca="1">VLOOKUP(C41,gacha_115_base!A:B,2,FALSE)</f>
        <v>912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f t="shared" si="2"/>
        <v>117</v>
      </c>
      <c r="C42" s="10" t="str">
        <f t="shared" ca="1" si="1"/>
        <v>1PremiumS4red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46">
        <f ca="1">VLOOKUP(C42,gacha_115_base!A:B,2,FALSE)</f>
        <v>157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f t="shared" si="2"/>
        <v>117</v>
      </c>
      <c r="C43" s="10" t="str">
        <f t="shared" ca="1" si="1"/>
        <v>1PremiumS4green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46">
        <f ca="1">VLOOKUP(C43,gacha_115_base!A:B,2,FALSE)</f>
        <v>157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f t="shared" si="2"/>
        <v>117</v>
      </c>
      <c r="C44" s="10" t="str">
        <f t="shared" ca="1" si="1"/>
        <v>1PremiumS4blue</v>
      </c>
      <c r="D44" s="38">
        <v>1</v>
      </c>
      <c r="E44" s="39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38">
        <v>1</v>
      </c>
      <c r="M44" s="46">
        <f ca="1">VLOOKUP(C44,gacha_115_base!A:B,2,FALSE)</f>
        <v>1344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f t="shared" si="2"/>
        <v>117</v>
      </c>
      <c r="C45" s="10" t="str">
        <f t="shared" ca="1" si="1"/>
        <v>1PremiumS4yellow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46">
        <f ca="1">VLOOKUP(C45,gacha_115_base!A:B,2,FALSE)</f>
        <v>157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2">
        <f t="shared" si="2"/>
        <v>117</v>
      </c>
      <c r="C46" s="10" t="str">
        <f t="shared" ca="1" si="1"/>
        <v>1PremiumN5red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46">
        <f ca="1">VLOOKUP(C46,gacha_115_base!A:B,2,FALSE)</f>
        <v>71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2">
        <f t="shared" si="2"/>
        <v>117</v>
      </c>
      <c r="C47" s="10" t="str">
        <f t="shared" ca="1" si="1"/>
        <v>1PremiumN5green</v>
      </c>
      <c r="D47" s="6">
        <v>1</v>
      </c>
      <c r="E47" s="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6">
        <v>1</v>
      </c>
      <c r="M47" s="46">
        <f ca="1">VLOOKUP(C47,gacha_115_base!A:B,2,FALSE)</f>
        <v>71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2">
        <f t="shared" si="2"/>
        <v>117</v>
      </c>
      <c r="C48" s="10" t="str">
        <f t="shared" ca="1" si="1"/>
        <v>1PremiumN5blue</v>
      </c>
      <c r="D48" s="38">
        <v>1</v>
      </c>
      <c r="E48" s="39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38">
        <v>1</v>
      </c>
      <c r="M48" s="46">
        <f ca="1">VLOOKUP(C48,gacha_115_base!A:B,2,FALSE)</f>
        <v>471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2">
        <f t="shared" si="2"/>
        <v>117</v>
      </c>
      <c r="C49" s="10" t="str">
        <f t="shared" ca="1" si="1"/>
        <v>1PremiumN5yellow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46">
        <f ca="1">VLOOKUP(C49,gacha_115_base!A:B,2,FALSE)</f>
        <v>71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2">
        <f t="shared" si="2"/>
        <v>117</v>
      </c>
      <c r="C50" s="10" t="str">
        <f t="shared" ca="1" si="1"/>
        <v>1PremiumN5red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46">
        <f ca="1">VLOOKUP(C50,gacha_115_base!A:B,2,FALSE)</f>
        <v>71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2">
        <f t="shared" si="2"/>
        <v>117</v>
      </c>
      <c r="C51" s="10" t="str">
        <f t="shared" ca="1" si="1"/>
        <v>1PremiumN5green</v>
      </c>
      <c r="D51" s="6">
        <v>1</v>
      </c>
      <c r="E51" s="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6">
        <v>1</v>
      </c>
      <c r="M51" s="46">
        <f ca="1">VLOOKUP(C51,gacha_115_base!A:B,2,FALSE)</f>
        <v>71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2">
        <f t="shared" si="2"/>
        <v>117</v>
      </c>
      <c r="C52" s="10" t="str">
        <f t="shared" ca="1" si="1"/>
        <v>1PremiumN5blue</v>
      </c>
      <c r="D52" s="38">
        <v>1</v>
      </c>
      <c r="E52" s="39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38">
        <v>1</v>
      </c>
      <c r="M52" s="46">
        <f ca="1">VLOOKUP(C52,gacha_115_base!A:B,2,FALSE)</f>
        <v>471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2">
        <f t="shared" si="2"/>
        <v>117</v>
      </c>
      <c r="C53" s="10" t="str">
        <f t="shared" ca="1" si="1"/>
        <v>1PremiumN5yellow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46">
        <f ca="1">VLOOKUP(C53,gacha_115_base!A:B,2,FALSE)</f>
        <v>71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2">
        <f t="shared" si="2"/>
        <v>117</v>
      </c>
      <c r="C54" s="10" t="str">
        <f t="shared" ca="1" si="1"/>
        <v>1PremiumN5red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46">
        <f ca="1">VLOOKUP(C54,gacha_115_base!A:B,2,FALSE)</f>
        <v>71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2">
        <f t="shared" si="2"/>
        <v>117</v>
      </c>
      <c r="C55" s="10" t="str">
        <f t="shared" ca="1" si="1"/>
        <v>1PremiumN5green</v>
      </c>
      <c r="D55" s="6">
        <v>1</v>
      </c>
      <c r="E55" s="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6">
        <v>1</v>
      </c>
      <c r="M55" s="46">
        <f ca="1">VLOOKUP(C55,gacha_115_base!A:B,2,FALSE)</f>
        <v>71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2">
        <f t="shared" si="2"/>
        <v>117</v>
      </c>
      <c r="C56" s="10" t="str">
        <f t="shared" ca="1" si="1"/>
        <v>1PremiumN5yellow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46">
        <f ca="1">VLOOKUP(C56,gacha_115_base!A:B,2,FALSE)</f>
        <v>71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2">
        <f t="shared" si="2"/>
        <v>117</v>
      </c>
      <c r="C57" s="10" t="str">
        <f t="shared" ca="1" si="1"/>
        <v>1PremiumN5blue</v>
      </c>
      <c r="D57" s="38">
        <v>1</v>
      </c>
      <c r="E57" s="39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38">
        <v>1</v>
      </c>
      <c r="M57" s="46">
        <f ca="1">VLOOKUP(C57,gacha_115_base!A:B,2,FALSE)</f>
        <v>471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2">
        <f t="shared" si="2"/>
        <v>117</v>
      </c>
      <c r="C58" s="10" t="str">
        <f t="shared" ca="1" si="1"/>
        <v>1PremiumN5red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46">
        <f ca="1">VLOOKUP(C58,gacha_115_base!A:B,2,FALSE)</f>
        <v>71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2">
        <f t="shared" si="2"/>
        <v>117</v>
      </c>
      <c r="C59" s="10" t="str">
        <f t="shared" ca="1" si="1"/>
        <v>1PremiumN5green</v>
      </c>
      <c r="D59" s="6">
        <v>1</v>
      </c>
      <c r="E59" s="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6">
        <v>1</v>
      </c>
      <c r="M59" s="46">
        <f ca="1">VLOOKUP(C59,gacha_115_base!A:B,2,FALSE)</f>
        <v>71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2">
        <f t="shared" si="2"/>
        <v>117</v>
      </c>
      <c r="C60" s="10" t="str">
        <f t="shared" ca="1" si="1"/>
        <v>1PremiumN5blue</v>
      </c>
      <c r="D60" s="38">
        <v>1</v>
      </c>
      <c r="E60" s="39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38">
        <v>1</v>
      </c>
      <c r="M60" s="46">
        <f ca="1">VLOOKUP(C60,gacha_115_base!A:B,2,FALSE)</f>
        <v>471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2">
        <f t="shared" si="2"/>
        <v>117</v>
      </c>
      <c r="C61" s="10" t="str">
        <f t="shared" ca="1" si="1"/>
        <v>1PremiumN5yellow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46">
        <f ca="1">VLOOKUP(C61,gacha_115_base!A:B,2,FALSE)</f>
        <v>71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2">
        <f t="shared" si="2"/>
        <v>117</v>
      </c>
      <c r="C62" s="10" t="str">
        <f t="shared" ca="1" si="1"/>
        <v>1PremiumN5red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46">
        <f ca="1">VLOOKUP(C62,gacha_115_base!A:B,2,FALSE)</f>
        <v>71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2">
        <f t="shared" si="2"/>
        <v>117</v>
      </c>
      <c r="C63" s="10" t="str">
        <f t="shared" ca="1" si="1"/>
        <v>1PremiumN5green</v>
      </c>
      <c r="D63" s="6">
        <v>1</v>
      </c>
      <c r="E63" s="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6">
        <v>1</v>
      </c>
      <c r="M63" s="46">
        <f ca="1">VLOOKUP(C63,gacha_115_base!A:B,2,FALSE)</f>
        <v>71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2">
        <f t="shared" si="2"/>
        <v>117</v>
      </c>
      <c r="C64" s="10" t="str">
        <f t="shared" ca="1" si="1"/>
        <v>1PremiumN5blue</v>
      </c>
      <c r="D64" s="38">
        <v>1</v>
      </c>
      <c r="E64" s="39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38">
        <v>1</v>
      </c>
      <c r="M64" s="46">
        <f ca="1">VLOOKUP(C64,gacha_115_base!A:B,2,FALSE)</f>
        <v>471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2">
        <f t="shared" si="2"/>
        <v>117</v>
      </c>
      <c r="C65" s="10" t="str">
        <f t="shared" ca="1" si="1"/>
        <v>1PremiumN5yellow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46">
        <f ca="1">VLOOKUP(C65,gacha_115_base!A:B,2,FALSE)</f>
        <v>71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54" si="3">D66&amp;E66&amp;L66</f>
        <v>12281</v>
      </c>
      <c r="B66" s="2">
        <f t="shared" si="2"/>
        <v>117</v>
      </c>
      <c r="C66" s="10" t="str">
        <f t="shared" ca="1" si="1"/>
        <v>1PremiumS5red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46">
        <f ca="1">VLOOKUP(C66,gacha_115_base!A:B,2,FALSE)</f>
        <v>7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3"/>
        <v>12311</v>
      </c>
      <c r="B67" s="2">
        <f t="shared" si="2"/>
        <v>117</v>
      </c>
      <c r="C67" s="10" t="str">
        <f t="shared" ref="C67:C130" ca="1" si="4">D67&amp;G67&amp;H67&amp;I67</f>
        <v>1PremiumS5green</v>
      </c>
      <c r="D67" s="6">
        <v>1</v>
      </c>
      <c r="E67" s="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6">
        <v>1</v>
      </c>
      <c r="M67" s="46">
        <f ca="1">VLOOKUP(C67,gacha_115_base!A:B,2,FALSE)</f>
        <v>7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3"/>
        <v>12341</v>
      </c>
      <c r="B68" s="2">
        <f t="shared" ref="B68:B131" si="5">$B$2</f>
        <v>117</v>
      </c>
      <c r="C68" s="10" t="str">
        <f t="shared" ca="1" si="4"/>
        <v>1PremiumS5blue</v>
      </c>
      <c r="D68" s="38">
        <v>1</v>
      </c>
      <c r="E68" s="39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38">
        <v>1</v>
      </c>
      <c r="M68" s="46">
        <f ca="1">VLOOKUP(C68,gacha_115_base!A:B,2,FALSE)</f>
        <v>56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3"/>
        <v>12371</v>
      </c>
      <c r="B69" s="2">
        <f t="shared" si="5"/>
        <v>117</v>
      </c>
      <c r="C69" s="10" t="str">
        <f t="shared" ca="1" si="4"/>
        <v>1PremiumS5yellow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46">
        <f ca="1">VLOOKUP(C69,gacha_115_base!A:B,2,FALSE)</f>
        <v>7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3"/>
        <v>12391</v>
      </c>
      <c r="B70" s="2">
        <f t="shared" si="5"/>
        <v>117</v>
      </c>
      <c r="C70" s="10" t="str">
        <f t="shared" ca="1" si="4"/>
        <v>1PremiumS4red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46">
        <f ca="1">VLOOKUP(C70,gacha_115_base!A:B,2,FALSE)</f>
        <v>157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3"/>
        <v>12401</v>
      </c>
      <c r="B71" s="2">
        <f t="shared" si="5"/>
        <v>117</v>
      </c>
      <c r="C71" s="10" t="str">
        <f t="shared" ca="1" si="4"/>
        <v>1PremiumS5red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46">
        <f ca="1">VLOOKUP(C71,gacha_115_base!A:B,2,FALSE)</f>
        <v>7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3"/>
        <v>12421</v>
      </c>
      <c r="B72" s="2">
        <f t="shared" si="5"/>
        <v>117</v>
      </c>
      <c r="C72" s="10" t="str">
        <f t="shared" ca="1" si="4"/>
        <v>1PremiumS4green</v>
      </c>
      <c r="D72" s="6">
        <v>1</v>
      </c>
      <c r="E72" s="19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6">
        <v>1</v>
      </c>
      <c r="M72" s="46">
        <f ca="1">VLOOKUP(C72,gacha_115_base!A:B,2,FALSE)</f>
        <v>157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3"/>
        <v>12431</v>
      </c>
      <c r="B73" s="2">
        <f t="shared" si="5"/>
        <v>117</v>
      </c>
      <c r="C73" s="10" t="str">
        <f t="shared" ca="1" si="4"/>
        <v>1PremiumS5green</v>
      </c>
      <c r="D73" s="6">
        <v>1</v>
      </c>
      <c r="E73" s="19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6">
        <v>1</v>
      </c>
      <c r="M73" s="46">
        <f ca="1">VLOOKUP(C73,gacha_115_base!A:B,2,FALSE)</f>
        <v>7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3"/>
        <v>12451</v>
      </c>
      <c r="B74" s="2">
        <f t="shared" si="5"/>
        <v>117</v>
      </c>
      <c r="C74" s="10" t="str">
        <f t="shared" ca="1" si="4"/>
        <v>1PremiumS4blue</v>
      </c>
      <c r="D74" s="38">
        <v>1</v>
      </c>
      <c r="E74" s="40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38">
        <v>1</v>
      </c>
      <c r="M74" s="46">
        <f ca="1">VLOOKUP(C74,gacha_115_base!A:B,2,FALSE)</f>
        <v>1344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3"/>
        <v>12461</v>
      </c>
      <c r="B75" s="2">
        <f t="shared" si="5"/>
        <v>117</v>
      </c>
      <c r="C75" s="10" t="str">
        <f t="shared" ca="1" si="4"/>
        <v>1PremiumS5blue</v>
      </c>
      <c r="D75" s="38">
        <v>1</v>
      </c>
      <c r="E75" s="40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38">
        <v>1</v>
      </c>
      <c r="M75" s="46">
        <f ca="1">VLOOKUP(C75,gacha_115_base!A:B,2,FALSE)</f>
        <v>56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3"/>
        <v>12481</v>
      </c>
      <c r="B76" s="2">
        <f t="shared" si="5"/>
        <v>117</v>
      </c>
      <c r="C76" s="10" t="str">
        <f t="shared" ca="1" si="4"/>
        <v>1PremiumS4yellow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46">
        <f ca="1">VLOOKUP(C76,gacha_115_base!A:B,2,FALSE)</f>
        <v>157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3"/>
        <v>12491</v>
      </c>
      <c r="B77" s="2">
        <f t="shared" si="5"/>
        <v>117</v>
      </c>
      <c r="C77" s="10" t="str">
        <f t="shared" ca="1" si="4"/>
        <v>1PremiumS5yellow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46">
        <f ca="1">VLOOKUP(C77,gacha_115_base!A:B,2,FALSE)</f>
        <v>7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3"/>
        <v>12511</v>
      </c>
      <c r="B78" s="2">
        <f t="shared" si="5"/>
        <v>117</v>
      </c>
      <c r="C78" s="10" t="str">
        <f t="shared" ca="1" si="4"/>
        <v>1PremiumS4red</v>
      </c>
      <c r="D78" s="6">
        <v>1</v>
      </c>
      <c r="E78" s="7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46">
        <f ca="1">VLOOKUP(C78,gacha_115_base!A:B,2,FALSE)</f>
        <v>157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3"/>
        <v>12521</v>
      </c>
      <c r="B79" s="2">
        <f t="shared" si="5"/>
        <v>117</v>
      </c>
      <c r="C79" s="10" t="str">
        <f t="shared" ca="1" si="4"/>
        <v>1PremiumS5red</v>
      </c>
      <c r="D79" s="6">
        <v>1</v>
      </c>
      <c r="E79" s="7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46">
        <f ca="1">VLOOKUP(C79,gacha_115_base!A:B,2,FALSE)</f>
        <v>7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3"/>
        <v>12541</v>
      </c>
      <c r="B80" s="2">
        <f t="shared" si="5"/>
        <v>117</v>
      </c>
      <c r="C80" s="10" t="str">
        <f t="shared" ca="1" si="4"/>
        <v>1PremiumS4green</v>
      </c>
      <c r="D80" s="6">
        <v>1</v>
      </c>
      <c r="E80" s="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6">
        <v>1</v>
      </c>
      <c r="M80" s="46">
        <f ca="1">VLOOKUP(C80,gacha_115_base!A:B,2,FALSE)</f>
        <v>157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3"/>
        <v>12551</v>
      </c>
      <c r="B81" s="2">
        <f t="shared" si="5"/>
        <v>117</v>
      </c>
      <c r="C81" s="10" t="str">
        <f t="shared" ca="1" si="4"/>
        <v>1PremiumS5green</v>
      </c>
      <c r="D81" s="6">
        <v>1</v>
      </c>
      <c r="E81" s="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6">
        <v>1</v>
      </c>
      <c r="M81" s="46">
        <f ca="1">VLOOKUP(C81,gacha_115_base!A:B,2,FALSE)</f>
        <v>7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3"/>
        <v>12571</v>
      </c>
      <c r="B82" s="2">
        <f t="shared" si="5"/>
        <v>117</v>
      </c>
      <c r="C82" s="10" t="str">
        <f t="shared" ca="1" si="4"/>
        <v>1PremiumS4blue</v>
      </c>
      <c r="D82" s="38">
        <v>1</v>
      </c>
      <c r="E82" s="39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38">
        <v>1</v>
      </c>
      <c r="M82" s="46">
        <f ca="1">VLOOKUP(C82,gacha_115_base!A:B,2,FALSE)</f>
        <v>1344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3"/>
        <v>12581</v>
      </c>
      <c r="B83" s="2">
        <f t="shared" si="5"/>
        <v>117</v>
      </c>
      <c r="C83" s="10" t="str">
        <f t="shared" ca="1" si="4"/>
        <v>1PremiumS5blue</v>
      </c>
      <c r="D83" s="38">
        <v>1</v>
      </c>
      <c r="E83" s="39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38">
        <v>1</v>
      </c>
      <c r="M83" s="46">
        <f ca="1">VLOOKUP(C83,gacha_115_base!A:B,2,FALSE)</f>
        <v>56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3"/>
        <v>12601</v>
      </c>
      <c r="B84" s="2">
        <f t="shared" si="5"/>
        <v>117</v>
      </c>
      <c r="C84" s="10" t="str">
        <f t="shared" ca="1" si="4"/>
        <v>1PremiumS4yellow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46">
        <f ca="1">VLOOKUP(C84,gacha_115_base!A:B,2,FALSE)</f>
        <v>157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3"/>
        <v>12611</v>
      </c>
      <c r="B85" s="2">
        <f t="shared" si="5"/>
        <v>117</v>
      </c>
      <c r="C85" s="10" t="str">
        <f t="shared" ca="1" si="4"/>
        <v>1PremiumS5yellow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46">
        <f ca="1">VLOOKUP(C85,gacha_115_base!A:B,2,FALSE)</f>
        <v>7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3"/>
        <v>13201</v>
      </c>
      <c r="B86" s="2">
        <f t="shared" si="5"/>
        <v>117</v>
      </c>
      <c r="C86" s="10" t="str">
        <f t="shared" ca="1" si="4"/>
        <v>1PremiumSS4red</v>
      </c>
      <c r="D86" s="21">
        <v>1</v>
      </c>
      <c r="E86" s="27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21">
        <v>1</v>
      </c>
      <c r="M86" s="46">
        <f ca="1">VLOOKUP(C86,gacha_115_base!A:B,2,FALSE)</f>
        <v>108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3"/>
        <v>13211</v>
      </c>
      <c r="B87" s="2">
        <f t="shared" si="5"/>
        <v>117</v>
      </c>
      <c r="C87" s="10" t="str">
        <f t="shared" ca="1" si="4"/>
        <v>1PremiumSS5red</v>
      </c>
      <c r="D87" s="6">
        <v>1</v>
      </c>
      <c r="E87" s="7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46">
        <f ca="1">VLOOKUP(C87,gacha_115_base!A:B,2,FALSE)</f>
        <v>17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3"/>
        <v>13221</v>
      </c>
      <c r="B88" s="2">
        <f t="shared" si="5"/>
        <v>117</v>
      </c>
      <c r="C88" s="10" t="str">
        <f t="shared" ca="1" si="4"/>
        <v>1PremiumSS4green</v>
      </c>
      <c r="D88" s="6">
        <v>1</v>
      </c>
      <c r="E88" s="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6">
        <v>1</v>
      </c>
      <c r="M88" s="46">
        <f ca="1">VLOOKUP(C88,gacha_115_base!A:B,2,FALSE)</f>
        <v>108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3"/>
        <v>13231</v>
      </c>
      <c r="B89" s="2">
        <f t="shared" si="5"/>
        <v>117</v>
      </c>
      <c r="C89" s="10" t="str">
        <f t="shared" ca="1" si="4"/>
        <v>1PremiumSS5green</v>
      </c>
      <c r="D89" s="6">
        <v>1</v>
      </c>
      <c r="E89" s="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6">
        <v>1</v>
      </c>
      <c r="M89" s="46">
        <f ca="1">VLOOKUP(C89,gacha_115_base!A:B,2,FALSE)</f>
        <v>17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3"/>
        <v>13241</v>
      </c>
      <c r="B90" s="2">
        <f t="shared" si="5"/>
        <v>117</v>
      </c>
      <c r="C90" s="10" t="str">
        <f t="shared" ca="1" si="4"/>
        <v>1PremiumSS4blue</v>
      </c>
      <c r="D90" s="38">
        <v>1</v>
      </c>
      <c r="E90" s="39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38">
        <v>1</v>
      </c>
      <c r="M90" s="46">
        <f ca="1">VLOOKUP(C90,gacha_115_base!A:B,2,FALSE)</f>
        <v>383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3"/>
        <v>13251</v>
      </c>
      <c r="B91" s="2">
        <f t="shared" si="5"/>
        <v>117</v>
      </c>
      <c r="C91" s="10" t="str">
        <f t="shared" ca="1" si="4"/>
        <v>1PremiumSS5blue</v>
      </c>
      <c r="D91" s="38">
        <v>1</v>
      </c>
      <c r="E91" s="39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38">
        <v>1</v>
      </c>
      <c r="M91" s="46">
        <f ca="1">VLOOKUP(C91,gacha_115_base!A:B,2,FALSE)</f>
        <v>117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3"/>
        <v>13261</v>
      </c>
      <c r="B92" s="2">
        <f t="shared" si="5"/>
        <v>117</v>
      </c>
      <c r="C92" s="10" t="str">
        <f t="shared" ca="1" si="4"/>
        <v>1PremiumSS4yellow</v>
      </c>
      <c r="D92" s="31">
        <v>1</v>
      </c>
      <c r="E92" s="32">
        <v>326</v>
      </c>
      <c r="F92" s="33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33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33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33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33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33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31">
        <v>1</v>
      </c>
      <c r="M92" s="46">
        <f ca="1">VLOOKUP(C92,gacha_115_base!A:B,2,FALSE)</f>
        <v>108</v>
      </c>
      <c r="N92" s="34">
        <v>0</v>
      </c>
      <c r="O92" s="34">
        <v>0</v>
      </c>
      <c r="P92" s="34">
        <v>0</v>
      </c>
      <c r="Q92" s="34">
        <v>0</v>
      </c>
      <c r="R92" s="34">
        <v>1</v>
      </c>
    </row>
    <row r="93" spans="1:18" ht="21" customHeight="1" thickBot="1">
      <c r="A93" s="22" t="str">
        <f t="shared" si="3"/>
        <v>13271</v>
      </c>
      <c r="B93" s="2">
        <f t="shared" si="5"/>
        <v>117</v>
      </c>
      <c r="C93" s="10" t="str">
        <f t="shared" ca="1" si="4"/>
        <v>1PremiumSS5yellow</v>
      </c>
      <c r="D93" s="6">
        <v>1</v>
      </c>
      <c r="E93" s="7">
        <v>327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6">
        <v>1</v>
      </c>
      <c r="M93" s="46">
        <f ca="1">VLOOKUP(C93,gacha_115_base!A:B,2,FALSE)</f>
        <v>17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 thickBot="1">
      <c r="A94" s="22" t="str">
        <f t="shared" si="3"/>
        <v>13811</v>
      </c>
      <c r="B94" s="2">
        <f t="shared" si="5"/>
        <v>117</v>
      </c>
      <c r="C94" s="10" t="str">
        <f t="shared" ca="1" si="4"/>
        <v>1PremiumS4red</v>
      </c>
      <c r="D94" s="6">
        <v>1</v>
      </c>
      <c r="E94" s="27">
        <v>381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PremiumS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4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ドラゴン</v>
      </c>
      <c r="L94" s="6">
        <v>1</v>
      </c>
      <c r="M94" s="46">
        <f ca="1">VLOOKUP(C94,gacha_115_base!A:B,2,FALSE)</f>
        <v>157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 thickBot="1">
      <c r="A95" s="22" t="str">
        <f t="shared" si="3"/>
        <v>13821</v>
      </c>
      <c r="B95" s="2">
        <f t="shared" si="5"/>
        <v>117</v>
      </c>
      <c r="C95" s="10" t="str">
        <f t="shared" ca="1" si="4"/>
        <v>1PremiumS5red</v>
      </c>
      <c r="D95" s="6">
        <v>1</v>
      </c>
      <c r="E95" s="27">
        <v>382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PremiumS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red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ドラゴン</v>
      </c>
      <c r="L95" s="6">
        <v>1</v>
      </c>
      <c r="M95" s="46">
        <f ca="1">VLOOKUP(C95,gacha_115_base!A:B,2,FALSE)</f>
        <v>7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 thickBot="1">
      <c r="A96" s="22" t="str">
        <f t="shared" si="3"/>
        <v>13831</v>
      </c>
      <c r="B96" s="2">
        <f t="shared" si="5"/>
        <v>117</v>
      </c>
      <c r="C96" s="10" t="str">
        <f t="shared" ca="1" si="4"/>
        <v>1PremiumSS4green</v>
      </c>
      <c r="D96" s="6">
        <v>1</v>
      </c>
      <c r="E96" s="27">
        <v>383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4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6">
        <v>1</v>
      </c>
      <c r="M96" s="46">
        <f ca="1">VLOOKUP(C96,gacha_115_base!A:B,2,FALSE)</f>
        <v>108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 thickBot="1">
      <c r="A97" s="22" t="str">
        <f t="shared" si="3"/>
        <v>13841</v>
      </c>
      <c r="B97" s="2">
        <f t="shared" si="5"/>
        <v>117</v>
      </c>
      <c r="C97" s="10" t="str">
        <f t="shared" ca="1" si="4"/>
        <v>1PremiumSS5green</v>
      </c>
      <c r="D97" s="6">
        <v>1</v>
      </c>
      <c r="E97" s="27">
        <v>384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green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ドラゴン</v>
      </c>
      <c r="L97" s="6">
        <v>1</v>
      </c>
      <c r="M97" s="46">
        <f ca="1">VLOOKUP(C97,gacha_115_base!A:B,2,FALSE)</f>
        <v>17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 thickBot="1">
      <c r="A98" s="22" t="str">
        <f t="shared" si="3"/>
        <v>13851</v>
      </c>
      <c r="B98" s="2">
        <f t="shared" si="5"/>
        <v>117</v>
      </c>
      <c r="C98" s="10" t="str">
        <f ca="1">D98&amp;G98&amp;H98&amp;I98&amp;"pick"</f>
        <v>1PremiumSS4bluepick</v>
      </c>
      <c r="D98" s="38">
        <v>1</v>
      </c>
      <c r="E98" s="41">
        <v>385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PremiumSS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blue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38">
        <v>1</v>
      </c>
      <c r="M98" s="46">
        <f ca="1">VLOOKUP(C98,gacha_115_base!A:B,2,FALSE)</f>
        <v>840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 thickBot="1">
      <c r="A99" s="22" t="str">
        <f t="shared" si="3"/>
        <v>13861</v>
      </c>
      <c r="B99" s="2">
        <f t="shared" si="5"/>
        <v>117</v>
      </c>
      <c r="C99" s="10" t="str">
        <f ca="1">D99&amp;G99&amp;H99&amp;I99&amp;"pick"</f>
        <v>1PremiumSS5bluepick</v>
      </c>
      <c r="D99" s="42">
        <v>1</v>
      </c>
      <c r="E99" s="43">
        <v>386</v>
      </c>
      <c r="F99" s="33" t="str">
        <f ca="1">VLOOKUP($E99,OFFSET([1]characters!$A$2,0,0,COUNTA([1]characters!$A:$A),MATCH(F$1,[1]characters!$2:$2,0)-MATCH($E$1,[1]characters!$2:$2,0)+1),MATCH(F$1,[1]characters!$2:$2,0)-MATCH($E$1,[1]characters!$2:$2,0)+1,FALSE)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99" s="33" t="str">
        <f ca="1">VLOOKUP($E99,OFFSET([1]characters!$A$2,0,0,COUNTA([1]characters!$A:$A),MATCH(G$1,[1]characters!$2:$2,0)-MATCH($E$1,[1]characters!$2:$2,0)+1),MATCH(G$1,[1]characters!$2:$2,0)-MATCH($E$1,[1]characters!$2:$2,0)+1,FALSE)</f>
        <v>PremiumSS</v>
      </c>
      <c r="H99" s="33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33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33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33" t="str">
        <f ca="1">VLOOKUP($E99,OFFSET([1]characters!$A$2,0,0,COUNTA([1]characters!$A:$A),MATCH($K$1,[1]characters!$1:$1,0)-MATCH($E$1,[1]characters!$2:$2,0)+2),MATCH($K$1,[1]characters!$1:$1,0)-MATCH($E$1,[1]characters!$2:$2,0)+2,FALSE)</f>
        <v>ドラゴン</v>
      </c>
      <c r="L99" s="42">
        <v>1</v>
      </c>
      <c r="M99" s="46">
        <f ca="1">VLOOKUP(C99,gacha_115_base!A:B,2,FALSE)</f>
        <v>160</v>
      </c>
      <c r="N99" s="34">
        <v>0</v>
      </c>
      <c r="O99" s="34">
        <v>0</v>
      </c>
      <c r="P99" s="34">
        <v>0</v>
      </c>
      <c r="Q99" s="34">
        <v>0</v>
      </c>
      <c r="R99" s="34">
        <v>1</v>
      </c>
    </row>
    <row r="100" spans="1:18" ht="21" customHeight="1">
      <c r="A100" s="30" t="str">
        <f t="shared" si="3"/>
        <v>13881</v>
      </c>
      <c r="B100" s="2">
        <f t="shared" si="5"/>
        <v>117</v>
      </c>
      <c r="C100" s="10" t="str">
        <f t="shared" ca="1" si="4"/>
        <v>1PremiumS4yellow</v>
      </c>
      <c r="D100" s="31">
        <v>1</v>
      </c>
      <c r="E100" s="32">
        <v>388</v>
      </c>
      <c r="F100" s="33" t="str">
        <f ca="1">VLOOKUP($E100,OFFSET([1]characters!$A$2,0,0,COUNTA([1]characters!$A:$A),MATCH(F$1,[1]characters!$2:$2,0)-MATCH($E$1,[1]characters!$2:$2,0)+1),MATCH(F$1,[1]characters!$2:$2,0)-MATCH($E$1,[1]characters!$2:$2,0)+1,FALSE)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00" s="33" t="str">
        <f ca="1">VLOOKUP($E100,OFFSET([1]characters!$A$2,0,0,COUNTA([1]characters!$A:$A),MATCH(G$1,[1]characters!$2:$2,0)-MATCH($E$1,[1]characters!$2:$2,0)+1),MATCH(G$1,[1]characters!$2:$2,0)-MATCH($E$1,[1]characters!$2:$2,0)+1,FALSE)</f>
        <v>PremiumS</v>
      </c>
      <c r="H100" s="33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33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33" t="str">
        <f ca="1">VLOOKUP($E100,OFFSET([1]characters!$A$2,0,0,COUNTA([1]characters!$A:$A),MATCH("タイプ",[1]characters!$1:$1,0)-MATCH($E$1,[1]characters!$2:$2,0)+2),MATCH("タイプ",[1]characters!$1:$1,0)-MATCH($E$1,[1]characters!$2:$2,0)+2,FALSE)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0" s="33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31">
        <v>1</v>
      </c>
      <c r="M100" s="46">
        <f ca="1">VLOOKUP(C100,gacha_115_base!A:B,2,FALSE)</f>
        <v>157</v>
      </c>
      <c r="N100" s="34">
        <v>0</v>
      </c>
      <c r="O100" s="34">
        <v>0</v>
      </c>
      <c r="P100" s="34">
        <v>0</v>
      </c>
      <c r="Q100" s="34">
        <v>0</v>
      </c>
      <c r="R100" s="34">
        <v>1</v>
      </c>
    </row>
    <row r="101" spans="1:18" s="36" customFormat="1" ht="21" customHeight="1" thickBot="1">
      <c r="A101" s="35" t="str">
        <f t="shared" si="3"/>
        <v>13891</v>
      </c>
      <c r="B101" s="2">
        <f t="shared" si="5"/>
        <v>117</v>
      </c>
      <c r="C101" s="10" t="str">
        <f t="shared" ca="1" si="4"/>
        <v>1PremiumS5yellow</v>
      </c>
      <c r="D101" s="24">
        <v>1</v>
      </c>
      <c r="E101" s="25">
        <v>389</v>
      </c>
      <c r="F101" s="23" t="str">
        <f ca="1">VLOOKUP($E101,OFFSET([1]characters!$A$2,0,0,COUNTA([1]characters!$A:$A),MATCH(F$1,[1]characters!$2:$2,0)-MATCH($E$1,[1]characters!$2:$2,0)+1),MATCH(F$1,[1]characters!$2:$2,0)-MATCH($E$1,[1]characters!$2:$2,0)+1,FALSE)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01" s="23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23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23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23" t="str">
        <f ca="1">VLOOKUP($E101,OFFSET([1]characters!$A$2,0,0,COUNTA([1]characters!$A:$A),MATCH("タイプ",[1]characters!$1:$1,0)-MATCH($E$1,[1]characters!$2:$2,0)+2),MATCH("タイプ",[1]characters!$1:$1,0)-MATCH($E$1,[1]characters!$2:$2,0)+2,FALSE)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1" s="23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24">
        <v>1</v>
      </c>
      <c r="M101" s="46">
        <f ca="1">VLOOKUP(C101,gacha_115_base!A:B,2,FALSE)</f>
        <v>7</v>
      </c>
      <c r="N101" s="29">
        <v>0</v>
      </c>
      <c r="O101" s="29">
        <v>0</v>
      </c>
      <c r="P101" s="29">
        <v>0</v>
      </c>
      <c r="Q101" s="29">
        <v>0</v>
      </c>
      <c r="R101" s="29">
        <v>1</v>
      </c>
    </row>
    <row r="102" spans="1:18" ht="21" customHeight="1">
      <c r="A102" s="8" t="str">
        <f t="shared" si="3"/>
        <v>01261</v>
      </c>
      <c r="B102" s="2">
        <f t="shared" si="5"/>
        <v>117</v>
      </c>
      <c r="C102" s="10" t="str">
        <f t="shared" ca="1" si="4"/>
        <v>0PremiumW3red</v>
      </c>
      <c r="D102" s="21">
        <v>0</v>
      </c>
      <c r="E102" s="27">
        <v>126</v>
      </c>
      <c r="F102" s="20" t="str">
        <f ca="1">VLOOKUP($E102,OFFSET([1]characters!$A$2,0,0,COUNTA([1]characters!$A:$A),MATCH(F$1,[1]characters!$2:$2,0)-MATCH($E$1,[1]characters!$2:$2,0)+1),MATCH(F$1,[1]characters!$2:$2,0)-MATCH($E$1,[1]characters!$2:$2,0)+1,FALSE)</f>
        <v>骨器使い ユノ</v>
      </c>
      <c r="G102" s="2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2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2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20" t="str">
        <f ca="1">VLOOKUP($E102,OFFSET([1]characters!$A$2,0,0,COUNTA([1]characters!$A:$A),MATCH("タイプ",[1]characters!$1:$1,0)-MATCH($E$1,[1]characters!$2:$2,0)+2),MATCH("タイプ",[1]characters!$1:$1,0)-MATCH($E$1,[1]characters!$2:$2,0)+2,FALSE)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2" s="2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1">
        <v>1</v>
      </c>
      <c r="M102" s="46">
        <f ca="1">VLOOKUP(C102,gacha_115_base!A:B,2,FALSE)</f>
        <v>984</v>
      </c>
      <c r="N102" s="18">
        <v>0</v>
      </c>
      <c r="O102" s="18">
        <v>0</v>
      </c>
      <c r="P102" s="18">
        <v>0</v>
      </c>
      <c r="Q102" s="18">
        <v>0</v>
      </c>
      <c r="R102" s="18">
        <v>1</v>
      </c>
    </row>
    <row r="103" spans="1:18" ht="21" customHeight="1">
      <c r="A103" s="8" t="str">
        <f t="shared" si="3"/>
        <v>01281</v>
      </c>
      <c r="B103" s="2">
        <f t="shared" si="5"/>
        <v>117</v>
      </c>
      <c r="C103" s="10" t="str">
        <f t="shared" ca="1" si="4"/>
        <v>0PremiumW3green</v>
      </c>
      <c r="D103" s="21">
        <v>0</v>
      </c>
      <c r="E103" s="27">
        <v>128</v>
      </c>
      <c r="F103" s="20" t="str">
        <f ca="1">VLOOKUP($E103,OFFSET([1]characters!$A$2,0,0,COUNTA([1]characters!$A:$A),MATCH(F$1,[1]characters!$2:$2,0)-MATCH($E$1,[1]characters!$2:$2,0)+1),MATCH(F$1,[1]characters!$2:$2,0)-MATCH($E$1,[1]characters!$2:$2,0)+1,FALSE)</f>
        <v>野生児 アマラ</v>
      </c>
      <c r="G103" s="2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2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2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2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2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21">
        <v>1</v>
      </c>
      <c r="M103" s="46">
        <f ca="1">VLOOKUP(C103,gacha_115_base!A:B,2,FALSE)</f>
        <v>984</v>
      </c>
      <c r="N103" s="18">
        <v>0</v>
      </c>
      <c r="O103" s="18">
        <v>0</v>
      </c>
      <c r="P103" s="18">
        <v>0</v>
      </c>
      <c r="Q103" s="18">
        <v>0</v>
      </c>
      <c r="R103" s="18">
        <v>1</v>
      </c>
    </row>
    <row r="104" spans="1:18" ht="21" customHeight="1">
      <c r="A104" s="8" t="str">
        <f t="shared" si="3"/>
        <v>01301</v>
      </c>
      <c r="B104" s="2">
        <f t="shared" si="5"/>
        <v>117</v>
      </c>
      <c r="C104" s="10" t="str">
        <f t="shared" ca="1" si="4"/>
        <v>0PremiumW3blue</v>
      </c>
      <c r="D104" s="38">
        <v>0</v>
      </c>
      <c r="E104" s="39">
        <v>130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狼男 ローレンス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アニマル</v>
      </c>
      <c r="L104" s="38">
        <v>1</v>
      </c>
      <c r="M104" s="46">
        <f ca="1">VLOOKUP(C104,gacha_115_base!A:B,2,FALSE)</f>
        <v>6888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3"/>
        <v>01321</v>
      </c>
      <c r="B105" s="2">
        <f t="shared" si="5"/>
        <v>117</v>
      </c>
      <c r="C105" s="10" t="str">
        <f t="shared" ca="1" si="4"/>
        <v>0PremiumW3yellow</v>
      </c>
      <c r="D105" s="6">
        <v>0</v>
      </c>
      <c r="E105" s="7">
        <v>132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鳥人ハヤト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46">
        <f ca="1">VLOOKUP(C105,gacha_115_base!A:B,2,FALSE)</f>
        <v>984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3"/>
        <v>01341</v>
      </c>
      <c r="B106" s="2">
        <f t="shared" si="5"/>
        <v>117</v>
      </c>
      <c r="C106" s="10" t="str">
        <f t="shared" ca="1" si="4"/>
        <v>0PremiumW3red</v>
      </c>
      <c r="D106" s="6">
        <v>0</v>
      </c>
      <c r="E106" s="7">
        <v>134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妖炎の夕霧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46">
        <f ca="1">VLOOKUP(C106,gacha_115_base!A:B,2,FALSE)</f>
        <v>984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3"/>
        <v>01361</v>
      </c>
      <c r="B107" s="2">
        <f t="shared" si="5"/>
        <v>117</v>
      </c>
      <c r="C107" s="10" t="str">
        <f t="shared" ca="1" si="4"/>
        <v>0PremiumW3green</v>
      </c>
      <c r="D107" s="6">
        <v>0</v>
      </c>
      <c r="E107" s="7">
        <v>136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お針子チハヤ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46">
        <f ca="1">VLOOKUP(C107,gacha_115_base!A:B,2,FALSE)</f>
        <v>984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3"/>
        <v>01381</v>
      </c>
      <c r="B108" s="2">
        <f t="shared" si="5"/>
        <v>117</v>
      </c>
      <c r="C108" s="10" t="str">
        <f t="shared" ca="1" si="4"/>
        <v>0PremiumW3blue</v>
      </c>
      <c r="D108" s="38">
        <v>0</v>
      </c>
      <c r="E108" s="39">
        <v>138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蒼薙のトモエ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38">
        <v>1</v>
      </c>
      <c r="M108" s="46">
        <f ca="1">VLOOKUP(C108,gacha_115_base!A:B,2,FALSE)</f>
        <v>6888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3"/>
        <v>01401</v>
      </c>
      <c r="B109" s="2">
        <f t="shared" si="5"/>
        <v>117</v>
      </c>
      <c r="C109" s="10" t="str">
        <f t="shared" ca="1" si="4"/>
        <v>0PremiumW3yellow</v>
      </c>
      <c r="D109" s="6">
        <v>0</v>
      </c>
      <c r="E109" s="7">
        <v>140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秋祭のタマモ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アニマル</v>
      </c>
      <c r="L109" s="6">
        <v>1</v>
      </c>
      <c r="M109" s="46">
        <f ca="1">VLOOKUP(C109,gacha_115_base!A:B,2,FALSE)</f>
        <v>984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3"/>
        <v>01421</v>
      </c>
      <c r="B110" s="2">
        <f t="shared" si="5"/>
        <v>117</v>
      </c>
      <c r="C110" s="10" t="str">
        <f t="shared" ca="1" si="4"/>
        <v>0PremiumW3red</v>
      </c>
      <c r="D110" s="6">
        <v>0</v>
      </c>
      <c r="E110" s="7">
        <v>142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赤ずきん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46">
        <f ca="1">VLOOKUP(C110,gacha_115_base!A:B,2,FALSE)</f>
        <v>984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3"/>
        <v>01441</v>
      </c>
      <c r="B111" s="2">
        <f t="shared" si="5"/>
        <v>117</v>
      </c>
      <c r="C111" s="10" t="str">
        <f t="shared" ca="1" si="4"/>
        <v>0PremiumW3green</v>
      </c>
      <c r="D111" s="6">
        <v>0</v>
      </c>
      <c r="E111" s="7">
        <v>144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かぐや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6">
        <v>1</v>
      </c>
      <c r="M111" s="46">
        <f ca="1">VLOOKUP(C111,gacha_115_base!A:B,2,FALSE)</f>
        <v>984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3"/>
        <v>01461</v>
      </c>
      <c r="B112" s="2">
        <f t="shared" si="5"/>
        <v>117</v>
      </c>
      <c r="C112" s="10" t="str">
        <f t="shared" ca="1" si="4"/>
        <v>0PremiumW3blue</v>
      </c>
      <c r="D112" s="38">
        <v>0</v>
      </c>
      <c r="E112" s="39">
        <v>146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マーメイド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38">
        <v>1</v>
      </c>
      <c r="M112" s="46">
        <f ca="1">VLOOKUP(C112,gacha_115_base!A:B,2,FALSE)</f>
        <v>6888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3"/>
        <v>01481</v>
      </c>
      <c r="B113" s="2">
        <f t="shared" si="5"/>
        <v>117</v>
      </c>
      <c r="C113" s="10" t="str">
        <f t="shared" ca="1" si="4"/>
        <v>0PremiumW3yellow</v>
      </c>
      <c r="D113" s="6">
        <v>0</v>
      </c>
      <c r="E113" s="7">
        <v>148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シンデレラ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46">
        <f ca="1">VLOOKUP(C113,gacha_115_base!A:B,2,FALSE)</f>
        <v>984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3"/>
        <v>01501</v>
      </c>
      <c r="B114" s="2">
        <f t="shared" si="5"/>
        <v>117</v>
      </c>
      <c r="C114" s="10" t="str">
        <f t="shared" ca="1" si="4"/>
        <v>0PremiumW3red</v>
      </c>
      <c r="D114" s="6">
        <v>0</v>
      </c>
      <c r="E114" s="7">
        <v>150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46">
        <f ca="1">VLOOKUP(C114,gacha_115_base!A:B,2,FALSE)</f>
        <v>984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3"/>
        <v>01521</v>
      </c>
      <c r="B115" s="2">
        <f t="shared" si="5"/>
        <v>117</v>
      </c>
      <c r="C115" s="10" t="str">
        <f t="shared" ca="1" si="4"/>
        <v>0PremiumW3green</v>
      </c>
      <c r="D115" s="6">
        <v>0</v>
      </c>
      <c r="E115" s="7">
        <v>152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功夫少女ランラン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6">
        <v>1</v>
      </c>
      <c r="M115" s="46">
        <f ca="1">VLOOKUP(C115,gacha_115_base!A:B,2,FALSE)</f>
        <v>984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3"/>
        <v>01541</v>
      </c>
      <c r="B116" s="2">
        <f t="shared" si="5"/>
        <v>117</v>
      </c>
      <c r="C116" s="10" t="str">
        <f t="shared" ca="1" si="4"/>
        <v>0PremiumW3blue</v>
      </c>
      <c r="D116" s="38">
        <v>0</v>
      </c>
      <c r="E116" s="39">
        <v>154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始末屋 ハンナ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38">
        <v>1</v>
      </c>
      <c r="M116" s="46">
        <f ca="1">VLOOKUP(C116,gacha_115_base!A:B,2,FALSE)</f>
        <v>6888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3"/>
        <v>01561</v>
      </c>
      <c r="B117" s="2">
        <f t="shared" si="5"/>
        <v>117</v>
      </c>
      <c r="C117" s="10" t="str">
        <f t="shared" ca="1" si="4"/>
        <v>0PremiumW3yellow</v>
      </c>
      <c r="D117" s="6">
        <v>0</v>
      </c>
      <c r="E117" s="7">
        <v>156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踊り子 エレナ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46">
        <f ca="1">VLOOKUP(C117,gacha_115_base!A:B,2,FALSE)</f>
        <v>984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3"/>
        <v>01581</v>
      </c>
      <c r="B118" s="2">
        <f t="shared" si="5"/>
        <v>117</v>
      </c>
      <c r="C118" s="10" t="str">
        <f t="shared" ca="1" si="4"/>
        <v>0PremiumW3red</v>
      </c>
      <c r="D118" s="6">
        <v>0</v>
      </c>
      <c r="E118" s="7">
        <v>158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46">
        <f ca="1">VLOOKUP(C118,gacha_115_base!A:B,2,FALSE)</f>
        <v>984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3"/>
        <v>01601</v>
      </c>
      <c r="B119" s="2">
        <f t="shared" si="5"/>
        <v>117</v>
      </c>
      <c r="C119" s="10" t="str">
        <f t="shared" ca="1" si="4"/>
        <v>0PremiumW3green</v>
      </c>
      <c r="D119" s="6">
        <v>0</v>
      </c>
      <c r="E119" s="7">
        <v>160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反逆者 クリエ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6">
        <v>1</v>
      </c>
      <c r="M119" s="46">
        <f ca="1">VLOOKUP(C119,gacha_115_base!A:B,2,FALSE)</f>
        <v>984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3"/>
        <v>01621</v>
      </c>
      <c r="B120" s="2">
        <f t="shared" si="5"/>
        <v>117</v>
      </c>
      <c r="C120" s="10" t="str">
        <f t="shared" ca="1" si="4"/>
        <v>0PremiumW3blue</v>
      </c>
      <c r="D120" s="38">
        <v>0</v>
      </c>
      <c r="E120" s="39">
        <v>162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狂女 クララ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38">
        <v>1</v>
      </c>
      <c r="M120" s="46">
        <f ca="1">VLOOKUP(C120,gacha_115_base!A:B,2,FALSE)</f>
        <v>6888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3"/>
        <v>01641</v>
      </c>
      <c r="B121" s="2">
        <f t="shared" si="5"/>
        <v>117</v>
      </c>
      <c r="C121" s="10" t="str">
        <f t="shared" ca="1" si="4"/>
        <v>0PremiumW3yellow</v>
      </c>
      <c r="D121" s="6">
        <v>0</v>
      </c>
      <c r="E121" s="7">
        <v>164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イブとトモダチ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46">
        <f ca="1">VLOOKUP(C121,gacha_115_base!A:B,2,FALSE)</f>
        <v>984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3"/>
        <v>01661</v>
      </c>
      <c r="B122" s="2">
        <f t="shared" si="5"/>
        <v>117</v>
      </c>
      <c r="C122" s="10" t="str">
        <f t="shared" ca="1" si="4"/>
        <v>0PremiumN3red</v>
      </c>
      <c r="D122" s="6">
        <v>0</v>
      </c>
      <c r="E122" s="7">
        <v>166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ベリアル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ゴッド</v>
      </c>
      <c r="L122" s="6">
        <v>1</v>
      </c>
      <c r="M122" s="46">
        <f ca="1">VLOOKUP(C122,gacha_115_base!A:B,2,FALSE)</f>
        <v>1072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3"/>
        <v>01691</v>
      </c>
      <c r="B123" s="2">
        <f t="shared" si="5"/>
        <v>117</v>
      </c>
      <c r="C123" s="10" t="str">
        <f t="shared" ca="1" si="4"/>
        <v>0PremiumN3green</v>
      </c>
      <c r="D123" s="6">
        <v>0</v>
      </c>
      <c r="E123" s="7">
        <v>169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オセ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ゴッド</v>
      </c>
      <c r="L123" s="6">
        <v>1</v>
      </c>
      <c r="M123" s="46">
        <f ca="1">VLOOKUP(C123,gacha_115_base!A:B,2,FALSE)</f>
        <v>1072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3"/>
        <v>01721</v>
      </c>
      <c r="B124" s="2">
        <f t="shared" si="5"/>
        <v>117</v>
      </c>
      <c r="C124" s="10" t="str">
        <f t="shared" ca="1" si="4"/>
        <v>0PremiumN3blue</v>
      </c>
      <c r="D124" s="38">
        <v>0</v>
      </c>
      <c r="E124" s="39">
        <v>172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フォルネウス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38">
        <v>1</v>
      </c>
      <c r="M124" s="46">
        <f ca="1">VLOOKUP(C124,gacha_115_base!A:B,2,FALSE)</f>
        <v>7501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3"/>
        <v>01751</v>
      </c>
      <c r="B125" s="2">
        <f t="shared" si="5"/>
        <v>117</v>
      </c>
      <c r="C125" s="10" t="str">
        <f t="shared" ca="1" si="4"/>
        <v>0PremiumN3yellow</v>
      </c>
      <c r="D125" s="6">
        <v>0</v>
      </c>
      <c r="E125" s="7">
        <v>175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バフォメット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46">
        <f ca="1">VLOOKUP(C125,gacha_115_base!A:B,2,FALSE)</f>
        <v>1072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3"/>
        <v>01781</v>
      </c>
      <c r="B126" s="2">
        <f t="shared" si="5"/>
        <v>117</v>
      </c>
      <c r="C126" s="10" t="str">
        <f t="shared" ca="1" si="4"/>
        <v>0PremiumN3red</v>
      </c>
      <c r="D126" s="6">
        <v>0</v>
      </c>
      <c r="E126" s="7">
        <v>178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ケルベロス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アニマル</v>
      </c>
      <c r="L126" s="6">
        <v>1</v>
      </c>
      <c r="M126" s="46">
        <f ca="1">VLOOKUP(C126,gacha_115_base!A:B,2,FALSE)</f>
        <v>1072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3"/>
        <v>01811</v>
      </c>
      <c r="B127" s="2">
        <f t="shared" si="5"/>
        <v>117</v>
      </c>
      <c r="C127" s="10" t="str">
        <f t="shared" ca="1" si="4"/>
        <v>0PremiumN3green</v>
      </c>
      <c r="D127" s="6">
        <v>0</v>
      </c>
      <c r="E127" s="7">
        <v>181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ベヒモス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アニマル</v>
      </c>
      <c r="L127" s="6">
        <v>1</v>
      </c>
      <c r="M127" s="46">
        <f ca="1">VLOOKUP(C127,gacha_115_base!A:B,2,FALSE)</f>
        <v>1072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3"/>
        <v>01841</v>
      </c>
      <c r="B128" s="2">
        <f t="shared" si="5"/>
        <v>117</v>
      </c>
      <c r="C128" s="10" t="str">
        <f t="shared" ca="1" si="4"/>
        <v>0PremiumN3blue</v>
      </c>
      <c r="D128" s="38">
        <v>0</v>
      </c>
      <c r="E128" s="39">
        <v>184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クラーケン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38">
        <v>1</v>
      </c>
      <c r="M128" s="46">
        <f ca="1">VLOOKUP(C128,gacha_115_base!A:B,2,FALSE)</f>
        <v>7501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3"/>
        <v>01871</v>
      </c>
      <c r="B129" s="2">
        <f t="shared" si="5"/>
        <v>117</v>
      </c>
      <c r="C129" s="10" t="str">
        <f t="shared" ca="1" si="4"/>
        <v>0PremiumN3yellow</v>
      </c>
      <c r="D129" s="6">
        <v>0</v>
      </c>
      <c r="E129" s="7">
        <v>187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ホルス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46">
        <f ca="1">VLOOKUP(C129,gacha_115_base!A:B,2,FALSE)</f>
        <v>1072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3"/>
        <v>01901</v>
      </c>
      <c r="B130" s="2">
        <f t="shared" si="5"/>
        <v>117</v>
      </c>
      <c r="C130" s="10" t="str">
        <f t="shared" ca="1" si="4"/>
        <v>0PremiumN3red</v>
      </c>
      <c r="D130" s="6">
        <v>0</v>
      </c>
      <c r="E130" s="7">
        <v>190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卑弥呼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ヒューマン</v>
      </c>
      <c r="L130" s="6">
        <v>1</v>
      </c>
      <c r="M130" s="46">
        <f ca="1">VLOOKUP(C130,gacha_115_base!A:B,2,FALSE)</f>
        <v>1072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3"/>
        <v>01931</v>
      </c>
      <c r="B131" s="2">
        <f t="shared" si="5"/>
        <v>117</v>
      </c>
      <c r="C131" s="10" t="str">
        <f t="shared" ref="C131:C194" ca="1" si="6">D131&amp;G131&amp;H131&amp;I131</f>
        <v>0PremiumN3green</v>
      </c>
      <c r="D131" s="6">
        <v>0</v>
      </c>
      <c r="E131" s="7">
        <v>193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ロビンフッド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ヒューマン</v>
      </c>
      <c r="L131" s="6">
        <v>1</v>
      </c>
      <c r="M131" s="46">
        <f ca="1">VLOOKUP(C131,gacha_115_base!A:B,2,FALSE)</f>
        <v>1072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3"/>
        <v>01961</v>
      </c>
      <c r="B132" s="2">
        <f t="shared" ref="B132:B195" si="7">$B$2</f>
        <v>117</v>
      </c>
      <c r="C132" s="10" t="str">
        <f t="shared" ca="1" si="6"/>
        <v>0PremiumN3yellow</v>
      </c>
      <c r="D132" s="6">
        <v>0</v>
      </c>
      <c r="E132" s="7">
        <v>196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アキレス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yellow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46">
        <f ca="1">VLOOKUP(C132,gacha_115_base!A:B,2,FALSE)</f>
        <v>1072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3"/>
        <v>01991</v>
      </c>
      <c r="B133" s="2">
        <f t="shared" si="7"/>
        <v>117</v>
      </c>
      <c r="C133" s="10" t="str">
        <f t="shared" ca="1" si="6"/>
        <v>0PremiumN3blue</v>
      </c>
      <c r="D133" s="38">
        <v>0</v>
      </c>
      <c r="E133" s="39">
        <v>199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ジークフリート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38">
        <v>1</v>
      </c>
      <c r="M133" s="46">
        <f ca="1">VLOOKUP(C133,gacha_115_base!A:B,2,FALSE)</f>
        <v>7501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3"/>
        <v>02021</v>
      </c>
      <c r="B134" s="2">
        <f t="shared" si="7"/>
        <v>117</v>
      </c>
      <c r="C134" s="10" t="str">
        <f t="shared" ca="1" si="6"/>
        <v>0PremiumN3red</v>
      </c>
      <c r="D134" s="6">
        <v>0</v>
      </c>
      <c r="E134" s="7">
        <v>202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プロメテウス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46">
        <f ca="1">VLOOKUP(C134,gacha_115_base!A:B,2,FALSE)</f>
        <v>1072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3"/>
        <v>02051</v>
      </c>
      <c r="B135" s="2">
        <f t="shared" si="7"/>
        <v>117</v>
      </c>
      <c r="C135" s="10" t="str">
        <f t="shared" ca="1" si="6"/>
        <v>0PremiumN3green</v>
      </c>
      <c r="D135" s="6">
        <v>0</v>
      </c>
      <c r="E135" s="7">
        <v>205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アフロディーテ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ゴッド</v>
      </c>
      <c r="L135" s="6">
        <v>1</v>
      </c>
      <c r="M135" s="46">
        <f ca="1">VLOOKUP(C135,gacha_115_base!A:B,2,FALSE)</f>
        <v>1072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3"/>
        <v>02081</v>
      </c>
      <c r="B136" s="2">
        <f t="shared" si="7"/>
        <v>117</v>
      </c>
      <c r="C136" s="10" t="str">
        <f t="shared" ca="1" si="6"/>
        <v>0PremiumN3blue</v>
      </c>
      <c r="D136" s="38">
        <v>0</v>
      </c>
      <c r="E136" s="39">
        <v>208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テティス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38">
        <v>1</v>
      </c>
      <c r="M136" s="46">
        <f ca="1">VLOOKUP(C136,gacha_115_base!A:B,2,FALSE)</f>
        <v>7501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3"/>
        <v>02111</v>
      </c>
      <c r="B137" s="2">
        <f t="shared" si="7"/>
        <v>117</v>
      </c>
      <c r="C137" s="10" t="str">
        <f t="shared" ca="1" si="6"/>
        <v>0PremiumN3yellow</v>
      </c>
      <c r="D137" s="6">
        <v>0</v>
      </c>
      <c r="E137" s="7">
        <v>211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アストライアー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46">
        <f ca="1">VLOOKUP(C137,gacha_115_base!A:B,2,FALSE)</f>
        <v>1072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3"/>
        <v>02141</v>
      </c>
      <c r="B138" s="2">
        <f t="shared" si="7"/>
        <v>117</v>
      </c>
      <c r="C138" s="10" t="str">
        <f t="shared" ca="1" si="6"/>
        <v>0PremiumN3red</v>
      </c>
      <c r="D138" s="6">
        <v>0</v>
      </c>
      <c r="E138" s="7">
        <v>214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アズラエル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3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46">
        <f ca="1">VLOOKUP(C138,gacha_115_base!A:B,2,FALSE)</f>
        <v>1072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3"/>
        <v>02171</v>
      </c>
      <c r="B139" s="2">
        <f t="shared" si="7"/>
        <v>117</v>
      </c>
      <c r="C139" s="10" t="str">
        <f t="shared" ca="1" si="6"/>
        <v>0PremiumN3green</v>
      </c>
      <c r="D139" s="6">
        <v>0</v>
      </c>
      <c r="E139" s="7">
        <v>217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ケツァクアトル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3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6">
        <v>1</v>
      </c>
      <c r="M139" s="46">
        <f ca="1">VLOOKUP(C139,gacha_115_base!A:B,2,FALSE)</f>
        <v>1072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3"/>
        <v>02201</v>
      </c>
      <c r="B140" s="2">
        <f t="shared" si="7"/>
        <v>117</v>
      </c>
      <c r="C140" s="10" t="str">
        <f t="shared" ca="1" si="6"/>
        <v>0PremiumN3blue</v>
      </c>
      <c r="D140" s="38">
        <v>0</v>
      </c>
      <c r="E140" s="39">
        <v>220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ルキフグス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3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38">
        <v>1</v>
      </c>
      <c r="M140" s="46">
        <f ca="1">VLOOKUP(C140,gacha_115_base!A:B,2,FALSE)</f>
        <v>7501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3"/>
        <v>02231</v>
      </c>
      <c r="B141" s="2">
        <f t="shared" si="7"/>
        <v>117</v>
      </c>
      <c r="C141" s="10" t="str">
        <f t="shared" ca="1" si="6"/>
        <v>0PremiumN3yellow</v>
      </c>
      <c r="D141" s="6">
        <v>0</v>
      </c>
      <c r="E141" s="7">
        <v>223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ヘラクレス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3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46">
        <f ca="1">VLOOKUP(C141,gacha_115_base!A:B,2,FALSE)</f>
        <v>1072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3"/>
        <v>02261</v>
      </c>
      <c r="B142" s="2">
        <f t="shared" si="7"/>
        <v>117</v>
      </c>
      <c r="C142" s="10" t="str">
        <f t="shared" ca="1" si="6"/>
        <v>0PremiumS3red</v>
      </c>
      <c r="D142" s="6">
        <v>0</v>
      </c>
      <c r="E142" s="7">
        <v>226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アレス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PremiumS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3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46">
        <f ca="1">VLOOKUP(C142,gacha_115_base!A:B,2,FALSE)</f>
        <v>179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3"/>
        <v>02291</v>
      </c>
      <c r="B143" s="2">
        <f t="shared" si="7"/>
        <v>117</v>
      </c>
      <c r="C143" s="10" t="str">
        <f t="shared" ca="1" si="6"/>
        <v>0PremiumS3green</v>
      </c>
      <c r="D143" s="6">
        <v>0</v>
      </c>
      <c r="E143" s="7">
        <v>229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ヨルムンガンド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PremiumS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3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ドラゴン</v>
      </c>
      <c r="L143" s="6">
        <v>1</v>
      </c>
      <c r="M143" s="46">
        <f ca="1">VLOOKUP(C143,gacha_115_base!A:B,2,FALSE)</f>
        <v>179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3"/>
        <v>02321</v>
      </c>
      <c r="B144" s="2">
        <f t="shared" si="7"/>
        <v>117</v>
      </c>
      <c r="C144" s="10" t="str">
        <f t="shared" ca="1" si="6"/>
        <v>0PremiumS3blue</v>
      </c>
      <c r="D144" s="38">
        <v>0</v>
      </c>
      <c r="E144" s="39">
        <v>232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パーシヴァル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3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38">
        <v>1</v>
      </c>
      <c r="M144" s="46">
        <f ca="1">VLOOKUP(C144,gacha_115_base!A:B,2,FALSE)</f>
        <v>1531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3"/>
        <v>02351</v>
      </c>
      <c r="B145" s="2">
        <f t="shared" si="7"/>
        <v>117</v>
      </c>
      <c r="C145" s="10" t="str">
        <f t="shared" ca="1" si="6"/>
        <v>0PremiumS3yellow</v>
      </c>
      <c r="D145" s="6">
        <v>0</v>
      </c>
      <c r="E145" s="7">
        <v>235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3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6">
        <v>1</v>
      </c>
      <c r="M145" s="46">
        <f ca="1">VLOOKUP(C145,gacha_115_base!A:B,2,FALSE)</f>
        <v>179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3"/>
        <v>01271</v>
      </c>
      <c r="B146" s="2">
        <f t="shared" si="7"/>
        <v>117</v>
      </c>
      <c r="C146" s="10" t="str">
        <f t="shared" ca="1" si="6"/>
        <v>0PremiumW4red</v>
      </c>
      <c r="D146" s="6">
        <v>0</v>
      </c>
      <c r="E146" s="7">
        <v>127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狂喜の賢者 ユノ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46">
        <f ca="1">VLOOKUP(C146,gacha_115_base!A:B,2,FALSE)</f>
        <v>344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3"/>
        <v>01291</v>
      </c>
      <c r="B147" s="2">
        <f t="shared" si="7"/>
        <v>117</v>
      </c>
      <c r="C147" s="10" t="str">
        <f t="shared" ca="1" si="6"/>
        <v>0PremiumW4green</v>
      </c>
      <c r="D147" s="6">
        <v>0</v>
      </c>
      <c r="E147" s="7">
        <v>129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孤高の狼憑き アマラ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6">
        <v>1</v>
      </c>
      <c r="M147" s="46">
        <f ca="1">VLOOKUP(C147,gacha_115_base!A:B,2,FALSE)</f>
        <v>344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3"/>
        <v>01311</v>
      </c>
      <c r="B148" s="2">
        <f t="shared" si="7"/>
        <v>117</v>
      </c>
      <c r="C148" s="10" t="str">
        <f t="shared" ca="1" si="6"/>
        <v>0PremiumW4blue</v>
      </c>
      <c r="D148" s="38">
        <v>0</v>
      </c>
      <c r="E148" s="39">
        <v>131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アニマル</v>
      </c>
      <c r="L148" s="38">
        <v>1</v>
      </c>
      <c r="M148" s="46">
        <f ca="1">VLOOKUP(C148,gacha_115_base!A:B,2,FALSE)</f>
        <v>2372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3"/>
        <v>01331</v>
      </c>
      <c r="B149" s="2">
        <f t="shared" si="7"/>
        <v>117</v>
      </c>
      <c r="C149" s="10" t="str">
        <f t="shared" ca="1" si="6"/>
        <v>0PremiumW4yellow</v>
      </c>
      <c r="D149" s="6">
        <v>0</v>
      </c>
      <c r="E149" s="7">
        <v>133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迅雷の刀剣 ハヤト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46">
        <f ca="1">VLOOKUP(C149,gacha_115_base!A:B,2,FALSE)</f>
        <v>344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3"/>
        <v>01351</v>
      </c>
      <c r="B150" s="2">
        <f t="shared" si="7"/>
        <v>117</v>
      </c>
      <c r="C150" s="10" t="str">
        <f t="shared" ca="1" si="6"/>
        <v>0PremiumW4red</v>
      </c>
      <c r="D150" s="6">
        <v>0</v>
      </c>
      <c r="E150" s="7">
        <v>135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京の炎華夕霧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6">
        <v>1</v>
      </c>
      <c r="M150" s="46">
        <f ca="1">VLOOKUP(C150,gacha_115_base!A:B,2,FALSE)</f>
        <v>344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3"/>
        <v>01371</v>
      </c>
      <c r="B151" s="2">
        <f t="shared" si="7"/>
        <v>117</v>
      </c>
      <c r="C151" s="10" t="str">
        <f t="shared" ca="1" si="6"/>
        <v>0PremiumW4green</v>
      </c>
      <c r="D151" s="6">
        <v>0</v>
      </c>
      <c r="E151" s="7">
        <v>137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清福の仕立屋 チハヤ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6">
        <v>1</v>
      </c>
      <c r="M151" s="46">
        <f ca="1">VLOOKUP(C151,gacha_115_base!A:B,2,FALSE)</f>
        <v>344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3"/>
        <v>01391</v>
      </c>
      <c r="B152" s="2">
        <f t="shared" si="7"/>
        <v>117</v>
      </c>
      <c r="C152" s="10" t="str">
        <f t="shared" ca="1" si="6"/>
        <v>0PremiumW4blue</v>
      </c>
      <c r="D152" s="38">
        <v>0</v>
      </c>
      <c r="E152" s="39">
        <v>139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蒼昇刃姫 トモエ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38">
        <v>1</v>
      </c>
      <c r="M152" s="46">
        <f ca="1">VLOOKUP(C152,gacha_115_base!A:B,2,FALSE)</f>
        <v>2372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3"/>
        <v>01411</v>
      </c>
      <c r="B153" s="2">
        <f t="shared" si="7"/>
        <v>117</v>
      </c>
      <c r="C153" s="10" t="str">
        <f t="shared" ca="1" si="6"/>
        <v>0PremiumW4yellow</v>
      </c>
      <c r="D153" s="6">
        <v>0</v>
      </c>
      <c r="E153" s="7">
        <v>141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妖狐演舞 タマモ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6">
        <v>1</v>
      </c>
      <c r="M153" s="46">
        <f ca="1">VLOOKUP(C153,gacha_115_base!A:B,2,FALSE)</f>
        <v>344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3"/>
        <v>01431</v>
      </c>
      <c r="B154" s="2">
        <f t="shared" si="7"/>
        <v>117</v>
      </c>
      <c r="C154" s="10" t="str">
        <f t="shared" ca="1" si="6"/>
        <v>0PremiumW4red</v>
      </c>
      <c r="D154" s="6">
        <v>0</v>
      </c>
      <c r="E154" s="7">
        <v>143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深紅の死神 赤ずきん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6">
        <v>1</v>
      </c>
      <c r="M154" s="46">
        <f ca="1">VLOOKUP(C154,gacha_115_base!A:B,2,FALSE)</f>
        <v>344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ref="A155:A218" si="8">D155&amp;E155&amp;L155</f>
        <v>01451</v>
      </c>
      <c r="B155" s="2">
        <f t="shared" si="7"/>
        <v>117</v>
      </c>
      <c r="C155" s="10" t="str">
        <f t="shared" ca="1" si="6"/>
        <v>0PremiumW4green</v>
      </c>
      <c r="D155" s="6">
        <v>0</v>
      </c>
      <c r="E155" s="7">
        <v>145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魔性妖艶 かぐや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6">
        <v>1</v>
      </c>
      <c r="M155" s="46">
        <f ca="1">VLOOKUP(C155,gacha_115_base!A:B,2,FALSE)</f>
        <v>344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8"/>
        <v>01471</v>
      </c>
      <c r="B156" s="2">
        <f t="shared" si="7"/>
        <v>117</v>
      </c>
      <c r="C156" s="10" t="str">
        <f t="shared" ca="1" si="6"/>
        <v>0PremiumW4blue</v>
      </c>
      <c r="D156" s="38">
        <v>0</v>
      </c>
      <c r="E156" s="39">
        <v>147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38">
        <v>1</v>
      </c>
      <c r="M156" s="46">
        <f ca="1">VLOOKUP(C156,gacha_115_base!A:B,2,FALSE)</f>
        <v>2372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8"/>
        <v>01491</v>
      </c>
      <c r="B157" s="2">
        <f t="shared" si="7"/>
        <v>117</v>
      </c>
      <c r="C157" s="10" t="str">
        <f t="shared" ca="1" si="6"/>
        <v>0PremiumW4yellow</v>
      </c>
      <c r="D157" s="6">
        <v>0</v>
      </c>
      <c r="E157" s="7">
        <v>149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46">
        <f ca="1">VLOOKUP(C157,gacha_115_base!A:B,2,FALSE)</f>
        <v>344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8"/>
        <v>01511</v>
      </c>
      <c r="B158" s="2">
        <f t="shared" si="7"/>
        <v>117</v>
      </c>
      <c r="C158" s="10" t="str">
        <f t="shared" ca="1" si="6"/>
        <v>0PremiumW4red</v>
      </c>
      <c r="D158" s="6">
        <v>0</v>
      </c>
      <c r="E158" s="7">
        <v>151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毒煙の処刑人サキ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PremiumW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ヒューマン</v>
      </c>
      <c r="L158" s="6">
        <v>1</v>
      </c>
      <c r="M158" s="46">
        <f ca="1">VLOOKUP(C158,gacha_115_base!A:B,2,FALSE)</f>
        <v>344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8"/>
        <v>01531</v>
      </c>
      <c r="B159" s="2">
        <f t="shared" si="7"/>
        <v>117</v>
      </c>
      <c r="C159" s="10" t="str">
        <f t="shared" ca="1" si="6"/>
        <v>0PremiumW4green</v>
      </c>
      <c r="D159" s="6">
        <v>0</v>
      </c>
      <c r="E159" s="7">
        <v>153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拳聖ランラン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PremiumW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6">
        <v>1</v>
      </c>
      <c r="M159" s="46">
        <f ca="1">VLOOKUP(C159,gacha_115_base!A:B,2,FALSE)</f>
        <v>344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8"/>
        <v>01551</v>
      </c>
      <c r="B160" s="2">
        <f t="shared" si="7"/>
        <v>117</v>
      </c>
      <c r="C160" s="10" t="str">
        <f t="shared" ca="1" si="6"/>
        <v>0PremiumW4blue</v>
      </c>
      <c r="D160" s="38">
        <v>0</v>
      </c>
      <c r="E160" s="39">
        <v>155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隻眼の掃除屋 ハンナ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PremiumW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38">
        <v>1</v>
      </c>
      <c r="M160" s="46">
        <f ca="1">VLOOKUP(C160,gacha_115_base!A:B,2,FALSE)</f>
        <v>2372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8"/>
        <v>01571</v>
      </c>
      <c r="B161" s="2">
        <f t="shared" si="7"/>
        <v>117</v>
      </c>
      <c r="C161" s="10" t="str">
        <f t="shared" ca="1" si="6"/>
        <v>0PremiumW4yellow</v>
      </c>
      <c r="D161" s="6">
        <v>0</v>
      </c>
      <c r="E161" s="7">
        <v>157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雷光舞姫 エレナ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PremiumW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ヒューマン</v>
      </c>
      <c r="L161" s="6">
        <v>1</v>
      </c>
      <c r="M161" s="46">
        <f ca="1">VLOOKUP(C161,gacha_115_base!A:B,2,FALSE)</f>
        <v>344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8"/>
        <v>01591</v>
      </c>
      <c r="B162" s="2">
        <f t="shared" si="7"/>
        <v>117</v>
      </c>
      <c r="C162" s="10" t="str">
        <f t="shared" ca="1" si="6"/>
        <v>0PremiumW4red</v>
      </c>
      <c r="D162" s="6">
        <v>0</v>
      </c>
      <c r="E162" s="7">
        <v>159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PremiumW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ヒューマン</v>
      </c>
      <c r="L162" s="6">
        <v>1</v>
      </c>
      <c r="M162" s="46">
        <f ca="1">VLOOKUP(C162,gacha_115_base!A:B,2,FALSE)</f>
        <v>344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8"/>
        <v>01611</v>
      </c>
      <c r="B163" s="2">
        <f t="shared" si="7"/>
        <v>117</v>
      </c>
      <c r="C163" s="10" t="str">
        <f t="shared" ca="1" si="6"/>
        <v>0PremiumW4green</v>
      </c>
      <c r="D163" s="6">
        <v>0</v>
      </c>
      <c r="E163" s="7">
        <v>161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咆哮の先導者 クリエ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PremiumW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ヒューマン</v>
      </c>
      <c r="L163" s="6">
        <v>1</v>
      </c>
      <c r="M163" s="46">
        <f ca="1">VLOOKUP(C163,gacha_115_base!A:B,2,FALSE)</f>
        <v>344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8"/>
        <v>01631</v>
      </c>
      <c r="B164" s="2">
        <f t="shared" si="7"/>
        <v>117</v>
      </c>
      <c r="C164" s="10" t="str">
        <f t="shared" ca="1" si="6"/>
        <v>0PremiumW4blue</v>
      </c>
      <c r="D164" s="38">
        <v>0</v>
      </c>
      <c r="E164" s="39">
        <v>163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冷酷な狂嬢 クララ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PremiumW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ヒューマン</v>
      </c>
      <c r="L164" s="38">
        <v>1</v>
      </c>
      <c r="M164" s="46">
        <f ca="1">VLOOKUP(C164,gacha_115_base!A:B,2,FALSE)</f>
        <v>2372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8"/>
        <v>01651</v>
      </c>
      <c r="B165" s="2">
        <f t="shared" si="7"/>
        <v>117</v>
      </c>
      <c r="C165" s="10" t="str">
        <f t="shared" ca="1" si="6"/>
        <v>0PremiumW4yellow</v>
      </c>
      <c r="D165" s="6">
        <v>0</v>
      </c>
      <c r="E165" s="7">
        <v>165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PremiumW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6">
        <v>1</v>
      </c>
      <c r="M165" s="46">
        <f ca="1">VLOOKUP(C165,gacha_115_base!A:B,2,FALSE)</f>
        <v>344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8"/>
        <v>01671</v>
      </c>
      <c r="B166" s="2">
        <f t="shared" si="7"/>
        <v>117</v>
      </c>
      <c r="C166" s="10" t="str">
        <f t="shared" ca="1" si="6"/>
        <v>0PremiumN4red</v>
      </c>
      <c r="D166" s="6">
        <v>0</v>
      </c>
      <c r="E166" s="7">
        <v>167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逆徒 ベリアル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ゴッド</v>
      </c>
      <c r="L166" s="6">
        <v>1</v>
      </c>
      <c r="M166" s="46">
        <f ca="1">VLOOKUP(C166,gacha_115_base!A:B,2,FALSE)</f>
        <v>337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8"/>
        <v>01701</v>
      </c>
      <c r="B167" s="2">
        <f t="shared" si="7"/>
        <v>117</v>
      </c>
      <c r="C167" s="10" t="str">
        <f t="shared" ca="1" si="6"/>
        <v>0PremiumN4green</v>
      </c>
      <c r="D167" s="6">
        <v>0</v>
      </c>
      <c r="E167" s="7">
        <v>170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識徒 オセ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ゴッド</v>
      </c>
      <c r="L167" s="6">
        <v>1</v>
      </c>
      <c r="M167" s="46">
        <f ca="1">VLOOKUP(C167,gacha_115_base!A:B,2,FALSE)</f>
        <v>337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8"/>
        <v>01731</v>
      </c>
      <c r="B168" s="2">
        <f t="shared" si="7"/>
        <v>117</v>
      </c>
      <c r="C168" s="10" t="str">
        <f t="shared" ca="1" si="6"/>
        <v>0PremiumN4blue</v>
      </c>
      <c r="D168" s="38">
        <v>0</v>
      </c>
      <c r="E168" s="39">
        <v>173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公爵 フォルネウス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ゴッド</v>
      </c>
      <c r="L168" s="38">
        <v>1</v>
      </c>
      <c r="M168" s="46">
        <f ca="1">VLOOKUP(C168,gacha_115_base!A:B,2,FALSE)</f>
        <v>2293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8"/>
        <v>01761</v>
      </c>
      <c r="B169" s="2">
        <f t="shared" si="7"/>
        <v>117</v>
      </c>
      <c r="C169" s="10" t="str">
        <f t="shared" ca="1" si="6"/>
        <v>0PremiumN4yellow</v>
      </c>
      <c r="D169" s="6">
        <v>0</v>
      </c>
      <c r="E169" s="7">
        <v>176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異教徒 バフォメット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ゴッド</v>
      </c>
      <c r="L169" s="6">
        <v>1</v>
      </c>
      <c r="M169" s="46">
        <f ca="1">VLOOKUP(C169,gacha_115_base!A:B,2,FALSE)</f>
        <v>337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8"/>
        <v>01791</v>
      </c>
      <c r="B170" s="2">
        <f t="shared" si="7"/>
        <v>117</v>
      </c>
      <c r="C170" s="10" t="str">
        <f t="shared" ca="1" si="6"/>
        <v>0PremiumN4red</v>
      </c>
      <c r="D170" s="6">
        <v>0</v>
      </c>
      <c r="E170" s="7">
        <v>179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番犬 ケルベロス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アニマル</v>
      </c>
      <c r="L170" s="6">
        <v>1</v>
      </c>
      <c r="M170" s="46">
        <f ca="1">VLOOKUP(C170,gacha_115_base!A:B,2,FALSE)</f>
        <v>337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8"/>
        <v>01821</v>
      </c>
      <c r="B171" s="2">
        <f t="shared" si="7"/>
        <v>117</v>
      </c>
      <c r="C171" s="10" t="str">
        <f t="shared" ca="1" si="6"/>
        <v>0PremiumN4green</v>
      </c>
      <c r="D171" s="6">
        <v>0</v>
      </c>
      <c r="E171" s="7">
        <v>182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放蕩者 ベヒモス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アニマル</v>
      </c>
      <c r="L171" s="6">
        <v>1</v>
      </c>
      <c r="M171" s="46">
        <f ca="1">VLOOKUP(C171,gacha_115_base!A:B,2,FALSE)</f>
        <v>337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8"/>
        <v>01851</v>
      </c>
      <c r="B172" s="2">
        <f t="shared" si="7"/>
        <v>117</v>
      </c>
      <c r="C172" s="10" t="str">
        <f t="shared" ca="1" si="6"/>
        <v>0PremiumN4blue</v>
      </c>
      <c r="D172" s="38">
        <v>0</v>
      </c>
      <c r="E172" s="39">
        <v>185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海姫 クラーケン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アニマル</v>
      </c>
      <c r="L172" s="38">
        <v>1</v>
      </c>
      <c r="M172" s="46">
        <f ca="1">VLOOKUP(C172,gacha_115_base!A:B,2,FALSE)</f>
        <v>2293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8"/>
        <v>01881</v>
      </c>
      <c r="B173" s="2">
        <f t="shared" si="7"/>
        <v>117</v>
      </c>
      <c r="C173" s="10" t="str">
        <f t="shared" ca="1" si="6"/>
        <v>0PremiumN4yellow</v>
      </c>
      <c r="D173" s="6">
        <v>0</v>
      </c>
      <c r="E173" s="7">
        <v>188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猛禽 ホルス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アニマル</v>
      </c>
      <c r="L173" s="6">
        <v>1</v>
      </c>
      <c r="M173" s="46">
        <f ca="1">VLOOKUP(C173,gacha_115_base!A:B,2,FALSE)</f>
        <v>337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8"/>
        <v>01911</v>
      </c>
      <c r="B174" s="2">
        <f t="shared" si="7"/>
        <v>117</v>
      </c>
      <c r="C174" s="10" t="str">
        <f t="shared" ca="1" si="6"/>
        <v>0PremiumN4red</v>
      </c>
      <c r="D174" s="6">
        <v>0</v>
      </c>
      <c r="E174" s="7">
        <v>191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始祖 卑弥呼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ヒューマン</v>
      </c>
      <c r="L174" s="6">
        <v>1</v>
      </c>
      <c r="M174" s="46">
        <f ca="1">VLOOKUP(C174,gacha_115_base!A:B,2,FALSE)</f>
        <v>337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8"/>
        <v>01941</v>
      </c>
      <c r="B175" s="2">
        <f t="shared" si="7"/>
        <v>117</v>
      </c>
      <c r="C175" s="10" t="str">
        <f t="shared" ca="1" si="6"/>
        <v>0PremiumN4green</v>
      </c>
      <c r="D175" s="6">
        <v>0</v>
      </c>
      <c r="E175" s="7">
        <v>194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ヒューマン</v>
      </c>
      <c r="L175" s="6">
        <v>1</v>
      </c>
      <c r="M175" s="46">
        <f ca="1">VLOOKUP(C175,gacha_115_base!A:B,2,FALSE)</f>
        <v>337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8"/>
        <v>01971</v>
      </c>
      <c r="B176" s="2">
        <f t="shared" si="7"/>
        <v>117</v>
      </c>
      <c r="C176" s="10" t="str">
        <f t="shared" ca="1" si="6"/>
        <v>0PremiumN4yellow</v>
      </c>
      <c r="D176" s="6">
        <v>0</v>
      </c>
      <c r="E176" s="7">
        <v>197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鉄腕 アキレス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yellow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ヒューマン</v>
      </c>
      <c r="L176" s="6">
        <v>1</v>
      </c>
      <c r="M176" s="46">
        <f ca="1">VLOOKUP(C176,gacha_115_base!A:B,2,FALSE)</f>
        <v>337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8"/>
        <v>02001</v>
      </c>
      <c r="B177" s="2">
        <f t="shared" si="7"/>
        <v>117</v>
      </c>
      <c r="C177" s="10" t="str">
        <f t="shared" ca="1" si="6"/>
        <v>0PremiumN4blue</v>
      </c>
      <c r="D177" s="38">
        <v>0</v>
      </c>
      <c r="E177" s="39">
        <v>200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blue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38">
        <v>1</v>
      </c>
      <c r="M177" s="46">
        <f ca="1">VLOOKUP(C177,gacha_115_base!A:B,2,FALSE)</f>
        <v>2293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8"/>
        <v>02031</v>
      </c>
      <c r="B178" s="2">
        <f t="shared" si="7"/>
        <v>117</v>
      </c>
      <c r="C178" s="10" t="str">
        <f t="shared" ca="1" si="6"/>
        <v>0PremiumN4red</v>
      </c>
      <c r="D178" s="6">
        <v>0</v>
      </c>
      <c r="E178" s="7">
        <v>203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焔神 プロメテウス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6">
        <v>1</v>
      </c>
      <c r="M178" s="46">
        <f ca="1">VLOOKUP(C178,gacha_115_base!A:B,2,FALSE)</f>
        <v>337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8"/>
        <v>02061</v>
      </c>
      <c r="B179" s="2">
        <f t="shared" si="7"/>
        <v>117</v>
      </c>
      <c r="C179" s="10" t="str">
        <f t="shared" ca="1" si="6"/>
        <v>0PremiumN4green</v>
      </c>
      <c r="D179" s="6">
        <v>0</v>
      </c>
      <c r="E179" s="7">
        <v>206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美神 アフロディーテ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ゴッド</v>
      </c>
      <c r="L179" s="6">
        <v>1</v>
      </c>
      <c r="M179" s="46">
        <f ca="1">VLOOKUP(C179,gacha_115_base!A:B,2,FALSE)</f>
        <v>337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8"/>
        <v>02091</v>
      </c>
      <c r="B180" s="2">
        <f t="shared" si="7"/>
        <v>117</v>
      </c>
      <c r="C180" s="10" t="str">
        <f t="shared" ca="1" si="6"/>
        <v>0PremiumN4blue</v>
      </c>
      <c r="D180" s="38">
        <v>0</v>
      </c>
      <c r="E180" s="39">
        <v>209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孤神 テティス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ゴッド</v>
      </c>
      <c r="L180" s="38">
        <v>1</v>
      </c>
      <c r="M180" s="46">
        <f ca="1">VLOOKUP(C180,gacha_115_base!A:B,2,FALSE)</f>
        <v>2293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8"/>
        <v>02121</v>
      </c>
      <c r="B181" s="2">
        <f t="shared" si="7"/>
        <v>117</v>
      </c>
      <c r="C181" s="10" t="str">
        <f t="shared" ca="1" si="6"/>
        <v>0PremiumN4yellow</v>
      </c>
      <c r="D181" s="6">
        <v>0</v>
      </c>
      <c r="E181" s="7">
        <v>212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星神 アストライアー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46">
        <f ca="1">VLOOKUP(C181,gacha_115_base!A:B,2,FALSE)</f>
        <v>337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8"/>
        <v>02151</v>
      </c>
      <c r="B182" s="2">
        <f t="shared" si="7"/>
        <v>117</v>
      </c>
      <c r="C182" s="10" t="str">
        <f t="shared" ca="1" si="6"/>
        <v>0PremiumN4red</v>
      </c>
      <c r="D182" s="6">
        <v>0</v>
      </c>
      <c r="E182" s="7">
        <v>215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死導者 アズラエル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4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6">
        <v>1</v>
      </c>
      <c r="M182" s="46">
        <f ca="1">VLOOKUP(C182,gacha_115_base!A:B,2,FALSE)</f>
        <v>337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8"/>
        <v>02181</v>
      </c>
      <c r="B183" s="2">
        <f t="shared" si="7"/>
        <v>117</v>
      </c>
      <c r="C183" s="10" t="str">
        <f t="shared" ca="1" si="6"/>
        <v>0PremiumN4green</v>
      </c>
      <c r="D183" s="6">
        <v>0</v>
      </c>
      <c r="E183" s="7">
        <v>218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聖蛇 ケツァクアトル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4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ドラゴン</v>
      </c>
      <c r="L183" s="6">
        <v>1</v>
      </c>
      <c r="M183" s="46">
        <f ca="1">VLOOKUP(C183,gacha_115_base!A:B,2,FALSE)</f>
        <v>337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8"/>
        <v>02211</v>
      </c>
      <c r="B184" s="2">
        <f t="shared" si="7"/>
        <v>117</v>
      </c>
      <c r="C184" s="10" t="str">
        <f t="shared" ca="1" si="6"/>
        <v>0PremiumN4blue</v>
      </c>
      <c r="D184" s="38">
        <v>0</v>
      </c>
      <c r="E184" s="39">
        <v>221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宰相 ルキフグス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4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38">
        <v>1</v>
      </c>
      <c r="M184" s="46">
        <f ca="1">VLOOKUP(C184,gacha_115_base!A:B,2,FALSE)</f>
        <v>2293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8"/>
        <v>02241</v>
      </c>
      <c r="B185" s="2">
        <f t="shared" si="7"/>
        <v>117</v>
      </c>
      <c r="C185" s="10" t="str">
        <f t="shared" ca="1" si="6"/>
        <v>0PremiumN4yellow</v>
      </c>
      <c r="D185" s="6">
        <v>0</v>
      </c>
      <c r="E185" s="7">
        <v>224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巨腕 ヘラクレス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4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ヒューマン</v>
      </c>
      <c r="L185" s="6">
        <v>1</v>
      </c>
      <c r="M185" s="46">
        <f ca="1">VLOOKUP(C185,gacha_115_base!A:B,2,FALSE)</f>
        <v>337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8"/>
        <v>02271</v>
      </c>
      <c r="B186" s="2">
        <f t="shared" si="7"/>
        <v>117</v>
      </c>
      <c r="C186" s="10" t="str">
        <f t="shared" ca="1" si="6"/>
        <v>0PremiumS4red</v>
      </c>
      <c r="D186" s="6">
        <v>0</v>
      </c>
      <c r="E186" s="7">
        <v>227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滅弾 アレス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PremiumS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4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ゴッド</v>
      </c>
      <c r="L186" s="6">
        <v>1</v>
      </c>
      <c r="M186" s="46">
        <f ca="1">VLOOKUP(C186,gacha_115_base!A:B,2,FALSE)</f>
        <v>63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8"/>
        <v>02301</v>
      </c>
      <c r="B187" s="2">
        <f t="shared" si="7"/>
        <v>117</v>
      </c>
      <c r="C187" s="10" t="str">
        <f t="shared" ca="1" si="6"/>
        <v>0PremiumS4green</v>
      </c>
      <c r="D187" s="6">
        <v>0</v>
      </c>
      <c r="E187" s="7">
        <v>230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毒銃 ヨルムンガンド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PremiumS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4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ドラゴン</v>
      </c>
      <c r="L187" s="6">
        <v>1</v>
      </c>
      <c r="M187" s="46">
        <f ca="1">VLOOKUP(C187,gacha_115_base!A:B,2,FALSE)</f>
        <v>63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8"/>
        <v>02331</v>
      </c>
      <c r="B188" s="2">
        <f t="shared" si="7"/>
        <v>117</v>
      </c>
      <c r="C188" s="10" t="str">
        <f t="shared" ca="1" si="6"/>
        <v>0PremiumS4blue</v>
      </c>
      <c r="D188" s="38">
        <v>0</v>
      </c>
      <c r="E188" s="39">
        <v>233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遂行 パーシヴァル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PremiumS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4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ヒューマン</v>
      </c>
      <c r="L188" s="38">
        <v>1</v>
      </c>
      <c r="M188" s="46">
        <f ca="1">VLOOKUP(C188,gacha_115_base!A:B,2,FALSE)</f>
        <v>539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8"/>
        <v>02361</v>
      </c>
      <c r="B189" s="2">
        <f t="shared" si="7"/>
        <v>117</v>
      </c>
      <c r="C189" s="10" t="str">
        <f t="shared" ca="1" si="6"/>
        <v>0PremiumS4yellow</v>
      </c>
      <c r="D189" s="6">
        <v>0</v>
      </c>
      <c r="E189" s="7">
        <v>236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神産 イザナミ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PremiumS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4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6">
        <v>1</v>
      </c>
      <c r="M189" s="46">
        <f ca="1">VLOOKUP(C189,gacha_115_base!A:B,2,FALSE)</f>
        <v>63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8"/>
        <v>01681</v>
      </c>
      <c r="B190" s="2">
        <f t="shared" si="7"/>
        <v>117</v>
      </c>
      <c r="C190" s="10" t="str">
        <f t="shared" ca="1" si="6"/>
        <v>0PremiumN5red</v>
      </c>
      <c r="D190" s="6">
        <v>0</v>
      </c>
      <c r="E190" s="7">
        <v>168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ゴッド</v>
      </c>
      <c r="L190" s="6">
        <v>1</v>
      </c>
      <c r="M190" s="46">
        <f ca="1">VLOOKUP(C190,gacha_115_base!A:B,2,FALSE)</f>
        <v>108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8"/>
        <v>01711</v>
      </c>
      <c r="B191" s="2">
        <f t="shared" si="7"/>
        <v>117</v>
      </c>
      <c r="C191" s="10" t="str">
        <f t="shared" ca="1" si="6"/>
        <v>0PremiumN5green</v>
      </c>
      <c r="D191" s="6">
        <v>0</v>
      </c>
      <c r="E191" s="7">
        <v>171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精解の預知者 オセ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6">
        <v>1</v>
      </c>
      <c r="M191" s="46">
        <f ca="1">VLOOKUP(C191,gacha_115_base!A:B,2,FALSE)</f>
        <v>108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8"/>
        <v>01741</v>
      </c>
      <c r="B192" s="2">
        <f t="shared" si="7"/>
        <v>117</v>
      </c>
      <c r="C192" s="10" t="str">
        <f t="shared" ca="1" si="6"/>
        <v>0PremiumN5blue</v>
      </c>
      <c r="D192" s="38">
        <v>0</v>
      </c>
      <c r="E192" s="39">
        <v>174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blue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ゴッド</v>
      </c>
      <c r="L192" s="38">
        <v>1</v>
      </c>
      <c r="M192" s="46">
        <f ca="1">VLOOKUP(C192,gacha_115_base!A:B,2,FALSE)</f>
        <v>751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8"/>
        <v>01771</v>
      </c>
      <c r="B193" s="2">
        <f t="shared" si="7"/>
        <v>117</v>
      </c>
      <c r="C193" s="10" t="str">
        <f t="shared" ca="1" si="6"/>
        <v>0PremiumN5yellow</v>
      </c>
      <c r="D193" s="6">
        <v>0</v>
      </c>
      <c r="E193" s="7">
        <v>177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yellow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ゴッド</v>
      </c>
      <c r="L193" s="6">
        <v>1</v>
      </c>
      <c r="M193" s="46">
        <f ca="1">VLOOKUP(C193,gacha_115_base!A:B,2,FALSE)</f>
        <v>108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8"/>
        <v>01801</v>
      </c>
      <c r="B194" s="2">
        <f t="shared" si="7"/>
        <v>117</v>
      </c>
      <c r="C194" s="10" t="str">
        <f t="shared" ca="1" si="6"/>
        <v>0PremiumN5red</v>
      </c>
      <c r="D194" s="6">
        <v>0</v>
      </c>
      <c r="E194" s="7">
        <v>180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アニマル</v>
      </c>
      <c r="L194" s="6">
        <v>1</v>
      </c>
      <c r="M194" s="46">
        <f ca="1">VLOOKUP(C194,gacha_115_base!A:B,2,FALSE)</f>
        <v>108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8"/>
        <v>01831</v>
      </c>
      <c r="B195" s="2">
        <f t="shared" si="7"/>
        <v>117</v>
      </c>
      <c r="C195" s="10" t="str">
        <f t="shared" ref="C195:C255" ca="1" si="9">D195&amp;G195&amp;H195&amp;I195</f>
        <v>0PremiumN5green</v>
      </c>
      <c r="D195" s="6">
        <v>0</v>
      </c>
      <c r="E195" s="7">
        <v>183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アニマル</v>
      </c>
      <c r="L195" s="6">
        <v>1</v>
      </c>
      <c r="M195" s="46">
        <f ca="1">VLOOKUP(C195,gacha_115_base!A:B,2,FALSE)</f>
        <v>108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8"/>
        <v>01861</v>
      </c>
      <c r="B196" s="2">
        <f t="shared" ref="B196:B255" si="10">$B$2</f>
        <v>117</v>
      </c>
      <c r="C196" s="10" t="str">
        <f t="shared" ca="1" si="9"/>
        <v>0PremiumN5blue</v>
      </c>
      <c r="D196" s="38">
        <v>0</v>
      </c>
      <c r="E196" s="39">
        <v>186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アニマル</v>
      </c>
      <c r="L196" s="38">
        <v>1</v>
      </c>
      <c r="M196" s="46">
        <f ca="1">VLOOKUP(C196,gacha_115_base!A:B,2,FALSE)</f>
        <v>751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8"/>
        <v>01891</v>
      </c>
      <c r="B197" s="2">
        <f t="shared" si="10"/>
        <v>117</v>
      </c>
      <c r="C197" s="10" t="str">
        <f t="shared" ca="1" si="9"/>
        <v>0PremiumN5yellow</v>
      </c>
      <c r="D197" s="6">
        <v>0</v>
      </c>
      <c r="E197" s="7">
        <v>189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迅雷の王禽 ホルス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アニマル</v>
      </c>
      <c r="L197" s="6">
        <v>1</v>
      </c>
      <c r="M197" s="46">
        <f ca="1">VLOOKUP(C197,gacha_115_base!A:B,2,FALSE)</f>
        <v>108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8"/>
        <v>01921</v>
      </c>
      <c r="B198" s="2">
        <f t="shared" si="10"/>
        <v>117</v>
      </c>
      <c r="C198" s="10" t="str">
        <f t="shared" ca="1" si="9"/>
        <v>0PremiumN5red</v>
      </c>
      <c r="D198" s="6">
        <v>0</v>
      </c>
      <c r="E198" s="7">
        <v>192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ヒューマン</v>
      </c>
      <c r="L198" s="6">
        <v>1</v>
      </c>
      <c r="M198" s="46">
        <f ca="1">VLOOKUP(C198,gacha_115_base!A:B,2,FALSE)</f>
        <v>108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8"/>
        <v>01951</v>
      </c>
      <c r="B199" s="2">
        <f t="shared" si="10"/>
        <v>117</v>
      </c>
      <c r="C199" s="10" t="str">
        <f t="shared" ca="1" si="9"/>
        <v>0PremiumN5green</v>
      </c>
      <c r="D199" s="6">
        <v>0</v>
      </c>
      <c r="E199" s="7">
        <v>195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ヒューマン</v>
      </c>
      <c r="L199" s="6">
        <v>1</v>
      </c>
      <c r="M199" s="46">
        <f ca="1">VLOOKUP(C199,gacha_115_base!A:B,2,FALSE)</f>
        <v>108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8"/>
        <v>01981</v>
      </c>
      <c r="B200" s="2">
        <f t="shared" si="10"/>
        <v>117</v>
      </c>
      <c r="C200" s="10" t="str">
        <f t="shared" ca="1" si="9"/>
        <v>0PremiumN5yellow</v>
      </c>
      <c r="D200" s="6">
        <v>0</v>
      </c>
      <c r="E200" s="7">
        <v>198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砕骨の剛腕 アキレス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yellow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ヒューマン</v>
      </c>
      <c r="L200" s="6">
        <v>1</v>
      </c>
      <c r="M200" s="46">
        <f ca="1">VLOOKUP(C200,gacha_115_base!A:B,2,FALSE)</f>
        <v>108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8"/>
        <v>02011</v>
      </c>
      <c r="B201" s="2">
        <f t="shared" si="10"/>
        <v>117</v>
      </c>
      <c r="C201" s="10" t="str">
        <f t="shared" ca="1" si="9"/>
        <v>0PremiumN5blue</v>
      </c>
      <c r="D201" s="38">
        <v>0</v>
      </c>
      <c r="E201" s="39">
        <v>201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blue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38">
        <v>1</v>
      </c>
      <c r="M201" s="46">
        <f ca="1">VLOOKUP(C201,gacha_115_base!A:B,2,FALSE)</f>
        <v>751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8"/>
        <v>02041</v>
      </c>
      <c r="B202" s="2">
        <f t="shared" si="10"/>
        <v>117</v>
      </c>
      <c r="C202" s="10" t="str">
        <f t="shared" ca="1" si="9"/>
        <v>0PremiumN5red</v>
      </c>
      <c r="D202" s="6">
        <v>0</v>
      </c>
      <c r="E202" s="7">
        <v>204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PremiumN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6">
        <v>1</v>
      </c>
      <c r="M202" s="46">
        <f ca="1">VLOOKUP(C202,gacha_115_base!A:B,2,FALSE)</f>
        <v>108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8"/>
        <v>02071</v>
      </c>
      <c r="B203" s="2">
        <f t="shared" si="10"/>
        <v>117</v>
      </c>
      <c r="C203" s="10" t="str">
        <f t="shared" ca="1" si="9"/>
        <v>0PremiumN5green</v>
      </c>
      <c r="D203" s="6">
        <v>0</v>
      </c>
      <c r="E203" s="7">
        <v>207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PremiumN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ゴッド</v>
      </c>
      <c r="L203" s="6">
        <v>1</v>
      </c>
      <c r="M203" s="46">
        <f ca="1">VLOOKUP(C203,gacha_115_base!A:B,2,FALSE)</f>
        <v>108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8"/>
        <v>02101</v>
      </c>
      <c r="B204" s="2">
        <f t="shared" si="10"/>
        <v>117</v>
      </c>
      <c r="C204" s="10" t="str">
        <f t="shared" ca="1" si="9"/>
        <v>0PremiumN5blue</v>
      </c>
      <c r="D204" s="38">
        <v>0</v>
      </c>
      <c r="E204" s="39">
        <v>210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PremiumN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ゴッド</v>
      </c>
      <c r="L204" s="38">
        <v>1</v>
      </c>
      <c r="M204" s="46">
        <f ca="1">VLOOKUP(C204,gacha_115_base!A:B,2,FALSE)</f>
        <v>751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ht="21" customHeight="1">
      <c r="A205" s="8" t="str">
        <f t="shared" si="8"/>
        <v>02131</v>
      </c>
      <c r="B205" s="2">
        <f t="shared" si="10"/>
        <v>117</v>
      </c>
      <c r="C205" s="10" t="str">
        <f t="shared" ca="1" si="9"/>
        <v>0PremiumN5yellow</v>
      </c>
      <c r="D205" s="6">
        <v>0</v>
      </c>
      <c r="E205" s="7">
        <v>213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PremiumN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46">
        <f ca="1">VLOOKUP(C205,gacha_115_base!A:B,2,FALSE)</f>
        <v>108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8"/>
        <v>02161</v>
      </c>
      <c r="B206" s="2">
        <f t="shared" si="10"/>
        <v>117</v>
      </c>
      <c r="C206" s="10" t="str">
        <f t="shared" ca="1" si="9"/>
        <v>0PremiumN5red</v>
      </c>
      <c r="D206" s="6">
        <v>0</v>
      </c>
      <c r="E206" s="7">
        <v>216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PremiumN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5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ゴッド</v>
      </c>
      <c r="L206" s="6">
        <v>1</v>
      </c>
      <c r="M206" s="46">
        <f ca="1">VLOOKUP(C206,gacha_115_base!A:B,2,FALSE)</f>
        <v>108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8"/>
        <v>02191</v>
      </c>
      <c r="B207" s="2">
        <f t="shared" si="10"/>
        <v>117</v>
      </c>
      <c r="C207" s="10" t="str">
        <f t="shared" ca="1" si="9"/>
        <v>0PremiumN5green</v>
      </c>
      <c r="D207" s="6">
        <v>0</v>
      </c>
      <c r="E207" s="7">
        <v>219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PremiumN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5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green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ドラゴン</v>
      </c>
      <c r="L207" s="6">
        <v>1</v>
      </c>
      <c r="M207" s="46">
        <f ca="1">VLOOKUP(C207,gacha_115_base!A:B,2,FALSE)</f>
        <v>108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8"/>
        <v>02221</v>
      </c>
      <c r="B208" s="2">
        <f t="shared" si="10"/>
        <v>117</v>
      </c>
      <c r="C208" s="10" t="str">
        <f t="shared" ca="1" si="9"/>
        <v>0PremiumN5blue</v>
      </c>
      <c r="D208" s="38">
        <v>0</v>
      </c>
      <c r="E208" s="39">
        <v>222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PremiumN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blue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ゴッド</v>
      </c>
      <c r="L208" s="38">
        <v>1</v>
      </c>
      <c r="M208" s="46">
        <f ca="1">VLOOKUP(C208,gacha_115_base!A:B,2,FALSE)</f>
        <v>751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8"/>
        <v>02251</v>
      </c>
      <c r="B209" s="2">
        <f t="shared" si="10"/>
        <v>117</v>
      </c>
      <c r="C209" s="10" t="str">
        <f t="shared" ca="1" si="9"/>
        <v>0PremiumN5yellow</v>
      </c>
      <c r="D209" s="6">
        <v>0</v>
      </c>
      <c r="E209" s="7">
        <v>225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PremiumN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5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yellow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ヒューマン</v>
      </c>
      <c r="L209" s="6">
        <v>1</v>
      </c>
      <c r="M209" s="46">
        <f ca="1">VLOOKUP(C209,gacha_115_base!A:B,2,FALSE)</f>
        <v>108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8"/>
        <v>02281</v>
      </c>
      <c r="B210" s="2">
        <f t="shared" si="10"/>
        <v>117</v>
      </c>
      <c r="C210" s="10" t="str">
        <f t="shared" ca="1" si="9"/>
        <v>0PremiumS5red</v>
      </c>
      <c r="D210" s="6">
        <v>0</v>
      </c>
      <c r="E210" s="7">
        <v>228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殲滅の掃射砲 アレス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5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red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ゴッド</v>
      </c>
      <c r="L210" s="6">
        <v>1</v>
      </c>
      <c r="M210" s="46">
        <f ca="1">VLOOKUP(C210,gacha_115_base!A:B,2,FALSE)</f>
        <v>10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si="8"/>
        <v>02311</v>
      </c>
      <c r="B211" s="2">
        <f t="shared" si="10"/>
        <v>117</v>
      </c>
      <c r="C211" s="10" t="str">
        <f t="shared" ca="1" si="9"/>
        <v>0PremiumS5green</v>
      </c>
      <c r="D211" s="6">
        <v>0</v>
      </c>
      <c r="E211" s="7">
        <v>231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ドラゴン</v>
      </c>
      <c r="L211" s="6">
        <v>1</v>
      </c>
      <c r="M211" s="46">
        <f ca="1">VLOOKUP(C211,gacha_115_base!A:B,2,FALSE)</f>
        <v>10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8"/>
        <v>02341</v>
      </c>
      <c r="B212" s="2">
        <f t="shared" si="10"/>
        <v>117</v>
      </c>
      <c r="C212" s="10" t="str">
        <f t="shared" ca="1" si="9"/>
        <v>0PremiumS5blue</v>
      </c>
      <c r="D212" s="38">
        <v>0</v>
      </c>
      <c r="E212" s="39">
        <v>234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5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ヒューマン</v>
      </c>
      <c r="L212" s="38">
        <v>1</v>
      </c>
      <c r="M212" s="46">
        <f ca="1">VLOOKUP(C212,gacha_115_base!A:B,2,FALSE)</f>
        <v>86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s="26" customFormat="1" ht="21" customHeight="1" thickBot="1">
      <c r="A213" s="22" t="str">
        <f t="shared" si="8"/>
        <v>02371</v>
      </c>
      <c r="B213" s="2">
        <f t="shared" si="10"/>
        <v>117</v>
      </c>
      <c r="C213" s="10" t="str">
        <f t="shared" ca="1" si="9"/>
        <v>0PremiumS5yellow</v>
      </c>
      <c r="D213" s="6">
        <v>0</v>
      </c>
      <c r="E213" s="7">
        <v>237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5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yellow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ゴッド</v>
      </c>
      <c r="L213" s="6">
        <v>1</v>
      </c>
      <c r="M213" s="46">
        <f ca="1">VLOOKUP(C213,gacha_115_base!A:B,2,FALSE)</f>
        <v>10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8"/>
        <v>02381</v>
      </c>
      <c r="B214" s="2">
        <f t="shared" si="10"/>
        <v>117</v>
      </c>
      <c r="C214" s="10" t="str">
        <f t="shared" ca="1" si="9"/>
        <v>0PremiumS3red</v>
      </c>
      <c r="D214" s="6">
        <v>0</v>
      </c>
      <c r="E214" s="19">
        <v>238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ウリエル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3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red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46">
        <f ca="1">VLOOKUP(C214,gacha_115_base!A:B,2,FALSE)</f>
        <v>179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8"/>
        <v>02391</v>
      </c>
      <c r="B215" s="2">
        <f t="shared" si="10"/>
        <v>117</v>
      </c>
      <c r="C215" s="10" t="str">
        <f t="shared" ca="1" si="9"/>
        <v>0PremiumS4red</v>
      </c>
      <c r="D215" s="6">
        <v>0</v>
      </c>
      <c r="E215" s="19">
        <v>239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豪炎の天使 ウリエル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4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red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46">
        <f ca="1">VLOOKUP(C215,gacha_115_base!A:B,2,FALSE)</f>
        <v>63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8"/>
        <v>02401</v>
      </c>
      <c r="B216" s="2">
        <f t="shared" si="10"/>
        <v>117</v>
      </c>
      <c r="C216" s="10" t="str">
        <f t="shared" ca="1" si="9"/>
        <v>0PremiumS5red</v>
      </c>
      <c r="D216" s="6">
        <v>0</v>
      </c>
      <c r="E216" s="19">
        <v>240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5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red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46">
        <f ca="1">VLOOKUP(C216,gacha_115_base!A:B,2,FALSE)</f>
        <v>10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ht="21" customHeight="1">
      <c r="A217" s="8" t="str">
        <f t="shared" si="8"/>
        <v>02411</v>
      </c>
      <c r="B217" s="2">
        <f t="shared" si="10"/>
        <v>117</v>
      </c>
      <c r="C217" s="10" t="str">
        <f t="shared" ca="1" si="9"/>
        <v>0PremiumS3green</v>
      </c>
      <c r="D217" s="6">
        <v>0</v>
      </c>
      <c r="E217" s="19">
        <v>241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ガブリエル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3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green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6">
        <v>1</v>
      </c>
      <c r="M217" s="46">
        <f ca="1">VLOOKUP(C217,gacha_115_base!A:B,2,FALSE)</f>
        <v>179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ht="21" customHeight="1">
      <c r="A218" s="8" t="str">
        <f t="shared" si="8"/>
        <v>02421</v>
      </c>
      <c r="B218" s="2">
        <f t="shared" si="10"/>
        <v>117</v>
      </c>
      <c r="C218" s="10" t="str">
        <f t="shared" ca="1" si="9"/>
        <v>0PremiumS4green</v>
      </c>
      <c r="D218" s="6">
        <v>0</v>
      </c>
      <c r="E218" s="19">
        <v>242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4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green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マシン</v>
      </c>
      <c r="L218" s="6">
        <v>1</v>
      </c>
      <c r="M218" s="46">
        <f ca="1">VLOOKUP(C218,gacha_115_base!A:B,2,FALSE)</f>
        <v>63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>
      <c r="A219" s="8" t="str">
        <f t="shared" ref="A219:A255" si="11">D219&amp;E219&amp;L219</f>
        <v>02431</v>
      </c>
      <c r="B219" s="2">
        <f t="shared" si="10"/>
        <v>117</v>
      </c>
      <c r="C219" s="10" t="str">
        <f t="shared" ca="1" si="9"/>
        <v>0PremiumS5green</v>
      </c>
      <c r="D219" s="6">
        <v>0</v>
      </c>
      <c r="E219" s="19">
        <v>243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5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green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マシン</v>
      </c>
      <c r="L219" s="6">
        <v>1</v>
      </c>
      <c r="M219" s="46">
        <f ca="1">VLOOKUP(C219,gacha_115_base!A:B,2,FALSE)</f>
        <v>10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>
      <c r="A220" s="8" t="str">
        <f t="shared" si="11"/>
        <v>02441</v>
      </c>
      <c r="B220" s="2">
        <f t="shared" si="10"/>
        <v>117</v>
      </c>
      <c r="C220" s="10" t="str">
        <f t="shared" ca="1" si="9"/>
        <v>0PremiumS3blue</v>
      </c>
      <c r="D220" s="38">
        <v>0</v>
      </c>
      <c r="E220" s="40">
        <v>244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ラファエル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3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blue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マシン</v>
      </c>
      <c r="L220" s="38">
        <v>1</v>
      </c>
      <c r="M220" s="46">
        <f ca="1">VLOOKUP(C220,gacha_115_base!A:B,2,FALSE)</f>
        <v>1531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>
      <c r="A221" s="8" t="str">
        <f t="shared" si="11"/>
        <v>02451</v>
      </c>
      <c r="B221" s="2">
        <f t="shared" si="10"/>
        <v>117</v>
      </c>
      <c r="C221" s="10" t="str">
        <f t="shared" ca="1" si="9"/>
        <v>0PremiumS4blue</v>
      </c>
      <c r="D221" s="38">
        <v>0</v>
      </c>
      <c r="E221" s="40">
        <v>245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4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blue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マシン</v>
      </c>
      <c r="L221" s="38">
        <v>1</v>
      </c>
      <c r="M221" s="46">
        <f ca="1">VLOOKUP(C221,gacha_115_base!A:B,2,FALSE)</f>
        <v>539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>
      <c r="A222" s="8" t="str">
        <f t="shared" si="11"/>
        <v>02461</v>
      </c>
      <c r="B222" s="2">
        <f t="shared" si="10"/>
        <v>117</v>
      </c>
      <c r="C222" s="10" t="str">
        <f t="shared" ca="1" si="9"/>
        <v>0PremiumS5blue</v>
      </c>
      <c r="D222" s="38">
        <v>0</v>
      </c>
      <c r="E222" s="40">
        <v>246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5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blue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マシン</v>
      </c>
      <c r="L222" s="38">
        <v>1</v>
      </c>
      <c r="M222" s="46">
        <f ca="1">VLOOKUP(C222,gacha_115_base!A:B,2,FALSE)</f>
        <v>86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>
      <c r="A223" s="8" t="str">
        <f t="shared" si="11"/>
        <v>02471</v>
      </c>
      <c r="B223" s="2">
        <f t="shared" si="10"/>
        <v>117</v>
      </c>
      <c r="C223" s="10" t="str">
        <f t="shared" ca="1" si="9"/>
        <v>0PremiumS3yellow</v>
      </c>
      <c r="D223" s="6">
        <v>0</v>
      </c>
      <c r="E223" s="19">
        <v>247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ミカエル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3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yellow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マシン</v>
      </c>
      <c r="L223" s="6">
        <v>1</v>
      </c>
      <c r="M223" s="46">
        <f ca="1">VLOOKUP(C223,gacha_115_base!A:B,2,FALSE)</f>
        <v>179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>
      <c r="A224" s="8" t="str">
        <f t="shared" si="11"/>
        <v>02481</v>
      </c>
      <c r="B224" s="2">
        <f t="shared" si="10"/>
        <v>117</v>
      </c>
      <c r="C224" s="10" t="str">
        <f t="shared" ca="1" si="9"/>
        <v>0PremiumS4yellow</v>
      </c>
      <c r="D224" s="6">
        <v>0</v>
      </c>
      <c r="E224" s="19">
        <v>248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彩電の天使 ミカエル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4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yellow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マシン</v>
      </c>
      <c r="L224" s="6">
        <v>1</v>
      </c>
      <c r="M224" s="46">
        <f ca="1">VLOOKUP(C224,gacha_115_base!A:B,2,FALSE)</f>
        <v>63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s="26" customFormat="1" ht="21" customHeight="1" thickBot="1">
      <c r="A225" s="22" t="str">
        <f t="shared" si="11"/>
        <v>02491</v>
      </c>
      <c r="B225" s="2">
        <f t="shared" si="10"/>
        <v>117</v>
      </c>
      <c r="C225" s="10" t="str">
        <f t="shared" ca="1" si="9"/>
        <v>0PremiumS5yellow</v>
      </c>
      <c r="D225" s="6">
        <v>0</v>
      </c>
      <c r="E225" s="19">
        <v>249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5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yellow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マシン</v>
      </c>
      <c r="L225" s="6">
        <v>1</v>
      </c>
      <c r="M225" s="46">
        <f ca="1">VLOOKUP(C225,gacha_115_base!A:B,2,FALSE)</f>
        <v>10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s="26" customFormat="1" ht="21" customHeight="1" thickBot="1">
      <c r="A226" s="22" t="str">
        <f t="shared" si="11"/>
        <v>02501</v>
      </c>
      <c r="B226" s="2">
        <f t="shared" si="10"/>
        <v>117</v>
      </c>
      <c r="C226" s="10" t="str">
        <f t="shared" ca="1" si="9"/>
        <v>0PremiumS3red</v>
      </c>
      <c r="D226" s="6">
        <v>0</v>
      </c>
      <c r="E226" s="7">
        <v>250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マンモン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3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red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46">
        <f ca="1">VLOOKUP(C226,gacha_115_base!A:B,2,FALSE)</f>
        <v>179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11"/>
        <v>02511</v>
      </c>
      <c r="B227" s="2">
        <f t="shared" si="10"/>
        <v>117</v>
      </c>
      <c r="C227" s="10" t="str">
        <f t="shared" ca="1" si="9"/>
        <v>0PremiumS4red</v>
      </c>
      <c r="D227" s="6">
        <v>0</v>
      </c>
      <c r="E227" s="7">
        <v>251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強欲 マンモン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4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red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ゴッド</v>
      </c>
      <c r="L227" s="6">
        <v>1</v>
      </c>
      <c r="M227" s="46">
        <f ca="1">VLOOKUP(C227,gacha_115_base!A:B,2,FALSE)</f>
        <v>63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11"/>
        <v>02521</v>
      </c>
      <c r="B228" s="2">
        <f t="shared" si="10"/>
        <v>117</v>
      </c>
      <c r="C228" s="10" t="str">
        <f t="shared" ca="1" si="9"/>
        <v>0PremiumS5red</v>
      </c>
      <c r="D228" s="6">
        <v>0</v>
      </c>
      <c r="E228" s="7">
        <v>252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強欲の沸騰 マンモン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5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red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ゴッド</v>
      </c>
      <c r="L228" s="6">
        <v>1</v>
      </c>
      <c r="M228" s="46">
        <f ca="1">VLOOKUP(C228,gacha_115_base!A:B,2,FALSE)</f>
        <v>10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11"/>
        <v>02531</v>
      </c>
      <c r="B229" s="2">
        <f t="shared" si="10"/>
        <v>117</v>
      </c>
      <c r="C229" s="10" t="str">
        <f t="shared" ca="1" si="9"/>
        <v>0PremiumS3green</v>
      </c>
      <c r="D229" s="6">
        <v>0</v>
      </c>
      <c r="E229" s="7">
        <v>253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ベルフェゴール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3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green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ゴッド</v>
      </c>
      <c r="L229" s="6">
        <v>1</v>
      </c>
      <c r="M229" s="46">
        <f ca="1">VLOOKUP(C229,gacha_115_base!A:B,2,FALSE)</f>
        <v>179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11"/>
        <v>02541</v>
      </c>
      <c r="B230" s="2">
        <f t="shared" si="10"/>
        <v>117</v>
      </c>
      <c r="C230" s="10" t="str">
        <f t="shared" ca="1" si="9"/>
        <v>0PremiumS4green</v>
      </c>
      <c r="D230" s="6">
        <v>0</v>
      </c>
      <c r="E230" s="7">
        <v>254</v>
      </c>
      <c r="F230" s="10" t="str">
        <f ca="1">VLOOKUP($E230,OFFSET([1]characters!$A$2,0,0,COUNTA([1]characters!$A:$A),MATCH(F$1,[1]characters!$2:$2,0)-MATCH($E$1,[1]characters!$2:$2,0)+1),MATCH(F$1,[1]characters!$2:$2,0)-MATCH($E$1,[1]characters!$2:$2,0)+1,FALSE)</f>
        <v>怠惰 ベルフェゴール</v>
      </c>
      <c r="G230" s="10" t="str">
        <f ca="1">VLOOKUP($E230,OFFSET([1]characters!$A$2,0,0,COUNTA([1]characters!$A:$A),MATCH(G$1,[1]characters!$2:$2,0)-MATCH($E$1,[1]characters!$2:$2,0)+1),MATCH(G$1,[1]characters!$2:$2,0)-MATCH($E$1,[1]characters!$2:$2,0)+1,FALSE)</f>
        <v>PremiumS</v>
      </c>
      <c r="H230" s="1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10" t="str">
        <f ca="1">VLOOKUP($E230,OFFSET([1]characters!$A$2,0,0,COUNTA([1]characters!$A:$A),MATCH(I$1,[1]characters!$2:$2,0)-MATCH($E$1,[1]characters!$2:$2,0)+1),MATCH(I$1,[1]characters!$2:$2,0)-MATCH($E$1,[1]characters!$2:$2,0)+1,FALSE)</f>
        <v>green</v>
      </c>
      <c r="J230" s="10" t="str">
        <f ca="1">VLOOKUP($E230,OFFSET([1]characters!$A$2,0,0,COUNTA([1]characters!$A:$A),MATCH("タイプ",[1]characters!$1:$1,0)-MATCH($E$1,[1]characters!$2:$2,0)+2),MATCH("タイプ",[1]characters!$1:$1,0)-MATCH($E$1,[1]characters!$2:$2,0)+2,FALSE)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0" s="10" t="str">
        <f ca="1">VLOOKUP($E230,OFFSET([1]characters!$A$2,0,0,COUNTA([1]characters!$A:$A),MATCH($K$1,[1]characters!$1:$1,0)-MATCH($E$1,[1]characters!$2:$2,0)+2),MATCH($K$1,[1]characters!$1:$1,0)-MATCH($E$1,[1]characters!$2:$2,0)+2,FALSE)</f>
        <v>ゴッド</v>
      </c>
      <c r="L230" s="6">
        <v>1</v>
      </c>
      <c r="M230" s="46">
        <f ca="1">VLOOKUP(C230,gacha_115_base!A:B,2,FALSE)</f>
        <v>63</v>
      </c>
      <c r="N230" s="28">
        <v>0</v>
      </c>
      <c r="O230" s="28">
        <v>0</v>
      </c>
      <c r="P230" s="28">
        <v>0</v>
      </c>
      <c r="Q230" s="28">
        <v>0</v>
      </c>
      <c r="R230" s="28">
        <v>1</v>
      </c>
    </row>
    <row r="231" spans="1:18" ht="21" customHeight="1" thickBot="1">
      <c r="A231" s="22" t="str">
        <f t="shared" si="11"/>
        <v>02551</v>
      </c>
      <c r="B231" s="2">
        <f t="shared" si="10"/>
        <v>117</v>
      </c>
      <c r="C231" s="10" t="str">
        <f t="shared" ca="1" si="9"/>
        <v>0PremiumS5green</v>
      </c>
      <c r="D231" s="6">
        <v>0</v>
      </c>
      <c r="E231" s="7">
        <v>255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green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ゴッド</v>
      </c>
      <c r="L231" s="6">
        <v>1</v>
      </c>
      <c r="M231" s="46">
        <f ca="1">VLOOKUP(C231,gacha_115_base!A:B,2,FALSE)</f>
        <v>10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11"/>
        <v>02561</v>
      </c>
      <c r="B232" s="2">
        <f t="shared" si="10"/>
        <v>117</v>
      </c>
      <c r="C232" s="10" t="str">
        <f t="shared" ca="1" si="9"/>
        <v>0PremiumS3blue</v>
      </c>
      <c r="D232" s="38">
        <v>0</v>
      </c>
      <c r="E232" s="39">
        <v>256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アスモデウス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3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blue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ゴッド</v>
      </c>
      <c r="L232" s="38">
        <v>1</v>
      </c>
      <c r="M232" s="46">
        <f ca="1">VLOOKUP(C232,gacha_115_base!A:B,2,FALSE)</f>
        <v>1531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11"/>
        <v>02571</v>
      </c>
      <c r="B233" s="2">
        <f t="shared" si="10"/>
        <v>117</v>
      </c>
      <c r="C233" s="10" t="str">
        <f t="shared" ca="1" si="9"/>
        <v>0PremiumS4blue</v>
      </c>
      <c r="D233" s="38">
        <v>0</v>
      </c>
      <c r="E233" s="39">
        <v>257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色欲 アスモデウス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4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blue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ゴッド</v>
      </c>
      <c r="L233" s="38">
        <v>1</v>
      </c>
      <c r="M233" s="46">
        <f ca="1">VLOOKUP(C233,gacha_115_base!A:B,2,FALSE)</f>
        <v>539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11"/>
        <v>02581</v>
      </c>
      <c r="B234" s="2">
        <f t="shared" si="10"/>
        <v>117</v>
      </c>
      <c r="C234" s="10" t="str">
        <f t="shared" ca="1" si="9"/>
        <v>0PremiumS5blue</v>
      </c>
      <c r="D234" s="38">
        <v>0</v>
      </c>
      <c r="E234" s="39">
        <v>258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5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ゴッド</v>
      </c>
      <c r="L234" s="38">
        <v>1</v>
      </c>
      <c r="M234" s="46">
        <f ca="1">VLOOKUP(C234,gacha_115_base!A:B,2,FALSE)</f>
        <v>86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11"/>
        <v>02591</v>
      </c>
      <c r="B235" s="2">
        <f t="shared" si="10"/>
        <v>117</v>
      </c>
      <c r="C235" s="10" t="str">
        <f t="shared" ca="1" si="9"/>
        <v>0PremiumS3yellow</v>
      </c>
      <c r="D235" s="6">
        <v>0</v>
      </c>
      <c r="E235" s="7">
        <v>259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ウロボロス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3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yellow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ドラゴン</v>
      </c>
      <c r="L235" s="6">
        <v>1</v>
      </c>
      <c r="M235" s="46">
        <f ca="1">VLOOKUP(C235,gacha_115_base!A:B,2,FALSE)</f>
        <v>179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11"/>
        <v>02601</v>
      </c>
      <c r="B236" s="2">
        <f t="shared" si="10"/>
        <v>117</v>
      </c>
      <c r="C236" s="10" t="str">
        <f t="shared" ca="1" si="9"/>
        <v>0PremiumS4yellow</v>
      </c>
      <c r="D236" s="6">
        <v>0</v>
      </c>
      <c r="E236" s="7">
        <v>260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輪廻 ウロボロス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ドラゴン</v>
      </c>
      <c r="L236" s="6">
        <v>1</v>
      </c>
      <c r="M236" s="46">
        <f ca="1">VLOOKUP(C236,gacha_115_base!A:B,2,FALSE)</f>
        <v>63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11"/>
        <v>02611</v>
      </c>
      <c r="B237" s="2">
        <f t="shared" si="10"/>
        <v>117</v>
      </c>
      <c r="C237" s="10" t="str">
        <f t="shared" ca="1" si="9"/>
        <v>0PremiumS5yellow</v>
      </c>
      <c r="D237" s="6">
        <v>0</v>
      </c>
      <c r="E237" s="7">
        <v>261</v>
      </c>
      <c r="F237" s="10" t="str">
        <f ca="1">VLOOKUP($E237,OFFSET([1]characters!$A$2,0,0,COUNTA([1]characters!$A:$A),MATCH(F$1,[1]characters!$2:$2,0)-MATCH($E$1,[1]characters!$2:$2,0)+1),MATCH(F$1,[1]characters!$2:$2,0)-MATCH($E$1,[1]characters!$2:$2,0)+1,FALSE)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37" s="10" t="str">
        <f ca="1">VLOOKUP($E237,OFFSET([1]characters!$A$2,0,0,COUNTA([1]characters!$A:$A),MATCH(G$1,[1]characters!$2:$2,0)-MATCH($E$1,[1]characters!$2:$2,0)+1),MATCH(G$1,[1]characters!$2:$2,0)-MATCH($E$1,[1]characters!$2:$2,0)+1,FALSE)</f>
        <v>PremiumS</v>
      </c>
      <c r="H237" s="10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10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10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7" s="10" t="str">
        <f ca="1">VLOOKUP($E237,OFFSET([1]characters!$A$2,0,0,COUNTA([1]characters!$A:$A),MATCH($K$1,[1]characters!$1:$1,0)-MATCH($E$1,[1]characters!$2:$2,0)+2),MATCH($K$1,[1]characters!$1:$1,0)-MATCH($E$1,[1]characters!$2:$2,0)+2,FALSE)</f>
        <v>ドラゴン</v>
      </c>
      <c r="L237" s="6">
        <v>1</v>
      </c>
      <c r="M237" s="46">
        <f ca="1">VLOOKUP(C237,gacha_115_base!A:B,2,FALSE)</f>
        <v>10</v>
      </c>
      <c r="N237" s="28">
        <v>0</v>
      </c>
      <c r="O237" s="28">
        <v>0</v>
      </c>
      <c r="P237" s="28">
        <v>0</v>
      </c>
      <c r="Q237" s="28">
        <v>0</v>
      </c>
      <c r="R237" s="28">
        <v>1</v>
      </c>
    </row>
    <row r="238" spans="1:18" ht="21" customHeight="1" thickBot="1">
      <c r="A238" s="22" t="str">
        <f t="shared" si="11"/>
        <v>03201</v>
      </c>
      <c r="B238" s="2">
        <f t="shared" si="10"/>
        <v>117</v>
      </c>
      <c r="C238" s="10" t="str">
        <f t="shared" ca="1" si="9"/>
        <v>0PremiumSS4red</v>
      </c>
      <c r="D238" s="21">
        <v>0</v>
      </c>
      <c r="E238" s="27">
        <v>320</v>
      </c>
      <c r="F238" s="20" t="str">
        <f ca="1">VLOOKUP($E238,OFFSET([1]characters!$A$2,0,0,COUNTA([1]characters!$A:$A),MATCH(F$1,[1]characters!$2:$2,0)-MATCH($E$1,[1]characters!$2:$2,0)+1),MATCH(F$1,[1]characters!$2:$2,0)-MATCH($E$1,[1]characters!$2:$2,0)+1,FALSE)</f>
        <v>烈志士 近藤勇</v>
      </c>
      <c r="G238" s="20" t="str">
        <f ca="1">VLOOKUP($E238,OFFSET([1]characters!$A$2,0,0,COUNTA([1]characters!$A:$A),MATCH(G$1,[1]characters!$2:$2,0)-MATCH($E$1,[1]characters!$2:$2,0)+1),MATCH(G$1,[1]characters!$2:$2,0)-MATCH($E$1,[1]characters!$2:$2,0)+1,FALSE)</f>
        <v>PremiumSS</v>
      </c>
      <c r="H238" s="20">
        <f ca="1">VLOOKUP($E238,OFFSET([1]characters!$A$2,0,0,COUNTA([1]characters!$A:$A),MATCH(H$1,[1]characters!$2:$2,0)-MATCH($E$1,[1]characters!$2:$2,0)+1),MATCH(H$1,[1]characters!$2:$2,0)-MATCH($E$1,[1]characters!$2:$2,0)+1,FALSE)</f>
        <v>4</v>
      </c>
      <c r="I238" s="20" t="str">
        <f ca="1">VLOOKUP($E238,OFFSET([1]characters!$A$2,0,0,COUNTA([1]characters!$A:$A),MATCH(I$1,[1]characters!$2:$2,0)-MATCH($E$1,[1]characters!$2:$2,0)+1),MATCH(I$1,[1]characters!$2:$2,0)-MATCH($E$1,[1]characters!$2:$2,0)+1,FALSE)</f>
        <v>red</v>
      </c>
      <c r="J238" s="20" t="str">
        <f ca="1">VLOOKUP($E238,OFFSET([1]characters!$A$2,0,0,COUNTA([1]characters!$A:$A),MATCH("タイプ",[1]characters!$1:$1,0)-MATCH($E$1,[1]characters!$2:$2,0)+2),MATCH("タイプ",[1]characters!$1:$1,0)-MATCH($E$1,[1]characters!$2:$2,0)+2,FALSE)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8" s="20" t="str">
        <f ca="1">VLOOKUP($E238,OFFSET([1]characters!$A$2,0,0,COUNTA([1]characters!$A:$A),MATCH($K$1,[1]characters!$1:$1,0)-MATCH($E$1,[1]characters!$2:$2,0)+2),MATCH($K$1,[1]characters!$1:$1,0)-MATCH($E$1,[1]characters!$2:$2,0)+2,FALSE)</f>
        <v>ヒューマン</v>
      </c>
      <c r="L238" s="21">
        <v>1</v>
      </c>
      <c r="M238" s="46">
        <f ca="1">VLOOKUP(C238,gacha_115_base!A:B,2,FALSE)</f>
        <v>162</v>
      </c>
      <c r="N238" s="18">
        <v>0</v>
      </c>
      <c r="O238" s="18">
        <v>0</v>
      </c>
      <c r="P238" s="18">
        <v>0</v>
      </c>
      <c r="Q238" s="18">
        <v>0</v>
      </c>
      <c r="R238" s="18">
        <v>1</v>
      </c>
    </row>
    <row r="239" spans="1:18" ht="21" customHeight="1" thickBot="1">
      <c r="A239" s="22" t="str">
        <f t="shared" si="11"/>
        <v>03211</v>
      </c>
      <c r="B239" s="2">
        <f t="shared" si="10"/>
        <v>117</v>
      </c>
      <c r="C239" s="10" t="str">
        <f t="shared" ca="1" si="9"/>
        <v>0PremiumSS5red</v>
      </c>
      <c r="D239" s="21">
        <v>0</v>
      </c>
      <c r="E239" s="7">
        <v>321</v>
      </c>
      <c r="F239" s="10" t="str">
        <f ca="1">VLOOKUP($E239,OFFSET([1]characters!$A$2,0,0,COUNTA([1]characters!$A:$A),MATCH(F$1,[1]characters!$2:$2,0)-MATCH($E$1,[1]characters!$2:$2,0)+1),MATCH(F$1,[1]characters!$2:$2,0)-MATCH($E$1,[1]characters!$2:$2,0)+1,FALSE)</f>
        <v>巌鉄の烈志士 近藤勇</v>
      </c>
      <c r="G239" s="10" t="str">
        <f ca="1">VLOOKUP($E239,OFFSET([1]characters!$A$2,0,0,COUNTA([1]characters!$A:$A),MATCH(G$1,[1]characters!$2:$2,0)-MATCH($E$1,[1]characters!$2:$2,0)+1),MATCH(G$1,[1]characters!$2:$2,0)-MATCH($E$1,[1]characters!$2:$2,0)+1,FALSE)</f>
        <v>PremiumSS</v>
      </c>
      <c r="H239" s="10">
        <f ca="1">VLOOKUP($E239,OFFSET([1]characters!$A$2,0,0,COUNTA([1]characters!$A:$A),MATCH(H$1,[1]characters!$2:$2,0)-MATCH($E$1,[1]characters!$2:$2,0)+1),MATCH(H$1,[1]characters!$2:$2,0)-MATCH($E$1,[1]characters!$2:$2,0)+1,FALSE)</f>
        <v>5</v>
      </c>
      <c r="I239" s="10" t="str">
        <f ca="1">VLOOKUP($E239,OFFSET([1]characters!$A$2,0,0,COUNTA([1]characters!$A:$A),MATCH(I$1,[1]characters!$2:$2,0)-MATCH($E$1,[1]characters!$2:$2,0)+1),MATCH(I$1,[1]characters!$2:$2,0)-MATCH($E$1,[1]characters!$2:$2,0)+1,FALSE)</f>
        <v>red</v>
      </c>
      <c r="J239" s="10" t="str">
        <f ca="1">VLOOKUP($E239,OFFSET([1]characters!$A$2,0,0,COUNTA([1]characters!$A:$A),MATCH("タイプ",[1]characters!$1:$1,0)-MATCH($E$1,[1]characters!$2:$2,0)+2),MATCH("タイプ",[1]characters!$1:$1,0)-MATCH($E$1,[1]characters!$2:$2,0)+2,FALSE)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9" s="10" t="str">
        <f ca="1">VLOOKUP($E239,OFFSET([1]characters!$A$2,0,0,COUNTA([1]characters!$A:$A),MATCH($K$1,[1]characters!$1:$1,0)-MATCH($E$1,[1]characters!$2:$2,0)+2),MATCH($K$1,[1]characters!$1:$1,0)-MATCH($E$1,[1]characters!$2:$2,0)+2,FALSE)</f>
        <v>ヒューマン</v>
      </c>
      <c r="L239" s="6">
        <v>1</v>
      </c>
      <c r="M239" s="46">
        <f ca="1">VLOOKUP(C239,gacha_115_base!A:B,2,FALSE)</f>
        <v>31</v>
      </c>
      <c r="N239" s="28">
        <v>0</v>
      </c>
      <c r="O239" s="28">
        <v>0</v>
      </c>
      <c r="P239" s="28">
        <v>0</v>
      </c>
      <c r="Q239" s="28">
        <v>0</v>
      </c>
      <c r="R239" s="28">
        <v>1</v>
      </c>
    </row>
    <row r="240" spans="1:18" ht="21" customHeight="1" thickBot="1">
      <c r="A240" s="22" t="str">
        <f t="shared" si="11"/>
        <v>03221</v>
      </c>
      <c r="B240" s="2">
        <f t="shared" si="10"/>
        <v>117</v>
      </c>
      <c r="C240" s="10" t="str">
        <f t="shared" ca="1" si="9"/>
        <v>0PremiumSS4green</v>
      </c>
      <c r="D240" s="21">
        <v>0</v>
      </c>
      <c r="E240" s="7">
        <v>322</v>
      </c>
      <c r="F240" s="10" t="str">
        <f ca="1">VLOOKUP($E240,OFFSET([1]characters!$A$2,0,0,COUNTA([1]characters!$A:$A),MATCH(F$1,[1]characters!$2:$2,0)-MATCH($E$1,[1]characters!$2:$2,0)+1),MATCH(F$1,[1]characters!$2:$2,0)-MATCH($E$1,[1]characters!$2:$2,0)+1,FALSE)</f>
        <v>愛志士 土方歳三</v>
      </c>
      <c r="G240" s="10" t="str">
        <f ca="1">VLOOKUP($E240,OFFSET([1]characters!$A$2,0,0,COUNTA([1]characters!$A:$A),MATCH(G$1,[1]characters!$2:$2,0)-MATCH($E$1,[1]characters!$2:$2,0)+1),MATCH(G$1,[1]characters!$2:$2,0)-MATCH($E$1,[1]characters!$2:$2,0)+1,FALSE)</f>
        <v>PremiumSS</v>
      </c>
      <c r="H240" s="10">
        <f ca="1">VLOOKUP($E240,OFFSET([1]characters!$A$2,0,0,COUNTA([1]characters!$A:$A),MATCH(H$1,[1]characters!$2:$2,0)-MATCH($E$1,[1]characters!$2:$2,0)+1),MATCH(H$1,[1]characters!$2:$2,0)-MATCH($E$1,[1]characters!$2:$2,0)+1,FALSE)</f>
        <v>4</v>
      </c>
      <c r="I240" s="10" t="str">
        <f ca="1">VLOOKUP($E240,OFFSET([1]characters!$A$2,0,0,COUNTA([1]characters!$A:$A),MATCH(I$1,[1]characters!$2:$2,0)-MATCH($E$1,[1]characters!$2:$2,0)+1),MATCH(I$1,[1]characters!$2:$2,0)-MATCH($E$1,[1]characters!$2:$2,0)+1,FALSE)</f>
        <v>green</v>
      </c>
      <c r="J240" s="10" t="str">
        <f ca="1">VLOOKUP($E240,OFFSET([1]characters!$A$2,0,0,COUNTA([1]characters!$A:$A),MATCH("タイプ",[1]characters!$1:$1,0)-MATCH($E$1,[1]characters!$2:$2,0)+2),MATCH("タイプ",[1]characters!$1:$1,0)-MATCH($E$1,[1]characters!$2:$2,0)+2,FALSE)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0" s="10" t="str">
        <f ca="1">VLOOKUP($E240,OFFSET([1]characters!$A$2,0,0,COUNTA([1]characters!$A:$A),MATCH($K$1,[1]characters!$1:$1,0)-MATCH($E$1,[1]characters!$2:$2,0)+2),MATCH($K$1,[1]characters!$1:$1,0)-MATCH($E$1,[1]characters!$2:$2,0)+2,FALSE)</f>
        <v>ヒューマン</v>
      </c>
      <c r="L240" s="6">
        <v>1</v>
      </c>
      <c r="M240" s="46">
        <f ca="1">VLOOKUP(C240,gacha_115_base!A:B,2,FALSE)</f>
        <v>162</v>
      </c>
      <c r="N240" s="28">
        <v>0</v>
      </c>
      <c r="O240" s="28">
        <v>0</v>
      </c>
      <c r="P240" s="28">
        <v>0</v>
      </c>
      <c r="Q240" s="28">
        <v>0</v>
      </c>
      <c r="R240" s="28">
        <v>1</v>
      </c>
    </row>
    <row r="241" spans="1:18" ht="21" customHeight="1" thickBot="1">
      <c r="A241" s="22" t="str">
        <f t="shared" si="11"/>
        <v>03231</v>
      </c>
      <c r="B241" s="2">
        <f t="shared" si="10"/>
        <v>117</v>
      </c>
      <c r="C241" s="10" t="str">
        <f t="shared" ca="1" si="9"/>
        <v>0PremiumSS5green</v>
      </c>
      <c r="D241" s="21">
        <v>0</v>
      </c>
      <c r="E241" s="7">
        <v>323</v>
      </c>
      <c r="F241" s="10" t="str">
        <f ca="1">VLOOKUP($E241,OFFSET([1]characters!$A$2,0,0,COUNTA([1]characters!$A:$A),MATCH(F$1,[1]characters!$2:$2,0)-MATCH($E$1,[1]characters!$2:$2,0)+1),MATCH(F$1,[1]characters!$2:$2,0)-MATCH($E$1,[1]characters!$2:$2,0)+1,FALSE)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41" s="10" t="str">
        <f ca="1">VLOOKUP($E241,OFFSET([1]characters!$A$2,0,0,COUNTA([1]characters!$A:$A),MATCH(G$1,[1]characters!$2:$2,0)-MATCH($E$1,[1]characters!$2:$2,0)+1),MATCH(G$1,[1]characters!$2:$2,0)-MATCH($E$1,[1]characters!$2:$2,0)+1,FALSE)</f>
        <v>PremiumSS</v>
      </c>
      <c r="H241" s="10">
        <f ca="1">VLOOKUP($E241,OFFSET([1]characters!$A$2,0,0,COUNTA([1]characters!$A:$A),MATCH(H$1,[1]characters!$2:$2,0)-MATCH($E$1,[1]characters!$2:$2,0)+1),MATCH(H$1,[1]characters!$2:$2,0)-MATCH($E$1,[1]characters!$2:$2,0)+1,FALSE)</f>
        <v>5</v>
      </c>
      <c r="I241" s="10" t="str">
        <f ca="1">VLOOKUP($E241,OFFSET([1]characters!$A$2,0,0,COUNTA([1]characters!$A:$A),MATCH(I$1,[1]characters!$2:$2,0)-MATCH($E$1,[1]characters!$2:$2,0)+1),MATCH(I$1,[1]characters!$2:$2,0)-MATCH($E$1,[1]characters!$2:$2,0)+1,FALSE)</f>
        <v>green</v>
      </c>
      <c r="J241" s="10" t="str">
        <f ca="1">VLOOKUP($E241,OFFSET([1]characters!$A$2,0,0,COUNTA([1]characters!$A:$A),MATCH("タイプ",[1]characters!$1:$1,0)-MATCH($E$1,[1]characters!$2:$2,0)+2),MATCH("タイプ",[1]characters!$1:$1,0)-MATCH($E$1,[1]characters!$2:$2,0)+2,FALSE)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1" s="10" t="str">
        <f ca="1">VLOOKUP($E241,OFFSET([1]characters!$A$2,0,0,COUNTA([1]characters!$A:$A),MATCH($K$1,[1]characters!$1:$1,0)-MATCH($E$1,[1]characters!$2:$2,0)+2),MATCH($K$1,[1]characters!$1:$1,0)-MATCH($E$1,[1]characters!$2:$2,0)+2,FALSE)</f>
        <v>ヒューマン</v>
      </c>
      <c r="L241" s="6">
        <v>1</v>
      </c>
      <c r="M241" s="46">
        <f ca="1">VLOOKUP(C241,gacha_115_base!A:B,2,FALSE)</f>
        <v>31</v>
      </c>
      <c r="N241" s="28">
        <v>0</v>
      </c>
      <c r="O241" s="28">
        <v>0</v>
      </c>
      <c r="P241" s="28">
        <v>0</v>
      </c>
      <c r="Q241" s="28">
        <v>0</v>
      </c>
      <c r="R241" s="28">
        <v>1</v>
      </c>
    </row>
    <row r="242" spans="1:18" ht="21" customHeight="1" thickBot="1">
      <c r="A242" s="22" t="str">
        <f t="shared" si="11"/>
        <v>03241</v>
      </c>
      <c r="B242" s="2">
        <f t="shared" si="10"/>
        <v>117</v>
      </c>
      <c r="C242" s="10" t="str">
        <f t="shared" ca="1" si="9"/>
        <v>0PremiumSS4blue</v>
      </c>
      <c r="D242" s="44">
        <v>0</v>
      </c>
      <c r="E242" s="39">
        <v>324</v>
      </c>
      <c r="F242" s="10" t="str">
        <f ca="1">VLOOKUP($E242,OFFSET([1]characters!$A$2,0,0,COUNTA([1]characters!$A:$A),MATCH(F$1,[1]characters!$2:$2,0)-MATCH($E$1,[1]characters!$2:$2,0)+1),MATCH(F$1,[1]characters!$2:$2,0)-MATCH($E$1,[1]characters!$2:$2,0)+1,FALSE)</f>
        <v>凛志士 沖田総司</v>
      </c>
      <c r="G242" s="10" t="str">
        <f ca="1">VLOOKUP($E242,OFFSET([1]characters!$A$2,0,0,COUNTA([1]characters!$A:$A),MATCH(G$1,[1]characters!$2:$2,0)-MATCH($E$1,[1]characters!$2:$2,0)+1),MATCH(G$1,[1]characters!$2:$2,0)-MATCH($E$1,[1]characters!$2:$2,0)+1,FALSE)</f>
        <v>PremiumSS</v>
      </c>
      <c r="H242" s="10">
        <f ca="1">VLOOKUP($E242,OFFSET([1]characters!$A$2,0,0,COUNTA([1]characters!$A:$A),MATCH(H$1,[1]characters!$2:$2,0)-MATCH($E$1,[1]characters!$2:$2,0)+1),MATCH(H$1,[1]characters!$2:$2,0)-MATCH($E$1,[1]characters!$2:$2,0)+1,FALSE)</f>
        <v>4</v>
      </c>
      <c r="I242" s="10" t="str">
        <f ca="1">VLOOKUP($E242,OFFSET([1]characters!$A$2,0,0,COUNTA([1]characters!$A:$A),MATCH(I$1,[1]characters!$2:$2,0)-MATCH($E$1,[1]characters!$2:$2,0)+1),MATCH(I$1,[1]characters!$2:$2,0)-MATCH($E$1,[1]characters!$2:$2,0)+1,FALSE)</f>
        <v>blue</v>
      </c>
      <c r="J242" s="10" t="str">
        <f ca="1">VLOOKUP($E242,OFFSET([1]characters!$A$2,0,0,COUNTA([1]characters!$A:$A),MATCH("タイプ",[1]characters!$1:$1,0)-MATCH($E$1,[1]characters!$2:$2,0)+2),MATCH("タイプ",[1]characters!$1:$1,0)-MATCH($E$1,[1]characters!$2:$2,0)+2,FALSE)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2" s="10" t="str">
        <f ca="1">VLOOKUP($E242,OFFSET([1]characters!$A$2,0,0,COUNTA([1]characters!$A:$A),MATCH($K$1,[1]characters!$1:$1,0)-MATCH($E$1,[1]characters!$2:$2,0)+2),MATCH($K$1,[1]characters!$1:$1,0)-MATCH($E$1,[1]characters!$2:$2,0)+2,FALSE)</f>
        <v>ヒューマン</v>
      </c>
      <c r="L242" s="38">
        <v>1</v>
      </c>
      <c r="M242" s="46">
        <f ca="1">VLOOKUP(C242,gacha_115_base!A:B,2,FALSE)</f>
        <v>662</v>
      </c>
      <c r="N242" s="28">
        <v>0</v>
      </c>
      <c r="O242" s="28">
        <v>0</v>
      </c>
      <c r="P242" s="28">
        <v>0</v>
      </c>
      <c r="Q242" s="28">
        <v>0</v>
      </c>
      <c r="R242" s="28">
        <v>1</v>
      </c>
    </row>
    <row r="243" spans="1:18" ht="21" customHeight="1" thickBot="1">
      <c r="A243" s="22" t="str">
        <f t="shared" si="11"/>
        <v>03251</v>
      </c>
      <c r="B243" s="2">
        <f t="shared" si="10"/>
        <v>117</v>
      </c>
      <c r="C243" s="10" t="str">
        <f t="shared" ca="1" si="9"/>
        <v>0PremiumSS5blue</v>
      </c>
      <c r="D243" s="44">
        <v>0</v>
      </c>
      <c r="E243" s="39">
        <v>325</v>
      </c>
      <c r="F243" s="10" t="str">
        <f ca="1">VLOOKUP($E243,OFFSET([1]characters!$A$2,0,0,COUNTA([1]characters!$A:$A),MATCH(F$1,[1]characters!$2:$2,0)-MATCH($E$1,[1]characters!$2:$2,0)+1),MATCH(F$1,[1]characters!$2:$2,0)-MATCH($E$1,[1]characters!$2:$2,0)+1,FALSE)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43" s="10" t="str">
        <f ca="1">VLOOKUP($E243,OFFSET([1]characters!$A$2,0,0,COUNTA([1]characters!$A:$A),MATCH(G$1,[1]characters!$2:$2,0)-MATCH($E$1,[1]characters!$2:$2,0)+1),MATCH(G$1,[1]characters!$2:$2,0)-MATCH($E$1,[1]characters!$2:$2,0)+1,FALSE)</f>
        <v>PremiumSS</v>
      </c>
      <c r="H243" s="10">
        <f ca="1">VLOOKUP($E243,OFFSET([1]characters!$A$2,0,0,COUNTA([1]characters!$A:$A),MATCH(H$1,[1]characters!$2:$2,0)-MATCH($E$1,[1]characters!$2:$2,0)+1),MATCH(H$1,[1]characters!$2:$2,0)-MATCH($E$1,[1]characters!$2:$2,0)+1,FALSE)</f>
        <v>5</v>
      </c>
      <c r="I243" s="10" t="str">
        <f ca="1">VLOOKUP($E243,OFFSET([1]characters!$A$2,0,0,COUNTA([1]characters!$A:$A),MATCH(I$1,[1]characters!$2:$2,0)-MATCH($E$1,[1]characters!$2:$2,0)+1),MATCH(I$1,[1]characters!$2:$2,0)-MATCH($E$1,[1]characters!$2:$2,0)+1,FALSE)</f>
        <v>blue</v>
      </c>
      <c r="J243" s="10" t="str">
        <f ca="1">VLOOKUP($E243,OFFSET([1]characters!$A$2,0,0,COUNTA([1]characters!$A:$A),MATCH("タイプ",[1]characters!$1:$1,0)-MATCH($E$1,[1]characters!$2:$2,0)+2),MATCH("タイプ",[1]characters!$1:$1,0)-MATCH($E$1,[1]characters!$2:$2,0)+2,FALSE)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3" s="10" t="str">
        <f ca="1">VLOOKUP($E243,OFFSET([1]characters!$A$2,0,0,COUNTA([1]characters!$A:$A),MATCH($K$1,[1]characters!$1:$1,0)-MATCH($E$1,[1]characters!$2:$2,0)+2),MATCH($K$1,[1]characters!$1:$1,0)-MATCH($E$1,[1]characters!$2:$2,0)+2,FALSE)</f>
        <v>ヒューマン</v>
      </c>
      <c r="L243" s="38">
        <v>1</v>
      </c>
      <c r="M243" s="46">
        <f ca="1">VLOOKUP(C243,gacha_115_base!A:B,2,FALSE)</f>
        <v>108</v>
      </c>
      <c r="N243" s="28">
        <v>0</v>
      </c>
      <c r="O243" s="28">
        <v>0</v>
      </c>
      <c r="P243" s="28">
        <v>0</v>
      </c>
      <c r="Q243" s="28">
        <v>0</v>
      </c>
      <c r="R243" s="28">
        <v>1</v>
      </c>
    </row>
    <row r="244" spans="1:18" ht="21" customHeight="1" thickBot="1">
      <c r="A244" s="22" t="str">
        <f t="shared" si="11"/>
        <v>03261</v>
      </c>
      <c r="B244" s="2">
        <f t="shared" si="10"/>
        <v>117</v>
      </c>
      <c r="C244" s="10" t="str">
        <f t="shared" ca="1" si="9"/>
        <v>0PremiumSS4yellow</v>
      </c>
      <c r="D244" s="21">
        <v>0</v>
      </c>
      <c r="E244" s="32">
        <v>326</v>
      </c>
      <c r="F244" s="33" t="str">
        <f ca="1">VLOOKUP($E244,OFFSET([1]characters!$A$2,0,0,COUNTA([1]characters!$A:$A),MATCH(F$1,[1]characters!$2:$2,0)-MATCH($E$1,[1]characters!$2:$2,0)+1),MATCH(F$1,[1]characters!$2:$2,0)-MATCH($E$1,[1]characters!$2:$2,0)+1,FALSE)</f>
        <v>妖志士 斎藤一</v>
      </c>
      <c r="G244" s="33" t="str">
        <f ca="1">VLOOKUP($E244,OFFSET([1]characters!$A$2,0,0,COUNTA([1]characters!$A:$A),MATCH(G$1,[1]characters!$2:$2,0)-MATCH($E$1,[1]characters!$2:$2,0)+1),MATCH(G$1,[1]characters!$2:$2,0)-MATCH($E$1,[1]characters!$2:$2,0)+1,FALSE)</f>
        <v>PremiumSS</v>
      </c>
      <c r="H244" s="33">
        <f ca="1">VLOOKUP($E244,OFFSET([1]characters!$A$2,0,0,COUNTA([1]characters!$A:$A),MATCH(H$1,[1]characters!$2:$2,0)-MATCH($E$1,[1]characters!$2:$2,0)+1),MATCH(H$1,[1]characters!$2:$2,0)-MATCH($E$1,[1]characters!$2:$2,0)+1,FALSE)</f>
        <v>4</v>
      </c>
      <c r="I244" s="33" t="str">
        <f ca="1">VLOOKUP($E244,OFFSET([1]characters!$A$2,0,0,COUNTA([1]characters!$A:$A),MATCH(I$1,[1]characters!$2:$2,0)-MATCH($E$1,[1]characters!$2:$2,0)+1),MATCH(I$1,[1]characters!$2:$2,0)-MATCH($E$1,[1]characters!$2:$2,0)+1,FALSE)</f>
        <v>yellow</v>
      </c>
      <c r="J244" s="33" t="str">
        <f ca="1">VLOOKUP($E244,OFFSET([1]characters!$A$2,0,0,COUNTA([1]characters!$A:$A),MATCH("タイプ",[1]characters!$1:$1,0)-MATCH($E$1,[1]characters!$2:$2,0)+2),MATCH("タイプ",[1]characters!$1:$1,0)-MATCH($E$1,[1]characters!$2:$2,0)+2,FALSE)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4" s="33" t="str">
        <f ca="1">VLOOKUP($E244,OFFSET([1]characters!$A$2,0,0,COUNTA([1]characters!$A:$A),MATCH($K$1,[1]characters!$1:$1,0)-MATCH($E$1,[1]characters!$2:$2,0)+2),MATCH($K$1,[1]characters!$1:$1,0)-MATCH($E$1,[1]characters!$2:$2,0)+2,FALSE)</f>
        <v>ヒューマン</v>
      </c>
      <c r="L244" s="31">
        <v>1</v>
      </c>
      <c r="M244" s="46">
        <f ca="1">VLOOKUP(C244,gacha_115_base!A:B,2,FALSE)</f>
        <v>162</v>
      </c>
      <c r="N244" s="34">
        <v>0</v>
      </c>
      <c r="O244" s="34">
        <v>0</v>
      </c>
      <c r="P244" s="34">
        <v>0</v>
      </c>
      <c r="Q244" s="34">
        <v>0</v>
      </c>
      <c r="R244" s="34">
        <v>1</v>
      </c>
    </row>
    <row r="245" spans="1:18" ht="21" customHeight="1" thickBot="1">
      <c r="A245" s="22" t="str">
        <f t="shared" si="11"/>
        <v>03271</v>
      </c>
      <c r="B245" s="2">
        <f t="shared" si="10"/>
        <v>117</v>
      </c>
      <c r="C245" s="10" t="str">
        <f t="shared" ca="1" si="9"/>
        <v>0PremiumSS5yellow</v>
      </c>
      <c r="D245" s="37">
        <v>0</v>
      </c>
      <c r="E245" s="7">
        <v>327</v>
      </c>
      <c r="F245" s="10" t="str">
        <f ca="1">VLOOKUP($E245,OFFSET([1]characters!$A$2,0,0,COUNTA([1]characters!$A:$A),MATCH(F$1,[1]characters!$2:$2,0)-MATCH($E$1,[1]characters!$2:$2,0)+1),MATCH(F$1,[1]characters!$2:$2,0)-MATCH($E$1,[1]characters!$2:$2,0)+1,FALSE)</f>
        <v>千殺の妖志士 斎藤一</v>
      </c>
      <c r="G245" s="10" t="str">
        <f ca="1">VLOOKUP($E245,OFFSET([1]characters!$A$2,0,0,COUNTA([1]characters!$A:$A),MATCH(G$1,[1]characters!$2:$2,0)-MATCH($E$1,[1]characters!$2:$2,0)+1),MATCH(G$1,[1]characters!$2:$2,0)-MATCH($E$1,[1]characters!$2:$2,0)+1,FALSE)</f>
        <v>PremiumSS</v>
      </c>
      <c r="H245" s="10">
        <f ca="1">VLOOKUP($E245,OFFSET([1]characters!$A$2,0,0,COUNTA([1]characters!$A:$A),MATCH(H$1,[1]characters!$2:$2,0)-MATCH($E$1,[1]characters!$2:$2,0)+1),MATCH(H$1,[1]characters!$2:$2,0)-MATCH($E$1,[1]characters!$2:$2,0)+1,FALSE)</f>
        <v>5</v>
      </c>
      <c r="I245" s="10" t="str">
        <f ca="1">VLOOKUP($E245,OFFSET([1]characters!$A$2,0,0,COUNTA([1]characters!$A:$A),MATCH(I$1,[1]characters!$2:$2,0)-MATCH($E$1,[1]characters!$2:$2,0)+1),MATCH(I$1,[1]characters!$2:$2,0)-MATCH($E$1,[1]characters!$2:$2,0)+1,FALSE)</f>
        <v>yellow</v>
      </c>
      <c r="J245" s="10" t="str">
        <f ca="1">VLOOKUP($E245,OFFSET([1]characters!$A$2,0,0,COUNTA([1]characters!$A:$A),MATCH("タイプ",[1]characters!$1:$1,0)-MATCH($E$1,[1]characters!$2:$2,0)+2),MATCH("タイプ",[1]characters!$1:$1,0)-MATCH($E$1,[1]characters!$2:$2,0)+2,FALSE)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5" s="10" t="str">
        <f ca="1">VLOOKUP($E245,OFFSET([1]characters!$A$2,0,0,COUNTA([1]characters!$A:$A),MATCH($K$1,[1]characters!$1:$1,0)-MATCH($E$1,[1]characters!$2:$2,0)+2),MATCH($K$1,[1]characters!$1:$1,0)-MATCH($E$1,[1]characters!$2:$2,0)+2,FALSE)</f>
        <v>ヒューマン</v>
      </c>
      <c r="L245" s="6">
        <v>1</v>
      </c>
      <c r="M245" s="46">
        <f ca="1">VLOOKUP(C245,gacha_115_base!A:B,2,FALSE)</f>
        <v>31</v>
      </c>
      <c r="N245" s="28">
        <v>0</v>
      </c>
      <c r="O245" s="28">
        <v>0</v>
      </c>
      <c r="P245" s="28">
        <v>0</v>
      </c>
      <c r="Q245" s="28">
        <v>0</v>
      </c>
      <c r="R245" s="28">
        <v>1</v>
      </c>
    </row>
    <row r="246" spans="1:18" ht="21" customHeight="1" thickBot="1">
      <c r="A246" s="22" t="str">
        <f t="shared" si="11"/>
        <v>03801</v>
      </c>
      <c r="B246" s="2">
        <f t="shared" si="10"/>
        <v>117</v>
      </c>
      <c r="C246" s="10" t="str">
        <f t="shared" ca="1" si="9"/>
        <v>0PremiumS3red</v>
      </c>
      <c r="D246" s="37">
        <v>0</v>
      </c>
      <c r="E246" s="27">
        <v>380</v>
      </c>
      <c r="F246" s="20" t="str">
        <f ca="1">VLOOKUP($E246,OFFSET([1]characters!$A$2,0,0,COUNTA([1]characters!$A:$A),MATCH(F$1,[1]characters!$2:$2,0)-MATCH($E$1,[1]characters!$2:$2,0)+1),MATCH(F$1,[1]characters!$2:$2,0)-MATCH($E$1,[1]characters!$2:$2,0)+1,FALSE)</f>
        <v>バハムート</v>
      </c>
      <c r="G246" s="20" t="str">
        <f ca="1">VLOOKUP($E246,OFFSET([1]characters!$A$2,0,0,COUNTA([1]characters!$A:$A),MATCH(G$1,[1]characters!$2:$2,0)-MATCH($E$1,[1]characters!$2:$2,0)+1),MATCH(G$1,[1]characters!$2:$2,0)-MATCH($E$1,[1]characters!$2:$2,0)+1,FALSE)</f>
        <v>PremiumS</v>
      </c>
      <c r="H246" s="20">
        <f ca="1">VLOOKUP($E246,OFFSET([1]characters!$A$2,0,0,COUNTA([1]characters!$A:$A),MATCH(H$1,[1]characters!$2:$2,0)-MATCH($E$1,[1]characters!$2:$2,0)+1),MATCH(H$1,[1]characters!$2:$2,0)-MATCH($E$1,[1]characters!$2:$2,0)+1,FALSE)</f>
        <v>3</v>
      </c>
      <c r="I246" s="20" t="str">
        <f ca="1">VLOOKUP($E246,OFFSET([1]characters!$A$2,0,0,COUNTA([1]characters!$A:$A),MATCH(I$1,[1]characters!$2:$2,0)-MATCH($E$1,[1]characters!$2:$2,0)+1),MATCH(I$1,[1]characters!$2:$2,0)-MATCH($E$1,[1]characters!$2:$2,0)+1,FALSE)</f>
        <v>red</v>
      </c>
      <c r="J246" s="20" t="str">
        <f ca="1">VLOOKUP($E246,OFFSET([1]characters!$A$2,0,0,COUNTA([1]characters!$A:$A),MATCH("タイプ",[1]characters!$1:$1,0)-MATCH($E$1,[1]characters!$2:$2,0)+2),MATCH("タイプ",[1]characters!$1:$1,0)-MATCH($E$1,[1]characters!$2:$2,0)+2,FALSE)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6" s="20" t="str">
        <f ca="1">VLOOKUP($E246,OFFSET([1]characters!$A$2,0,0,COUNTA([1]characters!$A:$A),MATCH($K$1,[1]characters!$1:$1,0)-MATCH($E$1,[1]characters!$2:$2,0)+2),MATCH($K$1,[1]characters!$1:$1,0)-MATCH($E$1,[1]characters!$2:$2,0)+2,FALSE)</f>
        <v>ドラゴン</v>
      </c>
      <c r="L246" s="21">
        <v>1</v>
      </c>
      <c r="M246" s="46">
        <f ca="1">VLOOKUP(C246,gacha_115_base!A:B,2,FALSE)</f>
        <v>179</v>
      </c>
      <c r="N246" s="18">
        <v>0</v>
      </c>
      <c r="O246" s="18">
        <v>0</v>
      </c>
      <c r="P246" s="18">
        <v>0</v>
      </c>
      <c r="Q246" s="18">
        <v>0</v>
      </c>
      <c r="R246" s="18">
        <v>1</v>
      </c>
    </row>
    <row r="247" spans="1:18" ht="21" customHeight="1" thickBot="1">
      <c r="A247" s="22" t="str">
        <f t="shared" si="11"/>
        <v>03811</v>
      </c>
      <c r="B247" s="2">
        <f t="shared" si="10"/>
        <v>117</v>
      </c>
      <c r="C247" s="10" t="str">
        <f t="shared" ca="1" si="9"/>
        <v>0PremiumS4red</v>
      </c>
      <c r="D247" s="37">
        <v>0</v>
      </c>
      <c r="E247" s="27">
        <v>381</v>
      </c>
      <c r="F247" s="10" t="str">
        <f ca="1">VLOOKUP($E247,OFFSET([1]characters!$A$2,0,0,COUNTA([1]characters!$A:$A),MATCH(F$1,[1]characters!$2:$2,0)-MATCH($E$1,[1]characters!$2:$2,0)+1),MATCH(F$1,[1]characters!$2:$2,0)-MATCH($E$1,[1]characters!$2:$2,0)+1,FALSE)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247" s="10" t="str">
        <f ca="1">VLOOKUP($E247,OFFSET([1]characters!$A$2,0,0,COUNTA([1]characters!$A:$A),MATCH(G$1,[1]characters!$2:$2,0)-MATCH($E$1,[1]characters!$2:$2,0)+1),MATCH(G$1,[1]characters!$2:$2,0)-MATCH($E$1,[1]characters!$2:$2,0)+1,FALSE)</f>
        <v>PremiumS</v>
      </c>
      <c r="H247" s="10">
        <f ca="1">VLOOKUP($E247,OFFSET([1]characters!$A$2,0,0,COUNTA([1]characters!$A:$A),MATCH(H$1,[1]characters!$2:$2,0)-MATCH($E$1,[1]characters!$2:$2,0)+1),MATCH(H$1,[1]characters!$2:$2,0)-MATCH($E$1,[1]characters!$2:$2,0)+1,FALSE)</f>
        <v>4</v>
      </c>
      <c r="I247" s="10" t="str">
        <f ca="1">VLOOKUP($E247,OFFSET([1]characters!$A$2,0,0,COUNTA([1]characters!$A:$A),MATCH(I$1,[1]characters!$2:$2,0)-MATCH($E$1,[1]characters!$2:$2,0)+1),MATCH(I$1,[1]characters!$2:$2,0)-MATCH($E$1,[1]characters!$2:$2,0)+1,FALSE)</f>
        <v>red</v>
      </c>
      <c r="J247" s="10" t="str">
        <f ca="1">VLOOKUP($E247,OFFSET([1]characters!$A$2,0,0,COUNTA([1]characters!$A:$A),MATCH("タイプ",[1]characters!$1:$1,0)-MATCH($E$1,[1]characters!$2:$2,0)+2),MATCH("タイプ",[1]characters!$1:$1,0)-MATCH($E$1,[1]characters!$2:$2,0)+2,FALSE)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7" s="10" t="str">
        <f ca="1">VLOOKUP($E247,OFFSET([1]characters!$A$2,0,0,COUNTA([1]characters!$A:$A),MATCH($K$1,[1]characters!$1:$1,0)-MATCH($E$1,[1]characters!$2:$2,0)+2),MATCH($K$1,[1]characters!$1:$1,0)-MATCH($E$1,[1]characters!$2:$2,0)+2,FALSE)</f>
        <v>ドラゴン</v>
      </c>
      <c r="L247" s="6">
        <v>1</v>
      </c>
      <c r="M247" s="46">
        <f ca="1">VLOOKUP(C247,gacha_115_base!A:B,2,FALSE)</f>
        <v>63</v>
      </c>
      <c r="N247" s="28">
        <v>0</v>
      </c>
      <c r="O247" s="28">
        <v>0</v>
      </c>
      <c r="P247" s="28">
        <v>0</v>
      </c>
      <c r="Q247" s="28">
        <v>0</v>
      </c>
      <c r="R247" s="28">
        <v>1</v>
      </c>
    </row>
    <row r="248" spans="1:18" ht="21" customHeight="1" thickBot="1">
      <c r="A248" s="22" t="str">
        <f t="shared" si="11"/>
        <v>03821</v>
      </c>
      <c r="B248" s="2">
        <f t="shared" si="10"/>
        <v>117</v>
      </c>
      <c r="C248" s="10" t="str">
        <f t="shared" ca="1" si="9"/>
        <v>0PremiumS5red</v>
      </c>
      <c r="D248" s="37">
        <v>0</v>
      </c>
      <c r="E248" s="27">
        <v>382</v>
      </c>
      <c r="F248" s="10" t="str">
        <f ca="1">VLOOKUP($E248,OFFSET([1]characters!$A$2,0,0,COUNTA([1]characters!$A:$A),MATCH(F$1,[1]characters!$2:$2,0)-MATCH($E$1,[1]characters!$2:$2,0)+1),MATCH(F$1,[1]characters!$2:$2,0)-MATCH($E$1,[1]characters!$2:$2,0)+1,FALSE)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248" s="10" t="str">
        <f ca="1">VLOOKUP($E248,OFFSET([1]characters!$A$2,0,0,COUNTA([1]characters!$A:$A),MATCH(G$1,[1]characters!$2:$2,0)-MATCH($E$1,[1]characters!$2:$2,0)+1),MATCH(G$1,[1]characters!$2:$2,0)-MATCH($E$1,[1]characters!$2:$2,0)+1,FALSE)</f>
        <v>PremiumS</v>
      </c>
      <c r="H248" s="10">
        <f ca="1">VLOOKUP($E248,OFFSET([1]characters!$A$2,0,0,COUNTA([1]characters!$A:$A),MATCH(H$1,[1]characters!$2:$2,0)-MATCH($E$1,[1]characters!$2:$2,0)+1),MATCH(H$1,[1]characters!$2:$2,0)-MATCH($E$1,[1]characters!$2:$2,0)+1,FALSE)</f>
        <v>5</v>
      </c>
      <c r="I248" s="10" t="str">
        <f ca="1">VLOOKUP($E248,OFFSET([1]characters!$A$2,0,0,COUNTA([1]characters!$A:$A),MATCH(I$1,[1]characters!$2:$2,0)-MATCH($E$1,[1]characters!$2:$2,0)+1),MATCH(I$1,[1]characters!$2:$2,0)-MATCH($E$1,[1]characters!$2:$2,0)+1,FALSE)</f>
        <v>red</v>
      </c>
      <c r="J248" s="10" t="str">
        <f ca="1">VLOOKUP($E248,OFFSET([1]characters!$A$2,0,0,COUNTA([1]characters!$A:$A),MATCH("タイプ",[1]characters!$1:$1,0)-MATCH($E$1,[1]characters!$2:$2,0)+2),MATCH("タイプ",[1]characters!$1:$1,0)-MATCH($E$1,[1]characters!$2:$2,0)+2,FALSE)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8" s="10" t="str">
        <f ca="1">VLOOKUP($E248,OFFSET([1]characters!$A$2,0,0,COUNTA([1]characters!$A:$A),MATCH($K$1,[1]characters!$1:$1,0)-MATCH($E$1,[1]characters!$2:$2,0)+2),MATCH($K$1,[1]characters!$1:$1,0)-MATCH($E$1,[1]characters!$2:$2,0)+2,FALSE)</f>
        <v>ドラゴン</v>
      </c>
      <c r="L248" s="6">
        <v>1</v>
      </c>
      <c r="M248" s="46">
        <f ca="1">VLOOKUP(C248,gacha_115_base!A:B,2,FALSE)</f>
        <v>10</v>
      </c>
      <c r="N248" s="28">
        <v>0</v>
      </c>
      <c r="O248" s="28">
        <v>0</v>
      </c>
      <c r="P248" s="28">
        <v>0</v>
      </c>
      <c r="Q248" s="28">
        <v>0</v>
      </c>
      <c r="R248" s="28">
        <v>1</v>
      </c>
    </row>
    <row r="249" spans="1:18" ht="21" customHeight="1" thickBot="1">
      <c r="A249" s="22" t="str">
        <f t="shared" si="11"/>
        <v>03831</v>
      </c>
      <c r="B249" s="2">
        <f t="shared" si="10"/>
        <v>117</v>
      </c>
      <c r="C249" s="10" t="str">
        <f t="shared" ca="1" si="9"/>
        <v>0PremiumSS4green</v>
      </c>
      <c r="D249" s="37">
        <v>0</v>
      </c>
      <c r="E249" s="27">
        <v>383</v>
      </c>
      <c r="F249" s="10" t="str">
        <f ca="1">VLOOKUP($E249,OFFSET([1]characters!$A$2,0,0,COUNTA([1]characters!$A:$A),MATCH(F$1,[1]characters!$2:$2,0)-MATCH($E$1,[1]characters!$2:$2,0)+1),MATCH(F$1,[1]characters!$2:$2,0)-MATCH($E$1,[1]characters!$2:$2,0)+1,FALSE)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249" s="10" t="str">
        <f ca="1">VLOOKUP($E249,OFFSET([1]characters!$A$2,0,0,COUNTA([1]characters!$A:$A),MATCH(G$1,[1]characters!$2:$2,0)-MATCH($E$1,[1]characters!$2:$2,0)+1),MATCH(G$1,[1]characters!$2:$2,0)-MATCH($E$1,[1]characters!$2:$2,0)+1,FALSE)</f>
        <v>PremiumSS</v>
      </c>
      <c r="H249" s="10">
        <f ca="1">VLOOKUP($E249,OFFSET([1]characters!$A$2,0,0,COUNTA([1]characters!$A:$A),MATCH(H$1,[1]characters!$2:$2,0)-MATCH($E$1,[1]characters!$2:$2,0)+1),MATCH(H$1,[1]characters!$2:$2,0)-MATCH($E$1,[1]characters!$2:$2,0)+1,FALSE)</f>
        <v>4</v>
      </c>
      <c r="I249" s="10" t="str">
        <f ca="1">VLOOKUP($E249,OFFSET([1]characters!$A$2,0,0,COUNTA([1]characters!$A:$A),MATCH(I$1,[1]characters!$2:$2,0)-MATCH($E$1,[1]characters!$2:$2,0)+1),MATCH(I$1,[1]characters!$2:$2,0)-MATCH($E$1,[1]characters!$2:$2,0)+1,FALSE)</f>
        <v>green</v>
      </c>
      <c r="J249" s="10" t="str">
        <f ca="1">VLOOKUP($E249,OFFSET([1]characters!$A$2,0,0,COUNTA([1]characters!$A:$A),MATCH("タイプ",[1]characters!$1:$1,0)-MATCH($E$1,[1]characters!$2:$2,0)+2),MATCH("タイプ",[1]characters!$1:$1,0)-MATCH($E$1,[1]characters!$2:$2,0)+2,FALSE)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49" s="10" t="str">
        <f ca="1">VLOOKUP($E249,OFFSET([1]characters!$A$2,0,0,COUNTA([1]characters!$A:$A),MATCH($K$1,[1]characters!$1:$1,0)-MATCH($E$1,[1]characters!$2:$2,0)+2),MATCH($K$1,[1]characters!$1:$1,0)-MATCH($E$1,[1]characters!$2:$2,0)+2,FALSE)</f>
        <v>ドラゴン</v>
      </c>
      <c r="L249" s="6">
        <v>1</v>
      </c>
      <c r="M249" s="46">
        <f ca="1">VLOOKUP(C249,gacha_115_base!A:B,2,FALSE)</f>
        <v>162</v>
      </c>
      <c r="N249" s="28">
        <v>0</v>
      </c>
      <c r="O249" s="28">
        <v>0</v>
      </c>
      <c r="P249" s="28">
        <v>0</v>
      </c>
      <c r="Q249" s="28">
        <v>0</v>
      </c>
      <c r="R249" s="28">
        <v>1</v>
      </c>
    </row>
    <row r="250" spans="1:18" ht="21" customHeight="1" thickBot="1">
      <c r="A250" s="22" t="str">
        <f t="shared" si="11"/>
        <v>03841</v>
      </c>
      <c r="B250" s="2">
        <f t="shared" si="10"/>
        <v>117</v>
      </c>
      <c r="C250" s="10" t="str">
        <f t="shared" ca="1" si="9"/>
        <v>0PremiumSS5green</v>
      </c>
      <c r="D250" s="37">
        <v>0</v>
      </c>
      <c r="E250" s="27">
        <v>384</v>
      </c>
      <c r="F250" s="10" t="str">
        <f ca="1">VLOOKUP($E250,OFFSET([1]characters!$A$2,0,0,COUNTA([1]characters!$A:$A),MATCH(F$1,[1]characters!$2:$2,0)-MATCH($E$1,[1]characters!$2:$2,0)+1),MATCH(F$1,[1]characters!$2:$2,0)-MATCH($E$1,[1]characters!$2:$2,0)+1,FALSE)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250" s="10" t="str">
        <f ca="1">VLOOKUP($E250,OFFSET([1]characters!$A$2,0,0,COUNTA([1]characters!$A:$A),MATCH(G$1,[1]characters!$2:$2,0)-MATCH($E$1,[1]characters!$2:$2,0)+1),MATCH(G$1,[1]characters!$2:$2,0)-MATCH($E$1,[1]characters!$2:$2,0)+1,FALSE)</f>
        <v>PremiumSS</v>
      </c>
      <c r="H250" s="10">
        <f ca="1">VLOOKUP($E250,OFFSET([1]characters!$A$2,0,0,COUNTA([1]characters!$A:$A),MATCH(H$1,[1]characters!$2:$2,0)-MATCH($E$1,[1]characters!$2:$2,0)+1),MATCH(H$1,[1]characters!$2:$2,0)-MATCH($E$1,[1]characters!$2:$2,0)+1,FALSE)</f>
        <v>5</v>
      </c>
      <c r="I250" s="10" t="str">
        <f ca="1">VLOOKUP($E250,OFFSET([1]characters!$A$2,0,0,COUNTA([1]characters!$A:$A),MATCH(I$1,[1]characters!$2:$2,0)-MATCH($E$1,[1]characters!$2:$2,0)+1),MATCH(I$1,[1]characters!$2:$2,0)-MATCH($E$1,[1]characters!$2:$2,0)+1,FALSE)</f>
        <v>green</v>
      </c>
      <c r="J250" s="10" t="str">
        <f ca="1">VLOOKUP($E250,OFFSET([1]characters!$A$2,0,0,COUNTA([1]characters!$A:$A),MATCH("タイプ",[1]characters!$1:$1,0)-MATCH($E$1,[1]characters!$2:$2,0)+2),MATCH("タイプ",[1]characters!$1:$1,0)-MATCH($E$1,[1]characters!$2:$2,0)+2,FALSE)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0" s="10" t="str">
        <f ca="1">VLOOKUP($E250,OFFSET([1]characters!$A$2,0,0,COUNTA([1]characters!$A:$A),MATCH($K$1,[1]characters!$1:$1,0)-MATCH($E$1,[1]characters!$2:$2,0)+2),MATCH($K$1,[1]characters!$1:$1,0)-MATCH($E$1,[1]characters!$2:$2,0)+2,FALSE)</f>
        <v>ドラゴン</v>
      </c>
      <c r="L250" s="6">
        <v>1</v>
      </c>
      <c r="M250" s="46">
        <f ca="1">VLOOKUP(C250,gacha_115_base!A:B,2,FALSE)</f>
        <v>31</v>
      </c>
      <c r="N250" s="28">
        <v>0</v>
      </c>
      <c r="O250" s="28">
        <v>0</v>
      </c>
      <c r="P250" s="28">
        <v>0</v>
      </c>
      <c r="Q250" s="28">
        <v>0</v>
      </c>
      <c r="R250" s="28">
        <v>1</v>
      </c>
    </row>
    <row r="251" spans="1:18" ht="21" customHeight="1" thickBot="1">
      <c r="A251" s="22" t="str">
        <f t="shared" si="11"/>
        <v>03851</v>
      </c>
      <c r="B251" s="2">
        <f t="shared" si="10"/>
        <v>117</v>
      </c>
      <c r="C251" s="10" t="str">
        <f ca="1">D251&amp;G251&amp;H251&amp;I251&amp;"pick"</f>
        <v>0PremiumSS4bluepick</v>
      </c>
      <c r="D251" s="45">
        <v>0</v>
      </c>
      <c r="E251" s="41">
        <v>385</v>
      </c>
      <c r="F251" s="10" t="str">
        <f ca="1">VLOOKUP($E251,OFFSET([1]characters!$A$2,0,0,COUNTA([1]characters!$A:$A),MATCH(F$1,[1]characters!$2:$2,0)-MATCH($E$1,[1]characters!$2:$2,0)+1),MATCH(F$1,[1]characters!$2:$2,0)-MATCH($E$1,[1]characters!$2:$2,0)+1,FALSE)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251" s="10" t="str">
        <f ca="1">VLOOKUP($E251,OFFSET([1]characters!$A$2,0,0,COUNTA([1]characters!$A:$A),MATCH(G$1,[1]characters!$2:$2,0)-MATCH($E$1,[1]characters!$2:$2,0)+1),MATCH(G$1,[1]characters!$2:$2,0)-MATCH($E$1,[1]characters!$2:$2,0)+1,FALSE)</f>
        <v>PremiumSS</v>
      </c>
      <c r="H251" s="10">
        <f ca="1">VLOOKUP($E251,OFFSET([1]characters!$A$2,0,0,COUNTA([1]characters!$A:$A),MATCH(H$1,[1]characters!$2:$2,0)-MATCH($E$1,[1]characters!$2:$2,0)+1),MATCH(H$1,[1]characters!$2:$2,0)-MATCH($E$1,[1]characters!$2:$2,0)+1,FALSE)</f>
        <v>4</v>
      </c>
      <c r="I251" s="10" t="str">
        <f ca="1">VLOOKUP($E251,OFFSET([1]characters!$A$2,0,0,COUNTA([1]characters!$A:$A),MATCH(I$1,[1]characters!$2:$2,0)-MATCH($E$1,[1]characters!$2:$2,0)+1),MATCH(I$1,[1]characters!$2:$2,0)-MATCH($E$1,[1]characters!$2:$2,0)+1,FALSE)</f>
        <v>blue</v>
      </c>
      <c r="J251" s="10" t="str">
        <f ca="1">VLOOKUP($E251,OFFSET([1]characters!$A$2,0,0,COUNTA([1]characters!$A:$A),MATCH("タイプ",[1]characters!$1:$1,0)-MATCH($E$1,[1]characters!$2:$2,0)+2),MATCH("タイプ",[1]characters!$1:$1,0)-MATCH($E$1,[1]characters!$2:$2,0)+2,FALSE)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1" s="10" t="str">
        <f ca="1">VLOOKUP($E251,OFFSET([1]characters!$A$2,0,0,COUNTA([1]characters!$A:$A),MATCH($K$1,[1]characters!$1:$1,0)-MATCH($E$1,[1]characters!$2:$2,0)+2),MATCH($K$1,[1]characters!$1:$1,0)-MATCH($E$1,[1]characters!$2:$2,0)+2,FALSE)</f>
        <v>ドラゴン</v>
      </c>
      <c r="L251" s="38">
        <v>1</v>
      </c>
      <c r="M251" s="46">
        <f ca="1">VLOOKUP(C251,gacha_115_base!A:B,2,FALSE)</f>
        <v>1348</v>
      </c>
      <c r="N251" s="28">
        <v>0</v>
      </c>
      <c r="O251" s="28">
        <v>0</v>
      </c>
      <c r="P251" s="28">
        <v>0</v>
      </c>
      <c r="Q251" s="28">
        <v>0</v>
      </c>
      <c r="R251" s="28">
        <v>1</v>
      </c>
    </row>
    <row r="252" spans="1:18" ht="21" customHeight="1" thickBot="1">
      <c r="A252" s="22" t="str">
        <f t="shared" si="11"/>
        <v>03861</v>
      </c>
      <c r="B252" s="2">
        <f t="shared" si="10"/>
        <v>117</v>
      </c>
      <c r="C252" s="10" t="str">
        <f ca="1">D252&amp;G252&amp;H252&amp;I252&amp;"pick"</f>
        <v>0PremiumSS5bluepick</v>
      </c>
      <c r="D252" s="45">
        <v>0</v>
      </c>
      <c r="E252" s="43">
        <v>386</v>
      </c>
      <c r="F252" s="33" t="str">
        <f ca="1">VLOOKUP($E252,OFFSET([1]characters!$A$2,0,0,COUNTA([1]characters!$A:$A),MATCH(F$1,[1]characters!$2:$2,0)-MATCH($E$1,[1]characters!$2:$2,0)+1),MATCH(F$1,[1]characters!$2:$2,0)-MATCH($E$1,[1]characters!$2:$2,0)+1,FALSE)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252" s="33" t="str">
        <f ca="1">VLOOKUP($E252,OFFSET([1]characters!$A$2,0,0,COUNTA([1]characters!$A:$A),MATCH(G$1,[1]characters!$2:$2,0)-MATCH($E$1,[1]characters!$2:$2,0)+1),MATCH(G$1,[1]characters!$2:$2,0)-MATCH($E$1,[1]characters!$2:$2,0)+1,FALSE)</f>
        <v>PremiumSS</v>
      </c>
      <c r="H252" s="33">
        <f ca="1">VLOOKUP($E252,OFFSET([1]characters!$A$2,0,0,COUNTA([1]characters!$A:$A),MATCH(H$1,[1]characters!$2:$2,0)-MATCH($E$1,[1]characters!$2:$2,0)+1),MATCH(H$1,[1]characters!$2:$2,0)-MATCH($E$1,[1]characters!$2:$2,0)+1,FALSE)</f>
        <v>5</v>
      </c>
      <c r="I252" s="33" t="str">
        <f ca="1">VLOOKUP($E252,OFFSET([1]characters!$A$2,0,0,COUNTA([1]characters!$A:$A),MATCH(I$1,[1]characters!$2:$2,0)-MATCH($E$1,[1]characters!$2:$2,0)+1),MATCH(I$1,[1]characters!$2:$2,0)-MATCH($E$1,[1]characters!$2:$2,0)+1,FALSE)</f>
        <v>blue</v>
      </c>
      <c r="J252" s="33" t="str">
        <f ca="1">VLOOKUP($E252,OFFSET([1]characters!$A$2,0,0,COUNTA([1]characters!$A:$A),MATCH("タイプ",[1]characters!$1:$1,0)-MATCH($E$1,[1]characters!$2:$2,0)+2),MATCH("タイプ",[1]characters!$1:$1,0)-MATCH($E$1,[1]characters!$2:$2,0)+2,FALSE)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2" s="33" t="str">
        <f ca="1">VLOOKUP($E252,OFFSET([1]characters!$A$2,0,0,COUNTA([1]characters!$A:$A),MATCH($K$1,[1]characters!$1:$1,0)-MATCH($E$1,[1]characters!$2:$2,0)+2),MATCH($K$1,[1]characters!$1:$1,0)-MATCH($E$1,[1]characters!$2:$2,0)+2,FALSE)</f>
        <v>ドラゴン</v>
      </c>
      <c r="L252" s="42">
        <v>1</v>
      </c>
      <c r="M252" s="46">
        <f ca="1">VLOOKUP(C252,gacha_115_base!A:B,2,FALSE)</f>
        <v>193</v>
      </c>
      <c r="N252" s="34">
        <v>0</v>
      </c>
      <c r="O252" s="34">
        <v>0</v>
      </c>
      <c r="P252" s="34">
        <v>0</v>
      </c>
      <c r="Q252" s="34">
        <v>0</v>
      </c>
      <c r="R252" s="34">
        <v>1</v>
      </c>
    </row>
    <row r="253" spans="1:18" ht="21" customHeight="1" thickBot="1">
      <c r="A253" s="22" t="str">
        <f t="shared" si="11"/>
        <v>03871</v>
      </c>
      <c r="B253" s="2">
        <f t="shared" si="10"/>
        <v>117</v>
      </c>
      <c r="C253" s="10" t="str">
        <f t="shared" ca="1" si="9"/>
        <v>0PremiumS3yellow</v>
      </c>
      <c r="D253" s="37">
        <v>0</v>
      </c>
      <c r="E253" s="7">
        <v>387</v>
      </c>
      <c r="F253" s="10" t="str">
        <f ca="1">VLOOKUP($E253,OFFSET([1]characters!$A$2,0,0,COUNTA([1]characters!$A:$A),MATCH(F$1,[1]characters!$2:$2,0)-MATCH($E$1,[1]characters!$2:$2,0)+1),MATCH(F$1,[1]characters!$2:$2,0)-MATCH($E$1,[1]characters!$2:$2,0)+1,FALSE)</f>
        <v>スフィンクス</v>
      </c>
      <c r="G253" s="10" t="str">
        <f ca="1">VLOOKUP($E253,OFFSET([1]characters!$A$2,0,0,COUNTA([1]characters!$A:$A),MATCH(G$1,[1]characters!$2:$2,0)-MATCH($E$1,[1]characters!$2:$2,0)+1),MATCH(G$1,[1]characters!$2:$2,0)-MATCH($E$1,[1]characters!$2:$2,0)+1,FALSE)</f>
        <v>PremiumS</v>
      </c>
      <c r="H253" s="10">
        <f ca="1">VLOOKUP($E253,OFFSET([1]characters!$A$2,0,0,COUNTA([1]characters!$A:$A),MATCH(H$1,[1]characters!$2:$2,0)-MATCH($E$1,[1]characters!$2:$2,0)+1),MATCH(H$1,[1]characters!$2:$2,0)-MATCH($E$1,[1]characters!$2:$2,0)+1,FALSE)</f>
        <v>3</v>
      </c>
      <c r="I253" s="10" t="str">
        <f ca="1">VLOOKUP($E253,OFFSET([1]characters!$A$2,0,0,COUNTA([1]characters!$A:$A),MATCH(I$1,[1]characters!$2:$2,0)-MATCH($E$1,[1]characters!$2:$2,0)+1),MATCH(I$1,[1]characters!$2:$2,0)-MATCH($E$1,[1]characters!$2:$2,0)+1,FALSE)</f>
        <v>yellow</v>
      </c>
      <c r="J253" s="10" t="str">
        <f ca="1">VLOOKUP($E253,OFFSET([1]characters!$A$2,0,0,COUNTA([1]characters!$A:$A),MATCH("タイプ",[1]characters!$1:$1,0)-MATCH($E$1,[1]characters!$2:$2,0)+2),MATCH("タイプ",[1]characters!$1:$1,0)-MATCH($E$1,[1]characters!$2:$2,0)+2,FALSE)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3" s="10" t="str">
        <f ca="1">VLOOKUP($E253,OFFSET([1]characters!$A$2,0,0,COUNTA([1]characters!$A:$A),MATCH($K$1,[1]characters!$1:$1,0)-MATCH($E$1,[1]characters!$2:$2,0)+2),MATCH($K$1,[1]characters!$1:$1,0)-MATCH($E$1,[1]characters!$2:$2,0)+2,FALSE)</f>
        <v>アニマル</v>
      </c>
      <c r="L253" s="6">
        <v>1</v>
      </c>
      <c r="M253" s="46">
        <f ca="1">VLOOKUP(C253,gacha_115_base!A:B,2,FALSE)</f>
        <v>179</v>
      </c>
      <c r="N253" s="28">
        <v>0</v>
      </c>
      <c r="O253" s="28">
        <v>0</v>
      </c>
      <c r="P253" s="28">
        <v>0</v>
      </c>
      <c r="Q253" s="28">
        <v>0</v>
      </c>
      <c r="R253" s="28">
        <v>1</v>
      </c>
    </row>
    <row r="254" spans="1:18" ht="21" customHeight="1">
      <c r="A254" s="30" t="str">
        <f t="shared" si="11"/>
        <v>03881</v>
      </c>
      <c r="B254" s="2">
        <f t="shared" si="10"/>
        <v>117</v>
      </c>
      <c r="C254" s="10" t="str">
        <f t="shared" ca="1" si="9"/>
        <v>0PremiumS4yellow</v>
      </c>
      <c r="D254" s="37">
        <v>0</v>
      </c>
      <c r="E254" s="32">
        <v>388</v>
      </c>
      <c r="F254" s="33" t="str">
        <f ca="1">VLOOKUP($E254,OFFSET([1]characters!$A$2,0,0,COUNTA([1]characters!$A:$A),MATCH(F$1,[1]characters!$2:$2,0)-MATCH($E$1,[1]characters!$2:$2,0)+1),MATCH(F$1,[1]characters!$2:$2,0)-MATCH($E$1,[1]characters!$2:$2,0)+1,FALSE)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254" s="33" t="str">
        <f ca="1">VLOOKUP($E254,OFFSET([1]characters!$A$2,0,0,COUNTA([1]characters!$A:$A),MATCH(G$1,[1]characters!$2:$2,0)-MATCH($E$1,[1]characters!$2:$2,0)+1),MATCH(G$1,[1]characters!$2:$2,0)-MATCH($E$1,[1]characters!$2:$2,0)+1,FALSE)</f>
        <v>PremiumS</v>
      </c>
      <c r="H254" s="33">
        <f ca="1">VLOOKUP($E254,OFFSET([1]characters!$A$2,0,0,COUNTA([1]characters!$A:$A),MATCH(H$1,[1]characters!$2:$2,0)-MATCH($E$1,[1]characters!$2:$2,0)+1),MATCH(H$1,[1]characters!$2:$2,0)-MATCH($E$1,[1]characters!$2:$2,0)+1,FALSE)</f>
        <v>4</v>
      </c>
      <c r="I254" s="33" t="str">
        <f ca="1">VLOOKUP($E254,OFFSET([1]characters!$A$2,0,0,COUNTA([1]characters!$A:$A),MATCH(I$1,[1]characters!$2:$2,0)-MATCH($E$1,[1]characters!$2:$2,0)+1),MATCH(I$1,[1]characters!$2:$2,0)-MATCH($E$1,[1]characters!$2:$2,0)+1,FALSE)</f>
        <v>yellow</v>
      </c>
      <c r="J254" s="33" t="str">
        <f ca="1">VLOOKUP($E254,OFFSET([1]characters!$A$2,0,0,COUNTA([1]characters!$A:$A),MATCH("タイプ",[1]characters!$1:$1,0)-MATCH($E$1,[1]characters!$2:$2,0)+2),MATCH("タイプ",[1]characters!$1:$1,0)-MATCH($E$1,[1]characters!$2:$2,0)+2,FALSE)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4" s="33" t="str">
        <f ca="1">VLOOKUP($E254,OFFSET([1]characters!$A$2,0,0,COUNTA([1]characters!$A:$A),MATCH($K$1,[1]characters!$1:$1,0)-MATCH($E$1,[1]characters!$2:$2,0)+2),MATCH($K$1,[1]characters!$1:$1,0)-MATCH($E$1,[1]characters!$2:$2,0)+2,FALSE)</f>
        <v>アニマル</v>
      </c>
      <c r="L254" s="31">
        <v>1</v>
      </c>
      <c r="M254" s="46">
        <f ca="1">VLOOKUP(C254,gacha_115_base!A:B,2,FALSE)</f>
        <v>63</v>
      </c>
      <c r="N254" s="34">
        <v>0</v>
      </c>
      <c r="O254" s="34">
        <v>0</v>
      </c>
      <c r="P254" s="34">
        <v>0</v>
      </c>
      <c r="Q254" s="34">
        <v>0</v>
      </c>
      <c r="R254" s="34">
        <v>1</v>
      </c>
    </row>
    <row r="255" spans="1:18" s="36" customFormat="1" ht="21" customHeight="1" thickBot="1">
      <c r="A255" s="35" t="str">
        <f t="shared" si="11"/>
        <v>03891</v>
      </c>
      <c r="B255" s="2">
        <f t="shared" si="10"/>
        <v>117</v>
      </c>
      <c r="C255" s="10" t="str">
        <f t="shared" ca="1" si="9"/>
        <v>0PremiumS5yellow</v>
      </c>
      <c r="D255" s="37">
        <v>0</v>
      </c>
      <c r="E255" s="25">
        <v>389</v>
      </c>
      <c r="F255" s="23" t="str">
        <f ca="1">VLOOKUP($E255,OFFSET([1]characters!$A$2,0,0,COUNTA([1]characters!$A:$A),MATCH(F$1,[1]characters!$2:$2,0)-MATCH($E$1,[1]characters!$2:$2,0)+1),MATCH(F$1,[1]characters!$2:$2,0)-MATCH($E$1,[1]characters!$2:$2,0)+1,FALSE)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255" s="23" t="str">
        <f ca="1">VLOOKUP($E255,OFFSET([1]characters!$A$2,0,0,COUNTA([1]characters!$A:$A),MATCH(G$1,[1]characters!$2:$2,0)-MATCH($E$1,[1]characters!$2:$2,0)+1),MATCH(G$1,[1]characters!$2:$2,0)-MATCH($E$1,[1]characters!$2:$2,0)+1,FALSE)</f>
        <v>PremiumS</v>
      </c>
      <c r="H255" s="23">
        <f ca="1">VLOOKUP($E255,OFFSET([1]characters!$A$2,0,0,COUNTA([1]characters!$A:$A),MATCH(H$1,[1]characters!$2:$2,0)-MATCH($E$1,[1]characters!$2:$2,0)+1),MATCH(H$1,[1]characters!$2:$2,0)-MATCH($E$1,[1]characters!$2:$2,0)+1,FALSE)</f>
        <v>5</v>
      </c>
      <c r="I255" s="23" t="str">
        <f ca="1">VLOOKUP($E255,OFFSET([1]characters!$A$2,0,0,COUNTA([1]characters!$A:$A),MATCH(I$1,[1]characters!$2:$2,0)-MATCH($E$1,[1]characters!$2:$2,0)+1),MATCH(I$1,[1]characters!$2:$2,0)-MATCH($E$1,[1]characters!$2:$2,0)+1,FALSE)</f>
        <v>yellow</v>
      </c>
      <c r="J255" s="23" t="str">
        <f ca="1">VLOOKUP($E255,OFFSET([1]characters!$A$2,0,0,COUNTA([1]characters!$A:$A),MATCH("タイプ",[1]characters!$1:$1,0)-MATCH($E$1,[1]characters!$2:$2,0)+2),MATCH("タイプ",[1]characters!$1:$1,0)-MATCH($E$1,[1]characters!$2:$2,0)+2,FALSE)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5" s="23" t="str">
        <f ca="1">VLOOKUP($E255,OFFSET([1]characters!$A$2,0,0,COUNTA([1]characters!$A:$A),MATCH($K$1,[1]characters!$1:$1,0)-MATCH($E$1,[1]characters!$2:$2,0)+2),MATCH($K$1,[1]characters!$1:$1,0)-MATCH($E$1,[1]characters!$2:$2,0)+2,FALSE)</f>
        <v>アニマル</v>
      </c>
      <c r="L255" s="24">
        <v>1</v>
      </c>
      <c r="M255" s="46">
        <f ca="1">VLOOKUP(C255,gacha_115_base!A:B,2,FALSE)</f>
        <v>10</v>
      </c>
      <c r="N255" s="29">
        <v>0</v>
      </c>
      <c r="O255" s="29">
        <v>0</v>
      </c>
      <c r="P255" s="29">
        <v>0</v>
      </c>
      <c r="Q255" s="29">
        <v>0</v>
      </c>
      <c r="R255" s="29">
        <v>1</v>
      </c>
    </row>
  </sheetData>
  <autoFilter ref="B1:M24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1:K256"/>
  <sheetViews>
    <sheetView workbookViewId="0">
      <pane xSplit="1" ySplit="2" topLeftCell="B4" activePane="bottomRight" state="frozen"/>
      <selection pane="topRight" activeCell="B1" sqref="B1"/>
      <selection pane="bottomLeft" activeCell="A3" sqref="A3"/>
      <selection pane="bottomRight" activeCell="C13" sqref="C13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gacha_unit_tables_115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115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1296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115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1296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115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4752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115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1296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115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1296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115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1296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115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4752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115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1296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115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1296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115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1296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115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4752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115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1296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115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1296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115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1296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115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4752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115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1296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115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1296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115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1296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115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4752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115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1296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115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1354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115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1354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115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4963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115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1354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115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1354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115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1354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115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4963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115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1354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115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1354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115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1354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115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1354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115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4963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115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1354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115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1354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115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4963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115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1354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115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1354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115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1354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115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4963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115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1354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115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236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115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236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115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1056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115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236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115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110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115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110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115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405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115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110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115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110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115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110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115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405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115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110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115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110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115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110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115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110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115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405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115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110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115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110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115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405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115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110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115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110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115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110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115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405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115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110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115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10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115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10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115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44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115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10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115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236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115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10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115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236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115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10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115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1056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115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44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115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236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115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10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115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236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115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10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115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236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115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10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115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1056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115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44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115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236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115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10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5"/>
        <v>115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216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5"/>
        <v>115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9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5"/>
        <v>115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216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5"/>
        <v>115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9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5"/>
        <v>115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528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5"/>
        <v>115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22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5"/>
        <v>115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216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5"/>
        <v>115</v>
      </c>
      <c r="C94" s="16">
        <f t="shared" si="5"/>
        <v>1</v>
      </c>
      <c r="D94" s="16">
        <f t="shared" si="5"/>
        <v>327</v>
      </c>
      <c r="E94" s="16">
        <f t="shared" si="5"/>
        <v>1</v>
      </c>
      <c r="F94" s="16">
        <f t="shared" si="5"/>
        <v>9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13811</v>
      </c>
      <c r="B95" s="16">
        <f t="shared" si="5"/>
        <v>115</v>
      </c>
      <c r="C95" s="16">
        <f t="shared" si="5"/>
        <v>1</v>
      </c>
      <c r="D95" s="16">
        <f t="shared" si="5"/>
        <v>381</v>
      </c>
      <c r="E95" s="16">
        <f t="shared" si="5"/>
        <v>1</v>
      </c>
      <c r="F95" s="16">
        <f t="shared" si="5"/>
        <v>236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13821</v>
      </c>
      <c r="B96" s="16">
        <f t="shared" si="6"/>
        <v>115</v>
      </c>
      <c r="C96" s="16">
        <f t="shared" si="6"/>
        <v>1</v>
      </c>
      <c r="D96" s="16">
        <f t="shared" si="6"/>
        <v>382</v>
      </c>
      <c r="E96" s="16">
        <f t="shared" si="6"/>
        <v>1</v>
      </c>
      <c r="F96" s="16">
        <f t="shared" si="6"/>
        <v>10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13831</v>
      </c>
      <c r="B97" s="16">
        <f t="shared" si="6"/>
        <v>115</v>
      </c>
      <c r="C97" s="16">
        <f t="shared" si="6"/>
        <v>1</v>
      </c>
      <c r="D97" s="16">
        <f t="shared" si="6"/>
        <v>383</v>
      </c>
      <c r="E97" s="16">
        <f t="shared" si="6"/>
        <v>1</v>
      </c>
      <c r="F97" s="16">
        <f t="shared" si="6"/>
        <v>216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13841</v>
      </c>
      <c r="B98" s="16">
        <f t="shared" si="6"/>
        <v>115</v>
      </c>
      <c r="C98" s="16">
        <f t="shared" si="6"/>
        <v>1</v>
      </c>
      <c r="D98" s="16">
        <f t="shared" si="6"/>
        <v>384</v>
      </c>
      <c r="E98" s="16">
        <f t="shared" si="6"/>
        <v>1</v>
      </c>
      <c r="F98" s="16">
        <f t="shared" si="6"/>
        <v>9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13851</v>
      </c>
      <c r="B99" s="16">
        <f t="shared" si="6"/>
        <v>115</v>
      </c>
      <c r="C99" s="16">
        <f t="shared" si="6"/>
        <v>1</v>
      </c>
      <c r="D99" s="16">
        <f t="shared" si="6"/>
        <v>385</v>
      </c>
      <c r="E99" s="16">
        <f t="shared" si="6"/>
        <v>1</v>
      </c>
      <c r="F99" s="16">
        <f t="shared" si="6"/>
        <v>528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13861</v>
      </c>
      <c r="B100" s="16">
        <f t="shared" si="6"/>
        <v>115</v>
      </c>
      <c r="C100" s="16">
        <f t="shared" si="6"/>
        <v>1</v>
      </c>
      <c r="D100" s="16">
        <f t="shared" si="6"/>
        <v>386</v>
      </c>
      <c r="E100" s="16">
        <f t="shared" si="6"/>
        <v>1</v>
      </c>
      <c r="F100" s="16">
        <f t="shared" si="6"/>
        <v>22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13881</v>
      </c>
      <c r="B101" s="16">
        <f t="shared" si="6"/>
        <v>115</v>
      </c>
      <c r="C101" s="16">
        <f t="shared" si="6"/>
        <v>1</v>
      </c>
      <c r="D101" s="16">
        <f t="shared" si="6"/>
        <v>388</v>
      </c>
      <c r="E101" s="16">
        <f t="shared" si="6"/>
        <v>1</v>
      </c>
      <c r="F101" s="16">
        <f t="shared" si="6"/>
        <v>236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13891</v>
      </c>
      <c r="B102" s="16">
        <f t="shared" si="6"/>
        <v>115</v>
      </c>
      <c r="C102" s="16">
        <f t="shared" si="6"/>
        <v>1</v>
      </c>
      <c r="D102" s="16">
        <f t="shared" si="6"/>
        <v>389</v>
      </c>
      <c r="E102" s="16">
        <f t="shared" si="6"/>
        <v>1</v>
      </c>
      <c r="F102" s="16">
        <f t="shared" si="6"/>
        <v>10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01261</v>
      </c>
      <c r="B103" s="16">
        <f t="shared" si="6"/>
        <v>115</v>
      </c>
      <c r="C103" s="16">
        <f t="shared" si="6"/>
        <v>0</v>
      </c>
      <c r="D103" s="16">
        <f t="shared" si="6"/>
        <v>126</v>
      </c>
      <c r="E103" s="16">
        <f t="shared" si="6"/>
        <v>1</v>
      </c>
      <c r="F103" s="16">
        <f t="shared" si="6"/>
        <v>1476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01281</v>
      </c>
      <c r="B104" s="16">
        <f t="shared" si="6"/>
        <v>115</v>
      </c>
      <c r="C104" s="16">
        <f t="shared" si="6"/>
        <v>0</v>
      </c>
      <c r="D104" s="16">
        <f t="shared" si="6"/>
        <v>128</v>
      </c>
      <c r="E104" s="16">
        <f t="shared" si="6"/>
        <v>1</v>
      </c>
      <c r="F104" s="16">
        <f t="shared" si="6"/>
        <v>1476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01301</v>
      </c>
      <c r="B105" s="16">
        <f t="shared" si="6"/>
        <v>115</v>
      </c>
      <c r="C105" s="16">
        <f t="shared" si="6"/>
        <v>0</v>
      </c>
      <c r="D105" s="16">
        <f t="shared" si="6"/>
        <v>130</v>
      </c>
      <c r="E105" s="16">
        <f t="shared" si="6"/>
        <v>1</v>
      </c>
      <c r="F105" s="16">
        <f t="shared" si="6"/>
        <v>5412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01321</v>
      </c>
      <c r="B106" s="16">
        <f t="shared" si="6"/>
        <v>115</v>
      </c>
      <c r="C106" s="16">
        <f t="shared" si="6"/>
        <v>0</v>
      </c>
      <c r="D106" s="16">
        <f t="shared" si="6"/>
        <v>132</v>
      </c>
      <c r="E106" s="16">
        <f t="shared" si="6"/>
        <v>1</v>
      </c>
      <c r="F106" s="16">
        <f t="shared" si="6"/>
        <v>1476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01341</v>
      </c>
      <c r="B107" s="16">
        <f t="shared" si="6"/>
        <v>115</v>
      </c>
      <c r="C107" s="16">
        <f t="shared" si="6"/>
        <v>0</v>
      </c>
      <c r="D107" s="16">
        <f t="shared" si="6"/>
        <v>134</v>
      </c>
      <c r="E107" s="16">
        <f t="shared" si="6"/>
        <v>1</v>
      </c>
      <c r="F107" s="16">
        <f t="shared" si="6"/>
        <v>1476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01361</v>
      </c>
      <c r="B108" s="16">
        <f t="shared" si="6"/>
        <v>115</v>
      </c>
      <c r="C108" s="16">
        <f t="shared" si="6"/>
        <v>0</v>
      </c>
      <c r="D108" s="16">
        <f t="shared" si="6"/>
        <v>136</v>
      </c>
      <c r="E108" s="16">
        <f t="shared" si="6"/>
        <v>1</v>
      </c>
      <c r="F108" s="16">
        <f t="shared" si="6"/>
        <v>1476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01381</v>
      </c>
      <c r="B109" s="16">
        <f t="shared" si="6"/>
        <v>115</v>
      </c>
      <c r="C109" s="16">
        <f t="shared" si="6"/>
        <v>0</v>
      </c>
      <c r="D109" s="16">
        <f t="shared" si="6"/>
        <v>138</v>
      </c>
      <c r="E109" s="16">
        <f t="shared" si="6"/>
        <v>1</v>
      </c>
      <c r="F109" s="16">
        <f t="shared" si="6"/>
        <v>5412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01401</v>
      </c>
      <c r="B110" s="16">
        <f t="shared" si="6"/>
        <v>115</v>
      </c>
      <c r="C110" s="16">
        <f t="shared" si="6"/>
        <v>0</v>
      </c>
      <c r="D110" s="16">
        <f t="shared" si="6"/>
        <v>140</v>
      </c>
      <c r="E110" s="16">
        <f t="shared" si="6"/>
        <v>1</v>
      </c>
      <c r="F110" s="16">
        <f t="shared" si="6"/>
        <v>1476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01421</v>
      </c>
      <c r="B111" s="16">
        <f t="shared" si="6"/>
        <v>115</v>
      </c>
      <c r="C111" s="16">
        <f t="shared" si="6"/>
        <v>0</v>
      </c>
      <c r="D111" s="16">
        <f t="shared" si="6"/>
        <v>142</v>
      </c>
      <c r="E111" s="16">
        <f t="shared" si="6"/>
        <v>1</v>
      </c>
      <c r="F111" s="16">
        <f t="shared" si="6"/>
        <v>1476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01441</v>
      </c>
      <c r="B112" s="16">
        <f t="shared" si="6"/>
        <v>115</v>
      </c>
      <c r="C112" s="16">
        <f t="shared" si="6"/>
        <v>0</v>
      </c>
      <c r="D112" s="16">
        <f t="shared" si="6"/>
        <v>144</v>
      </c>
      <c r="E112" s="16">
        <f t="shared" si="6"/>
        <v>1</v>
      </c>
      <c r="F112" s="16">
        <f t="shared" si="6"/>
        <v>1476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01461</v>
      </c>
      <c r="B113" s="16">
        <f t="shared" si="6"/>
        <v>115</v>
      </c>
      <c r="C113" s="16">
        <f t="shared" si="6"/>
        <v>0</v>
      </c>
      <c r="D113" s="16">
        <f t="shared" si="6"/>
        <v>146</v>
      </c>
      <c r="E113" s="16">
        <f t="shared" si="6"/>
        <v>1</v>
      </c>
      <c r="F113" s="16">
        <f t="shared" si="6"/>
        <v>5412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01481</v>
      </c>
      <c r="B114" s="16">
        <f t="shared" si="6"/>
        <v>115</v>
      </c>
      <c r="C114" s="16">
        <f t="shared" si="6"/>
        <v>0</v>
      </c>
      <c r="D114" s="16">
        <f t="shared" si="6"/>
        <v>148</v>
      </c>
      <c r="E114" s="16">
        <f t="shared" si="6"/>
        <v>1</v>
      </c>
      <c r="F114" s="16">
        <f t="shared" si="6"/>
        <v>1476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01501</v>
      </c>
      <c r="B115" s="16">
        <f t="shared" si="6"/>
        <v>115</v>
      </c>
      <c r="C115" s="16">
        <f t="shared" si="6"/>
        <v>0</v>
      </c>
      <c r="D115" s="16">
        <f t="shared" si="6"/>
        <v>150</v>
      </c>
      <c r="E115" s="16">
        <f t="shared" si="6"/>
        <v>1</v>
      </c>
      <c r="F115" s="16">
        <f t="shared" si="6"/>
        <v>1476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01521</v>
      </c>
      <c r="B116" s="16">
        <f t="shared" si="6"/>
        <v>115</v>
      </c>
      <c r="C116" s="16">
        <f t="shared" si="6"/>
        <v>0</v>
      </c>
      <c r="D116" s="16">
        <f t="shared" si="6"/>
        <v>152</v>
      </c>
      <c r="E116" s="16">
        <f t="shared" si="6"/>
        <v>1</v>
      </c>
      <c r="F116" s="16">
        <f t="shared" si="6"/>
        <v>1476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01541</v>
      </c>
      <c r="B117" s="16">
        <f t="shared" si="6"/>
        <v>115</v>
      </c>
      <c r="C117" s="16">
        <f t="shared" si="6"/>
        <v>0</v>
      </c>
      <c r="D117" s="16">
        <f t="shared" si="6"/>
        <v>154</v>
      </c>
      <c r="E117" s="16">
        <f t="shared" si="6"/>
        <v>1</v>
      </c>
      <c r="F117" s="16">
        <f t="shared" si="6"/>
        <v>5412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01561</v>
      </c>
      <c r="B118" s="16">
        <f t="shared" si="6"/>
        <v>115</v>
      </c>
      <c r="C118" s="16">
        <f t="shared" si="6"/>
        <v>0</v>
      </c>
      <c r="D118" s="16">
        <f t="shared" si="6"/>
        <v>156</v>
      </c>
      <c r="E118" s="16">
        <f t="shared" si="6"/>
        <v>1</v>
      </c>
      <c r="F118" s="16">
        <f t="shared" si="6"/>
        <v>1476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01581</v>
      </c>
      <c r="B119" s="16">
        <f t="shared" si="6"/>
        <v>115</v>
      </c>
      <c r="C119" s="16">
        <f t="shared" si="6"/>
        <v>0</v>
      </c>
      <c r="D119" s="16">
        <f t="shared" si="6"/>
        <v>158</v>
      </c>
      <c r="E119" s="16">
        <f t="shared" si="6"/>
        <v>1</v>
      </c>
      <c r="F119" s="16">
        <f t="shared" si="6"/>
        <v>1476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01601</v>
      </c>
      <c r="B120" s="16">
        <f t="shared" si="6"/>
        <v>115</v>
      </c>
      <c r="C120" s="16">
        <f t="shared" si="6"/>
        <v>0</v>
      </c>
      <c r="D120" s="16">
        <f t="shared" si="6"/>
        <v>160</v>
      </c>
      <c r="E120" s="16">
        <f t="shared" si="6"/>
        <v>1</v>
      </c>
      <c r="F120" s="16">
        <f t="shared" si="6"/>
        <v>1476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01621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115</v>
      </c>
      <c r="C121" s="16">
        <f t="shared" si="7"/>
        <v>0</v>
      </c>
      <c r="D121" s="16">
        <f t="shared" si="7"/>
        <v>162</v>
      </c>
      <c r="E121" s="16">
        <f t="shared" si="7"/>
        <v>1</v>
      </c>
      <c r="F121" s="16">
        <f t="shared" si="7"/>
        <v>5412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01641</v>
      </c>
      <c r="B122" s="16">
        <f t="shared" si="7"/>
        <v>115</v>
      </c>
      <c r="C122" s="16">
        <f t="shared" si="7"/>
        <v>0</v>
      </c>
      <c r="D122" s="16">
        <f t="shared" si="7"/>
        <v>164</v>
      </c>
      <c r="E122" s="16">
        <f t="shared" si="7"/>
        <v>1</v>
      </c>
      <c r="F122" s="16">
        <f t="shared" si="7"/>
        <v>1476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01661</v>
      </c>
      <c r="B123" s="16">
        <f t="shared" si="7"/>
        <v>115</v>
      </c>
      <c r="C123" s="16">
        <f t="shared" si="7"/>
        <v>0</v>
      </c>
      <c r="D123" s="16">
        <f t="shared" si="7"/>
        <v>166</v>
      </c>
      <c r="E123" s="16">
        <f t="shared" si="7"/>
        <v>1</v>
      </c>
      <c r="F123" s="16">
        <f t="shared" si="7"/>
        <v>1607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01691</v>
      </c>
      <c r="B124" s="16">
        <f t="shared" si="7"/>
        <v>115</v>
      </c>
      <c r="C124" s="16">
        <f t="shared" si="7"/>
        <v>0</v>
      </c>
      <c r="D124" s="16">
        <f t="shared" si="7"/>
        <v>169</v>
      </c>
      <c r="E124" s="16">
        <f t="shared" si="7"/>
        <v>1</v>
      </c>
      <c r="F124" s="16">
        <f t="shared" si="7"/>
        <v>1607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01721</v>
      </c>
      <c r="B125" s="16">
        <f t="shared" si="7"/>
        <v>115</v>
      </c>
      <c r="C125" s="16">
        <f t="shared" si="7"/>
        <v>0</v>
      </c>
      <c r="D125" s="16">
        <f t="shared" si="7"/>
        <v>172</v>
      </c>
      <c r="E125" s="16">
        <f t="shared" si="7"/>
        <v>1</v>
      </c>
      <c r="F125" s="16">
        <f t="shared" si="7"/>
        <v>5893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01751</v>
      </c>
      <c r="B126" s="16">
        <f t="shared" si="7"/>
        <v>115</v>
      </c>
      <c r="C126" s="16">
        <f t="shared" si="7"/>
        <v>0</v>
      </c>
      <c r="D126" s="16">
        <f t="shared" si="7"/>
        <v>175</v>
      </c>
      <c r="E126" s="16">
        <f t="shared" si="7"/>
        <v>1</v>
      </c>
      <c r="F126" s="16">
        <f t="shared" si="7"/>
        <v>1607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01781</v>
      </c>
      <c r="B127" s="16">
        <f t="shared" si="7"/>
        <v>115</v>
      </c>
      <c r="C127" s="16">
        <f t="shared" si="7"/>
        <v>0</v>
      </c>
      <c r="D127" s="16">
        <f t="shared" si="7"/>
        <v>178</v>
      </c>
      <c r="E127" s="16">
        <f t="shared" si="7"/>
        <v>1</v>
      </c>
      <c r="F127" s="16">
        <f t="shared" si="7"/>
        <v>1607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01811</v>
      </c>
      <c r="B128" s="16">
        <f t="shared" si="7"/>
        <v>115</v>
      </c>
      <c r="C128" s="16">
        <f t="shared" si="7"/>
        <v>0</v>
      </c>
      <c r="D128" s="16">
        <f t="shared" si="7"/>
        <v>181</v>
      </c>
      <c r="E128" s="16">
        <f t="shared" si="7"/>
        <v>1</v>
      </c>
      <c r="F128" s="16">
        <f t="shared" si="7"/>
        <v>1607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01841</v>
      </c>
      <c r="B129" s="16">
        <f t="shared" si="7"/>
        <v>115</v>
      </c>
      <c r="C129" s="16">
        <f t="shared" si="7"/>
        <v>0</v>
      </c>
      <c r="D129" s="16">
        <f t="shared" si="7"/>
        <v>184</v>
      </c>
      <c r="E129" s="16">
        <f t="shared" si="7"/>
        <v>1</v>
      </c>
      <c r="F129" s="16">
        <f t="shared" si="7"/>
        <v>5893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01871</v>
      </c>
      <c r="B130" s="16">
        <f t="shared" si="7"/>
        <v>115</v>
      </c>
      <c r="C130" s="16">
        <f t="shared" si="7"/>
        <v>0</v>
      </c>
      <c r="D130" s="16">
        <f t="shared" si="7"/>
        <v>187</v>
      </c>
      <c r="E130" s="16">
        <f t="shared" si="7"/>
        <v>1</v>
      </c>
      <c r="F130" s="16">
        <f t="shared" si="7"/>
        <v>1607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01901</v>
      </c>
      <c r="B131" s="16">
        <f t="shared" si="7"/>
        <v>115</v>
      </c>
      <c r="C131" s="16">
        <f t="shared" si="7"/>
        <v>0</v>
      </c>
      <c r="D131" s="16">
        <f t="shared" si="7"/>
        <v>190</v>
      </c>
      <c r="E131" s="16">
        <f t="shared" si="7"/>
        <v>1</v>
      </c>
      <c r="F131" s="16">
        <f t="shared" si="7"/>
        <v>1607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01931</v>
      </c>
      <c r="B132" s="16">
        <f t="shared" si="7"/>
        <v>115</v>
      </c>
      <c r="C132" s="16">
        <f t="shared" si="7"/>
        <v>0</v>
      </c>
      <c r="D132" s="16">
        <f t="shared" si="7"/>
        <v>193</v>
      </c>
      <c r="E132" s="16">
        <f t="shared" si="7"/>
        <v>1</v>
      </c>
      <c r="F132" s="16">
        <f t="shared" si="7"/>
        <v>1607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01961</v>
      </c>
      <c r="B133" s="16">
        <f t="shared" si="7"/>
        <v>115</v>
      </c>
      <c r="C133" s="16">
        <f t="shared" si="7"/>
        <v>0</v>
      </c>
      <c r="D133" s="16">
        <f t="shared" si="7"/>
        <v>196</v>
      </c>
      <c r="E133" s="16">
        <f t="shared" si="7"/>
        <v>1</v>
      </c>
      <c r="F133" s="16">
        <f t="shared" si="7"/>
        <v>1607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01991</v>
      </c>
      <c r="B134" s="16">
        <f t="shared" si="7"/>
        <v>115</v>
      </c>
      <c r="C134" s="16">
        <f t="shared" si="7"/>
        <v>0</v>
      </c>
      <c r="D134" s="16">
        <f t="shared" si="7"/>
        <v>199</v>
      </c>
      <c r="E134" s="16">
        <f t="shared" si="7"/>
        <v>1</v>
      </c>
      <c r="F134" s="16">
        <f t="shared" si="7"/>
        <v>5893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02021</v>
      </c>
      <c r="B135" s="16">
        <f t="shared" si="7"/>
        <v>115</v>
      </c>
      <c r="C135" s="16">
        <f t="shared" si="7"/>
        <v>0</v>
      </c>
      <c r="D135" s="16">
        <f t="shared" si="7"/>
        <v>202</v>
      </c>
      <c r="E135" s="16">
        <f t="shared" si="7"/>
        <v>1</v>
      </c>
      <c r="F135" s="16">
        <f t="shared" si="7"/>
        <v>1607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02051</v>
      </c>
      <c r="B136" s="16">
        <f t="shared" si="7"/>
        <v>115</v>
      </c>
      <c r="C136" s="16">
        <f t="shared" si="7"/>
        <v>0</v>
      </c>
      <c r="D136" s="16">
        <f t="shared" si="7"/>
        <v>205</v>
      </c>
      <c r="E136" s="16">
        <f t="shared" si="7"/>
        <v>1</v>
      </c>
      <c r="F136" s="16">
        <f t="shared" si="7"/>
        <v>1607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02081</v>
      </c>
      <c r="B137" s="16">
        <f t="shared" si="7"/>
        <v>115</v>
      </c>
      <c r="C137" s="16">
        <f t="shared" si="7"/>
        <v>0</v>
      </c>
      <c r="D137" s="16">
        <f t="shared" si="7"/>
        <v>208</v>
      </c>
      <c r="E137" s="16">
        <f t="shared" si="7"/>
        <v>1</v>
      </c>
      <c r="F137" s="16">
        <f t="shared" si="7"/>
        <v>5893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02111</v>
      </c>
      <c r="B138" s="16">
        <f t="shared" si="7"/>
        <v>115</v>
      </c>
      <c r="C138" s="16">
        <f t="shared" si="7"/>
        <v>0</v>
      </c>
      <c r="D138" s="16">
        <f t="shared" si="7"/>
        <v>211</v>
      </c>
      <c r="E138" s="16">
        <f t="shared" si="7"/>
        <v>1</v>
      </c>
      <c r="F138" s="16">
        <f t="shared" si="7"/>
        <v>1607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02141</v>
      </c>
      <c r="B139" s="16">
        <f t="shared" si="7"/>
        <v>115</v>
      </c>
      <c r="C139" s="16">
        <f t="shared" si="7"/>
        <v>0</v>
      </c>
      <c r="D139" s="16">
        <f t="shared" si="7"/>
        <v>214</v>
      </c>
      <c r="E139" s="16">
        <f t="shared" si="7"/>
        <v>1</v>
      </c>
      <c r="F139" s="16">
        <f t="shared" si="7"/>
        <v>1607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02171</v>
      </c>
      <c r="B140" s="16">
        <f t="shared" si="7"/>
        <v>115</v>
      </c>
      <c r="C140" s="16">
        <f t="shared" si="7"/>
        <v>0</v>
      </c>
      <c r="D140" s="16">
        <f t="shared" si="7"/>
        <v>217</v>
      </c>
      <c r="E140" s="16">
        <f t="shared" si="7"/>
        <v>1</v>
      </c>
      <c r="F140" s="16">
        <f t="shared" si="7"/>
        <v>1607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02201</v>
      </c>
      <c r="B141" s="16">
        <f t="shared" si="7"/>
        <v>115</v>
      </c>
      <c r="C141" s="16">
        <f t="shared" si="7"/>
        <v>0</v>
      </c>
      <c r="D141" s="16">
        <f t="shared" si="7"/>
        <v>220</v>
      </c>
      <c r="E141" s="16">
        <f t="shared" si="7"/>
        <v>1</v>
      </c>
      <c r="F141" s="16">
        <f t="shared" si="7"/>
        <v>5893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02231</v>
      </c>
      <c r="B142" s="16">
        <f t="shared" si="7"/>
        <v>115</v>
      </c>
      <c r="C142" s="16">
        <f t="shared" si="7"/>
        <v>0</v>
      </c>
      <c r="D142" s="16">
        <f t="shared" si="7"/>
        <v>223</v>
      </c>
      <c r="E142" s="16">
        <f t="shared" si="7"/>
        <v>1</v>
      </c>
      <c r="F142" s="16">
        <f t="shared" si="7"/>
        <v>1607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02261</v>
      </c>
      <c r="B143" s="16">
        <f t="shared" si="7"/>
        <v>115</v>
      </c>
      <c r="C143" s="16">
        <f t="shared" si="7"/>
        <v>0</v>
      </c>
      <c r="D143" s="16">
        <f t="shared" si="7"/>
        <v>226</v>
      </c>
      <c r="E143" s="16">
        <f t="shared" si="7"/>
        <v>1</v>
      </c>
      <c r="F143" s="16">
        <f t="shared" si="7"/>
        <v>268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02291</v>
      </c>
      <c r="B144" s="16">
        <f t="shared" si="7"/>
        <v>115</v>
      </c>
      <c r="C144" s="16">
        <f t="shared" si="7"/>
        <v>0</v>
      </c>
      <c r="D144" s="16">
        <f t="shared" si="7"/>
        <v>229</v>
      </c>
      <c r="E144" s="16">
        <f t="shared" si="7"/>
        <v>1</v>
      </c>
      <c r="F144" s="16">
        <f t="shared" si="7"/>
        <v>268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02321</v>
      </c>
      <c r="B145" s="16">
        <f t="shared" si="7"/>
        <v>115</v>
      </c>
      <c r="C145" s="16">
        <f t="shared" si="7"/>
        <v>0</v>
      </c>
      <c r="D145" s="16">
        <f t="shared" si="7"/>
        <v>232</v>
      </c>
      <c r="E145" s="16">
        <f t="shared" si="7"/>
        <v>1</v>
      </c>
      <c r="F145" s="16">
        <f t="shared" si="7"/>
        <v>1203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02351</v>
      </c>
      <c r="B146" s="16">
        <f t="shared" si="7"/>
        <v>115</v>
      </c>
      <c r="C146" s="16">
        <f t="shared" si="7"/>
        <v>0</v>
      </c>
      <c r="D146" s="16">
        <f t="shared" si="7"/>
        <v>235</v>
      </c>
      <c r="E146" s="16">
        <f t="shared" si="7"/>
        <v>1</v>
      </c>
      <c r="F146" s="16">
        <f t="shared" si="7"/>
        <v>268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01271</v>
      </c>
      <c r="B147" s="16">
        <f t="shared" si="9"/>
        <v>115</v>
      </c>
      <c r="C147" s="16">
        <f t="shared" si="9"/>
        <v>0</v>
      </c>
      <c r="D147" s="16">
        <f t="shared" si="9"/>
        <v>127</v>
      </c>
      <c r="E147" s="16">
        <f t="shared" si="9"/>
        <v>1</v>
      </c>
      <c r="F147" s="16">
        <f t="shared" si="9"/>
        <v>497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01291</v>
      </c>
      <c r="B148" s="16">
        <f t="shared" si="9"/>
        <v>115</v>
      </c>
      <c r="C148" s="16">
        <f t="shared" si="9"/>
        <v>0</v>
      </c>
      <c r="D148" s="16">
        <f t="shared" si="9"/>
        <v>129</v>
      </c>
      <c r="E148" s="16">
        <f t="shared" si="9"/>
        <v>1</v>
      </c>
      <c r="F148" s="16">
        <f t="shared" si="9"/>
        <v>497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01311</v>
      </c>
      <c r="B149" s="16">
        <f t="shared" si="9"/>
        <v>115</v>
      </c>
      <c r="C149" s="16">
        <f t="shared" si="9"/>
        <v>0</v>
      </c>
      <c r="D149" s="16">
        <f t="shared" si="9"/>
        <v>131</v>
      </c>
      <c r="E149" s="16">
        <f t="shared" si="9"/>
        <v>1</v>
      </c>
      <c r="F149" s="16">
        <f t="shared" si="9"/>
        <v>1821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01331</v>
      </c>
      <c r="B150" s="16">
        <f t="shared" si="9"/>
        <v>115</v>
      </c>
      <c r="C150" s="16">
        <f t="shared" si="9"/>
        <v>0</v>
      </c>
      <c r="D150" s="16">
        <f t="shared" si="9"/>
        <v>133</v>
      </c>
      <c r="E150" s="16">
        <f t="shared" si="9"/>
        <v>1</v>
      </c>
      <c r="F150" s="16">
        <f t="shared" si="9"/>
        <v>497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01351</v>
      </c>
      <c r="B151" s="16">
        <f t="shared" si="9"/>
        <v>115</v>
      </c>
      <c r="C151" s="16">
        <f t="shared" si="9"/>
        <v>0</v>
      </c>
      <c r="D151" s="16">
        <f t="shared" si="9"/>
        <v>135</v>
      </c>
      <c r="E151" s="16">
        <f t="shared" si="9"/>
        <v>1</v>
      </c>
      <c r="F151" s="16">
        <f t="shared" si="9"/>
        <v>497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01371</v>
      </c>
      <c r="B152" s="16">
        <f t="shared" si="9"/>
        <v>115</v>
      </c>
      <c r="C152" s="16">
        <f t="shared" si="9"/>
        <v>0</v>
      </c>
      <c r="D152" s="16">
        <f t="shared" si="9"/>
        <v>137</v>
      </c>
      <c r="E152" s="16">
        <f t="shared" si="9"/>
        <v>1</v>
      </c>
      <c r="F152" s="16">
        <f t="shared" si="9"/>
        <v>497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01391</v>
      </c>
      <c r="B153" s="16">
        <f t="shared" si="9"/>
        <v>115</v>
      </c>
      <c r="C153" s="16">
        <f t="shared" si="9"/>
        <v>0</v>
      </c>
      <c r="D153" s="16">
        <f t="shared" si="9"/>
        <v>139</v>
      </c>
      <c r="E153" s="16">
        <f t="shared" si="9"/>
        <v>1</v>
      </c>
      <c r="F153" s="16">
        <f t="shared" si="9"/>
        <v>1821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01411</v>
      </c>
      <c r="B154" s="16">
        <f t="shared" si="9"/>
        <v>115</v>
      </c>
      <c r="C154" s="16">
        <f t="shared" si="9"/>
        <v>0</v>
      </c>
      <c r="D154" s="16">
        <f t="shared" si="9"/>
        <v>141</v>
      </c>
      <c r="E154" s="16">
        <f t="shared" si="9"/>
        <v>1</v>
      </c>
      <c r="F154" s="16">
        <f t="shared" si="9"/>
        <v>497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01431</v>
      </c>
      <c r="B155" s="16">
        <f t="shared" si="9"/>
        <v>115</v>
      </c>
      <c r="C155" s="16">
        <f t="shared" si="9"/>
        <v>0</v>
      </c>
      <c r="D155" s="16">
        <f t="shared" si="9"/>
        <v>143</v>
      </c>
      <c r="E155" s="16">
        <f t="shared" si="9"/>
        <v>1</v>
      </c>
      <c r="F155" s="16">
        <f t="shared" si="9"/>
        <v>497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01451</v>
      </c>
      <c r="B156" s="16">
        <f t="shared" si="9"/>
        <v>115</v>
      </c>
      <c r="C156" s="16">
        <f t="shared" si="9"/>
        <v>0</v>
      </c>
      <c r="D156" s="16">
        <f t="shared" si="9"/>
        <v>145</v>
      </c>
      <c r="E156" s="16">
        <f t="shared" si="9"/>
        <v>1</v>
      </c>
      <c r="F156" s="16">
        <f t="shared" si="9"/>
        <v>497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01471</v>
      </c>
      <c r="B157" s="16">
        <f t="shared" si="9"/>
        <v>115</v>
      </c>
      <c r="C157" s="16">
        <f t="shared" si="9"/>
        <v>0</v>
      </c>
      <c r="D157" s="16">
        <f t="shared" si="9"/>
        <v>147</v>
      </c>
      <c r="E157" s="16">
        <f t="shared" si="9"/>
        <v>1</v>
      </c>
      <c r="F157" s="16">
        <f t="shared" si="9"/>
        <v>1821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01491</v>
      </c>
      <c r="B158" s="16">
        <f t="shared" si="9"/>
        <v>115</v>
      </c>
      <c r="C158" s="16">
        <f t="shared" si="9"/>
        <v>0</v>
      </c>
      <c r="D158" s="16">
        <f t="shared" si="9"/>
        <v>149</v>
      </c>
      <c r="E158" s="16">
        <f t="shared" si="9"/>
        <v>1</v>
      </c>
      <c r="F158" s="16">
        <f t="shared" si="9"/>
        <v>497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01511</v>
      </c>
      <c r="B159" s="16">
        <f t="shared" si="9"/>
        <v>115</v>
      </c>
      <c r="C159" s="16">
        <f t="shared" si="9"/>
        <v>0</v>
      </c>
      <c r="D159" s="16">
        <f t="shared" si="9"/>
        <v>151</v>
      </c>
      <c r="E159" s="16">
        <f t="shared" si="9"/>
        <v>1</v>
      </c>
      <c r="F159" s="16">
        <f t="shared" si="9"/>
        <v>497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01531</v>
      </c>
      <c r="B160" s="16">
        <f t="shared" si="9"/>
        <v>115</v>
      </c>
      <c r="C160" s="16">
        <f t="shared" si="9"/>
        <v>0</v>
      </c>
      <c r="D160" s="16">
        <f t="shared" si="9"/>
        <v>153</v>
      </c>
      <c r="E160" s="16">
        <f t="shared" si="9"/>
        <v>1</v>
      </c>
      <c r="F160" s="16">
        <f t="shared" si="9"/>
        <v>497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01551</v>
      </c>
      <c r="B161" s="16">
        <f t="shared" si="9"/>
        <v>115</v>
      </c>
      <c r="C161" s="16">
        <f t="shared" si="9"/>
        <v>0</v>
      </c>
      <c r="D161" s="16">
        <f t="shared" si="9"/>
        <v>155</v>
      </c>
      <c r="E161" s="16">
        <f t="shared" si="9"/>
        <v>1</v>
      </c>
      <c r="F161" s="16">
        <f t="shared" si="9"/>
        <v>1821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01571</v>
      </c>
      <c r="B162" s="16">
        <f t="shared" si="9"/>
        <v>115</v>
      </c>
      <c r="C162" s="16">
        <f t="shared" si="9"/>
        <v>0</v>
      </c>
      <c r="D162" s="16">
        <f t="shared" si="9"/>
        <v>157</v>
      </c>
      <c r="E162" s="16">
        <f t="shared" si="9"/>
        <v>1</v>
      </c>
      <c r="F162" s="16">
        <f t="shared" si="9"/>
        <v>497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01591</v>
      </c>
      <c r="B163" s="16">
        <f t="shared" si="9"/>
        <v>115</v>
      </c>
      <c r="C163" s="16">
        <f t="shared" si="9"/>
        <v>0</v>
      </c>
      <c r="D163" s="16">
        <f t="shared" si="9"/>
        <v>159</v>
      </c>
      <c r="E163" s="16">
        <f t="shared" si="9"/>
        <v>1</v>
      </c>
      <c r="F163" s="16">
        <f t="shared" si="9"/>
        <v>497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01611</v>
      </c>
      <c r="B164" s="16">
        <f t="shared" si="9"/>
        <v>115</v>
      </c>
      <c r="C164" s="16">
        <f t="shared" si="9"/>
        <v>0</v>
      </c>
      <c r="D164" s="16">
        <f t="shared" si="9"/>
        <v>161</v>
      </c>
      <c r="E164" s="16">
        <f t="shared" si="9"/>
        <v>1</v>
      </c>
      <c r="F164" s="16">
        <f t="shared" si="9"/>
        <v>497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01631</v>
      </c>
      <c r="B165" s="16">
        <f t="shared" si="9"/>
        <v>115</v>
      </c>
      <c r="C165" s="16">
        <f t="shared" si="9"/>
        <v>0</v>
      </c>
      <c r="D165" s="16">
        <f t="shared" si="9"/>
        <v>163</v>
      </c>
      <c r="E165" s="16">
        <f t="shared" si="9"/>
        <v>1</v>
      </c>
      <c r="F165" s="16">
        <f t="shared" si="9"/>
        <v>1821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01651</v>
      </c>
      <c r="B166" s="16">
        <f t="shared" si="9"/>
        <v>115</v>
      </c>
      <c r="C166" s="16">
        <f t="shared" si="9"/>
        <v>0</v>
      </c>
      <c r="D166" s="16">
        <f t="shared" si="9"/>
        <v>165</v>
      </c>
      <c r="E166" s="16">
        <f t="shared" si="9"/>
        <v>1</v>
      </c>
      <c r="F166" s="16">
        <f t="shared" si="9"/>
        <v>497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01671</v>
      </c>
      <c r="B167" s="16">
        <f t="shared" si="9"/>
        <v>115</v>
      </c>
      <c r="C167" s="16">
        <f t="shared" si="9"/>
        <v>0</v>
      </c>
      <c r="D167" s="16">
        <f t="shared" si="9"/>
        <v>167</v>
      </c>
      <c r="E167" s="16">
        <f t="shared" si="9"/>
        <v>1</v>
      </c>
      <c r="F167" s="16">
        <f t="shared" si="9"/>
        <v>508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01701</v>
      </c>
      <c r="B168" s="16">
        <f t="shared" si="9"/>
        <v>115</v>
      </c>
      <c r="C168" s="16">
        <f t="shared" si="9"/>
        <v>0</v>
      </c>
      <c r="D168" s="16">
        <f t="shared" si="9"/>
        <v>170</v>
      </c>
      <c r="E168" s="16">
        <f t="shared" si="9"/>
        <v>1</v>
      </c>
      <c r="F168" s="16">
        <f t="shared" si="9"/>
        <v>508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01731</v>
      </c>
      <c r="B169" s="16">
        <f t="shared" si="9"/>
        <v>115</v>
      </c>
      <c r="C169" s="16">
        <f t="shared" si="9"/>
        <v>0</v>
      </c>
      <c r="D169" s="16">
        <f t="shared" si="9"/>
        <v>173</v>
      </c>
      <c r="E169" s="16">
        <f t="shared" si="9"/>
        <v>1</v>
      </c>
      <c r="F169" s="16">
        <f t="shared" si="9"/>
        <v>1863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01761</v>
      </c>
      <c r="B170" s="16">
        <f t="shared" si="9"/>
        <v>115</v>
      </c>
      <c r="C170" s="16">
        <f t="shared" si="9"/>
        <v>0</v>
      </c>
      <c r="D170" s="16">
        <f t="shared" si="9"/>
        <v>176</v>
      </c>
      <c r="E170" s="16">
        <f t="shared" si="9"/>
        <v>1</v>
      </c>
      <c r="F170" s="16">
        <f t="shared" si="9"/>
        <v>508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01791</v>
      </c>
      <c r="B171" s="16">
        <f t="shared" si="9"/>
        <v>115</v>
      </c>
      <c r="C171" s="16">
        <f t="shared" si="9"/>
        <v>0</v>
      </c>
      <c r="D171" s="16">
        <f t="shared" si="9"/>
        <v>179</v>
      </c>
      <c r="E171" s="16">
        <f t="shared" si="9"/>
        <v>1</v>
      </c>
      <c r="F171" s="16">
        <f t="shared" si="9"/>
        <v>508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01821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115</v>
      </c>
      <c r="C172" s="16">
        <f t="shared" si="10"/>
        <v>0</v>
      </c>
      <c r="D172" s="16">
        <f t="shared" si="10"/>
        <v>182</v>
      </c>
      <c r="E172" s="16">
        <f t="shared" si="10"/>
        <v>1</v>
      </c>
      <c r="F172" s="16">
        <f t="shared" si="10"/>
        <v>508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01851</v>
      </c>
      <c r="B173" s="16">
        <f t="shared" si="10"/>
        <v>115</v>
      </c>
      <c r="C173" s="16">
        <f t="shared" si="10"/>
        <v>0</v>
      </c>
      <c r="D173" s="16">
        <f t="shared" si="10"/>
        <v>185</v>
      </c>
      <c r="E173" s="16">
        <f t="shared" si="10"/>
        <v>1</v>
      </c>
      <c r="F173" s="16">
        <f t="shared" si="10"/>
        <v>1863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01881</v>
      </c>
      <c r="B174" s="16">
        <f t="shared" si="10"/>
        <v>115</v>
      </c>
      <c r="C174" s="16">
        <f t="shared" si="10"/>
        <v>0</v>
      </c>
      <c r="D174" s="16">
        <f t="shared" si="10"/>
        <v>188</v>
      </c>
      <c r="E174" s="16">
        <f t="shared" si="10"/>
        <v>1</v>
      </c>
      <c r="F174" s="16">
        <f t="shared" si="10"/>
        <v>508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01911</v>
      </c>
      <c r="B175" s="16">
        <f t="shared" si="10"/>
        <v>115</v>
      </c>
      <c r="C175" s="16">
        <f t="shared" si="10"/>
        <v>0</v>
      </c>
      <c r="D175" s="16">
        <f t="shared" si="10"/>
        <v>191</v>
      </c>
      <c r="E175" s="16">
        <f t="shared" si="10"/>
        <v>1</v>
      </c>
      <c r="F175" s="16">
        <f t="shared" si="10"/>
        <v>508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01941</v>
      </c>
      <c r="B176" s="16">
        <f t="shared" si="10"/>
        <v>115</v>
      </c>
      <c r="C176" s="16">
        <f t="shared" si="10"/>
        <v>0</v>
      </c>
      <c r="D176" s="16">
        <f t="shared" si="10"/>
        <v>194</v>
      </c>
      <c r="E176" s="16">
        <f t="shared" si="10"/>
        <v>1</v>
      </c>
      <c r="F176" s="16">
        <f t="shared" si="10"/>
        <v>508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01971</v>
      </c>
      <c r="B177" s="16">
        <f t="shared" si="10"/>
        <v>115</v>
      </c>
      <c r="C177" s="16">
        <f t="shared" si="10"/>
        <v>0</v>
      </c>
      <c r="D177" s="16">
        <f t="shared" si="10"/>
        <v>197</v>
      </c>
      <c r="E177" s="16">
        <f t="shared" si="10"/>
        <v>1</v>
      </c>
      <c r="F177" s="16">
        <f t="shared" si="10"/>
        <v>508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02001</v>
      </c>
      <c r="B178" s="16">
        <f t="shared" si="10"/>
        <v>115</v>
      </c>
      <c r="C178" s="16">
        <f t="shared" si="10"/>
        <v>0</v>
      </c>
      <c r="D178" s="16">
        <f t="shared" si="10"/>
        <v>200</v>
      </c>
      <c r="E178" s="16">
        <f t="shared" si="10"/>
        <v>1</v>
      </c>
      <c r="F178" s="16">
        <f t="shared" si="10"/>
        <v>1863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02031</v>
      </c>
      <c r="B179" s="16">
        <f t="shared" si="10"/>
        <v>115</v>
      </c>
      <c r="C179" s="16">
        <f t="shared" si="10"/>
        <v>0</v>
      </c>
      <c r="D179" s="16">
        <f t="shared" si="10"/>
        <v>203</v>
      </c>
      <c r="E179" s="16">
        <f t="shared" si="10"/>
        <v>1</v>
      </c>
      <c r="F179" s="16">
        <f t="shared" si="10"/>
        <v>508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02061</v>
      </c>
      <c r="B180" s="16">
        <f t="shared" si="10"/>
        <v>115</v>
      </c>
      <c r="C180" s="16">
        <f t="shared" si="10"/>
        <v>0</v>
      </c>
      <c r="D180" s="16">
        <f t="shared" si="10"/>
        <v>206</v>
      </c>
      <c r="E180" s="16">
        <f t="shared" si="10"/>
        <v>1</v>
      </c>
      <c r="F180" s="16">
        <f t="shared" si="10"/>
        <v>508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02091</v>
      </c>
      <c r="B181" s="16">
        <f t="shared" si="10"/>
        <v>115</v>
      </c>
      <c r="C181" s="16">
        <f t="shared" si="10"/>
        <v>0</v>
      </c>
      <c r="D181" s="16">
        <f t="shared" si="10"/>
        <v>209</v>
      </c>
      <c r="E181" s="16">
        <f t="shared" si="10"/>
        <v>1</v>
      </c>
      <c r="F181" s="16">
        <f t="shared" si="10"/>
        <v>1863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02121</v>
      </c>
      <c r="B182" s="16">
        <f t="shared" si="10"/>
        <v>115</v>
      </c>
      <c r="C182" s="16">
        <f t="shared" si="10"/>
        <v>0</v>
      </c>
      <c r="D182" s="16">
        <f t="shared" si="10"/>
        <v>212</v>
      </c>
      <c r="E182" s="16">
        <f t="shared" si="10"/>
        <v>1</v>
      </c>
      <c r="F182" s="16">
        <f t="shared" si="10"/>
        <v>508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02151</v>
      </c>
      <c r="B183" s="16">
        <f t="shared" si="10"/>
        <v>115</v>
      </c>
      <c r="C183" s="16">
        <f t="shared" si="10"/>
        <v>0</v>
      </c>
      <c r="D183" s="16">
        <f t="shared" si="10"/>
        <v>215</v>
      </c>
      <c r="E183" s="16">
        <f t="shared" si="10"/>
        <v>1</v>
      </c>
      <c r="F183" s="16">
        <f t="shared" si="10"/>
        <v>508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02181</v>
      </c>
      <c r="B184" s="16">
        <f t="shared" si="10"/>
        <v>115</v>
      </c>
      <c r="C184" s="16">
        <f t="shared" si="10"/>
        <v>0</v>
      </c>
      <c r="D184" s="16">
        <f t="shared" si="10"/>
        <v>218</v>
      </c>
      <c r="E184" s="16">
        <f t="shared" si="10"/>
        <v>1</v>
      </c>
      <c r="F184" s="16">
        <f t="shared" si="10"/>
        <v>508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02211</v>
      </c>
      <c r="B185" s="16">
        <f t="shared" si="10"/>
        <v>115</v>
      </c>
      <c r="C185" s="16">
        <f t="shared" si="10"/>
        <v>0</v>
      </c>
      <c r="D185" s="16">
        <f t="shared" si="10"/>
        <v>221</v>
      </c>
      <c r="E185" s="16">
        <f t="shared" si="10"/>
        <v>1</v>
      </c>
      <c r="F185" s="16">
        <f t="shared" si="10"/>
        <v>1863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02241</v>
      </c>
      <c r="B186" s="16">
        <f t="shared" si="10"/>
        <v>115</v>
      </c>
      <c r="C186" s="16">
        <f t="shared" si="10"/>
        <v>0</v>
      </c>
      <c r="D186" s="16">
        <f t="shared" si="10"/>
        <v>224</v>
      </c>
      <c r="E186" s="16">
        <f t="shared" si="10"/>
        <v>1</v>
      </c>
      <c r="F186" s="16">
        <f t="shared" si="10"/>
        <v>508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02271</v>
      </c>
      <c r="B187" s="16">
        <f t="shared" si="10"/>
        <v>115</v>
      </c>
      <c r="C187" s="16">
        <f t="shared" si="10"/>
        <v>0</v>
      </c>
      <c r="D187" s="16">
        <f t="shared" si="10"/>
        <v>227</v>
      </c>
      <c r="E187" s="16">
        <f t="shared" si="10"/>
        <v>1</v>
      </c>
      <c r="F187" s="16">
        <f t="shared" si="10"/>
        <v>95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02301</v>
      </c>
      <c r="B188" s="16">
        <f t="shared" si="10"/>
        <v>115</v>
      </c>
      <c r="C188" s="16">
        <f t="shared" si="10"/>
        <v>0</v>
      </c>
      <c r="D188" s="16">
        <f t="shared" si="10"/>
        <v>230</v>
      </c>
      <c r="E188" s="16">
        <f t="shared" si="10"/>
        <v>1</v>
      </c>
      <c r="F188" s="16">
        <f t="shared" si="10"/>
        <v>95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02331</v>
      </c>
      <c r="B189" s="16">
        <f t="shared" si="10"/>
        <v>115</v>
      </c>
      <c r="C189" s="16">
        <f t="shared" si="10"/>
        <v>0</v>
      </c>
      <c r="D189" s="16">
        <f t="shared" si="10"/>
        <v>233</v>
      </c>
      <c r="E189" s="16">
        <f t="shared" si="10"/>
        <v>1</v>
      </c>
      <c r="F189" s="16">
        <f t="shared" si="10"/>
        <v>424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02361</v>
      </c>
      <c r="B190" s="16">
        <f t="shared" si="10"/>
        <v>115</v>
      </c>
      <c r="C190" s="16">
        <f t="shared" si="10"/>
        <v>0</v>
      </c>
      <c r="D190" s="16">
        <f t="shared" si="10"/>
        <v>236</v>
      </c>
      <c r="E190" s="16">
        <f t="shared" si="10"/>
        <v>1</v>
      </c>
      <c r="F190" s="16">
        <f t="shared" si="10"/>
        <v>95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01681</v>
      </c>
      <c r="B191" s="16">
        <f t="shared" si="10"/>
        <v>115</v>
      </c>
      <c r="C191" s="16">
        <f t="shared" si="10"/>
        <v>0</v>
      </c>
      <c r="D191" s="16">
        <f t="shared" si="10"/>
        <v>168</v>
      </c>
      <c r="E191" s="16">
        <f t="shared" si="10"/>
        <v>1</v>
      </c>
      <c r="F191" s="16">
        <f t="shared" si="10"/>
        <v>164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01711</v>
      </c>
      <c r="B192" s="16">
        <f t="shared" si="10"/>
        <v>115</v>
      </c>
      <c r="C192" s="16">
        <f t="shared" si="10"/>
        <v>0</v>
      </c>
      <c r="D192" s="16">
        <f t="shared" si="10"/>
        <v>171</v>
      </c>
      <c r="E192" s="16">
        <f t="shared" si="10"/>
        <v>1</v>
      </c>
      <c r="F192" s="16">
        <f t="shared" si="10"/>
        <v>164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01741</v>
      </c>
      <c r="B193" s="16">
        <f t="shared" si="10"/>
        <v>115</v>
      </c>
      <c r="C193" s="16">
        <f t="shared" si="10"/>
        <v>0</v>
      </c>
      <c r="D193" s="16">
        <f t="shared" si="10"/>
        <v>174</v>
      </c>
      <c r="E193" s="16">
        <f t="shared" si="10"/>
        <v>1</v>
      </c>
      <c r="F193" s="16">
        <f t="shared" si="10"/>
        <v>603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01771</v>
      </c>
      <c r="B194" s="16">
        <f t="shared" si="10"/>
        <v>115</v>
      </c>
      <c r="C194" s="16">
        <f t="shared" si="10"/>
        <v>0</v>
      </c>
      <c r="D194" s="16">
        <f t="shared" si="10"/>
        <v>177</v>
      </c>
      <c r="E194" s="16">
        <f t="shared" si="10"/>
        <v>1</v>
      </c>
      <c r="F194" s="16">
        <f t="shared" si="10"/>
        <v>164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56" si="11">INDIRECT(ADDRESS(ROW()+$A$1,COLUMN(),1,TRUE,$C$1))</f>
        <v>01801</v>
      </c>
      <c r="B195" s="16">
        <f t="shared" si="10"/>
        <v>115</v>
      </c>
      <c r="C195" s="16">
        <f t="shared" si="10"/>
        <v>0</v>
      </c>
      <c r="D195" s="16">
        <f t="shared" si="10"/>
        <v>180</v>
      </c>
      <c r="E195" s="16">
        <f t="shared" si="10"/>
        <v>1</v>
      </c>
      <c r="F195" s="16">
        <f t="shared" si="10"/>
        <v>164</v>
      </c>
      <c r="G195" s="16">
        <f t="shared" si="10"/>
        <v>0</v>
      </c>
      <c r="H195" s="16">
        <f t="shared" si="10"/>
        <v>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01831</v>
      </c>
      <c r="B196" s="16">
        <f t="shared" si="10"/>
        <v>115</v>
      </c>
      <c r="C196" s="16">
        <f t="shared" si="10"/>
        <v>0</v>
      </c>
      <c r="D196" s="16">
        <f t="shared" si="10"/>
        <v>183</v>
      </c>
      <c r="E196" s="16">
        <f t="shared" si="10"/>
        <v>1</v>
      </c>
      <c r="F196" s="16">
        <f t="shared" si="10"/>
        <v>164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01861</v>
      </c>
      <c r="B197" s="16">
        <f t="shared" si="10"/>
        <v>115</v>
      </c>
      <c r="C197" s="16">
        <f t="shared" si="10"/>
        <v>0</v>
      </c>
      <c r="D197" s="16">
        <f t="shared" si="10"/>
        <v>186</v>
      </c>
      <c r="E197" s="16">
        <f t="shared" si="10"/>
        <v>1</v>
      </c>
      <c r="F197" s="16">
        <f t="shared" si="10"/>
        <v>603</v>
      </c>
      <c r="G197" s="16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01891</v>
      </c>
      <c r="B198" s="16">
        <f t="shared" si="12"/>
        <v>115</v>
      </c>
      <c r="C198" s="16">
        <f t="shared" si="12"/>
        <v>0</v>
      </c>
      <c r="D198" s="16">
        <f t="shared" si="12"/>
        <v>189</v>
      </c>
      <c r="E198" s="16">
        <f t="shared" si="12"/>
        <v>1</v>
      </c>
      <c r="F198" s="16">
        <f t="shared" si="12"/>
        <v>164</v>
      </c>
      <c r="G198" s="16">
        <f t="shared" si="12"/>
        <v>0</v>
      </c>
      <c r="H198" s="16">
        <f t="shared" si="12"/>
        <v>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01921</v>
      </c>
      <c r="B199" s="16">
        <f t="shared" si="12"/>
        <v>115</v>
      </c>
      <c r="C199" s="16">
        <f t="shared" si="12"/>
        <v>0</v>
      </c>
      <c r="D199" s="16">
        <f t="shared" si="12"/>
        <v>192</v>
      </c>
      <c r="E199" s="16">
        <f t="shared" si="12"/>
        <v>1</v>
      </c>
      <c r="F199" s="16">
        <f t="shared" si="12"/>
        <v>164</v>
      </c>
      <c r="G199" s="16">
        <f t="shared" si="12"/>
        <v>0</v>
      </c>
      <c r="H199" s="16">
        <f t="shared" si="12"/>
        <v>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01951</v>
      </c>
      <c r="B200" s="16">
        <f t="shared" si="12"/>
        <v>115</v>
      </c>
      <c r="C200" s="16">
        <f t="shared" si="12"/>
        <v>0</v>
      </c>
      <c r="D200" s="16">
        <f t="shared" si="12"/>
        <v>195</v>
      </c>
      <c r="E200" s="16">
        <f t="shared" si="12"/>
        <v>1</v>
      </c>
      <c r="F200" s="16">
        <f t="shared" si="12"/>
        <v>164</v>
      </c>
      <c r="G200" s="16">
        <f t="shared" si="12"/>
        <v>0</v>
      </c>
      <c r="H200" s="16">
        <f t="shared" si="12"/>
        <v>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01981</v>
      </c>
      <c r="B201" s="16">
        <f t="shared" si="12"/>
        <v>115</v>
      </c>
      <c r="C201" s="16">
        <f t="shared" si="12"/>
        <v>0</v>
      </c>
      <c r="D201" s="16">
        <f t="shared" si="12"/>
        <v>198</v>
      </c>
      <c r="E201" s="16">
        <f t="shared" si="12"/>
        <v>1</v>
      </c>
      <c r="F201" s="16">
        <f t="shared" si="12"/>
        <v>164</v>
      </c>
      <c r="G201" s="16">
        <f t="shared" si="12"/>
        <v>0</v>
      </c>
      <c r="H201" s="16">
        <f t="shared" si="12"/>
        <v>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02011</v>
      </c>
      <c r="B202" s="16">
        <f t="shared" si="12"/>
        <v>115</v>
      </c>
      <c r="C202" s="16">
        <f t="shared" si="12"/>
        <v>0</v>
      </c>
      <c r="D202" s="16">
        <f t="shared" si="12"/>
        <v>201</v>
      </c>
      <c r="E202" s="16">
        <f t="shared" si="12"/>
        <v>1</v>
      </c>
      <c r="F202" s="16">
        <f t="shared" si="12"/>
        <v>603</v>
      </c>
      <c r="G202" s="16">
        <f t="shared" si="12"/>
        <v>0</v>
      </c>
      <c r="H202" s="16">
        <f t="shared" si="12"/>
        <v>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02041</v>
      </c>
      <c r="B203" s="16">
        <f t="shared" si="12"/>
        <v>115</v>
      </c>
      <c r="C203" s="16">
        <f t="shared" si="12"/>
        <v>0</v>
      </c>
      <c r="D203" s="16">
        <f t="shared" si="12"/>
        <v>204</v>
      </c>
      <c r="E203" s="16">
        <f t="shared" si="12"/>
        <v>1</v>
      </c>
      <c r="F203" s="16">
        <f t="shared" si="12"/>
        <v>164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02071</v>
      </c>
      <c r="B204" s="16">
        <f t="shared" si="12"/>
        <v>115</v>
      </c>
      <c r="C204" s="16">
        <f t="shared" si="12"/>
        <v>0</v>
      </c>
      <c r="D204" s="16">
        <f t="shared" si="12"/>
        <v>207</v>
      </c>
      <c r="E204" s="16">
        <f t="shared" si="12"/>
        <v>1</v>
      </c>
      <c r="F204" s="16">
        <f t="shared" si="12"/>
        <v>164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02101</v>
      </c>
      <c r="B205" s="16">
        <f t="shared" si="12"/>
        <v>115</v>
      </c>
      <c r="C205" s="16">
        <f t="shared" si="12"/>
        <v>0</v>
      </c>
      <c r="D205" s="16">
        <f t="shared" si="12"/>
        <v>210</v>
      </c>
      <c r="E205" s="16">
        <f t="shared" si="12"/>
        <v>1</v>
      </c>
      <c r="F205" s="16">
        <f t="shared" si="12"/>
        <v>603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02131</v>
      </c>
      <c r="B206" s="16">
        <f t="shared" si="12"/>
        <v>115</v>
      </c>
      <c r="C206" s="16">
        <f t="shared" si="12"/>
        <v>0</v>
      </c>
      <c r="D206" s="16">
        <f t="shared" si="12"/>
        <v>213</v>
      </c>
      <c r="E206" s="16">
        <f t="shared" si="12"/>
        <v>1</v>
      </c>
      <c r="F206" s="16">
        <f t="shared" si="12"/>
        <v>164</v>
      </c>
      <c r="G206" s="16">
        <f t="shared" si="12"/>
        <v>0</v>
      </c>
      <c r="H206" s="16">
        <f t="shared" si="12"/>
        <v>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02161</v>
      </c>
      <c r="B207" s="16">
        <f t="shared" si="12"/>
        <v>115</v>
      </c>
      <c r="C207" s="16">
        <f t="shared" si="12"/>
        <v>0</v>
      </c>
      <c r="D207" s="16">
        <f t="shared" si="12"/>
        <v>216</v>
      </c>
      <c r="E207" s="16">
        <f t="shared" si="12"/>
        <v>1</v>
      </c>
      <c r="F207" s="16">
        <f t="shared" si="12"/>
        <v>164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02191</v>
      </c>
      <c r="B208" s="16">
        <f t="shared" si="12"/>
        <v>115</v>
      </c>
      <c r="C208" s="16">
        <f t="shared" si="12"/>
        <v>0</v>
      </c>
      <c r="D208" s="16">
        <f t="shared" si="12"/>
        <v>219</v>
      </c>
      <c r="E208" s="16">
        <f t="shared" si="12"/>
        <v>1</v>
      </c>
      <c r="F208" s="16">
        <f t="shared" si="12"/>
        <v>164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02221</v>
      </c>
      <c r="B209" s="16">
        <f t="shared" si="12"/>
        <v>115</v>
      </c>
      <c r="C209" s="16">
        <f t="shared" si="12"/>
        <v>0</v>
      </c>
      <c r="D209" s="16">
        <f t="shared" si="12"/>
        <v>222</v>
      </c>
      <c r="E209" s="16">
        <f t="shared" si="12"/>
        <v>1</v>
      </c>
      <c r="F209" s="16">
        <f t="shared" si="12"/>
        <v>603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02251</v>
      </c>
      <c r="B210" s="16">
        <f t="shared" si="12"/>
        <v>115</v>
      </c>
      <c r="C210" s="16">
        <f t="shared" si="12"/>
        <v>0</v>
      </c>
      <c r="D210" s="16">
        <f t="shared" si="12"/>
        <v>225</v>
      </c>
      <c r="E210" s="16">
        <f t="shared" si="12"/>
        <v>1</v>
      </c>
      <c r="F210" s="16">
        <f t="shared" si="12"/>
        <v>164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02281</v>
      </c>
      <c r="B211" s="16">
        <f t="shared" si="12"/>
        <v>115</v>
      </c>
      <c r="C211" s="16">
        <f t="shared" si="12"/>
        <v>0</v>
      </c>
      <c r="D211" s="16">
        <f t="shared" si="12"/>
        <v>228</v>
      </c>
      <c r="E211" s="16">
        <f t="shared" si="12"/>
        <v>1</v>
      </c>
      <c r="F211" s="16">
        <f t="shared" si="12"/>
        <v>15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02311</v>
      </c>
      <c r="B212" s="16">
        <f t="shared" si="12"/>
        <v>115</v>
      </c>
      <c r="C212" s="16">
        <f t="shared" si="12"/>
        <v>0</v>
      </c>
      <c r="D212" s="16">
        <f t="shared" si="12"/>
        <v>231</v>
      </c>
      <c r="E212" s="16">
        <f t="shared" si="12"/>
        <v>1</v>
      </c>
      <c r="F212" s="16">
        <f t="shared" si="12"/>
        <v>15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02341</v>
      </c>
      <c r="B213" s="16">
        <f t="shared" si="12"/>
        <v>115</v>
      </c>
      <c r="C213" s="16">
        <f t="shared" si="12"/>
        <v>0</v>
      </c>
      <c r="D213" s="16">
        <f t="shared" si="12"/>
        <v>234</v>
      </c>
      <c r="E213" s="16">
        <f t="shared" si="12"/>
        <v>1</v>
      </c>
      <c r="F213" s="16">
        <f t="shared" si="12"/>
        <v>68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02371</v>
      </c>
      <c r="B214" s="16">
        <f t="shared" si="12"/>
        <v>115</v>
      </c>
      <c r="C214" s="16">
        <f t="shared" si="12"/>
        <v>0</v>
      </c>
      <c r="D214" s="16">
        <f t="shared" si="12"/>
        <v>237</v>
      </c>
      <c r="E214" s="16">
        <f t="shared" si="12"/>
        <v>1</v>
      </c>
      <c r="F214" s="16">
        <f t="shared" si="12"/>
        <v>15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02381</v>
      </c>
      <c r="B215" s="16">
        <f t="shared" si="12"/>
        <v>115</v>
      </c>
      <c r="C215" s="16">
        <f t="shared" si="12"/>
        <v>0</v>
      </c>
      <c r="D215" s="16">
        <f t="shared" si="12"/>
        <v>238</v>
      </c>
      <c r="E215" s="16">
        <f t="shared" si="12"/>
        <v>1</v>
      </c>
      <c r="F215" s="16">
        <f t="shared" si="12"/>
        <v>268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02391</v>
      </c>
      <c r="B216" s="16">
        <f t="shared" si="12"/>
        <v>115</v>
      </c>
      <c r="C216" s="16">
        <f t="shared" si="12"/>
        <v>0</v>
      </c>
      <c r="D216" s="16">
        <f t="shared" si="12"/>
        <v>239</v>
      </c>
      <c r="E216" s="16">
        <f t="shared" si="12"/>
        <v>1</v>
      </c>
      <c r="F216" s="16">
        <f t="shared" si="12"/>
        <v>95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02401</v>
      </c>
      <c r="B217" s="16">
        <f t="shared" si="12"/>
        <v>115</v>
      </c>
      <c r="C217" s="16">
        <f t="shared" si="12"/>
        <v>0</v>
      </c>
      <c r="D217" s="16">
        <f t="shared" si="12"/>
        <v>240</v>
      </c>
      <c r="E217" s="16">
        <f t="shared" si="12"/>
        <v>1</v>
      </c>
      <c r="F217" s="16">
        <f t="shared" si="12"/>
        <v>15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02411</v>
      </c>
      <c r="B218" s="16">
        <f t="shared" si="12"/>
        <v>115</v>
      </c>
      <c r="C218" s="16">
        <f t="shared" si="12"/>
        <v>0</v>
      </c>
      <c r="D218" s="16">
        <f t="shared" si="12"/>
        <v>241</v>
      </c>
      <c r="E218" s="16">
        <f t="shared" si="12"/>
        <v>1</v>
      </c>
      <c r="F218" s="16">
        <f t="shared" si="12"/>
        <v>268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02421</v>
      </c>
      <c r="B219" s="16">
        <f t="shared" si="12"/>
        <v>115</v>
      </c>
      <c r="C219" s="16">
        <f t="shared" si="12"/>
        <v>0</v>
      </c>
      <c r="D219" s="16">
        <f t="shared" si="12"/>
        <v>242</v>
      </c>
      <c r="E219" s="16">
        <f t="shared" si="12"/>
        <v>1</v>
      </c>
      <c r="F219" s="16">
        <f t="shared" si="12"/>
        <v>95</v>
      </c>
      <c r="G219" s="16">
        <f t="shared" si="12"/>
        <v>0</v>
      </c>
      <c r="H219" s="16">
        <f t="shared" si="12"/>
        <v>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02431</v>
      </c>
      <c r="B220" s="16">
        <f t="shared" si="12"/>
        <v>115</v>
      </c>
      <c r="C220" s="16">
        <f t="shared" si="12"/>
        <v>0</v>
      </c>
      <c r="D220" s="16">
        <f t="shared" si="12"/>
        <v>243</v>
      </c>
      <c r="E220" s="16">
        <f t="shared" si="12"/>
        <v>1</v>
      </c>
      <c r="F220" s="16">
        <f t="shared" si="12"/>
        <v>15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02441</v>
      </c>
      <c r="B221" s="16">
        <f t="shared" si="12"/>
        <v>115</v>
      </c>
      <c r="C221" s="16">
        <f t="shared" si="12"/>
        <v>0</v>
      </c>
      <c r="D221" s="16">
        <f t="shared" si="12"/>
        <v>244</v>
      </c>
      <c r="E221" s="16">
        <f t="shared" si="12"/>
        <v>1</v>
      </c>
      <c r="F221" s="16">
        <f t="shared" si="12"/>
        <v>1203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  <row r="222" spans="1:11">
      <c r="A222" s="15" t="str">
        <f t="shared" si="11"/>
        <v>02451</v>
      </c>
      <c r="B222" s="16">
        <f t="shared" si="12"/>
        <v>115</v>
      </c>
      <c r="C222" s="16">
        <f t="shared" si="12"/>
        <v>0</v>
      </c>
      <c r="D222" s="16">
        <f t="shared" si="12"/>
        <v>245</v>
      </c>
      <c r="E222" s="16">
        <f t="shared" si="12"/>
        <v>1</v>
      </c>
      <c r="F222" s="16">
        <f t="shared" si="12"/>
        <v>424</v>
      </c>
      <c r="G222" s="16">
        <f t="shared" si="12"/>
        <v>0</v>
      </c>
      <c r="H222" s="16">
        <f t="shared" si="12"/>
        <v>0</v>
      </c>
      <c r="I222" s="16">
        <f t="shared" si="12"/>
        <v>0</v>
      </c>
      <c r="J222" s="16">
        <f t="shared" si="12"/>
        <v>0</v>
      </c>
      <c r="K222" s="16">
        <f t="shared" si="12"/>
        <v>1</v>
      </c>
    </row>
    <row r="223" spans="1:11">
      <c r="A223" s="15" t="str">
        <f t="shared" si="11"/>
        <v>02461</v>
      </c>
      <c r="B223" s="16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115</v>
      </c>
      <c r="C223" s="16">
        <f t="shared" si="13"/>
        <v>0</v>
      </c>
      <c r="D223" s="16">
        <f t="shared" si="13"/>
        <v>246</v>
      </c>
      <c r="E223" s="16">
        <f t="shared" si="13"/>
        <v>1</v>
      </c>
      <c r="F223" s="16">
        <f t="shared" si="13"/>
        <v>68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1"/>
        <v>02471</v>
      </c>
      <c r="B224" s="16">
        <f t="shared" si="13"/>
        <v>115</v>
      </c>
      <c r="C224" s="16">
        <f t="shared" si="13"/>
        <v>0</v>
      </c>
      <c r="D224" s="16">
        <f t="shared" si="13"/>
        <v>247</v>
      </c>
      <c r="E224" s="16">
        <f t="shared" si="13"/>
        <v>1</v>
      </c>
      <c r="F224" s="16">
        <f t="shared" si="13"/>
        <v>268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1"/>
        <v>02481</v>
      </c>
      <c r="B225" s="16">
        <f t="shared" si="13"/>
        <v>115</v>
      </c>
      <c r="C225" s="16">
        <f t="shared" si="13"/>
        <v>0</v>
      </c>
      <c r="D225" s="16">
        <f t="shared" si="13"/>
        <v>248</v>
      </c>
      <c r="E225" s="16">
        <f t="shared" si="13"/>
        <v>1</v>
      </c>
      <c r="F225" s="16">
        <f t="shared" si="13"/>
        <v>95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1"/>
        <v>02491</v>
      </c>
      <c r="B226" s="16">
        <f t="shared" si="13"/>
        <v>115</v>
      </c>
      <c r="C226" s="16">
        <f t="shared" si="13"/>
        <v>0</v>
      </c>
      <c r="D226" s="16">
        <f t="shared" si="13"/>
        <v>249</v>
      </c>
      <c r="E226" s="16">
        <f t="shared" si="13"/>
        <v>1</v>
      </c>
      <c r="F226" s="16">
        <f t="shared" si="13"/>
        <v>15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1"/>
        <v>02501</v>
      </c>
      <c r="B227" s="16">
        <f t="shared" si="13"/>
        <v>115</v>
      </c>
      <c r="C227" s="16">
        <f t="shared" si="13"/>
        <v>0</v>
      </c>
      <c r="D227" s="16">
        <f t="shared" si="13"/>
        <v>250</v>
      </c>
      <c r="E227" s="16">
        <f t="shared" si="13"/>
        <v>1</v>
      </c>
      <c r="F227" s="16">
        <f t="shared" si="13"/>
        <v>268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1"/>
        <v>02511</v>
      </c>
      <c r="B228" s="16">
        <f t="shared" si="13"/>
        <v>115</v>
      </c>
      <c r="C228" s="16">
        <f t="shared" si="13"/>
        <v>0</v>
      </c>
      <c r="D228" s="16">
        <f t="shared" si="13"/>
        <v>251</v>
      </c>
      <c r="E228" s="16">
        <f t="shared" si="13"/>
        <v>1</v>
      </c>
      <c r="F228" s="16">
        <f t="shared" si="13"/>
        <v>95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1"/>
        <v>02521</v>
      </c>
      <c r="B229" s="16">
        <f t="shared" si="13"/>
        <v>115</v>
      </c>
      <c r="C229" s="16">
        <f t="shared" si="13"/>
        <v>0</v>
      </c>
      <c r="D229" s="16">
        <f t="shared" si="13"/>
        <v>252</v>
      </c>
      <c r="E229" s="16">
        <f t="shared" si="13"/>
        <v>1</v>
      </c>
      <c r="F229" s="16">
        <f t="shared" si="13"/>
        <v>15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1"/>
        <v>02531</v>
      </c>
      <c r="B230" s="16">
        <f t="shared" si="13"/>
        <v>115</v>
      </c>
      <c r="C230" s="16">
        <f t="shared" si="13"/>
        <v>0</v>
      </c>
      <c r="D230" s="16">
        <f t="shared" si="13"/>
        <v>253</v>
      </c>
      <c r="E230" s="16">
        <f t="shared" si="13"/>
        <v>1</v>
      </c>
      <c r="F230" s="16">
        <f t="shared" si="13"/>
        <v>268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1"/>
        <v>02541</v>
      </c>
      <c r="B231" s="16">
        <f t="shared" si="13"/>
        <v>115</v>
      </c>
      <c r="C231" s="16">
        <f t="shared" si="13"/>
        <v>0</v>
      </c>
      <c r="D231" s="16">
        <f t="shared" si="13"/>
        <v>254</v>
      </c>
      <c r="E231" s="16">
        <f t="shared" si="13"/>
        <v>1</v>
      </c>
      <c r="F231" s="16">
        <f t="shared" si="13"/>
        <v>95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1"/>
        <v>02551</v>
      </c>
      <c r="B232" s="16">
        <f t="shared" si="13"/>
        <v>115</v>
      </c>
      <c r="C232" s="16">
        <f t="shared" si="13"/>
        <v>0</v>
      </c>
      <c r="D232" s="16">
        <f t="shared" si="13"/>
        <v>255</v>
      </c>
      <c r="E232" s="16">
        <f t="shared" si="13"/>
        <v>1</v>
      </c>
      <c r="F232" s="16">
        <f t="shared" si="13"/>
        <v>15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1"/>
        <v>02561</v>
      </c>
      <c r="B233" s="16">
        <f t="shared" si="13"/>
        <v>115</v>
      </c>
      <c r="C233" s="16">
        <f t="shared" si="13"/>
        <v>0</v>
      </c>
      <c r="D233" s="16">
        <f t="shared" si="13"/>
        <v>256</v>
      </c>
      <c r="E233" s="16">
        <f t="shared" si="13"/>
        <v>1</v>
      </c>
      <c r="F233" s="16">
        <f t="shared" si="13"/>
        <v>1203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1"/>
        <v>02571</v>
      </c>
      <c r="B234" s="16">
        <f t="shared" si="13"/>
        <v>115</v>
      </c>
      <c r="C234" s="16">
        <f t="shared" si="13"/>
        <v>0</v>
      </c>
      <c r="D234" s="16">
        <f t="shared" si="13"/>
        <v>257</v>
      </c>
      <c r="E234" s="16">
        <f t="shared" si="13"/>
        <v>1</v>
      </c>
      <c r="F234" s="16">
        <f t="shared" si="13"/>
        <v>424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1"/>
        <v>02581</v>
      </c>
      <c r="B235" s="16">
        <f t="shared" si="13"/>
        <v>115</v>
      </c>
      <c r="C235" s="16">
        <f t="shared" si="13"/>
        <v>0</v>
      </c>
      <c r="D235" s="16">
        <f t="shared" si="13"/>
        <v>258</v>
      </c>
      <c r="E235" s="16">
        <f t="shared" si="13"/>
        <v>1</v>
      </c>
      <c r="F235" s="16">
        <f t="shared" si="13"/>
        <v>68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1"/>
        <v>02591</v>
      </c>
      <c r="B236" s="16">
        <f t="shared" si="13"/>
        <v>115</v>
      </c>
      <c r="C236" s="16">
        <f t="shared" si="13"/>
        <v>0</v>
      </c>
      <c r="D236" s="16">
        <f t="shared" si="13"/>
        <v>259</v>
      </c>
      <c r="E236" s="16">
        <f t="shared" si="13"/>
        <v>1</v>
      </c>
      <c r="F236" s="16">
        <f t="shared" si="13"/>
        <v>268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1"/>
        <v>02601</v>
      </c>
      <c r="B237" s="16">
        <f t="shared" si="13"/>
        <v>115</v>
      </c>
      <c r="C237" s="16">
        <f t="shared" si="13"/>
        <v>0</v>
      </c>
      <c r="D237" s="16">
        <f t="shared" si="13"/>
        <v>260</v>
      </c>
      <c r="E237" s="16">
        <f t="shared" si="13"/>
        <v>1</v>
      </c>
      <c r="F237" s="16">
        <f t="shared" si="13"/>
        <v>95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1"/>
        <v>02611</v>
      </c>
      <c r="B238" s="16">
        <f t="shared" si="13"/>
        <v>115</v>
      </c>
      <c r="C238" s="16">
        <f t="shared" si="13"/>
        <v>0</v>
      </c>
      <c r="D238" s="16">
        <f t="shared" si="13"/>
        <v>261</v>
      </c>
      <c r="E238" s="16">
        <f t="shared" si="13"/>
        <v>1</v>
      </c>
      <c r="F238" s="16">
        <f t="shared" si="13"/>
        <v>15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  <row r="239" spans="1:11">
      <c r="A239" s="15" t="str">
        <f t="shared" si="11"/>
        <v>03201</v>
      </c>
      <c r="B239" s="16">
        <f t="shared" si="13"/>
        <v>115</v>
      </c>
      <c r="C239" s="16">
        <f t="shared" si="13"/>
        <v>0</v>
      </c>
      <c r="D239" s="16">
        <f t="shared" si="13"/>
        <v>320</v>
      </c>
      <c r="E239" s="16">
        <f t="shared" si="13"/>
        <v>1</v>
      </c>
      <c r="F239" s="16">
        <f t="shared" si="13"/>
        <v>303</v>
      </c>
      <c r="G239" s="16">
        <f t="shared" si="13"/>
        <v>0</v>
      </c>
      <c r="H239" s="16">
        <f t="shared" si="13"/>
        <v>0</v>
      </c>
      <c r="I239" s="16">
        <f t="shared" si="13"/>
        <v>0</v>
      </c>
      <c r="J239" s="16">
        <f t="shared" si="13"/>
        <v>0</v>
      </c>
      <c r="K239" s="16">
        <f t="shared" si="13"/>
        <v>1</v>
      </c>
    </row>
    <row r="240" spans="1:11">
      <c r="A240" s="15" t="str">
        <f t="shared" si="11"/>
        <v>03211</v>
      </c>
      <c r="B240" s="16">
        <f t="shared" si="13"/>
        <v>115</v>
      </c>
      <c r="C240" s="16">
        <f t="shared" si="13"/>
        <v>0</v>
      </c>
      <c r="D240" s="16">
        <f t="shared" si="13"/>
        <v>321</v>
      </c>
      <c r="E240" s="16">
        <f t="shared" si="13"/>
        <v>1</v>
      </c>
      <c r="F240" s="16">
        <f t="shared" si="13"/>
        <v>35</v>
      </c>
      <c r="G240" s="16">
        <f t="shared" si="13"/>
        <v>0</v>
      </c>
      <c r="H240" s="16">
        <f t="shared" si="13"/>
        <v>0</v>
      </c>
      <c r="I240" s="16">
        <f t="shared" si="13"/>
        <v>0</v>
      </c>
      <c r="J240" s="16">
        <f t="shared" si="13"/>
        <v>0</v>
      </c>
      <c r="K240" s="16">
        <f t="shared" si="13"/>
        <v>1</v>
      </c>
    </row>
    <row r="241" spans="1:11">
      <c r="A241" s="15" t="str">
        <f t="shared" si="11"/>
        <v>03221</v>
      </c>
      <c r="B241" s="16">
        <f t="shared" si="13"/>
        <v>115</v>
      </c>
      <c r="C241" s="16">
        <f t="shared" si="13"/>
        <v>0</v>
      </c>
      <c r="D241" s="16">
        <f t="shared" si="13"/>
        <v>322</v>
      </c>
      <c r="E241" s="16">
        <f t="shared" si="13"/>
        <v>1</v>
      </c>
      <c r="F241" s="16">
        <f t="shared" si="13"/>
        <v>303</v>
      </c>
      <c r="G241" s="16">
        <f t="shared" si="13"/>
        <v>0</v>
      </c>
      <c r="H241" s="16">
        <f t="shared" si="13"/>
        <v>0</v>
      </c>
      <c r="I241" s="16">
        <f t="shared" si="13"/>
        <v>0</v>
      </c>
      <c r="J241" s="16">
        <f t="shared" si="13"/>
        <v>0</v>
      </c>
      <c r="K241" s="16">
        <f t="shared" si="13"/>
        <v>1</v>
      </c>
    </row>
    <row r="242" spans="1:11">
      <c r="A242" s="15" t="str">
        <f t="shared" si="11"/>
        <v>03231</v>
      </c>
      <c r="B242" s="16">
        <f t="shared" si="13"/>
        <v>115</v>
      </c>
      <c r="C242" s="16">
        <f t="shared" si="13"/>
        <v>0</v>
      </c>
      <c r="D242" s="16">
        <f t="shared" si="13"/>
        <v>323</v>
      </c>
      <c r="E242" s="16">
        <f t="shared" si="13"/>
        <v>1</v>
      </c>
      <c r="F242" s="16">
        <f t="shared" si="13"/>
        <v>35</v>
      </c>
      <c r="G242" s="16">
        <f t="shared" si="13"/>
        <v>0</v>
      </c>
      <c r="H242" s="16">
        <f t="shared" si="13"/>
        <v>0</v>
      </c>
      <c r="I242" s="16">
        <f t="shared" si="13"/>
        <v>0</v>
      </c>
      <c r="J242" s="16">
        <f t="shared" si="13"/>
        <v>0</v>
      </c>
      <c r="K242" s="16">
        <f t="shared" si="13"/>
        <v>1</v>
      </c>
    </row>
    <row r="243" spans="1:11">
      <c r="A243" s="15" t="str">
        <f t="shared" si="11"/>
        <v>03241</v>
      </c>
      <c r="B243" s="16">
        <f t="shared" si="13"/>
        <v>115</v>
      </c>
      <c r="C243" s="16">
        <f t="shared" si="13"/>
        <v>0</v>
      </c>
      <c r="D243" s="16">
        <f t="shared" si="13"/>
        <v>324</v>
      </c>
      <c r="E243" s="16">
        <f t="shared" si="13"/>
        <v>1</v>
      </c>
      <c r="F243" s="16">
        <f t="shared" si="13"/>
        <v>741</v>
      </c>
      <c r="G243" s="16">
        <f t="shared" si="13"/>
        <v>0</v>
      </c>
      <c r="H243" s="16">
        <f t="shared" si="13"/>
        <v>0</v>
      </c>
      <c r="I243" s="16">
        <f t="shared" si="13"/>
        <v>0</v>
      </c>
      <c r="J243" s="16">
        <f t="shared" si="13"/>
        <v>0</v>
      </c>
      <c r="K243" s="16">
        <f t="shared" si="13"/>
        <v>1</v>
      </c>
    </row>
    <row r="244" spans="1:11">
      <c r="A244" s="15" t="str">
        <f t="shared" si="11"/>
        <v>03251</v>
      </c>
      <c r="B244" s="16">
        <f t="shared" si="13"/>
        <v>115</v>
      </c>
      <c r="C244" s="16">
        <f t="shared" si="13"/>
        <v>0</v>
      </c>
      <c r="D244" s="16">
        <f t="shared" si="13"/>
        <v>325</v>
      </c>
      <c r="E244" s="16">
        <f t="shared" si="13"/>
        <v>1</v>
      </c>
      <c r="F244" s="16">
        <f t="shared" si="13"/>
        <v>85</v>
      </c>
      <c r="G244" s="16">
        <f t="shared" si="13"/>
        <v>0</v>
      </c>
      <c r="H244" s="16">
        <f t="shared" si="13"/>
        <v>0</v>
      </c>
      <c r="I244" s="16">
        <f t="shared" si="13"/>
        <v>0</v>
      </c>
      <c r="J244" s="16">
        <f t="shared" si="13"/>
        <v>0</v>
      </c>
      <c r="K244" s="16">
        <f t="shared" si="13"/>
        <v>1</v>
      </c>
    </row>
    <row r="245" spans="1:11">
      <c r="A245" s="15" t="str">
        <f t="shared" si="11"/>
        <v>03261</v>
      </c>
      <c r="B245" s="16">
        <f t="shared" si="13"/>
        <v>115</v>
      </c>
      <c r="C245" s="16">
        <f t="shared" si="13"/>
        <v>0</v>
      </c>
      <c r="D245" s="16">
        <f t="shared" si="13"/>
        <v>326</v>
      </c>
      <c r="E245" s="16">
        <f t="shared" si="13"/>
        <v>1</v>
      </c>
      <c r="F245" s="16">
        <f t="shared" si="13"/>
        <v>303</v>
      </c>
      <c r="G245" s="16">
        <f t="shared" si="13"/>
        <v>0</v>
      </c>
      <c r="H245" s="16">
        <f t="shared" si="13"/>
        <v>0</v>
      </c>
      <c r="I245" s="16">
        <f t="shared" si="13"/>
        <v>0</v>
      </c>
      <c r="J245" s="16">
        <f t="shared" si="13"/>
        <v>0</v>
      </c>
      <c r="K245" s="16">
        <f t="shared" si="13"/>
        <v>1</v>
      </c>
    </row>
    <row r="246" spans="1:11">
      <c r="A246" s="15" t="str">
        <f t="shared" si="11"/>
        <v>03271</v>
      </c>
      <c r="B246" s="16">
        <f t="shared" si="13"/>
        <v>115</v>
      </c>
      <c r="C246" s="16">
        <f t="shared" si="13"/>
        <v>0</v>
      </c>
      <c r="D246" s="16">
        <f t="shared" si="13"/>
        <v>327</v>
      </c>
      <c r="E246" s="16">
        <f t="shared" si="13"/>
        <v>1</v>
      </c>
      <c r="F246" s="16">
        <f t="shared" si="13"/>
        <v>35</v>
      </c>
      <c r="G246" s="16">
        <f t="shared" si="13"/>
        <v>0</v>
      </c>
      <c r="H246" s="16">
        <f t="shared" si="13"/>
        <v>0</v>
      </c>
      <c r="I246" s="16">
        <f t="shared" si="13"/>
        <v>0</v>
      </c>
      <c r="J246" s="16">
        <f t="shared" si="13"/>
        <v>0</v>
      </c>
      <c r="K246" s="16">
        <f t="shared" si="13"/>
        <v>1</v>
      </c>
    </row>
    <row r="247" spans="1:11">
      <c r="A247" s="15" t="str">
        <f t="shared" si="11"/>
        <v>03801</v>
      </c>
      <c r="B247" s="16">
        <f t="shared" si="13"/>
        <v>115</v>
      </c>
      <c r="C247" s="16">
        <f t="shared" si="13"/>
        <v>0</v>
      </c>
      <c r="D247" s="16">
        <f t="shared" si="13"/>
        <v>380</v>
      </c>
      <c r="E247" s="16">
        <f t="shared" si="13"/>
        <v>1</v>
      </c>
      <c r="F247" s="16">
        <f t="shared" si="13"/>
        <v>268</v>
      </c>
      <c r="G247" s="16">
        <f t="shared" si="13"/>
        <v>0</v>
      </c>
      <c r="H247" s="16">
        <f t="shared" si="13"/>
        <v>0</v>
      </c>
      <c r="I247" s="16">
        <f t="shared" si="13"/>
        <v>0</v>
      </c>
      <c r="J247" s="16">
        <f t="shared" si="13"/>
        <v>0</v>
      </c>
      <c r="K247" s="16">
        <f t="shared" si="13"/>
        <v>1</v>
      </c>
    </row>
    <row r="248" spans="1:11">
      <c r="A248" s="15" t="str">
        <f t="shared" si="11"/>
        <v>03811</v>
      </c>
      <c r="B248" s="16">
        <f t="shared" si="13"/>
        <v>115</v>
      </c>
      <c r="C248" s="16">
        <f t="shared" si="13"/>
        <v>0</v>
      </c>
      <c r="D248" s="16">
        <f t="shared" si="13"/>
        <v>381</v>
      </c>
      <c r="E248" s="16">
        <f t="shared" si="13"/>
        <v>1</v>
      </c>
      <c r="F248" s="16">
        <f t="shared" si="13"/>
        <v>95</v>
      </c>
      <c r="G248" s="16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1"/>
        <v>03821</v>
      </c>
      <c r="B249" s="16">
        <f t="shared" si="14"/>
        <v>115</v>
      </c>
      <c r="C249" s="16">
        <f t="shared" si="14"/>
        <v>0</v>
      </c>
      <c r="D249" s="16">
        <f t="shared" si="14"/>
        <v>382</v>
      </c>
      <c r="E249" s="16">
        <f t="shared" si="14"/>
        <v>1</v>
      </c>
      <c r="F249" s="16">
        <f t="shared" si="14"/>
        <v>15</v>
      </c>
      <c r="G249" s="16">
        <f t="shared" si="14"/>
        <v>0</v>
      </c>
      <c r="H249" s="16">
        <f t="shared" si="14"/>
        <v>0</v>
      </c>
      <c r="I249" s="16">
        <f t="shared" si="14"/>
        <v>0</v>
      </c>
      <c r="J249" s="16">
        <f t="shared" si="14"/>
        <v>0</v>
      </c>
      <c r="K249" s="16">
        <f t="shared" si="14"/>
        <v>1</v>
      </c>
    </row>
    <row r="250" spans="1:11">
      <c r="A250" s="15" t="str">
        <f t="shared" si="11"/>
        <v>03831</v>
      </c>
      <c r="B250" s="16">
        <f t="shared" si="14"/>
        <v>115</v>
      </c>
      <c r="C250" s="16">
        <f t="shared" si="14"/>
        <v>0</v>
      </c>
      <c r="D250" s="16">
        <f t="shared" si="14"/>
        <v>383</v>
      </c>
      <c r="E250" s="16">
        <f t="shared" si="14"/>
        <v>1</v>
      </c>
      <c r="F250" s="16">
        <f t="shared" si="14"/>
        <v>303</v>
      </c>
      <c r="G250" s="16">
        <f t="shared" si="14"/>
        <v>0</v>
      </c>
      <c r="H250" s="16">
        <f t="shared" si="14"/>
        <v>0</v>
      </c>
      <c r="I250" s="16">
        <f t="shared" si="14"/>
        <v>0</v>
      </c>
      <c r="J250" s="16">
        <f t="shared" si="14"/>
        <v>0</v>
      </c>
      <c r="K250" s="16">
        <f t="shared" si="14"/>
        <v>1</v>
      </c>
    </row>
    <row r="251" spans="1:11">
      <c r="A251" s="15" t="str">
        <f t="shared" si="11"/>
        <v>03841</v>
      </c>
      <c r="B251" s="16">
        <f t="shared" si="14"/>
        <v>115</v>
      </c>
      <c r="C251" s="16">
        <f t="shared" si="14"/>
        <v>0</v>
      </c>
      <c r="D251" s="16">
        <f t="shared" si="14"/>
        <v>384</v>
      </c>
      <c r="E251" s="16">
        <f t="shared" si="14"/>
        <v>1</v>
      </c>
      <c r="F251" s="16">
        <f t="shared" si="14"/>
        <v>35</v>
      </c>
      <c r="G251" s="16">
        <f t="shared" si="14"/>
        <v>0</v>
      </c>
      <c r="H251" s="16">
        <f t="shared" si="14"/>
        <v>0</v>
      </c>
      <c r="I251" s="16">
        <f t="shared" si="14"/>
        <v>0</v>
      </c>
      <c r="J251" s="16">
        <f t="shared" si="14"/>
        <v>0</v>
      </c>
      <c r="K251" s="16">
        <f t="shared" si="14"/>
        <v>1</v>
      </c>
    </row>
    <row r="252" spans="1:11">
      <c r="A252" s="15" t="str">
        <f t="shared" si="11"/>
        <v>03851</v>
      </c>
      <c r="B252" s="16">
        <f t="shared" si="14"/>
        <v>115</v>
      </c>
      <c r="C252" s="16">
        <f t="shared" si="14"/>
        <v>0</v>
      </c>
      <c r="D252" s="16">
        <f t="shared" si="14"/>
        <v>385</v>
      </c>
      <c r="E252" s="16">
        <f t="shared" si="14"/>
        <v>1</v>
      </c>
      <c r="F252" s="16">
        <f t="shared" si="14"/>
        <v>741</v>
      </c>
      <c r="G252" s="16">
        <f t="shared" si="14"/>
        <v>0</v>
      </c>
      <c r="H252" s="16">
        <f t="shared" si="14"/>
        <v>0</v>
      </c>
      <c r="I252" s="16">
        <f t="shared" si="14"/>
        <v>0</v>
      </c>
      <c r="J252" s="16">
        <f t="shared" si="14"/>
        <v>0</v>
      </c>
      <c r="K252" s="16">
        <f t="shared" si="14"/>
        <v>1</v>
      </c>
    </row>
    <row r="253" spans="1:11">
      <c r="A253" s="15" t="str">
        <f t="shared" si="11"/>
        <v>03861</v>
      </c>
      <c r="B253" s="16">
        <f t="shared" si="14"/>
        <v>115</v>
      </c>
      <c r="C253" s="16">
        <f t="shared" si="14"/>
        <v>0</v>
      </c>
      <c r="D253" s="16">
        <f t="shared" si="14"/>
        <v>386</v>
      </c>
      <c r="E253" s="16">
        <f t="shared" si="14"/>
        <v>1</v>
      </c>
      <c r="F253" s="16">
        <f t="shared" si="14"/>
        <v>85</v>
      </c>
      <c r="G253" s="16">
        <f t="shared" si="14"/>
        <v>0</v>
      </c>
      <c r="H253" s="16">
        <f t="shared" si="14"/>
        <v>0</v>
      </c>
      <c r="I253" s="16">
        <f t="shared" si="14"/>
        <v>0</v>
      </c>
      <c r="J253" s="16">
        <f t="shared" si="14"/>
        <v>0</v>
      </c>
      <c r="K253" s="16">
        <f t="shared" si="14"/>
        <v>1</v>
      </c>
    </row>
    <row r="254" spans="1:11">
      <c r="A254" s="15" t="str">
        <f t="shared" si="11"/>
        <v>03871</v>
      </c>
      <c r="B254" s="16">
        <f t="shared" si="14"/>
        <v>115</v>
      </c>
      <c r="C254" s="16">
        <f t="shared" si="14"/>
        <v>0</v>
      </c>
      <c r="D254" s="16">
        <f t="shared" si="14"/>
        <v>387</v>
      </c>
      <c r="E254" s="16">
        <f t="shared" si="14"/>
        <v>1</v>
      </c>
      <c r="F254" s="16">
        <f t="shared" si="14"/>
        <v>268</v>
      </c>
      <c r="G254" s="16">
        <f t="shared" si="14"/>
        <v>0</v>
      </c>
      <c r="H254" s="16">
        <f t="shared" si="14"/>
        <v>0</v>
      </c>
      <c r="I254" s="16">
        <f t="shared" si="14"/>
        <v>0</v>
      </c>
      <c r="J254" s="16">
        <f t="shared" si="14"/>
        <v>0</v>
      </c>
      <c r="K254" s="16">
        <f t="shared" si="14"/>
        <v>1</v>
      </c>
    </row>
    <row r="255" spans="1:11">
      <c r="A255" s="15" t="str">
        <f t="shared" si="11"/>
        <v>03881</v>
      </c>
      <c r="B255" s="16">
        <f t="shared" si="14"/>
        <v>115</v>
      </c>
      <c r="C255" s="16">
        <f t="shared" si="14"/>
        <v>0</v>
      </c>
      <c r="D255" s="16">
        <f t="shared" si="14"/>
        <v>388</v>
      </c>
      <c r="E255" s="16">
        <f t="shared" si="14"/>
        <v>1</v>
      </c>
      <c r="F255" s="16">
        <f t="shared" si="14"/>
        <v>95</v>
      </c>
      <c r="G255" s="16">
        <f t="shared" si="14"/>
        <v>0</v>
      </c>
      <c r="H255" s="16">
        <f t="shared" si="14"/>
        <v>0</v>
      </c>
      <c r="I255" s="16">
        <f t="shared" si="14"/>
        <v>0</v>
      </c>
      <c r="J255" s="16">
        <f t="shared" si="14"/>
        <v>0</v>
      </c>
      <c r="K255" s="16">
        <f t="shared" si="14"/>
        <v>1</v>
      </c>
    </row>
    <row r="256" spans="1:11">
      <c r="A256" s="15" t="str">
        <f t="shared" si="11"/>
        <v>03891</v>
      </c>
      <c r="B256" s="16">
        <f t="shared" si="14"/>
        <v>115</v>
      </c>
      <c r="C256" s="16">
        <f t="shared" si="14"/>
        <v>0</v>
      </c>
      <c r="D256" s="16">
        <f t="shared" si="14"/>
        <v>389</v>
      </c>
      <c r="E256" s="16">
        <f t="shared" si="14"/>
        <v>1</v>
      </c>
      <c r="F256" s="16">
        <f t="shared" si="14"/>
        <v>15</v>
      </c>
      <c r="G256" s="16">
        <f t="shared" si="14"/>
        <v>0</v>
      </c>
      <c r="H256" s="16">
        <f t="shared" si="14"/>
        <v>0</v>
      </c>
      <c r="I256" s="16">
        <f t="shared" si="14"/>
        <v>0</v>
      </c>
      <c r="J256" s="16">
        <f t="shared" si="14"/>
        <v>0</v>
      </c>
      <c r="K256" s="16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K256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M30" sqref="M30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gacha_unit_tables_116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116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1296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116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1296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116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4752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116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1296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116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1296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116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1296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116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4752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116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1296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116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1296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116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1296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116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4752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116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1296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116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1296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116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1296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116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4752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116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1296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116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1296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116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1296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116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4752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116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1296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116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1354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116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1354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116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4963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116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1354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116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1354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116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1354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116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4963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116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1354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116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1354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116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1354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116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1354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116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4963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116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1354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116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1354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116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4963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116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1354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116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1354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116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1354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116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4963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116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1354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116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236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116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236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116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1056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116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236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116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110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116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110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116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405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116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110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116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110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116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110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116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405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116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110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116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110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116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110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116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110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116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405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116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110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116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110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116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405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116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110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116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110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116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110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116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405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116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110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116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10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116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10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116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44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116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10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116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236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116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10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116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236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116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10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116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1056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116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44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116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236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116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10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116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236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116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10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116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236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116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10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116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1056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116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44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116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236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116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10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5"/>
        <v>116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216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5"/>
        <v>116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9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5"/>
        <v>116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216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5"/>
        <v>116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9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5"/>
        <v>116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528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5"/>
        <v>116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22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5"/>
        <v>116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216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5"/>
        <v>116</v>
      </c>
      <c r="C94" s="16">
        <f t="shared" si="5"/>
        <v>1</v>
      </c>
      <c r="D94" s="16">
        <f t="shared" si="5"/>
        <v>327</v>
      </c>
      <c r="E94" s="16">
        <f t="shared" si="5"/>
        <v>1</v>
      </c>
      <c r="F94" s="16">
        <f t="shared" si="5"/>
        <v>9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13811</v>
      </c>
      <c r="B95" s="16">
        <f t="shared" si="5"/>
        <v>116</v>
      </c>
      <c r="C95" s="16">
        <f t="shared" si="5"/>
        <v>1</v>
      </c>
      <c r="D95" s="16">
        <f t="shared" si="5"/>
        <v>381</v>
      </c>
      <c r="E95" s="16">
        <f t="shared" si="5"/>
        <v>1</v>
      </c>
      <c r="F95" s="16">
        <f t="shared" si="5"/>
        <v>236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13821</v>
      </c>
      <c r="B96" s="16">
        <f t="shared" si="6"/>
        <v>116</v>
      </c>
      <c r="C96" s="16">
        <f t="shared" si="6"/>
        <v>1</v>
      </c>
      <c r="D96" s="16">
        <f t="shared" si="6"/>
        <v>382</v>
      </c>
      <c r="E96" s="16">
        <f t="shared" si="6"/>
        <v>1</v>
      </c>
      <c r="F96" s="16">
        <f t="shared" si="6"/>
        <v>10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13831</v>
      </c>
      <c r="B97" s="16">
        <f t="shared" si="6"/>
        <v>116</v>
      </c>
      <c r="C97" s="16">
        <f t="shared" si="6"/>
        <v>1</v>
      </c>
      <c r="D97" s="16">
        <f t="shared" si="6"/>
        <v>383</v>
      </c>
      <c r="E97" s="16">
        <f t="shared" si="6"/>
        <v>1</v>
      </c>
      <c r="F97" s="16">
        <f t="shared" si="6"/>
        <v>216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13841</v>
      </c>
      <c r="B98" s="16">
        <f t="shared" si="6"/>
        <v>116</v>
      </c>
      <c r="C98" s="16">
        <f t="shared" si="6"/>
        <v>1</v>
      </c>
      <c r="D98" s="16">
        <f t="shared" si="6"/>
        <v>384</v>
      </c>
      <c r="E98" s="16">
        <f t="shared" si="6"/>
        <v>1</v>
      </c>
      <c r="F98" s="16">
        <f t="shared" si="6"/>
        <v>9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13851</v>
      </c>
      <c r="B99" s="16">
        <f t="shared" si="6"/>
        <v>116</v>
      </c>
      <c r="C99" s="16">
        <f t="shared" si="6"/>
        <v>1</v>
      </c>
      <c r="D99" s="16">
        <f t="shared" si="6"/>
        <v>385</v>
      </c>
      <c r="E99" s="16">
        <f t="shared" si="6"/>
        <v>1</v>
      </c>
      <c r="F99" s="16">
        <f t="shared" si="6"/>
        <v>528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13861</v>
      </c>
      <c r="B100" s="16">
        <f t="shared" si="6"/>
        <v>116</v>
      </c>
      <c r="C100" s="16">
        <f t="shared" si="6"/>
        <v>1</v>
      </c>
      <c r="D100" s="16">
        <f t="shared" si="6"/>
        <v>386</v>
      </c>
      <c r="E100" s="16">
        <f t="shared" si="6"/>
        <v>1</v>
      </c>
      <c r="F100" s="16">
        <f t="shared" si="6"/>
        <v>22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13881</v>
      </c>
      <c r="B101" s="16">
        <f t="shared" si="6"/>
        <v>116</v>
      </c>
      <c r="C101" s="16">
        <f t="shared" si="6"/>
        <v>1</v>
      </c>
      <c r="D101" s="16">
        <f t="shared" si="6"/>
        <v>388</v>
      </c>
      <c r="E101" s="16">
        <f t="shared" si="6"/>
        <v>1</v>
      </c>
      <c r="F101" s="16">
        <f t="shared" si="6"/>
        <v>236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13891</v>
      </c>
      <c r="B102" s="16">
        <f t="shared" si="6"/>
        <v>116</v>
      </c>
      <c r="C102" s="16">
        <f t="shared" si="6"/>
        <v>1</v>
      </c>
      <c r="D102" s="16">
        <f t="shared" si="6"/>
        <v>389</v>
      </c>
      <c r="E102" s="16">
        <f t="shared" si="6"/>
        <v>1</v>
      </c>
      <c r="F102" s="16">
        <f t="shared" si="6"/>
        <v>10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01261</v>
      </c>
      <c r="B103" s="16">
        <f t="shared" si="6"/>
        <v>116</v>
      </c>
      <c r="C103" s="16">
        <f t="shared" si="6"/>
        <v>0</v>
      </c>
      <c r="D103" s="16">
        <f t="shared" si="6"/>
        <v>126</v>
      </c>
      <c r="E103" s="16">
        <f t="shared" si="6"/>
        <v>1</v>
      </c>
      <c r="F103" s="16">
        <f t="shared" si="6"/>
        <v>1476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01281</v>
      </c>
      <c r="B104" s="16">
        <f t="shared" si="6"/>
        <v>116</v>
      </c>
      <c r="C104" s="16">
        <f t="shared" si="6"/>
        <v>0</v>
      </c>
      <c r="D104" s="16">
        <f t="shared" si="6"/>
        <v>128</v>
      </c>
      <c r="E104" s="16">
        <f t="shared" si="6"/>
        <v>1</v>
      </c>
      <c r="F104" s="16">
        <f t="shared" si="6"/>
        <v>1476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01301</v>
      </c>
      <c r="B105" s="16">
        <f t="shared" si="6"/>
        <v>116</v>
      </c>
      <c r="C105" s="16">
        <f t="shared" si="6"/>
        <v>0</v>
      </c>
      <c r="D105" s="16">
        <f t="shared" si="6"/>
        <v>130</v>
      </c>
      <c r="E105" s="16">
        <f t="shared" si="6"/>
        <v>1</v>
      </c>
      <c r="F105" s="16">
        <f t="shared" si="6"/>
        <v>5412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01321</v>
      </c>
      <c r="B106" s="16">
        <f t="shared" si="6"/>
        <v>116</v>
      </c>
      <c r="C106" s="16">
        <f t="shared" si="6"/>
        <v>0</v>
      </c>
      <c r="D106" s="16">
        <f t="shared" si="6"/>
        <v>132</v>
      </c>
      <c r="E106" s="16">
        <f t="shared" si="6"/>
        <v>1</v>
      </c>
      <c r="F106" s="16">
        <f t="shared" si="6"/>
        <v>1476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01341</v>
      </c>
      <c r="B107" s="16">
        <f t="shared" si="6"/>
        <v>116</v>
      </c>
      <c r="C107" s="16">
        <f t="shared" si="6"/>
        <v>0</v>
      </c>
      <c r="D107" s="16">
        <f t="shared" si="6"/>
        <v>134</v>
      </c>
      <c r="E107" s="16">
        <f t="shared" si="6"/>
        <v>1</v>
      </c>
      <c r="F107" s="16">
        <f t="shared" si="6"/>
        <v>1476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01361</v>
      </c>
      <c r="B108" s="16">
        <f t="shared" si="6"/>
        <v>116</v>
      </c>
      <c r="C108" s="16">
        <f t="shared" si="6"/>
        <v>0</v>
      </c>
      <c r="D108" s="16">
        <f t="shared" si="6"/>
        <v>136</v>
      </c>
      <c r="E108" s="16">
        <f t="shared" si="6"/>
        <v>1</v>
      </c>
      <c r="F108" s="16">
        <f t="shared" si="6"/>
        <v>1476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01381</v>
      </c>
      <c r="B109" s="16">
        <f t="shared" si="6"/>
        <v>116</v>
      </c>
      <c r="C109" s="16">
        <f t="shared" si="6"/>
        <v>0</v>
      </c>
      <c r="D109" s="16">
        <f t="shared" si="6"/>
        <v>138</v>
      </c>
      <c r="E109" s="16">
        <f t="shared" si="6"/>
        <v>1</v>
      </c>
      <c r="F109" s="16">
        <f t="shared" si="6"/>
        <v>5412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01401</v>
      </c>
      <c r="B110" s="16">
        <f t="shared" si="6"/>
        <v>116</v>
      </c>
      <c r="C110" s="16">
        <f t="shared" si="6"/>
        <v>0</v>
      </c>
      <c r="D110" s="16">
        <f t="shared" si="6"/>
        <v>140</v>
      </c>
      <c r="E110" s="16">
        <f t="shared" si="6"/>
        <v>1</v>
      </c>
      <c r="F110" s="16">
        <f t="shared" si="6"/>
        <v>1476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01421</v>
      </c>
      <c r="B111" s="16">
        <f t="shared" si="6"/>
        <v>116</v>
      </c>
      <c r="C111" s="16">
        <f t="shared" si="6"/>
        <v>0</v>
      </c>
      <c r="D111" s="16">
        <f t="shared" si="6"/>
        <v>142</v>
      </c>
      <c r="E111" s="16">
        <f t="shared" si="6"/>
        <v>1</v>
      </c>
      <c r="F111" s="16">
        <f t="shared" si="6"/>
        <v>1476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01441</v>
      </c>
      <c r="B112" s="16">
        <f t="shared" si="6"/>
        <v>116</v>
      </c>
      <c r="C112" s="16">
        <f t="shared" si="6"/>
        <v>0</v>
      </c>
      <c r="D112" s="16">
        <f t="shared" si="6"/>
        <v>144</v>
      </c>
      <c r="E112" s="16">
        <f t="shared" si="6"/>
        <v>1</v>
      </c>
      <c r="F112" s="16">
        <f t="shared" si="6"/>
        <v>1476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01461</v>
      </c>
      <c r="B113" s="16">
        <f t="shared" si="6"/>
        <v>116</v>
      </c>
      <c r="C113" s="16">
        <f t="shared" si="6"/>
        <v>0</v>
      </c>
      <c r="D113" s="16">
        <f t="shared" si="6"/>
        <v>146</v>
      </c>
      <c r="E113" s="16">
        <f t="shared" si="6"/>
        <v>1</v>
      </c>
      <c r="F113" s="16">
        <f t="shared" si="6"/>
        <v>5412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01481</v>
      </c>
      <c r="B114" s="16">
        <f t="shared" si="6"/>
        <v>116</v>
      </c>
      <c r="C114" s="16">
        <f t="shared" si="6"/>
        <v>0</v>
      </c>
      <c r="D114" s="16">
        <f t="shared" si="6"/>
        <v>148</v>
      </c>
      <c r="E114" s="16">
        <f t="shared" si="6"/>
        <v>1</v>
      </c>
      <c r="F114" s="16">
        <f t="shared" si="6"/>
        <v>1476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01501</v>
      </c>
      <c r="B115" s="16">
        <f t="shared" si="6"/>
        <v>116</v>
      </c>
      <c r="C115" s="16">
        <f t="shared" si="6"/>
        <v>0</v>
      </c>
      <c r="D115" s="16">
        <f t="shared" si="6"/>
        <v>150</v>
      </c>
      <c r="E115" s="16">
        <f t="shared" si="6"/>
        <v>1</v>
      </c>
      <c r="F115" s="16">
        <f t="shared" si="6"/>
        <v>1476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01521</v>
      </c>
      <c r="B116" s="16">
        <f t="shared" si="6"/>
        <v>116</v>
      </c>
      <c r="C116" s="16">
        <f t="shared" si="6"/>
        <v>0</v>
      </c>
      <c r="D116" s="16">
        <f t="shared" si="6"/>
        <v>152</v>
      </c>
      <c r="E116" s="16">
        <f t="shared" si="6"/>
        <v>1</v>
      </c>
      <c r="F116" s="16">
        <f t="shared" si="6"/>
        <v>1476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01541</v>
      </c>
      <c r="B117" s="16">
        <f t="shared" si="6"/>
        <v>116</v>
      </c>
      <c r="C117" s="16">
        <f t="shared" si="6"/>
        <v>0</v>
      </c>
      <c r="D117" s="16">
        <f t="shared" si="6"/>
        <v>154</v>
      </c>
      <c r="E117" s="16">
        <f t="shared" si="6"/>
        <v>1</v>
      </c>
      <c r="F117" s="16">
        <f t="shared" si="6"/>
        <v>5412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01561</v>
      </c>
      <c r="B118" s="16">
        <f t="shared" si="6"/>
        <v>116</v>
      </c>
      <c r="C118" s="16">
        <f t="shared" si="6"/>
        <v>0</v>
      </c>
      <c r="D118" s="16">
        <f t="shared" si="6"/>
        <v>156</v>
      </c>
      <c r="E118" s="16">
        <f t="shared" si="6"/>
        <v>1</v>
      </c>
      <c r="F118" s="16">
        <f t="shared" si="6"/>
        <v>1476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01581</v>
      </c>
      <c r="B119" s="16">
        <f t="shared" si="6"/>
        <v>116</v>
      </c>
      <c r="C119" s="16">
        <f t="shared" si="6"/>
        <v>0</v>
      </c>
      <c r="D119" s="16">
        <f t="shared" si="6"/>
        <v>158</v>
      </c>
      <c r="E119" s="16">
        <f t="shared" si="6"/>
        <v>1</v>
      </c>
      <c r="F119" s="16">
        <f t="shared" si="6"/>
        <v>1476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01601</v>
      </c>
      <c r="B120" s="16">
        <f t="shared" si="6"/>
        <v>116</v>
      </c>
      <c r="C120" s="16">
        <f t="shared" si="6"/>
        <v>0</v>
      </c>
      <c r="D120" s="16">
        <f t="shared" si="6"/>
        <v>160</v>
      </c>
      <c r="E120" s="16">
        <f t="shared" si="6"/>
        <v>1</v>
      </c>
      <c r="F120" s="16">
        <f t="shared" si="6"/>
        <v>1476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01621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116</v>
      </c>
      <c r="C121" s="16">
        <f t="shared" si="7"/>
        <v>0</v>
      </c>
      <c r="D121" s="16">
        <f t="shared" si="7"/>
        <v>162</v>
      </c>
      <c r="E121" s="16">
        <f t="shared" si="7"/>
        <v>1</v>
      </c>
      <c r="F121" s="16">
        <f t="shared" si="7"/>
        <v>5412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01641</v>
      </c>
      <c r="B122" s="16">
        <f t="shared" si="7"/>
        <v>116</v>
      </c>
      <c r="C122" s="16">
        <f t="shared" si="7"/>
        <v>0</v>
      </c>
      <c r="D122" s="16">
        <f t="shared" si="7"/>
        <v>164</v>
      </c>
      <c r="E122" s="16">
        <f t="shared" si="7"/>
        <v>1</v>
      </c>
      <c r="F122" s="16">
        <f t="shared" si="7"/>
        <v>1476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01661</v>
      </c>
      <c r="B123" s="16">
        <f t="shared" si="7"/>
        <v>116</v>
      </c>
      <c r="C123" s="16">
        <f t="shared" si="7"/>
        <v>0</v>
      </c>
      <c r="D123" s="16">
        <f t="shared" si="7"/>
        <v>166</v>
      </c>
      <c r="E123" s="16">
        <f t="shared" si="7"/>
        <v>1</v>
      </c>
      <c r="F123" s="16">
        <f t="shared" si="7"/>
        <v>1607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01691</v>
      </c>
      <c r="B124" s="16">
        <f t="shared" si="7"/>
        <v>116</v>
      </c>
      <c r="C124" s="16">
        <f t="shared" si="7"/>
        <v>0</v>
      </c>
      <c r="D124" s="16">
        <f t="shared" si="7"/>
        <v>169</v>
      </c>
      <c r="E124" s="16">
        <f t="shared" si="7"/>
        <v>1</v>
      </c>
      <c r="F124" s="16">
        <f t="shared" si="7"/>
        <v>1607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01721</v>
      </c>
      <c r="B125" s="16">
        <f t="shared" si="7"/>
        <v>116</v>
      </c>
      <c r="C125" s="16">
        <f t="shared" si="7"/>
        <v>0</v>
      </c>
      <c r="D125" s="16">
        <f t="shared" si="7"/>
        <v>172</v>
      </c>
      <c r="E125" s="16">
        <f t="shared" si="7"/>
        <v>1</v>
      </c>
      <c r="F125" s="16">
        <f t="shared" si="7"/>
        <v>5893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01751</v>
      </c>
      <c r="B126" s="16">
        <f t="shared" si="7"/>
        <v>116</v>
      </c>
      <c r="C126" s="16">
        <f t="shared" si="7"/>
        <v>0</v>
      </c>
      <c r="D126" s="16">
        <f t="shared" si="7"/>
        <v>175</v>
      </c>
      <c r="E126" s="16">
        <f t="shared" si="7"/>
        <v>1</v>
      </c>
      <c r="F126" s="16">
        <f t="shared" si="7"/>
        <v>1607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01781</v>
      </c>
      <c r="B127" s="16">
        <f t="shared" si="7"/>
        <v>116</v>
      </c>
      <c r="C127" s="16">
        <f t="shared" si="7"/>
        <v>0</v>
      </c>
      <c r="D127" s="16">
        <f t="shared" si="7"/>
        <v>178</v>
      </c>
      <c r="E127" s="16">
        <f t="shared" si="7"/>
        <v>1</v>
      </c>
      <c r="F127" s="16">
        <f t="shared" si="7"/>
        <v>1607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01811</v>
      </c>
      <c r="B128" s="16">
        <f t="shared" si="7"/>
        <v>116</v>
      </c>
      <c r="C128" s="16">
        <f t="shared" si="7"/>
        <v>0</v>
      </c>
      <c r="D128" s="16">
        <f t="shared" si="7"/>
        <v>181</v>
      </c>
      <c r="E128" s="16">
        <f t="shared" si="7"/>
        <v>1</v>
      </c>
      <c r="F128" s="16">
        <f t="shared" si="7"/>
        <v>1607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01841</v>
      </c>
      <c r="B129" s="16">
        <f t="shared" si="7"/>
        <v>116</v>
      </c>
      <c r="C129" s="16">
        <f t="shared" si="7"/>
        <v>0</v>
      </c>
      <c r="D129" s="16">
        <f t="shared" si="7"/>
        <v>184</v>
      </c>
      <c r="E129" s="16">
        <f t="shared" si="7"/>
        <v>1</v>
      </c>
      <c r="F129" s="16">
        <f t="shared" si="7"/>
        <v>5893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01871</v>
      </c>
      <c r="B130" s="16">
        <f t="shared" si="7"/>
        <v>116</v>
      </c>
      <c r="C130" s="16">
        <f t="shared" si="7"/>
        <v>0</v>
      </c>
      <c r="D130" s="16">
        <f t="shared" si="7"/>
        <v>187</v>
      </c>
      <c r="E130" s="16">
        <f t="shared" si="7"/>
        <v>1</v>
      </c>
      <c r="F130" s="16">
        <f t="shared" si="7"/>
        <v>1607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01901</v>
      </c>
      <c r="B131" s="16">
        <f t="shared" si="7"/>
        <v>116</v>
      </c>
      <c r="C131" s="16">
        <f t="shared" si="7"/>
        <v>0</v>
      </c>
      <c r="D131" s="16">
        <f t="shared" si="7"/>
        <v>190</v>
      </c>
      <c r="E131" s="16">
        <f t="shared" si="7"/>
        <v>1</v>
      </c>
      <c r="F131" s="16">
        <f t="shared" si="7"/>
        <v>1607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01931</v>
      </c>
      <c r="B132" s="16">
        <f t="shared" si="7"/>
        <v>116</v>
      </c>
      <c r="C132" s="16">
        <f t="shared" si="7"/>
        <v>0</v>
      </c>
      <c r="D132" s="16">
        <f t="shared" si="7"/>
        <v>193</v>
      </c>
      <c r="E132" s="16">
        <f t="shared" si="7"/>
        <v>1</v>
      </c>
      <c r="F132" s="16">
        <f t="shared" si="7"/>
        <v>1607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01961</v>
      </c>
      <c r="B133" s="16">
        <f t="shared" si="7"/>
        <v>116</v>
      </c>
      <c r="C133" s="16">
        <f t="shared" si="7"/>
        <v>0</v>
      </c>
      <c r="D133" s="16">
        <f t="shared" si="7"/>
        <v>196</v>
      </c>
      <c r="E133" s="16">
        <f t="shared" si="7"/>
        <v>1</v>
      </c>
      <c r="F133" s="16">
        <f t="shared" si="7"/>
        <v>1607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01991</v>
      </c>
      <c r="B134" s="16">
        <f t="shared" si="7"/>
        <v>116</v>
      </c>
      <c r="C134" s="16">
        <f t="shared" si="7"/>
        <v>0</v>
      </c>
      <c r="D134" s="16">
        <f t="shared" si="7"/>
        <v>199</v>
      </c>
      <c r="E134" s="16">
        <f t="shared" si="7"/>
        <v>1</v>
      </c>
      <c r="F134" s="16">
        <f t="shared" si="7"/>
        <v>5893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02021</v>
      </c>
      <c r="B135" s="16">
        <f t="shared" si="7"/>
        <v>116</v>
      </c>
      <c r="C135" s="16">
        <f t="shared" si="7"/>
        <v>0</v>
      </c>
      <c r="D135" s="16">
        <f t="shared" si="7"/>
        <v>202</v>
      </c>
      <c r="E135" s="16">
        <f t="shared" si="7"/>
        <v>1</v>
      </c>
      <c r="F135" s="16">
        <f t="shared" si="7"/>
        <v>1607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02051</v>
      </c>
      <c r="B136" s="16">
        <f t="shared" si="7"/>
        <v>116</v>
      </c>
      <c r="C136" s="16">
        <f t="shared" si="7"/>
        <v>0</v>
      </c>
      <c r="D136" s="16">
        <f t="shared" si="7"/>
        <v>205</v>
      </c>
      <c r="E136" s="16">
        <f t="shared" si="7"/>
        <v>1</v>
      </c>
      <c r="F136" s="16">
        <f t="shared" si="7"/>
        <v>1607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02081</v>
      </c>
      <c r="B137" s="16">
        <f t="shared" si="7"/>
        <v>116</v>
      </c>
      <c r="C137" s="16">
        <f t="shared" si="7"/>
        <v>0</v>
      </c>
      <c r="D137" s="16">
        <f t="shared" si="7"/>
        <v>208</v>
      </c>
      <c r="E137" s="16">
        <f t="shared" si="7"/>
        <v>1</v>
      </c>
      <c r="F137" s="16">
        <f t="shared" si="7"/>
        <v>5893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02111</v>
      </c>
      <c r="B138" s="16">
        <f t="shared" si="7"/>
        <v>116</v>
      </c>
      <c r="C138" s="16">
        <f t="shared" si="7"/>
        <v>0</v>
      </c>
      <c r="D138" s="16">
        <f t="shared" si="7"/>
        <v>211</v>
      </c>
      <c r="E138" s="16">
        <f t="shared" si="7"/>
        <v>1</v>
      </c>
      <c r="F138" s="16">
        <f t="shared" si="7"/>
        <v>1607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02141</v>
      </c>
      <c r="B139" s="16">
        <f t="shared" si="7"/>
        <v>116</v>
      </c>
      <c r="C139" s="16">
        <f t="shared" si="7"/>
        <v>0</v>
      </c>
      <c r="D139" s="16">
        <f t="shared" si="7"/>
        <v>214</v>
      </c>
      <c r="E139" s="16">
        <f t="shared" si="7"/>
        <v>1</v>
      </c>
      <c r="F139" s="16">
        <f t="shared" si="7"/>
        <v>1607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02171</v>
      </c>
      <c r="B140" s="16">
        <f t="shared" si="7"/>
        <v>116</v>
      </c>
      <c r="C140" s="16">
        <f t="shared" si="7"/>
        <v>0</v>
      </c>
      <c r="D140" s="16">
        <f t="shared" si="7"/>
        <v>217</v>
      </c>
      <c r="E140" s="16">
        <f t="shared" si="7"/>
        <v>1</v>
      </c>
      <c r="F140" s="16">
        <f t="shared" si="7"/>
        <v>1607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02201</v>
      </c>
      <c r="B141" s="16">
        <f t="shared" si="7"/>
        <v>116</v>
      </c>
      <c r="C141" s="16">
        <f t="shared" si="7"/>
        <v>0</v>
      </c>
      <c r="D141" s="16">
        <f t="shared" si="7"/>
        <v>220</v>
      </c>
      <c r="E141" s="16">
        <f t="shared" si="7"/>
        <v>1</v>
      </c>
      <c r="F141" s="16">
        <f t="shared" si="7"/>
        <v>5893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02231</v>
      </c>
      <c r="B142" s="16">
        <f t="shared" si="7"/>
        <v>116</v>
      </c>
      <c r="C142" s="16">
        <f t="shared" si="7"/>
        <v>0</v>
      </c>
      <c r="D142" s="16">
        <f t="shared" si="7"/>
        <v>223</v>
      </c>
      <c r="E142" s="16">
        <f t="shared" si="7"/>
        <v>1</v>
      </c>
      <c r="F142" s="16">
        <f t="shared" si="7"/>
        <v>1607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02261</v>
      </c>
      <c r="B143" s="16">
        <f t="shared" si="7"/>
        <v>116</v>
      </c>
      <c r="C143" s="16">
        <f t="shared" si="7"/>
        <v>0</v>
      </c>
      <c r="D143" s="16">
        <f t="shared" si="7"/>
        <v>226</v>
      </c>
      <c r="E143" s="16">
        <f t="shared" si="7"/>
        <v>1</v>
      </c>
      <c r="F143" s="16">
        <f t="shared" si="7"/>
        <v>268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02291</v>
      </c>
      <c r="B144" s="16">
        <f t="shared" si="7"/>
        <v>116</v>
      </c>
      <c r="C144" s="16">
        <f t="shared" si="7"/>
        <v>0</v>
      </c>
      <c r="D144" s="16">
        <f t="shared" si="7"/>
        <v>229</v>
      </c>
      <c r="E144" s="16">
        <f t="shared" si="7"/>
        <v>1</v>
      </c>
      <c r="F144" s="16">
        <f t="shared" si="7"/>
        <v>268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02321</v>
      </c>
      <c r="B145" s="16">
        <f t="shared" si="7"/>
        <v>116</v>
      </c>
      <c r="C145" s="16">
        <f t="shared" si="7"/>
        <v>0</v>
      </c>
      <c r="D145" s="16">
        <f t="shared" si="7"/>
        <v>232</v>
      </c>
      <c r="E145" s="16">
        <f t="shared" si="7"/>
        <v>1</v>
      </c>
      <c r="F145" s="16">
        <f t="shared" si="7"/>
        <v>1203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02351</v>
      </c>
      <c r="B146" s="16">
        <f t="shared" si="7"/>
        <v>116</v>
      </c>
      <c r="C146" s="16">
        <f t="shared" si="7"/>
        <v>0</v>
      </c>
      <c r="D146" s="16">
        <f t="shared" si="7"/>
        <v>235</v>
      </c>
      <c r="E146" s="16">
        <f t="shared" si="7"/>
        <v>1</v>
      </c>
      <c r="F146" s="16">
        <f t="shared" si="7"/>
        <v>268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01271</v>
      </c>
      <c r="B147" s="16">
        <f t="shared" si="9"/>
        <v>116</v>
      </c>
      <c r="C147" s="16">
        <f t="shared" si="9"/>
        <v>0</v>
      </c>
      <c r="D147" s="16">
        <f t="shared" si="9"/>
        <v>127</v>
      </c>
      <c r="E147" s="16">
        <f t="shared" si="9"/>
        <v>1</v>
      </c>
      <c r="F147" s="16">
        <f t="shared" si="9"/>
        <v>497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01291</v>
      </c>
      <c r="B148" s="16">
        <f t="shared" si="9"/>
        <v>116</v>
      </c>
      <c r="C148" s="16">
        <f t="shared" si="9"/>
        <v>0</v>
      </c>
      <c r="D148" s="16">
        <f t="shared" si="9"/>
        <v>129</v>
      </c>
      <c r="E148" s="16">
        <f t="shared" si="9"/>
        <v>1</v>
      </c>
      <c r="F148" s="16">
        <f t="shared" si="9"/>
        <v>497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01311</v>
      </c>
      <c r="B149" s="16">
        <f t="shared" si="9"/>
        <v>116</v>
      </c>
      <c r="C149" s="16">
        <f t="shared" si="9"/>
        <v>0</v>
      </c>
      <c r="D149" s="16">
        <f t="shared" si="9"/>
        <v>131</v>
      </c>
      <c r="E149" s="16">
        <f t="shared" si="9"/>
        <v>1</v>
      </c>
      <c r="F149" s="16">
        <f t="shared" si="9"/>
        <v>1821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01331</v>
      </c>
      <c r="B150" s="16">
        <f t="shared" si="9"/>
        <v>116</v>
      </c>
      <c r="C150" s="16">
        <f t="shared" si="9"/>
        <v>0</v>
      </c>
      <c r="D150" s="16">
        <f t="shared" si="9"/>
        <v>133</v>
      </c>
      <c r="E150" s="16">
        <f t="shared" si="9"/>
        <v>1</v>
      </c>
      <c r="F150" s="16">
        <f t="shared" si="9"/>
        <v>497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01351</v>
      </c>
      <c r="B151" s="16">
        <f t="shared" si="9"/>
        <v>116</v>
      </c>
      <c r="C151" s="16">
        <f t="shared" si="9"/>
        <v>0</v>
      </c>
      <c r="D151" s="16">
        <f t="shared" si="9"/>
        <v>135</v>
      </c>
      <c r="E151" s="16">
        <f t="shared" si="9"/>
        <v>1</v>
      </c>
      <c r="F151" s="16">
        <f t="shared" si="9"/>
        <v>497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01371</v>
      </c>
      <c r="B152" s="16">
        <f t="shared" si="9"/>
        <v>116</v>
      </c>
      <c r="C152" s="16">
        <f t="shared" si="9"/>
        <v>0</v>
      </c>
      <c r="D152" s="16">
        <f t="shared" si="9"/>
        <v>137</v>
      </c>
      <c r="E152" s="16">
        <f t="shared" si="9"/>
        <v>1</v>
      </c>
      <c r="F152" s="16">
        <f t="shared" si="9"/>
        <v>497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01391</v>
      </c>
      <c r="B153" s="16">
        <f t="shared" si="9"/>
        <v>116</v>
      </c>
      <c r="C153" s="16">
        <f t="shared" si="9"/>
        <v>0</v>
      </c>
      <c r="D153" s="16">
        <f t="shared" si="9"/>
        <v>139</v>
      </c>
      <c r="E153" s="16">
        <f t="shared" si="9"/>
        <v>1</v>
      </c>
      <c r="F153" s="16">
        <f t="shared" si="9"/>
        <v>1821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01411</v>
      </c>
      <c r="B154" s="16">
        <f t="shared" si="9"/>
        <v>116</v>
      </c>
      <c r="C154" s="16">
        <f t="shared" si="9"/>
        <v>0</v>
      </c>
      <c r="D154" s="16">
        <f t="shared" si="9"/>
        <v>141</v>
      </c>
      <c r="E154" s="16">
        <f t="shared" si="9"/>
        <v>1</v>
      </c>
      <c r="F154" s="16">
        <f t="shared" si="9"/>
        <v>497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01431</v>
      </c>
      <c r="B155" s="16">
        <f t="shared" si="9"/>
        <v>116</v>
      </c>
      <c r="C155" s="16">
        <f t="shared" si="9"/>
        <v>0</v>
      </c>
      <c r="D155" s="16">
        <f t="shared" si="9"/>
        <v>143</v>
      </c>
      <c r="E155" s="16">
        <f t="shared" si="9"/>
        <v>1</v>
      </c>
      <c r="F155" s="16">
        <f t="shared" si="9"/>
        <v>497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01451</v>
      </c>
      <c r="B156" s="16">
        <f t="shared" si="9"/>
        <v>116</v>
      </c>
      <c r="C156" s="16">
        <f t="shared" si="9"/>
        <v>0</v>
      </c>
      <c r="D156" s="16">
        <f t="shared" si="9"/>
        <v>145</v>
      </c>
      <c r="E156" s="16">
        <f t="shared" si="9"/>
        <v>1</v>
      </c>
      <c r="F156" s="16">
        <f t="shared" si="9"/>
        <v>497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01471</v>
      </c>
      <c r="B157" s="16">
        <f t="shared" si="9"/>
        <v>116</v>
      </c>
      <c r="C157" s="16">
        <f t="shared" si="9"/>
        <v>0</v>
      </c>
      <c r="D157" s="16">
        <f t="shared" si="9"/>
        <v>147</v>
      </c>
      <c r="E157" s="16">
        <f t="shared" si="9"/>
        <v>1</v>
      </c>
      <c r="F157" s="16">
        <f t="shared" si="9"/>
        <v>1821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01491</v>
      </c>
      <c r="B158" s="16">
        <f t="shared" si="9"/>
        <v>116</v>
      </c>
      <c r="C158" s="16">
        <f t="shared" si="9"/>
        <v>0</v>
      </c>
      <c r="D158" s="16">
        <f t="shared" si="9"/>
        <v>149</v>
      </c>
      <c r="E158" s="16">
        <f t="shared" si="9"/>
        <v>1</v>
      </c>
      <c r="F158" s="16">
        <f t="shared" si="9"/>
        <v>497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01511</v>
      </c>
      <c r="B159" s="16">
        <f t="shared" si="9"/>
        <v>116</v>
      </c>
      <c r="C159" s="16">
        <f t="shared" si="9"/>
        <v>0</v>
      </c>
      <c r="D159" s="16">
        <f t="shared" si="9"/>
        <v>151</v>
      </c>
      <c r="E159" s="16">
        <f t="shared" si="9"/>
        <v>1</v>
      </c>
      <c r="F159" s="16">
        <f t="shared" si="9"/>
        <v>497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01531</v>
      </c>
      <c r="B160" s="16">
        <f t="shared" si="9"/>
        <v>116</v>
      </c>
      <c r="C160" s="16">
        <f t="shared" si="9"/>
        <v>0</v>
      </c>
      <c r="D160" s="16">
        <f t="shared" si="9"/>
        <v>153</v>
      </c>
      <c r="E160" s="16">
        <f t="shared" si="9"/>
        <v>1</v>
      </c>
      <c r="F160" s="16">
        <f t="shared" si="9"/>
        <v>497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01551</v>
      </c>
      <c r="B161" s="16">
        <f t="shared" si="9"/>
        <v>116</v>
      </c>
      <c r="C161" s="16">
        <f t="shared" si="9"/>
        <v>0</v>
      </c>
      <c r="D161" s="16">
        <f t="shared" si="9"/>
        <v>155</v>
      </c>
      <c r="E161" s="16">
        <f t="shared" si="9"/>
        <v>1</v>
      </c>
      <c r="F161" s="16">
        <f t="shared" si="9"/>
        <v>1821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01571</v>
      </c>
      <c r="B162" s="16">
        <f t="shared" si="9"/>
        <v>116</v>
      </c>
      <c r="C162" s="16">
        <f t="shared" si="9"/>
        <v>0</v>
      </c>
      <c r="D162" s="16">
        <f t="shared" si="9"/>
        <v>157</v>
      </c>
      <c r="E162" s="16">
        <f t="shared" si="9"/>
        <v>1</v>
      </c>
      <c r="F162" s="16">
        <f t="shared" si="9"/>
        <v>497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01591</v>
      </c>
      <c r="B163" s="16">
        <f t="shared" si="9"/>
        <v>116</v>
      </c>
      <c r="C163" s="16">
        <f t="shared" si="9"/>
        <v>0</v>
      </c>
      <c r="D163" s="16">
        <f t="shared" si="9"/>
        <v>159</v>
      </c>
      <c r="E163" s="16">
        <f t="shared" si="9"/>
        <v>1</v>
      </c>
      <c r="F163" s="16">
        <f t="shared" si="9"/>
        <v>497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01611</v>
      </c>
      <c r="B164" s="16">
        <f t="shared" si="9"/>
        <v>116</v>
      </c>
      <c r="C164" s="16">
        <f t="shared" si="9"/>
        <v>0</v>
      </c>
      <c r="D164" s="16">
        <f t="shared" si="9"/>
        <v>161</v>
      </c>
      <c r="E164" s="16">
        <f t="shared" si="9"/>
        <v>1</v>
      </c>
      <c r="F164" s="16">
        <f t="shared" si="9"/>
        <v>497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01631</v>
      </c>
      <c r="B165" s="16">
        <f t="shared" si="9"/>
        <v>116</v>
      </c>
      <c r="C165" s="16">
        <f t="shared" si="9"/>
        <v>0</v>
      </c>
      <c r="D165" s="16">
        <f t="shared" si="9"/>
        <v>163</v>
      </c>
      <c r="E165" s="16">
        <f t="shared" si="9"/>
        <v>1</v>
      </c>
      <c r="F165" s="16">
        <f t="shared" si="9"/>
        <v>1821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01651</v>
      </c>
      <c r="B166" s="16">
        <f t="shared" si="9"/>
        <v>116</v>
      </c>
      <c r="C166" s="16">
        <f t="shared" si="9"/>
        <v>0</v>
      </c>
      <c r="D166" s="16">
        <f t="shared" si="9"/>
        <v>165</v>
      </c>
      <c r="E166" s="16">
        <f t="shared" si="9"/>
        <v>1</v>
      </c>
      <c r="F166" s="16">
        <f t="shared" si="9"/>
        <v>497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01671</v>
      </c>
      <c r="B167" s="16">
        <f t="shared" si="9"/>
        <v>116</v>
      </c>
      <c r="C167" s="16">
        <f t="shared" si="9"/>
        <v>0</v>
      </c>
      <c r="D167" s="16">
        <f t="shared" si="9"/>
        <v>167</v>
      </c>
      <c r="E167" s="16">
        <f t="shared" si="9"/>
        <v>1</v>
      </c>
      <c r="F167" s="16">
        <f t="shared" si="9"/>
        <v>508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01701</v>
      </c>
      <c r="B168" s="16">
        <f t="shared" si="9"/>
        <v>116</v>
      </c>
      <c r="C168" s="16">
        <f t="shared" si="9"/>
        <v>0</v>
      </c>
      <c r="D168" s="16">
        <f t="shared" si="9"/>
        <v>170</v>
      </c>
      <c r="E168" s="16">
        <f t="shared" si="9"/>
        <v>1</v>
      </c>
      <c r="F168" s="16">
        <f t="shared" si="9"/>
        <v>508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01731</v>
      </c>
      <c r="B169" s="16">
        <f t="shared" si="9"/>
        <v>116</v>
      </c>
      <c r="C169" s="16">
        <f t="shared" si="9"/>
        <v>0</v>
      </c>
      <c r="D169" s="16">
        <f t="shared" si="9"/>
        <v>173</v>
      </c>
      <c r="E169" s="16">
        <f t="shared" si="9"/>
        <v>1</v>
      </c>
      <c r="F169" s="16">
        <f t="shared" si="9"/>
        <v>1863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01761</v>
      </c>
      <c r="B170" s="16">
        <f t="shared" si="9"/>
        <v>116</v>
      </c>
      <c r="C170" s="16">
        <f t="shared" si="9"/>
        <v>0</v>
      </c>
      <c r="D170" s="16">
        <f t="shared" si="9"/>
        <v>176</v>
      </c>
      <c r="E170" s="16">
        <f t="shared" si="9"/>
        <v>1</v>
      </c>
      <c r="F170" s="16">
        <f t="shared" si="9"/>
        <v>508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01791</v>
      </c>
      <c r="B171" s="16">
        <f t="shared" si="9"/>
        <v>116</v>
      </c>
      <c r="C171" s="16">
        <f t="shared" si="9"/>
        <v>0</v>
      </c>
      <c r="D171" s="16">
        <f t="shared" si="9"/>
        <v>179</v>
      </c>
      <c r="E171" s="16">
        <f t="shared" si="9"/>
        <v>1</v>
      </c>
      <c r="F171" s="16">
        <f t="shared" si="9"/>
        <v>508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01821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116</v>
      </c>
      <c r="C172" s="16">
        <f t="shared" si="10"/>
        <v>0</v>
      </c>
      <c r="D172" s="16">
        <f t="shared" si="10"/>
        <v>182</v>
      </c>
      <c r="E172" s="16">
        <f t="shared" si="10"/>
        <v>1</v>
      </c>
      <c r="F172" s="16">
        <f t="shared" si="10"/>
        <v>508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01851</v>
      </c>
      <c r="B173" s="16">
        <f t="shared" si="10"/>
        <v>116</v>
      </c>
      <c r="C173" s="16">
        <f t="shared" si="10"/>
        <v>0</v>
      </c>
      <c r="D173" s="16">
        <f t="shared" si="10"/>
        <v>185</v>
      </c>
      <c r="E173" s="16">
        <f t="shared" si="10"/>
        <v>1</v>
      </c>
      <c r="F173" s="16">
        <f t="shared" si="10"/>
        <v>1863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01881</v>
      </c>
      <c r="B174" s="16">
        <f t="shared" si="10"/>
        <v>116</v>
      </c>
      <c r="C174" s="16">
        <f t="shared" si="10"/>
        <v>0</v>
      </c>
      <c r="D174" s="16">
        <f t="shared" si="10"/>
        <v>188</v>
      </c>
      <c r="E174" s="16">
        <f t="shared" si="10"/>
        <v>1</v>
      </c>
      <c r="F174" s="16">
        <f t="shared" si="10"/>
        <v>508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01911</v>
      </c>
      <c r="B175" s="16">
        <f t="shared" si="10"/>
        <v>116</v>
      </c>
      <c r="C175" s="16">
        <f t="shared" si="10"/>
        <v>0</v>
      </c>
      <c r="D175" s="16">
        <f t="shared" si="10"/>
        <v>191</v>
      </c>
      <c r="E175" s="16">
        <f t="shared" si="10"/>
        <v>1</v>
      </c>
      <c r="F175" s="16">
        <f t="shared" si="10"/>
        <v>508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01941</v>
      </c>
      <c r="B176" s="16">
        <f t="shared" si="10"/>
        <v>116</v>
      </c>
      <c r="C176" s="16">
        <f t="shared" si="10"/>
        <v>0</v>
      </c>
      <c r="D176" s="16">
        <f t="shared" si="10"/>
        <v>194</v>
      </c>
      <c r="E176" s="16">
        <f t="shared" si="10"/>
        <v>1</v>
      </c>
      <c r="F176" s="16">
        <f t="shared" si="10"/>
        <v>508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01971</v>
      </c>
      <c r="B177" s="16">
        <f t="shared" si="10"/>
        <v>116</v>
      </c>
      <c r="C177" s="16">
        <f t="shared" si="10"/>
        <v>0</v>
      </c>
      <c r="D177" s="16">
        <f t="shared" si="10"/>
        <v>197</v>
      </c>
      <c r="E177" s="16">
        <f t="shared" si="10"/>
        <v>1</v>
      </c>
      <c r="F177" s="16">
        <f t="shared" si="10"/>
        <v>508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02001</v>
      </c>
      <c r="B178" s="16">
        <f t="shared" si="10"/>
        <v>116</v>
      </c>
      <c r="C178" s="16">
        <f t="shared" si="10"/>
        <v>0</v>
      </c>
      <c r="D178" s="16">
        <f t="shared" si="10"/>
        <v>200</v>
      </c>
      <c r="E178" s="16">
        <f t="shared" si="10"/>
        <v>1</v>
      </c>
      <c r="F178" s="16">
        <f t="shared" si="10"/>
        <v>1863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02031</v>
      </c>
      <c r="B179" s="16">
        <f t="shared" si="10"/>
        <v>116</v>
      </c>
      <c r="C179" s="16">
        <f t="shared" si="10"/>
        <v>0</v>
      </c>
      <c r="D179" s="16">
        <f t="shared" si="10"/>
        <v>203</v>
      </c>
      <c r="E179" s="16">
        <f t="shared" si="10"/>
        <v>1</v>
      </c>
      <c r="F179" s="16">
        <f t="shared" si="10"/>
        <v>508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02061</v>
      </c>
      <c r="B180" s="16">
        <f t="shared" si="10"/>
        <v>116</v>
      </c>
      <c r="C180" s="16">
        <f t="shared" si="10"/>
        <v>0</v>
      </c>
      <c r="D180" s="16">
        <f t="shared" si="10"/>
        <v>206</v>
      </c>
      <c r="E180" s="16">
        <f t="shared" si="10"/>
        <v>1</v>
      </c>
      <c r="F180" s="16">
        <f t="shared" si="10"/>
        <v>508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02091</v>
      </c>
      <c r="B181" s="16">
        <f t="shared" si="10"/>
        <v>116</v>
      </c>
      <c r="C181" s="16">
        <f t="shared" si="10"/>
        <v>0</v>
      </c>
      <c r="D181" s="16">
        <f t="shared" si="10"/>
        <v>209</v>
      </c>
      <c r="E181" s="16">
        <f t="shared" si="10"/>
        <v>1</v>
      </c>
      <c r="F181" s="16">
        <f t="shared" si="10"/>
        <v>1863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02121</v>
      </c>
      <c r="B182" s="16">
        <f t="shared" si="10"/>
        <v>116</v>
      </c>
      <c r="C182" s="16">
        <f t="shared" si="10"/>
        <v>0</v>
      </c>
      <c r="D182" s="16">
        <f t="shared" si="10"/>
        <v>212</v>
      </c>
      <c r="E182" s="16">
        <f t="shared" si="10"/>
        <v>1</v>
      </c>
      <c r="F182" s="16">
        <f t="shared" si="10"/>
        <v>508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02151</v>
      </c>
      <c r="B183" s="16">
        <f t="shared" si="10"/>
        <v>116</v>
      </c>
      <c r="C183" s="16">
        <f t="shared" si="10"/>
        <v>0</v>
      </c>
      <c r="D183" s="16">
        <f t="shared" si="10"/>
        <v>215</v>
      </c>
      <c r="E183" s="16">
        <f t="shared" si="10"/>
        <v>1</v>
      </c>
      <c r="F183" s="16">
        <f t="shared" si="10"/>
        <v>508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02181</v>
      </c>
      <c r="B184" s="16">
        <f t="shared" si="10"/>
        <v>116</v>
      </c>
      <c r="C184" s="16">
        <f t="shared" si="10"/>
        <v>0</v>
      </c>
      <c r="D184" s="16">
        <f t="shared" si="10"/>
        <v>218</v>
      </c>
      <c r="E184" s="16">
        <f t="shared" si="10"/>
        <v>1</v>
      </c>
      <c r="F184" s="16">
        <f t="shared" si="10"/>
        <v>508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02211</v>
      </c>
      <c r="B185" s="16">
        <f t="shared" si="10"/>
        <v>116</v>
      </c>
      <c r="C185" s="16">
        <f t="shared" si="10"/>
        <v>0</v>
      </c>
      <c r="D185" s="16">
        <f t="shared" si="10"/>
        <v>221</v>
      </c>
      <c r="E185" s="16">
        <f t="shared" si="10"/>
        <v>1</v>
      </c>
      <c r="F185" s="16">
        <f t="shared" si="10"/>
        <v>1863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02241</v>
      </c>
      <c r="B186" s="16">
        <f t="shared" si="10"/>
        <v>116</v>
      </c>
      <c r="C186" s="16">
        <f t="shared" si="10"/>
        <v>0</v>
      </c>
      <c r="D186" s="16">
        <f t="shared" si="10"/>
        <v>224</v>
      </c>
      <c r="E186" s="16">
        <f t="shared" si="10"/>
        <v>1</v>
      </c>
      <c r="F186" s="16">
        <f t="shared" si="10"/>
        <v>508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02271</v>
      </c>
      <c r="B187" s="16">
        <f t="shared" si="10"/>
        <v>116</v>
      </c>
      <c r="C187" s="16">
        <f t="shared" si="10"/>
        <v>0</v>
      </c>
      <c r="D187" s="16">
        <f t="shared" si="10"/>
        <v>227</v>
      </c>
      <c r="E187" s="16">
        <f t="shared" si="10"/>
        <v>1</v>
      </c>
      <c r="F187" s="16">
        <f t="shared" si="10"/>
        <v>95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02301</v>
      </c>
      <c r="B188" s="16">
        <f t="shared" si="10"/>
        <v>116</v>
      </c>
      <c r="C188" s="16">
        <f t="shared" si="10"/>
        <v>0</v>
      </c>
      <c r="D188" s="16">
        <f t="shared" si="10"/>
        <v>230</v>
      </c>
      <c r="E188" s="16">
        <f t="shared" si="10"/>
        <v>1</v>
      </c>
      <c r="F188" s="16">
        <f t="shared" si="10"/>
        <v>95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02331</v>
      </c>
      <c r="B189" s="16">
        <f t="shared" si="10"/>
        <v>116</v>
      </c>
      <c r="C189" s="16">
        <f t="shared" si="10"/>
        <v>0</v>
      </c>
      <c r="D189" s="16">
        <f t="shared" si="10"/>
        <v>233</v>
      </c>
      <c r="E189" s="16">
        <f t="shared" si="10"/>
        <v>1</v>
      </c>
      <c r="F189" s="16">
        <f t="shared" si="10"/>
        <v>424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02361</v>
      </c>
      <c r="B190" s="16">
        <f t="shared" si="10"/>
        <v>116</v>
      </c>
      <c r="C190" s="16">
        <f t="shared" si="10"/>
        <v>0</v>
      </c>
      <c r="D190" s="16">
        <f t="shared" si="10"/>
        <v>236</v>
      </c>
      <c r="E190" s="16">
        <f t="shared" si="10"/>
        <v>1</v>
      </c>
      <c r="F190" s="16">
        <f t="shared" si="10"/>
        <v>95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01681</v>
      </c>
      <c r="B191" s="16">
        <f t="shared" si="10"/>
        <v>116</v>
      </c>
      <c r="C191" s="16">
        <f t="shared" si="10"/>
        <v>0</v>
      </c>
      <c r="D191" s="16">
        <f t="shared" si="10"/>
        <v>168</v>
      </c>
      <c r="E191" s="16">
        <f t="shared" si="10"/>
        <v>1</v>
      </c>
      <c r="F191" s="16">
        <f t="shared" si="10"/>
        <v>164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01711</v>
      </c>
      <c r="B192" s="16">
        <f t="shared" si="10"/>
        <v>116</v>
      </c>
      <c r="C192" s="16">
        <f t="shared" si="10"/>
        <v>0</v>
      </c>
      <c r="D192" s="16">
        <f t="shared" si="10"/>
        <v>171</v>
      </c>
      <c r="E192" s="16">
        <f t="shared" si="10"/>
        <v>1</v>
      </c>
      <c r="F192" s="16">
        <f t="shared" si="10"/>
        <v>164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01741</v>
      </c>
      <c r="B193" s="16">
        <f t="shared" si="10"/>
        <v>116</v>
      </c>
      <c r="C193" s="16">
        <f t="shared" si="10"/>
        <v>0</v>
      </c>
      <c r="D193" s="16">
        <f t="shared" si="10"/>
        <v>174</v>
      </c>
      <c r="E193" s="16">
        <f t="shared" si="10"/>
        <v>1</v>
      </c>
      <c r="F193" s="16">
        <f t="shared" si="10"/>
        <v>603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01771</v>
      </c>
      <c r="B194" s="16">
        <f t="shared" si="10"/>
        <v>116</v>
      </c>
      <c r="C194" s="16">
        <f t="shared" si="10"/>
        <v>0</v>
      </c>
      <c r="D194" s="16">
        <f t="shared" si="10"/>
        <v>177</v>
      </c>
      <c r="E194" s="16">
        <f t="shared" si="10"/>
        <v>1</v>
      </c>
      <c r="F194" s="16">
        <f t="shared" si="10"/>
        <v>164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56" si="11">INDIRECT(ADDRESS(ROW()+$A$1,COLUMN(),1,TRUE,$C$1))</f>
        <v>01801</v>
      </c>
      <c r="B195" s="16">
        <f t="shared" si="10"/>
        <v>116</v>
      </c>
      <c r="C195" s="16">
        <f t="shared" si="10"/>
        <v>0</v>
      </c>
      <c r="D195" s="16">
        <f t="shared" si="10"/>
        <v>180</v>
      </c>
      <c r="E195" s="16">
        <f t="shared" si="10"/>
        <v>1</v>
      </c>
      <c r="F195" s="16">
        <f t="shared" si="10"/>
        <v>164</v>
      </c>
      <c r="G195" s="16">
        <f t="shared" si="10"/>
        <v>0</v>
      </c>
      <c r="H195" s="16">
        <f t="shared" si="10"/>
        <v>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01831</v>
      </c>
      <c r="B196" s="16">
        <f t="shared" si="10"/>
        <v>116</v>
      </c>
      <c r="C196" s="16">
        <f t="shared" si="10"/>
        <v>0</v>
      </c>
      <c r="D196" s="16">
        <f t="shared" si="10"/>
        <v>183</v>
      </c>
      <c r="E196" s="16">
        <f t="shared" si="10"/>
        <v>1</v>
      </c>
      <c r="F196" s="16">
        <f t="shared" si="10"/>
        <v>164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01861</v>
      </c>
      <c r="B197" s="16">
        <f t="shared" si="10"/>
        <v>116</v>
      </c>
      <c r="C197" s="16">
        <f t="shared" si="10"/>
        <v>0</v>
      </c>
      <c r="D197" s="16">
        <f t="shared" si="10"/>
        <v>186</v>
      </c>
      <c r="E197" s="16">
        <f t="shared" si="10"/>
        <v>1</v>
      </c>
      <c r="F197" s="16">
        <f t="shared" si="10"/>
        <v>603</v>
      </c>
      <c r="G197" s="16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01891</v>
      </c>
      <c r="B198" s="16">
        <f t="shared" si="12"/>
        <v>116</v>
      </c>
      <c r="C198" s="16">
        <f t="shared" si="12"/>
        <v>0</v>
      </c>
      <c r="D198" s="16">
        <f t="shared" si="12"/>
        <v>189</v>
      </c>
      <c r="E198" s="16">
        <f t="shared" si="12"/>
        <v>1</v>
      </c>
      <c r="F198" s="16">
        <f t="shared" si="12"/>
        <v>164</v>
      </c>
      <c r="G198" s="16">
        <f t="shared" si="12"/>
        <v>0</v>
      </c>
      <c r="H198" s="16">
        <f t="shared" si="12"/>
        <v>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01921</v>
      </c>
      <c r="B199" s="16">
        <f t="shared" si="12"/>
        <v>116</v>
      </c>
      <c r="C199" s="16">
        <f t="shared" si="12"/>
        <v>0</v>
      </c>
      <c r="D199" s="16">
        <f t="shared" si="12"/>
        <v>192</v>
      </c>
      <c r="E199" s="16">
        <f t="shared" si="12"/>
        <v>1</v>
      </c>
      <c r="F199" s="16">
        <f t="shared" si="12"/>
        <v>164</v>
      </c>
      <c r="G199" s="16">
        <f t="shared" si="12"/>
        <v>0</v>
      </c>
      <c r="H199" s="16">
        <f t="shared" si="12"/>
        <v>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01951</v>
      </c>
      <c r="B200" s="16">
        <f t="shared" si="12"/>
        <v>116</v>
      </c>
      <c r="C200" s="16">
        <f t="shared" si="12"/>
        <v>0</v>
      </c>
      <c r="D200" s="16">
        <f t="shared" si="12"/>
        <v>195</v>
      </c>
      <c r="E200" s="16">
        <f t="shared" si="12"/>
        <v>1</v>
      </c>
      <c r="F200" s="16">
        <f t="shared" si="12"/>
        <v>164</v>
      </c>
      <c r="G200" s="16">
        <f t="shared" si="12"/>
        <v>0</v>
      </c>
      <c r="H200" s="16">
        <f t="shared" si="12"/>
        <v>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01981</v>
      </c>
      <c r="B201" s="16">
        <f t="shared" si="12"/>
        <v>116</v>
      </c>
      <c r="C201" s="16">
        <f t="shared" si="12"/>
        <v>0</v>
      </c>
      <c r="D201" s="16">
        <f t="shared" si="12"/>
        <v>198</v>
      </c>
      <c r="E201" s="16">
        <f t="shared" si="12"/>
        <v>1</v>
      </c>
      <c r="F201" s="16">
        <f t="shared" si="12"/>
        <v>164</v>
      </c>
      <c r="G201" s="16">
        <f t="shared" si="12"/>
        <v>0</v>
      </c>
      <c r="H201" s="16">
        <f t="shared" si="12"/>
        <v>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02011</v>
      </c>
      <c r="B202" s="16">
        <f t="shared" si="12"/>
        <v>116</v>
      </c>
      <c r="C202" s="16">
        <f t="shared" si="12"/>
        <v>0</v>
      </c>
      <c r="D202" s="16">
        <f t="shared" si="12"/>
        <v>201</v>
      </c>
      <c r="E202" s="16">
        <f t="shared" si="12"/>
        <v>1</v>
      </c>
      <c r="F202" s="16">
        <f t="shared" si="12"/>
        <v>603</v>
      </c>
      <c r="G202" s="16">
        <f t="shared" si="12"/>
        <v>0</v>
      </c>
      <c r="H202" s="16">
        <f t="shared" si="12"/>
        <v>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02041</v>
      </c>
      <c r="B203" s="16">
        <f t="shared" si="12"/>
        <v>116</v>
      </c>
      <c r="C203" s="16">
        <f t="shared" si="12"/>
        <v>0</v>
      </c>
      <c r="D203" s="16">
        <f t="shared" si="12"/>
        <v>204</v>
      </c>
      <c r="E203" s="16">
        <f t="shared" si="12"/>
        <v>1</v>
      </c>
      <c r="F203" s="16">
        <f t="shared" si="12"/>
        <v>164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02071</v>
      </c>
      <c r="B204" s="16">
        <f t="shared" si="12"/>
        <v>116</v>
      </c>
      <c r="C204" s="16">
        <f t="shared" si="12"/>
        <v>0</v>
      </c>
      <c r="D204" s="16">
        <f t="shared" si="12"/>
        <v>207</v>
      </c>
      <c r="E204" s="16">
        <f t="shared" si="12"/>
        <v>1</v>
      </c>
      <c r="F204" s="16">
        <f t="shared" si="12"/>
        <v>164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02101</v>
      </c>
      <c r="B205" s="16">
        <f t="shared" si="12"/>
        <v>116</v>
      </c>
      <c r="C205" s="16">
        <f t="shared" si="12"/>
        <v>0</v>
      </c>
      <c r="D205" s="16">
        <f t="shared" si="12"/>
        <v>210</v>
      </c>
      <c r="E205" s="16">
        <f t="shared" si="12"/>
        <v>1</v>
      </c>
      <c r="F205" s="16">
        <f t="shared" si="12"/>
        <v>603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02131</v>
      </c>
      <c r="B206" s="16">
        <f t="shared" si="12"/>
        <v>116</v>
      </c>
      <c r="C206" s="16">
        <f t="shared" si="12"/>
        <v>0</v>
      </c>
      <c r="D206" s="16">
        <f t="shared" si="12"/>
        <v>213</v>
      </c>
      <c r="E206" s="16">
        <f t="shared" si="12"/>
        <v>1</v>
      </c>
      <c r="F206" s="16">
        <f t="shared" si="12"/>
        <v>164</v>
      </c>
      <c r="G206" s="16">
        <f t="shared" si="12"/>
        <v>0</v>
      </c>
      <c r="H206" s="16">
        <f t="shared" si="12"/>
        <v>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02161</v>
      </c>
      <c r="B207" s="16">
        <f t="shared" si="12"/>
        <v>116</v>
      </c>
      <c r="C207" s="16">
        <f t="shared" si="12"/>
        <v>0</v>
      </c>
      <c r="D207" s="16">
        <f t="shared" si="12"/>
        <v>216</v>
      </c>
      <c r="E207" s="16">
        <f t="shared" si="12"/>
        <v>1</v>
      </c>
      <c r="F207" s="16">
        <f t="shared" si="12"/>
        <v>164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02191</v>
      </c>
      <c r="B208" s="16">
        <f t="shared" si="12"/>
        <v>116</v>
      </c>
      <c r="C208" s="16">
        <f t="shared" si="12"/>
        <v>0</v>
      </c>
      <c r="D208" s="16">
        <f t="shared" si="12"/>
        <v>219</v>
      </c>
      <c r="E208" s="16">
        <f t="shared" si="12"/>
        <v>1</v>
      </c>
      <c r="F208" s="16">
        <f t="shared" si="12"/>
        <v>164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02221</v>
      </c>
      <c r="B209" s="16">
        <f t="shared" si="12"/>
        <v>116</v>
      </c>
      <c r="C209" s="16">
        <f t="shared" si="12"/>
        <v>0</v>
      </c>
      <c r="D209" s="16">
        <f t="shared" si="12"/>
        <v>222</v>
      </c>
      <c r="E209" s="16">
        <f t="shared" si="12"/>
        <v>1</v>
      </c>
      <c r="F209" s="16">
        <f t="shared" si="12"/>
        <v>603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02251</v>
      </c>
      <c r="B210" s="16">
        <f t="shared" si="12"/>
        <v>116</v>
      </c>
      <c r="C210" s="16">
        <f t="shared" si="12"/>
        <v>0</v>
      </c>
      <c r="D210" s="16">
        <f t="shared" si="12"/>
        <v>225</v>
      </c>
      <c r="E210" s="16">
        <f t="shared" si="12"/>
        <v>1</v>
      </c>
      <c r="F210" s="16">
        <f t="shared" si="12"/>
        <v>164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02281</v>
      </c>
      <c r="B211" s="16">
        <f t="shared" si="12"/>
        <v>116</v>
      </c>
      <c r="C211" s="16">
        <f t="shared" si="12"/>
        <v>0</v>
      </c>
      <c r="D211" s="16">
        <f t="shared" si="12"/>
        <v>228</v>
      </c>
      <c r="E211" s="16">
        <f t="shared" si="12"/>
        <v>1</v>
      </c>
      <c r="F211" s="16">
        <f t="shared" si="12"/>
        <v>15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02311</v>
      </c>
      <c r="B212" s="16">
        <f t="shared" si="12"/>
        <v>116</v>
      </c>
      <c r="C212" s="16">
        <f t="shared" si="12"/>
        <v>0</v>
      </c>
      <c r="D212" s="16">
        <f t="shared" si="12"/>
        <v>231</v>
      </c>
      <c r="E212" s="16">
        <f t="shared" si="12"/>
        <v>1</v>
      </c>
      <c r="F212" s="16">
        <f t="shared" si="12"/>
        <v>15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02341</v>
      </c>
      <c r="B213" s="16">
        <f t="shared" si="12"/>
        <v>116</v>
      </c>
      <c r="C213" s="16">
        <f t="shared" si="12"/>
        <v>0</v>
      </c>
      <c r="D213" s="16">
        <f t="shared" si="12"/>
        <v>234</v>
      </c>
      <c r="E213" s="16">
        <f t="shared" si="12"/>
        <v>1</v>
      </c>
      <c r="F213" s="16">
        <f t="shared" si="12"/>
        <v>68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02371</v>
      </c>
      <c r="B214" s="16">
        <f t="shared" si="12"/>
        <v>116</v>
      </c>
      <c r="C214" s="16">
        <f t="shared" si="12"/>
        <v>0</v>
      </c>
      <c r="D214" s="16">
        <f t="shared" si="12"/>
        <v>237</v>
      </c>
      <c r="E214" s="16">
        <f t="shared" si="12"/>
        <v>1</v>
      </c>
      <c r="F214" s="16">
        <f t="shared" si="12"/>
        <v>15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02381</v>
      </c>
      <c r="B215" s="16">
        <f t="shared" si="12"/>
        <v>116</v>
      </c>
      <c r="C215" s="16">
        <f t="shared" si="12"/>
        <v>0</v>
      </c>
      <c r="D215" s="16">
        <f t="shared" si="12"/>
        <v>238</v>
      </c>
      <c r="E215" s="16">
        <f t="shared" si="12"/>
        <v>1</v>
      </c>
      <c r="F215" s="16">
        <f t="shared" si="12"/>
        <v>268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02391</v>
      </c>
      <c r="B216" s="16">
        <f t="shared" si="12"/>
        <v>116</v>
      </c>
      <c r="C216" s="16">
        <f t="shared" si="12"/>
        <v>0</v>
      </c>
      <c r="D216" s="16">
        <f t="shared" si="12"/>
        <v>239</v>
      </c>
      <c r="E216" s="16">
        <f t="shared" si="12"/>
        <v>1</v>
      </c>
      <c r="F216" s="16">
        <f t="shared" si="12"/>
        <v>95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02401</v>
      </c>
      <c r="B217" s="16">
        <f t="shared" si="12"/>
        <v>116</v>
      </c>
      <c r="C217" s="16">
        <f t="shared" si="12"/>
        <v>0</v>
      </c>
      <c r="D217" s="16">
        <f t="shared" si="12"/>
        <v>240</v>
      </c>
      <c r="E217" s="16">
        <f t="shared" si="12"/>
        <v>1</v>
      </c>
      <c r="F217" s="16">
        <f t="shared" si="12"/>
        <v>15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02411</v>
      </c>
      <c r="B218" s="16">
        <f t="shared" si="12"/>
        <v>116</v>
      </c>
      <c r="C218" s="16">
        <f t="shared" si="12"/>
        <v>0</v>
      </c>
      <c r="D218" s="16">
        <f t="shared" si="12"/>
        <v>241</v>
      </c>
      <c r="E218" s="16">
        <f t="shared" si="12"/>
        <v>1</v>
      </c>
      <c r="F218" s="16">
        <f t="shared" si="12"/>
        <v>268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02421</v>
      </c>
      <c r="B219" s="16">
        <f t="shared" si="12"/>
        <v>116</v>
      </c>
      <c r="C219" s="16">
        <f t="shared" si="12"/>
        <v>0</v>
      </c>
      <c r="D219" s="16">
        <f t="shared" si="12"/>
        <v>242</v>
      </c>
      <c r="E219" s="16">
        <f t="shared" si="12"/>
        <v>1</v>
      </c>
      <c r="F219" s="16">
        <f t="shared" si="12"/>
        <v>95</v>
      </c>
      <c r="G219" s="16">
        <f t="shared" si="12"/>
        <v>0</v>
      </c>
      <c r="H219" s="16">
        <f t="shared" si="12"/>
        <v>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02431</v>
      </c>
      <c r="B220" s="16">
        <f t="shared" si="12"/>
        <v>116</v>
      </c>
      <c r="C220" s="16">
        <f t="shared" si="12"/>
        <v>0</v>
      </c>
      <c r="D220" s="16">
        <f t="shared" si="12"/>
        <v>243</v>
      </c>
      <c r="E220" s="16">
        <f t="shared" si="12"/>
        <v>1</v>
      </c>
      <c r="F220" s="16">
        <f t="shared" si="12"/>
        <v>15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02441</v>
      </c>
      <c r="B221" s="16">
        <f t="shared" si="12"/>
        <v>116</v>
      </c>
      <c r="C221" s="16">
        <f t="shared" si="12"/>
        <v>0</v>
      </c>
      <c r="D221" s="16">
        <f t="shared" si="12"/>
        <v>244</v>
      </c>
      <c r="E221" s="16">
        <f t="shared" si="12"/>
        <v>1</v>
      </c>
      <c r="F221" s="16">
        <f t="shared" si="12"/>
        <v>1203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  <row r="222" spans="1:11">
      <c r="A222" s="15" t="str">
        <f t="shared" si="11"/>
        <v>02451</v>
      </c>
      <c r="B222" s="16">
        <f t="shared" si="12"/>
        <v>116</v>
      </c>
      <c r="C222" s="16">
        <f t="shared" si="12"/>
        <v>0</v>
      </c>
      <c r="D222" s="16">
        <f t="shared" si="12"/>
        <v>245</v>
      </c>
      <c r="E222" s="16">
        <f t="shared" si="12"/>
        <v>1</v>
      </c>
      <c r="F222" s="16">
        <f t="shared" si="12"/>
        <v>424</v>
      </c>
      <c r="G222" s="16">
        <f t="shared" si="12"/>
        <v>0</v>
      </c>
      <c r="H222" s="16">
        <f t="shared" si="12"/>
        <v>0</v>
      </c>
      <c r="I222" s="16">
        <f t="shared" si="12"/>
        <v>0</v>
      </c>
      <c r="J222" s="16">
        <f t="shared" si="12"/>
        <v>0</v>
      </c>
      <c r="K222" s="16">
        <f t="shared" si="12"/>
        <v>1</v>
      </c>
    </row>
    <row r="223" spans="1:11">
      <c r="A223" s="15" t="str">
        <f t="shared" si="11"/>
        <v>02461</v>
      </c>
      <c r="B223" s="16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116</v>
      </c>
      <c r="C223" s="16">
        <f t="shared" si="13"/>
        <v>0</v>
      </c>
      <c r="D223" s="16">
        <f t="shared" si="13"/>
        <v>246</v>
      </c>
      <c r="E223" s="16">
        <f t="shared" si="13"/>
        <v>1</v>
      </c>
      <c r="F223" s="16">
        <f t="shared" si="13"/>
        <v>68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1"/>
        <v>02471</v>
      </c>
      <c r="B224" s="16">
        <f t="shared" si="13"/>
        <v>116</v>
      </c>
      <c r="C224" s="16">
        <f t="shared" si="13"/>
        <v>0</v>
      </c>
      <c r="D224" s="16">
        <f t="shared" si="13"/>
        <v>247</v>
      </c>
      <c r="E224" s="16">
        <f t="shared" si="13"/>
        <v>1</v>
      </c>
      <c r="F224" s="16">
        <f t="shared" si="13"/>
        <v>268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1"/>
        <v>02481</v>
      </c>
      <c r="B225" s="16">
        <f t="shared" si="13"/>
        <v>116</v>
      </c>
      <c r="C225" s="16">
        <f t="shared" si="13"/>
        <v>0</v>
      </c>
      <c r="D225" s="16">
        <f t="shared" si="13"/>
        <v>248</v>
      </c>
      <c r="E225" s="16">
        <f t="shared" si="13"/>
        <v>1</v>
      </c>
      <c r="F225" s="16">
        <f t="shared" si="13"/>
        <v>95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1"/>
        <v>02491</v>
      </c>
      <c r="B226" s="16">
        <f t="shared" si="13"/>
        <v>116</v>
      </c>
      <c r="C226" s="16">
        <f t="shared" si="13"/>
        <v>0</v>
      </c>
      <c r="D226" s="16">
        <f t="shared" si="13"/>
        <v>249</v>
      </c>
      <c r="E226" s="16">
        <f t="shared" si="13"/>
        <v>1</v>
      </c>
      <c r="F226" s="16">
        <f t="shared" si="13"/>
        <v>15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1"/>
        <v>02501</v>
      </c>
      <c r="B227" s="16">
        <f t="shared" si="13"/>
        <v>116</v>
      </c>
      <c r="C227" s="16">
        <f t="shared" si="13"/>
        <v>0</v>
      </c>
      <c r="D227" s="16">
        <f t="shared" si="13"/>
        <v>250</v>
      </c>
      <c r="E227" s="16">
        <f t="shared" si="13"/>
        <v>1</v>
      </c>
      <c r="F227" s="16">
        <f t="shared" si="13"/>
        <v>268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1"/>
        <v>02511</v>
      </c>
      <c r="B228" s="16">
        <f t="shared" si="13"/>
        <v>116</v>
      </c>
      <c r="C228" s="16">
        <f t="shared" si="13"/>
        <v>0</v>
      </c>
      <c r="D228" s="16">
        <f t="shared" si="13"/>
        <v>251</v>
      </c>
      <c r="E228" s="16">
        <f t="shared" si="13"/>
        <v>1</v>
      </c>
      <c r="F228" s="16">
        <f t="shared" si="13"/>
        <v>95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1"/>
        <v>02521</v>
      </c>
      <c r="B229" s="16">
        <f t="shared" si="13"/>
        <v>116</v>
      </c>
      <c r="C229" s="16">
        <f t="shared" si="13"/>
        <v>0</v>
      </c>
      <c r="D229" s="16">
        <f t="shared" si="13"/>
        <v>252</v>
      </c>
      <c r="E229" s="16">
        <f t="shared" si="13"/>
        <v>1</v>
      </c>
      <c r="F229" s="16">
        <f t="shared" si="13"/>
        <v>15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1"/>
        <v>02531</v>
      </c>
      <c r="B230" s="16">
        <f t="shared" si="13"/>
        <v>116</v>
      </c>
      <c r="C230" s="16">
        <f t="shared" si="13"/>
        <v>0</v>
      </c>
      <c r="D230" s="16">
        <f t="shared" si="13"/>
        <v>253</v>
      </c>
      <c r="E230" s="16">
        <f t="shared" si="13"/>
        <v>1</v>
      </c>
      <c r="F230" s="16">
        <f t="shared" si="13"/>
        <v>268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1"/>
        <v>02541</v>
      </c>
      <c r="B231" s="16">
        <f t="shared" si="13"/>
        <v>116</v>
      </c>
      <c r="C231" s="16">
        <f t="shared" si="13"/>
        <v>0</v>
      </c>
      <c r="D231" s="16">
        <f t="shared" si="13"/>
        <v>254</v>
      </c>
      <c r="E231" s="16">
        <f t="shared" si="13"/>
        <v>1</v>
      </c>
      <c r="F231" s="16">
        <f t="shared" si="13"/>
        <v>95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1"/>
        <v>02551</v>
      </c>
      <c r="B232" s="16">
        <f t="shared" si="13"/>
        <v>116</v>
      </c>
      <c r="C232" s="16">
        <f t="shared" si="13"/>
        <v>0</v>
      </c>
      <c r="D232" s="16">
        <f t="shared" si="13"/>
        <v>255</v>
      </c>
      <c r="E232" s="16">
        <f t="shared" si="13"/>
        <v>1</v>
      </c>
      <c r="F232" s="16">
        <f t="shared" si="13"/>
        <v>15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1"/>
        <v>02561</v>
      </c>
      <c r="B233" s="16">
        <f t="shared" si="13"/>
        <v>116</v>
      </c>
      <c r="C233" s="16">
        <f t="shared" si="13"/>
        <v>0</v>
      </c>
      <c r="D233" s="16">
        <f t="shared" si="13"/>
        <v>256</v>
      </c>
      <c r="E233" s="16">
        <f t="shared" si="13"/>
        <v>1</v>
      </c>
      <c r="F233" s="16">
        <f t="shared" si="13"/>
        <v>1203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1"/>
        <v>02571</v>
      </c>
      <c r="B234" s="16">
        <f t="shared" si="13"/>
        <v>116</v>
      </c>
      <c r="C234" s="16">
        <f t="shared" si="13"/>
        <v>0</v>
      </c>
      <c r="D234" s="16">
        <f t="shared" si="13"/>
        <v>257</v>
      </c>
      <c r="E234" s="16">
        <f t="shared" si="13"/>
        <v>1</v>
      </c>
      <c r="F234" s="16">
        <f t="shared" si="13"/>
        <v>424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1"/>
        <v>02581</v>
      </c>
      <c r="B235" s="16">
        <f t="shared" si="13"/>
        <v>116</v>
      </c>
      <c r="C235" s="16">
        <f t="shared" si="13"/>
        <v>0</v>
      </c>
      <c r="D235" s="16">
        <f t="shared" si="13"/>
        <v>258</v>
      </c>
      <c r="E235" s="16">
        <f t="shared" si="13"/>
        <v>1</v>
      </c>
      <c r="F235" s="16">
        <f t="shared" si="13"/>
        <v>68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1"/>
        <v>02591</v>
      </c>
      <c r="B236" s="16">
        <f t="shared" si="13"/>
        <v>116</v>
      </c>
      <c r="C236" s="16">
        <f t="shared" si="13"/>
        <v>0</v>
      </c>
      <c r="D236" s="16">
        <f t="shared" si="13"/>
        <v>259</v>
      </c>
      <c r="E236" s="16">
        <f t="shared" si="13"/>
        <v>1</v>
      </c>
      <c r="F236" s="16">
        <f t="shared" si="13"/>
        <v>268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1"/>
        <v>02601</v>
      </c>
      <c r="B237" s="16">
        <f t="shared" si="13"/>
        <v>116</v>
      </c>
      <c r="C237" s="16">
        <f t="shared" si="13"/>
        <v>0</v>
      </c>
      <c r="D237" s="16">
        <f t="shared" si="13"/>
        <v>260</v>
      </c>
      <c r="E237" s="16">
        <f t="shared" si="13"/>
        <v>1</v>
      </c>
      <c r="F237" s="16">
        <f t="shared" si="13"/>
        <v>95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1"/>
        <v>02611</v>
      </c>
      <c r="B238" s="16">
        <f t="shared" si="13"/>
        <v>116</v>
      </c>
      <c r="C238" s="16">
        <f t="shared" si="13"/>
        <v>0</v>
      </c>
      <c r="D238" s="16">
        <f t="shared" si="13"/>
        <v>261</v>
      </c>
      <c r="E238" s="16">
        <f t="shared" si="13"/>
        <v>1</v>
      </c>
      <c r="F238" s="16">
        <f t="shared" si="13"/>
        <v>15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  <row r="239" spans="1:11">
      <c r="A239" s="15" t="str">
        <f t="shared" si="11"/>
        <v>03201</v>
      </c>
      <c r="B239" s="16">
        <f t="shared" si="13"/>
        <v>116</v>
      </c>
      <c r="C239" s="16">
        <f t="shared" si="13"/>
        <v>0</v>
      </c>
      <c r="D239" s="16">
        <f t="shared" si="13"/>
        <v>320</v>
      </c>
      <c r="E239" s="16">
        <f t="shared" si="13"/>
        <v>1</v>
      </c>
      <c r="F239" s="16">
        <f t="shared" si="13"/>
        <v>303</v>
      </c>
      <c r="G239" s="16">
        <f t="shared" si="13"/>
        <v>0</v>
      </c>
      <c r="H239" s="16">
        <f t="shared" si="13"/>
        <v>0</v>
      </c>
      <c r="I239" s="16">
        <f t="shared" si="13"/>
        <v>0</v>
      </c>
      <c r="J239" s="16">
        <f t="shared" si="13"/>
        <v>0</v>
      </c>
      <c r="K239" s="16">
        <f t="shared" si="13"/>
        <v>1</v>
      </c>
    </row>
    <row r="240" spans="1:11">
      <c r="A240" s="15" t="str">
        <f t="shared" si="11"/>
        <v>03211</v>
      </c>
      <c r="B240" s="16">
        <f t="shared" si="13"/>
        <v>116</v>
      </c>
      <c r="C240" s="16">
        <f t="shared" si="13"/>
        <v>0</v>
      </c>
      <c r="D240" s="16">
        <f t="shared" si="13"/>
        <v>321</v>
      </c>
      <c r="E240" s="16">
        <f t="shared" si="13"/>
        <v>1</v>
      </c>
      <c r="F240" s="16">
        <f t="shared" si="13"/>
        <v>35</v>
      </c>
      <c r="G240" s="16">
        <f t="shared" si="13"/>
        <v>0</v>
      </c>
      <c r="H240" s="16">
        <f t="shared" si="13"/>
        <v>0</v>
      </c>
      <c r="I240" s="16">
        <f t="shared" si="13"/>
        <v>0</v>
      </c>
      <c r="J240" s="16">
        <f t="shared" si="13"/>
        <v>0</v>
      </c>
      <c r="K240" s="16">
        <f t="shared" si="13"/>
        <v>1</v>
      </c>
    </row>
    <row r="241" spans="1:11">
      <c r="A241" s="15" t="str">
        <f t="shared" si="11"/>
        <v>03221</v>
      </c>
      <c r="B241" s="16">
        <f t="shared" si="13"/>
        <v>116</v>
      </c>
      <c r="C241" s="16">
        <f t="shared" si="13"/>
        <v>0</v>
      </c>
      <c r="D241" s="16">
        <f t="shared" si="13"/>
        <v>322</v>
      </c>
      <c r="E241" s="16">
        <f t="shared" si="13"/>
        <v>1</v>
      </c>
      <c r="F241" s="16">
        <f t="shared" si="13"/>
        <v>303</v>
      </c>
      <c r="G241" s="16">
        <f t="shared" si="13"/>
        <v>0</v>
      </c>
      <c r="H241" s="16">
        <f t="shared" si="13"/>
        <v>0</v>
      </c>
      <c r="I241" s="16">
        <f t="shared" si="13"/>
        <v>0</v>
      </c>
      <c r="J241" s="16">
        <f t="shared" si="13"/>
        <v>0</v>
      </c>
      <c r="K241" s="16">
        <f t="shared" si="13"/>
        <v>1</v>
      </c>
    </row>
    <row r="242" spans="1:11">
      <c r="A242" s="15" t="str">
        <f t="shared" si="11"/>
        <v>03231</v>
      </c>
      <c r="B242" s="16">
        <f t="shared" si="13"/>
        <v>116</v>
      </c>
      <c r="C242" s="16">
        <f t="shared" si="13"/>
        <v>0</v>
      </c>
      <c r="D242" s="16">
        <f t="shared" si="13"/>
        <v>323</v>
      </c>
      <c r="E242" s="16">
        <f t="shared" si="13"/>
        <v>1</v>
      </c>
      <c r="F242" s="16">
        <f t="shared" si="13"/>
        <v>35</v>
      </c>
      <c r="G242" s="16">
        <f t="shared" si="13"/>
        <v>0</v>
      </c>
      <c r="H242" s="16">
        <f t="shared" si="13"/>
        <v>0</v>
      </c>
      <c r="I242" s="16">
        <f t="shared" si="13"/>
        <v>0</v>
      </c>
      <c r="J242" s="16">
        <f t="shared" si="13"/>
        <v>0</v>
      </c>
      <c r="K242" s="16">
        <f t="shared" si="13"/>
        <v>1</v>
      </c>
    </row>
    <row r="243" spans="1:11">
      <c r="A243" s="15" t="str">
        <f t="shared" si="11"/>
        <v>03241</v>
      </c>
      <c r="B243" s="16">
        <f t="shared" si="13"/>
        <v>116</v>
      </c>
      <c r="C243" s="16">
        <f t="shared" si="13"/>
        <v>0</v>
      </c>
      <c r="D243" s="16">
        <f t="shared" si="13"/>
        <v>324</v>
      </c>
      <c r="E243" s="16">
        <f t="shared" si="13"/>
        <v>1</v>
      </c>
      <c r="F243" s="16">
        <f t="shared" si="13"/>
        <v>741</v>
      </c>
      <c r="G243" s="16">
        <f t="shared" si="13"/>
        <v>0</v>
      </c>
      <c r="H243" s="16">
        <f t="shared" si="13"/>
        <v>0</v>
      </c>
      <c r="I243" s="16">
        <f t="shared" si="13"/>
        <v>0</v>
      </c>
      <c r="J243" s="16">
        <f t="shared" si="13"/>
        <v>0</v>
      </c>
      <c r="K243" s="16">
        <f t="shared" si="13"/>
        <v>1</v>
      </c>
    </row>
    <row r="244" spans="1:11">
      <c r="A244" s="15" t="str">
        <f t="shared" si="11"/>
        <v>03251</v>
      </c>
      <c r="B244" s="16">
        <f t="shared" si="13"/>
        <v>116</v>
      </c>
      <c r="C244" s="16">
        <f t="shared" si="13"/>
        <v>0</v>
      </c>
      <c r="D244" s="16">
        <f t="shared" si="13"/>
        <v>325</v>
      </c>
      <c r="E244" s="16">
        <f t="shared" si="13"/>
        <v>1</v>
      </c>
      <c r="F244" s="16">
        <f t="shared" si="13"/>
        <v>85</v>
      </c>
      <c r="G244" s="16">
        <f t="shared" si="13"/>
        <v>0</v>
      </c>
      <c r="H244" s="16">
        <f t="shared" si="13"/>
        <v>0</v>
      </c>
      <c r="I244" s="16">
        <f t="shared" si="13"/>
        <v>0</v>
      </c>
      <c r="J244" s="16">
        <f t="shared" si="13"/>
        <v>0</v>
      </c>
      <c r="K244" s="16">
        <f t="shared" si="13"/>
        <v>1</v>
      </c>
    </row>
    <row r="245" spans="1:11">
      <c r="A245" s="15" t="str">
        <f t="shared" si="11"/>
        <v>03261</v>
      </c>
      <c r="B245" s="16">
        <f t="shared" si="13"/>
        <v>116</v>
      </c>
      <c r="C245" s="16">
        <f t="shared" si="13"/>
        <v>0</v>
      </c>
      <c r="D245" s="16">
        <f t="shared" si="13"/>
        <v>326</v>
      </c>
      <c r="E245" s="16">
        <f t="shared" si="13"/>
        <v>1</v>
      </c>
      <c r="F245" s="16">
        <f t="shared" si="13"/>
        <v>303</v>
      </c>
      <c r="G245" s="16">
        <f t="shared" si="13"/>
        <v>0</v>
      </c>
      <c r="H245" s="16">
        <f t="shared" si="13"/>
        <v>0</v>
      </c>
      <c r="I245" s="16">
        <f t="shared" si="13"/>
        <v>0</v>
      </c>
      <c r="J245" s="16">
        <f t="shared" si="13"/>
        <v>0</v>
      </c>
      <c r="K245" s="16">
        <f t="shared" si="13"/>
        <v>1</v>
      </c>
    </row>
    <row r="246" spans="1:11">
      <c r="A246" s="15" t="str">
        <f t="shared" si="11"/>
        <v>03271</v>
      </c>
      <c r="B246" s="16">
        <f t="shared" si="13"/>
        <v>116</v>
      </c>
      <c r="C246" s="16">
        <f t="shared" si="13"/>
        <v>0</v>
      </c>
      <c r="D246" s="16">
        <f t="shared" si="13"/>
        <v>327</v>
      </c>
      <c r="E246" s="16">
        <f t="shared" si="13"/>
        <v>1</v>
      </c>
      <c r="F246" s="16">
        <f t="shared" si="13"/>
        <v>35</v>
      </c>
      <c r="G246" s="16">
        <f t="shared" si="13"/>
        <v>0</v>
      </c>
      <c r="H246" s="16">
        <f t="shared" si="13"/>
        <v>0</v>
      </c>
      <c r="I246" s="16">
        <f t="shared" si="13"/>
        <v>0</v>
      </c>
      <c r="J246" s="16">
        <f t="shared" si="13"/>
        <v>0</v>
      </c>
      <c r="K246" s="16">
        <f t="shared" si="13"/>
        <v>1</v>
      </c>
    </row>
    <row r="247" spans="1:11">
      <c r="A247" s="15" t="str">
        <f t="shared" si="11"/>
        <v>03801</v>
      </c>
      <c r="B247" s="16">
        <f t="shared" si="13"/>
        <v>116</v>
      </c>
      <c r="C247" s="16">
        <f t="shared" si="13"/>
        <v>0</v>
      </c>
      <c r="D247" s="16">
        <f t="shared" si="13"/>
        <v>380</v>
      </c>
      <c r="E247" s="16">
        <f t="shared" si="13"/>
        <v>1</v>
      </c>
      <c r="F247" s="16">
        <f t="shared" si="13"/>
        <v>268</v>
      </c>
      <c r="G247" s="16">
        <f t="shared" si="13"/>
        <v>0</v>
      </c>
      <c r="H247" s="16">
        <f t="shared" si="13"/>
        <v>0</v>
      </c>
      <c r="I247" s="16">
        <f t="shared" si="13"/>
        <v>0</v>
      </c>
      <c r="J247" s="16">
        <f t="shared" si="13"/>
        <v>0</v>
      </c>
      <c r="K247" s="16">
        <f t="shared" si="13"/>
        <v>1</v>
      </c>
    </row>
    <row r="248" spans="1:11">
      <c r="A248" s="15" t="str">
        <f t="shared" si="11"/>
        <v>03811</v>
      </c>
      <c r="B248" s="16">
        <f t="shared" si="13"/>
        <v>116</v>
      </c>
      <c r="C248" s="16">
        <f t="shared" si="13"/>
        <v>0</v>
      </c>
      <c r="D248" s="16">
        <f t="shared" si="13"/>
        <v>381</v>
      </c>
      <c r="E248" s="16">
        <f t="shared" si="13"/>
        <v>1</v>
      </c>
      <c r="F248" s="16">
        <f t="shared" si="13"/>
        <v>95</v>
      </c>
      <c r="G248" s="16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1"/>
        <v>03821</v>
      </c>
      <c r="B249" s="16">
        <f t="shared" si="14"/>
        <v>116</v>
      </c>
      <c r="C249" s="16">
        <f t="shared" si="14"/>
        <v>0</v>
      </c>
      <c r="D249" s="16">
        <f t="shared" si="14"/>
        <v>382</v>
      </c>
      <c r="E249" s="16">
        <f t="shared" si="14"/>
        <v>1</v>
      </c>
      <c r="F249" s="16">
        <f t="shared" si="14"/>
        <v>15</v>
      </c>
      <c r="G249" s="16">
        <f t="shared" si="14"/>
        <v>0</v>
      </c>
      <c r="H249" s="16">
        <f t="shared" si="14"/>
        <v>0</v>
      </c>
      <c r="I249" s="16">
        <f t="shared" si="14"/>
        <v>0</v>
      </c>
      <c r="J249" s="16">
        <f t="shared" si="14"/>
        <v>0</v>
      </c>
      <c r="K249" s="16">
        <f t="shared" si="14"/>
        <v>1</v>
      </c>
    </row>
    <row r="250" spans="1:11">
      <c r="A250" s="15" t="str">
        <f t="shared" si="11"/>
        <v>03831</v>
      </c>
      <c r="B250" s="16">
        <f t="shared" si="14"/>
        <v>116</v>
      </c>
      <c r="C250" s="16">
        <f t="shared" si="14"/>
        <v>0</v>
      </c>
      <c r="D250" s="16">
        <f t="shared" si="14"/>
        <v>383</v>
      </c>
      <c r="E250" s="16">
        <f t="shared" si="14"/>
        <v>1</v>
      </c>
      <c r="F250" s="16">
        <f t="shared" si="14"/>
        <v>303</v>
      </c>
      <c r="G250" s="16">
        <f t="shared" si="14"/>
        <v>0</v>
      </c>
      <c r="H250" s="16">
        <f t="shared" si="14"/>
        <v>0</v>
      </c>
      <c r="I250" s="16">
        <f t="shared" si="14"/>
        <v>0</v>
      </c>
      <c r="J250" s="16">
        <f t="shared" si="14"/>
        <v>0</v>
      </c>
      <c r="K250" s="16">
        <f t="shared" si="14"/>
        <v>1</v>
      </c>
    </row>
    <row r="251" spans="1:11">
      <c r="A251" s="15" t="str">
        <f t="shared" si="11"/>
        <v>03841</v>
      </c>
      <c r="B251" s="16">
        <f t="shared" si="14"/>
        <v>116</v>
      </c>
      <c r="C251" s="16">
        <f t="shared" si="14"/>
        <v>0</v>
      </c>
      <c r="D251" s="16">
        <f t="shared" si="14"/>
        <v>384</v>
      </c>
      <c r="E251" s="16">
        <f t="shared" si="14"/>
        <v>1</v>
      </c>
      <c r="F251" s="16">
        <f t="shared" si="14"/>
        <v>35</v>
      </c>
      <c r="G251" s="16">
        <f t="shared" si="14"/>
        <v>0</v>
      </c>
      <c r="H251" s="16">
        <f t="shared" si="14"/>
        <v>0</v>
      </c>
      <c r="I251" s="16">
        <f t="shared" si="14"/>
        <v>0</v>
      </c>
      <c r="J251" s="16">
        <f t="shared" si="14"/>
        <v>0</v>
      </c>
      <c r="K251" s="16">
        <f t="shared" si="14"/>
        <v>1</v>
      </c>
    </row>
    <row r="252" spans="1:11">
      <c r="A252" s="15" t="str">
        <f t="shared" si="11"/>
        <v>03851</v>
      </c>
      <c r="B252" s="16">
        <f t="shared" si="14"/>
        <v>116</v>
      </c>
      <c r="C252" s="16">
        <f t="shared" si="14"/>
        <v>0</v>
      </c>
      <c r="D252" s="16">
        <f t="shared" si="14"/>
        <v>385</v>
      </c>
      <c r="E252" s="16">
        <f t="shared" si="14"/>
        <v>1</v>
      </c>
      <c r="F252" s="16">
        <f t="shared" si="14"/>
        <v>741</v>
      </c>
      <c r="G252" s="16">
        <f t="shared" si="14"/>
        <v>0</v>
      </c>
      <c r="H252" s="16">
        <f t="shared" si="14"/>
        <v>0</v>
      </c>
      <c r="I252" s="16">
        <f t="shared" si="14"/>
        <v>0</v>
      </c>
      <c r="J252" s="16">
        <f t="shared" si="14"/>
        <v>0</v>
      </c>
      <c r="K252" s="16">
        <f t="shared" si="14"/>
        <v>1</v>
      </c>
    </row>
    <row r="253" spans="1:11">
      <c r="A253" s="15" t="str">
        <f t="shared" si="11"/>
        <v>03861</v>
      </c>
      <c r="B253" s="16">
        <f t="shared" si="14"/>
        <v>116</v>
      </c>
      <c r="C253" s="16">
        <f t="shared" si="14"/>
        <v>0</v>
      </c>
      <c r="D253" s="16">
        <f t="shared" si="14"/>
        <v>386</v>
      </c>
      <c r="E253" s="16">
        <f t="shared" si="14"/>
        <v>1</v>
      </c>
      <c r="F253" s="16">
        <f t="shared" si="14"/>
        <v>85</v>
      </c>
      <c r="G253" s="16">
        <f t="shared" si="14"/>
        <v>0</v>
      </c>
      <c r="H253" s="16">
        <f t="shared" si="14"/>
        <v>0</v>
      </c>
      <c r="I253" s="16">
        <f t="shared" si="14"/>
        <v>0</v>
      </c>
      <c r="J253" s="16">
        <f t="shared" si="14"/>
        <v>0</v>
      </c>
      <c r="K253" s="16">
        <f t="shared" si="14"/>
        <v>1</v>
      </c>
    </row>
    <row r="254" spans="1:11">
      <c r="A254" s="15" t="str">
        <f t="shared" si="11"/>
        <v>03871</v>
      </c>
      <c r="B254" s="16">
        <f t="shared" si="14"/>
        <v>116</v>
      </c>
      <c r="C254" s="16">
        <f t="shared" si="14"/>
        <v>0</v>
      </c>
      <c r="D254" s="16">
        <f t="shared" si="14"/>
        <v>387</v>
      </c>
      <c r="E254" s="16">
        <f t="shared" si="14"/>
        <v>1</v>
      </c>
      <c r="F254" s="16">
        <f t="shared" si="14"/>
        <v>268</v>
      </c>
      <c r="G254" s="16">
        <f t="shared" si="14"/>
        <v>0</v>
      </c>
      <c r="H254" s="16">
        <f t="shared" si="14"/>
        <v>0</v>
      </c>
      <c r="I254" s="16">
        <f t="shared" si="14"/>
        <v>0</v>
      </c>
      <c r="J254" s="16">
        <f t="shared" si="14"/>
        <v>0</v>
      </c>
      <c r="K254" s="16">
        <f t="shared" si="14"/>
        <v>1</v>
      </c>
    </row>
    <row r="255" spans="1:11">
      <c r="A255" s="15" t="str">
        <f t="shared" si="11"/>
        <v>03881</v>
      </c>
      <c r="B255" s="16">
        <f t="shared" si="14"/>
        <v>116</v>
      </c>
      <c r="C255" s="16">
        <f t="shared" si="14"/>
        <v>0</v>
      </c>
      <c r="D255" s="16">
        <f t="shared" si="14"/>
        <v>388</v>
      </c>
      <c r="E255" s="16">
        <f t="shared" si="14"/>
        <v>1</v>
      </c>
      <c r="F255" s="16">
        <f t="shared" si="14"/>
        <v>95</v>
      </c>
      <c r="G255" s="16">
        <f t="shared" si="14"/>
        <v>0</v>
      </c>
      <c r="H255" s="16">
        <f t="shared" si="14"/>
        <v>0</v>
      </c>
      <c r="I255" s="16">
        <f t="shared" si="14"/>
        <v>0</v>
      </c>
      <c r="J255" s="16">
        <f t="shared" si="14"/>
        <v>0</v>
      </c>
      <c r="K255" s="16">
        <f t="shared" si="14"/>
        <v>1</v>
      </c>
    </row>
    <row r="256" spans="1:11">
      <c r="A256" s="15" t="str">
        <f t="shared" si="11"/>
        <v>03891</v>
      </c>
      <c r="B256" s="16">
        <f t="shared" si="14"/>
        <v>116</v>
      </c>
      <c r="C256" s="16">
        <f t="shared" si="14"/>
        <v>0</v>
      </c>
      <c r="D256" s="16">
        <f t="shared" si="14"/>
        <v>389</v>
      </c>
      <c r="E256" s="16">
        <f t="shared" si="14"/>
        <v>1</v>
      </c>
      <c r="F256" s="16">
        <f t="shared" si="14"/>
        <v>15</v>
      </c>
      <c r="G256" s="16">
        <f t="shared" si="14"/>
        <v>0</v>
      </c>
      <c r="H256" s="16">
        <f t="shared" si="14"/>
        <v>0</v>
      </c>
      <c r="I256" s="16">
        <f t="shared" si="14"/>
        <v>0</v>
      </c>
      <c r="J256" s="16">
        <f t="shared" si="14"/>
        <v>0</v>
      </c>
      <c r="K256" s="16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 enableFormatConditionsCalculation="0"/>
  <dimension ref="A1:K2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1" sqref="C11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gacha_unit_tables_117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>INDIRECT(ADDRESS(ROW()+$A$1,COLUMN(),1,TRUE,$C$1))</f>
        <v>11271</v>
      </c>
      <c r="B3" s="16">
        <f t="shared" ref="B3:K18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117</v>
      </c>
      <c r="C3" s="16">
        <f t="shared" si="0"/>
        <v>1</v>
      </c>
      <c r="D3" s="16">
        <f t="shared" si="0"/>
        <v>127</v>
      </c>
      <c r="E3" s="16">
        <f t="shared" si="0"/>
        <v>1</v>
      </c>
      <c r="F3" s="16">
        <f t="shared" si="0"/>
        <v>1296</v>
      </c>
      <c r="G3" s="16">
        <f t="shared" si="0"/>
        <v>0</v>
      </c>
      <c r="H3" s="16">
        <f t="shared" si="0"/>
        <v>0</v>
      </c>
      <c r="I3" s="16">
        <f t="shared" si="0"/>
        <v>0</v>
      </c>
      <c r="J3" s="16">
        <f t="shared" si="0"/>
        <v>0</v>
      </c>
      <c r="K3" s="16">
        <f t="shared" si="0"/>
        <v>1</v>
      </c>
    </row>
    <row r="4" spans="1:11">
      <c r="A4" s="15" t="str">
        <f t="shared" ref="A4:A67" si="1">INDIRECT(ADDRESS(ROW()+$A$1,COLUMN(),1,TRUE,$C$1))</f>
        <v>11291</v>
      </c>
      <c r="B4" s="16">
        <f t="shared" si="0"/>
        <v>117</v>
      </c>
      <c r="C4" s="16">
        <f t="shared" si="0"/>
        <v>1</v>
      </c>
      <c r="D4" s="16">
        <f t="shared" si="0"/>
        <v>129</v>
      </c>
      <c r="E4" s="16">
        <f t="shared" si="0"/>
        <v>1</v>
      </c>
      <c r="F4" s="16">
        <f t="shared" si="0"/>
        <v>1296</v>
      </c>
      <c r="G4" s="16">
        <f t="shared" si="0"/>
        <v>0</v>
      </c>
      <c r="H4" s="16">
        <f t="shared" si="0"/>
        <v>0</v>
      </c>
      <c r="I4" s="16">
        <f t="shared" si="0"/>
        <v>0</v>
      </c>
      <c r="J4" s="16">
        <f t="shared" si="0"/>
        <v>0</v>
      </c>
      <c r="K4" s="16">
        <f t="shared" si="0"/>
        <v>1</v>
      </c>
    </row>
    <row r="5" spans="1:11">
      <c r="A5" s="15" t="str">
        <f t="shared" si="1"/>
        <v>11311</v>
      </c>
      <c r="B5" s="16">
        <f t="shared" si="0"/>
        <v>117</v>
      </c>
      <c r="C5" s="16">
        <f t="shared" si="0"/>
        <v>1</v>
      </c>
      <c r="D5" s="16">
        <f t="shared" si="0"/>
        <v>131</v>
      </c>
      <c r="E5" s="16">
        <f t="shared" si="0"/>
        <v>1</v>
      </c>
      <c r="F5" s="16">
        <f t="shared" si="0"/>
        <v>4752</v>
      </c>
      <c r="G5" s="16">
        <f t="shared" si="0"/>
        <v>0</v>
      </c>
      <c r="H5" s="16">
        <f t="shared" si="0"/>
        <v>0</v>
      </c>
      <c r="I5" s="16">
        <f t="shared" si="0"/>
        <v>0</v>
      </c>
      <c r="J5" s="16">
        <f t="shared" si="0"/>
        <v>0</v>
      </c>
      <c r="K5" s="16">
        <f t="shared" si="0"/>
        <v>1</v>
      </c>
    </row>
    <row r="6" spans="1:11">
      <c r="A6" s="15" t="str">
        <f t="shared" si="1"/>
        <v>11331</v>
      </c>
      <c r="B6" s="16">
        <f t="shared" si="0"/>
        <v>117</v>
      </c>
      <c r="C6" s="16">
        <f t="shared" si="0"/>
        <v>1</v>
      </c>
      <c r="D6" s="16">
        <f t="shared" si="0"/>
        <v>133</v>
      </c>
      <c r="E6" s="16">
        <f t="shared" si="0"/>
        <v>1</v>
      </c>
      <c r="F6" s="16">
        <f t="shared" si="0"/>
        <v>1296</v>
      </c>
      <c r="G6" s="16">
        <f t="shared" si="0"/>
        <v>0</v>
      </c>
      <c r="H6" s="16">
        <f t="shared" si="0"/>
        <v>0</v>
      </c>
      <c r="I6" s="16">
        <f t="shared" si="0"/>
        <v>0</v>
      </c>
      <c r="J6" s="16">
        <f t="shared" si="0"/>
        <v>0</v>
      </c>
      <c r="K6" s="16">
        <f t="shared" si="0"/>
        <v>1</v>
      </c>
    </row>
    <row r="7" spans="1:11">
      <c r="A7" s="15" t="str">
        <f t="shared" si="1"/>
        <v>11351</v>
      </c>
      <c r="B7" s="16">
        <f t="shared" si="0"/>
        <v>117</v>
      </c>
      <c r="C7" s="16">
        <f t="shared" si="0"/>
        <v>1</v>
      </c>
      <c r="D7" s="16">
        <f t="shared" si="0"/>
        <v>135</v>
      </c>
      <c r="E7" s="16">
        <f t="shared" si="0"/>
        <v>1</v>
      </c>
      <c r="F7" s="16">
        <f t="shared" si="0"/>
        <v>1296</v>
      </c>
      <c r="G7" s="16">
        <f t="shared" si="0"/>
        <v>0</v>
      </c>
      <c r="H7" s="16">
        <f t="shared" si="0"/>
        <v>0</v>
      </c>
      <c r="I7" s="16">
        <f t="shared" si="0"/>
        <v>0</v>
      </c>
      <c r="J7" s="16">
        <f t="shared" si="0"/>
        <v>0</v>
      </c>
      <c r="K7" s="16">
        <f t="shared" si="0"/>
        <v>1</v>
      </c>
    </row>
    <row r="8" spans="1:11">
      <c r="A8" s="15" t="str">
        <f t="shared" si="1"/>
        <v>11371</v>
      </c>
      <c r="B8" s="16">
        <f t="shared" si="0"/>
        <v>117</v>
      </c>
      <c r="C8" s="16">
        <f t="shared" si="0"/>
        <v>1</v>
      </c>
      <c r="D8" s="16">
        <f t="shared" si="0"/>
        <v>137</v>
      </c>
      <c r="E8" s="16">
        <f t="shared" si="0"/>
        <v>1</v>
      </c>
      <c r="F8" s="16">
        <f t="shared" si="0"/>
        <v>1296</v>
      </c>
      <c r="G8" s="16">
        <f t="shared" si="0"/>
        <v>0</v>
      </c>
      <c r="H8" s="16">
        <f t="shared" si="0"/>
        <v>0</v>
      </c>
      <c r="I8" s="16">
        <f t="shared" si="0"/>
        <v>0</v>
      </c>
      <c r="J8" s="16">
        <f t="shared" si="0"/>
        <v>0</v>
      </c>
      <c r="K8" s="16">
        <f t="shared" si="0"/>
        <v>1</v>
      </c>
    </row>
    <row r="9" spans="1:11">
      <c r="A9" s="15" t="str">
        <f t="shared" si="1"/>
        <v>11391</v>
      </c>
      <c r="B9" s="16">
        <f t="shared" si="0"/>
        <v>117</v>
      </c>
      <c r="C9" s="16">
        <f t="shared" si="0"/>
        <v>1</v>
      </c>
      <c r="D9" s="16">
        <f t="shared" si="0"/>
        <v>139</v>
      </c>
      <c r="E9" s="16">
        <f t="shared" si="0"/>
        <v>1</v>
      </c>
      <c r="F9" s="16">
        <f t="shared" si="0"/>
        <v>4752</v>
      </c>
      <c r="G9" s="16">
        <f t="shared" si="0"/>
        <v>0</v>
      </c>
      <c r="H9" s="16">
        <f t="shared" si="0"/>
        <v>0</v>
      </c>
      <c r="I9" s="16">
        <f t="shared" si="0"/>
        <v>0</v>
      </c>
      <c r="J9" s="16">
        <f t="shared" si="0"/>
        <v>0</v>
      </c>
      <c r="K9" s="16">
        <f t="shared" si="0"/>
        <v>1</v>
      </c>
    </row>
    <row r="10" spans="1:11">
      <c r="A10" s="15" t="str">
        <f t="shared" si="1"/>
        <v>11411</v>
      </c>
      <c r="B10" s="16">
        <f t="shared" si="0"/>
        <v>117</v>
      </c>
      <c r="C10" s="16">
        <f t="shared" si="0"/>
        <v>1</v>
      </c>
      <c r="D10" s="16">
        <f t="shared" si="0"/>
        <v>141</v>
      </c>
      <c r="E10" s="16">
        <f t="shared" si="0"/>
        <v>1</v>
      </c>
      <c r="F10" s="16">
        <f t="shared" si="0"/>
        <v>1296</v>
      </c>
      <c r="G10" s="16">
        <f t="shared" si="0"/>
        <v>0</v>
      </c>
      <c r="H10" s="16">
        <f t="shared" si="0"/>
        <v>0</v>
      </c>
      <c r="I10" s="16">
        <f t="shared" si="0"/>
        <v>0</v>
      </c>
      <c r="J10" s="16">
        <f t="shared" si="0"/>
        <v>0</v>
      </c>
      <c r="K10" s="16">
        <f t="shared" si="0"/>
        <v>1</v>
      </c>
    </row>
    <row r="11" spans="1:11">
      <c r="A11" s="15" t="str">
        <f t="shared" si="1"/>
        <v>11431</v>
      </c>
      <c r="B11" s="16">
        <f t="shared" si="0"/>
        <v>117</v>
      </c>
      <c r="C11" s="16">
        <f t="shared" si="0"/>
        <v>1</v>
      </c>
      <c r="D11" s="16">
        <f t="shared" si="0"/>
        <v>143</v>
      </c>
      <c r="E11" s="16">
        <f t="shared" si="0"/>
        <v>1</v>
      </c>
      <c r="F11" s="16">
        <f t="shared" si="0"/>
        <v>1296</v>
      </c>
      <c r="G11" s="16">
        <f t="shared" si="0"/>
        <v>0</v>
      </c>
      <c r="H11" s="16">
        <f t="shared" si="0"/>
        <v>0</v>
      </c>
      <c r="I11" s="16">
        <f t="shared" si="0"/>
        <v>0</v>
      </c>
      <c r="J11" s="16">
        <f t="shared" si="0"/>
        <v>0</v>
      </c>
      <c r="K11" s="16">
        <f t="shared" si="0"/>
        <v>1</v>
      </c>
    </row>
    <row r="12" spans="1:11">
      <c r="A12" s="15" t="str">
        <f t="shared" si="1"/>
        <v>11451</v>
      </c>
      <c r="B12" s="16">
        <f t="shared" si="0"/>
        <v>117</v>
      </c>
      <c r="C12" s="16">
        <f t="shared" si="0"/>
        <v>1</v>
      </c>
      <c r="D12" s="16">
        <f t="shared" si="0"/>
        <v>145</v>
      </c>
      <c r="E12" s="16">
        <f t="shared" si="0"/>
        <v>1</v>
      </c>
      <c r="F12" s="16">
        <f t="shared" si="0"/>
        <v>1296</v>
      </c>
      <c r="G12" s="16">
        <f t="shared" si="0"/>
        <v>0</v>
      </c>
      <c r="H12" s="16">
        <f t="shared" si="0"/>
        <v>0</v>
      </c>
      <c r="I12" s="16">
        <f t="shared" si="0"/>
        <v>0</v>
      </c>
      <c r="J12" s="16">
        <f t="shared" si="0"/>
        <v>0</v>
      </c>
      <c r="K12" s="16">
        <f t="shared" si="0"/>
        <v>1</v>
      </c>
    </row>
    <row r="13" spans="1:11">
      <c r="A13" s="15" t="str">
        <f t="shared" si="1"/>
        <v>11471</v>
      </c>
      <c r="B13" s="16">
        <f t="shared" si="0"/>
        <v>117</v>
      </c>
      <c r="C13" s="16">
        <f t="shared" si="0"/>
        <v>1</v>
      </c>
      <c r="D13" s="16">
        <f t="shared" si="0"/>
        <v>147</v>
      </c>
      <c r="E13" s="16">
        <f t="shared" si="0"/>
        <v>1</v>
      </c>
      <c r="F13" s="16">
        <f t="shared" si="0"/>
        <v>4752</v>
      </c>
      <c r="G13" s="16">
        <f t="shared" si="0"/>
        <v>0</v>
      </c>
      <c r="H13" s="16">
        <f t="shared" si="0"/>
        <v>0</v>
      </c>
      <c r="I13" s="16">
        <f t="shared" si="0"/>
        <v>0</v>
      </c>
      <c r="J13" s="16">
        <f t="shared" si="0"/>
        <v>0</v>
      </c>
      <c r="K13" s="16">
        <f t="shared" si="0"/>
        <v>1</v>
      </c>
    </row>
    <row r="14" spans="1:11">
      <c r="A14" s="15" t="str">
        <f t="shared" si="1"/>
        <v>11491</v>
      </c>
      <c r="B14" s="16">
        <f t="shared" si="0"/>
        <v>117</v>
      </c>
      <c r="C14" s="16">
        <f t="shared" si="0"/>
        <v>1</v>
      </c>
      <c r="D14" s="16">
        <f t="shared" si="0"/>
        <v>149</v>
      </c>
      <c r="E14" s="16">
        <f t="shared" si="0"/>
        <v>1</v>
      </c>
      <c r="F14" s="16">
        <f t="shared" si="0"/>
        <v>1296</v>
      </c>
      <c r="G14" s="16">
        <f t="shared" si="0"/>
        <v>0</v>
      </c>
      <c r="H14" s="16">
        <f t="shared" si="0"/>
        <v>0</v>
      </c>
      <c r="I14" s="16">
        <f t="shared" si="0"/>
        <v>0</v>
      </c>
      <c r="J14" s="16">
        <f t="shared" si="0"/>
        <v>0</v>
      </c>
      <c r="K14" s="16">
        <f t="shared" si="0"/>
        <v>1</v>
      </c>
    </row>
    <row r="15" spans="1:11">
      <c r="A15" s="15" t="str">
        <f t="shared" si="1"/>
        <v>11511</v>
      </c>
      <c r="B15" s="16">
        <f t="shared" si="0"/>
        <v>117</v>
      </c>
      <c r="C15" s="16">
        <f t="shared" si="0"/>
        <v>1</v>
      </c>
      <c r="D15" s="16">
        <f t="shared" si="0"/>
        <v>151</v>
      </c>
      <c r="E15" s="16">
        <f t="shared" si="0"/>
        <v>1</v>
      </c>
      <c r="F15" s="16">
        <f t="shared" si="0"/>
        <v>1296</v>
      </c>
      <c r="G15" s="16">
        <f t="shared" si="0"/>
        <v>0</v>
      </c>
      <c r="H15" s="16">
        <f t="shared" si="0"/>
        <v>0</v>
      </c>
      <c r="I15" s="16">
        <f t="shared" si="0"/>
        <v>0</v>
      </c>
      <c r="J15" s="16">
        <f t="shared" si="0"/>
        <v>0</v>
      </c>
      <c r="K15" s="16">
        <f t="shared" si="0"/>
        <v>1</v>
      </c>
    </row>
    <row r="16" spans="1:11">
      <c r="A16" s="15" t="str">
        <f t="shared" si="1"/>
        <v>11531</v>
      </c>
      <c r="B16" s="16">
        <f t="shared" si="0"/>
        <v>117</v>
      </c>
      <c r="C16" s="16">
        <f t="shared" si="0"/>
        <v>1</v>
      </c>
      <c r="D16" s="16">
        <f t="shared" si="0"/>
        <v>153</v>
      </c>
      <c r="E16" s="16">
        <f t="shared" si="0"/>
        <v>1</v>
      </c>
      <c r="F16" s="16">
        <f t="shared" si="0"/>
        <v>1296</v>
      </c>
      <c r="G16" s="16">
        <f t="shared" si="0"/>
        <v>0</v>
      </c>
      <c r="H16" s="16">
        <f t="shared" si="0"/>
        <v>0</v>
      </c>
      <c r="I16" s="16">
        <f t="shared" si="0"/>
        <v>0</v>
      </c>
      <c r="J16" s="16">
        <f t="shared" si="0"/>
        <v>0</v>
      </c>
      <c r="K16" s="16">
        <f t="shared" si="0"/>
        <v>1</v>
      </c>
    </row>
    <row r="17" spans="1:11">
      <c r="A17" s="15" t="str">
        <f t="shared" si="1"/>
        <v>11551</v>
      </c>
      <c r="B17" s="16">
        <f t="shared" si="0"/>
        <v>117</v>
      </c>
      <c r="C17" s="16">
        <f t="shared" si="0"/>
        <v>1</v>
      </c>
      <c r="D17" s="16">
        <f t="shared" si="0"/>
        <v>155</v>
      </c>
      <c r="E17" s="16">
        <f t="shared" si="0"/>
        <v>1</v>
      </c>
      <c r="F17" s="16">
        <f t="shared" si="0"/>
        <v>4752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1</v>
      </c>
    </row>
    <row r="18" spans="1:11">
      <c r="A18" s="15" t="str">
        <f t="shared" si="1"/>
        <v>11571</v>
      </c>
      <c r="B18" s="16">
        <f t="shared" si="0"/>
        <v>117</v>
      </c>
      <c r="C18" s="16">
        <f t="shared" si="0"/>
        <v>1</v>
      </c>
      <c r="D18" s="16">
        <f t="shared" si="0"/>
        <v>157</v>
      </c>
      <c r="E18" s="16">
        <f t="shared" si="0"/>
        <v>1</v>
      </c>
      <c r="F18" s="16">
        <f t="shared" si="0"/>
        <v>1296</v>
      </c>
      <c r="G18" s="16">
        <f t="shared" si="0"/>
        <v>0</v>
      </c>
      <c r="H18" s="16">
        <f t="shared" si="0"/>
        <v>0</v>
      </c>
      <c r="I18" s="16">
        <f t="shared" si="0"/>
        <v>0</v>
      </c>
      <c r="J18" s="16">
        <f t="shared" si="0"/>
        <v>0</v>
      </c>
      <c r="K18" s="16">
        <f t="shared" si="0"/>
        <v>1</v>
      </c>
    </row>
    <row r="19" spans="1:11">
      <c r="A19" s="15" t="str">
        <f t="shared" si="1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117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1296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1"/>
        <v>11611</v>
      </c>
      <c r="B20" s="16">
        <f t="shared" si="2"/>
        <v>117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1296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1"/>
        <v>11631</v>
      </c>
      <c r="B21" s="16">
        <f t="shared" si="2"/>
        <v>117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4752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1"/>
        <v>11651</v>
      </c>
      <c r="B22" s="16">
        <f t="shared" si="2"/>
        <v>117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1296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1"/>
        <v>11671</v>
      </c>
      <c r="B23" s="16">
        <f t="shared" si="2"/>
        <v>117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1354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1"/>
        <v>11701</v>
      </c>
      <c r="B24" s="16">
        <f t="shared" si="2"/>
        <v>117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1354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1"/>
        <v>11731</v>
      </c>
      <c r="B25" s="16">
        <f t="shared" si="2"/>
        <v>117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4963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1"/>
        <v>11761</v>
      </c>
      <c r="B26" s="16">
        <f t="shared" si="2"/>
        <v>117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1354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1"/>
        <v>11791</v>
      </c>
      <c r="B27" s="16">
        <f t="shared" si="2"/>
        <v>117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1354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1"/>
        <v>11821</v>
      </c>
      <c r="B28" s="16">
        <f t="shared" si="2"/>
        <v>117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1354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1"/>
        <v>11851</v>
      </c>
      <c r="B29" s="16">
        <f t="shared" si="2"/>
        <v>117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4963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1"/>
        <v>11881</v>
      </c>
      <c r="B30" s="16">
        <f t="shared" si="2"/>
        <v>117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1354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1"/>
        <v>11911</v>
      </c>
      <c r="B31" s="16">
        <f t="shared" si="2"/>
        <v>117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1354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1"/>
        <v>11941</v>
      </c>
      <c r="B32" s="16">
        <f t="shared" si="2"/>
        <v>117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1354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1"/>
        <v>11971</v>
      </c>
      <c r="B33" s="16">
        <f t="shared" si="2"/>
        <v>117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1354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1"/>
        <v>12001</v>
      </c>
      <c r="B34" s="16">
        <f t="shared" si="2"/>
        <v>117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4963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1"/>
        <v>12031</v>
      </c>
      <c r="B35" s="16">
        <f t="shared" si="2"/>
        <v>117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1354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1"/>
        <v>12061</v>
      </c>
      <c r="B36" s="16">
        <f t="shared" si="2"/>
        <v>117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1354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1"/>
        <v>12091</v>
      </c>
      <c r="B37" s="16">
        <f t="shared" si="2"/>
        <v>117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4963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1"/>
        <v>12121</v>
      </c>
      <c r="B38" s="16">
        <f t="shared" si="2"/>
        <v>117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1354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1"/>
        <v>12151</v>
      </c>
      <c r="B39" s="16">
        <f t="shared" si="2"/>
        <v>117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1354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1"/>
        <v>12181</v>
      </c>
      <c r="B40" s="16">
        <f t="shared" si="2"/>
        <v>117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1354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1"/>
        <v>12211</v>
      </c>
      <c r="B41" s="16">
        <f t="shared" si="2"/>
        <v>117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4963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1"/>
        <v>12241</v>
      </c>
      <c r="B42" s="16">
        <f t="shared" si="2"/>
        <v>117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1354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1"/>
        <v>12271</v>
      </c>
      <c r="B43" s="16">
        <f t="shared" si="2"/>
        <v>117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236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1"/>
        <v>12301</v>
      </c>
      <c r="B44" s="16">
        <f t="shared" si="2"/>
        <v>117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236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1"/>
        <v>12331</v>
      </c>
      <c r="B45" s="16">
        <f t="shared" si="3"/>
        <v>117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1056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1"/>
        <v>12361</v>
      </c>
      <c r="B46" s="16">
        <f t="shared" si="3"/>
        <v>117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236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1"/>
        <v>11681</v>
      </c>
      <c r="B47" s="16">
        <f t="shared" si="3"/>
        <v>117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110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1"/>
        <v>11711</v>
      </c>
      <c r="B48" s="16">
        <f t="shared" si="3"/>
        <v>117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110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1"/>
        <v>11741</v>
      </c>
      <c r="B49" s="16">
        <f t="shared" si="3"/>
        <v>117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405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1"/>
        <v>11771</v>
      </c>
      <c r="B50" s="16">
        <f t="shared" si="3"/>
        <v>117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110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1"/>
        <v>11801</v>
      </c>
      <c r="B51" s="16">
        <f t="shared" si="3"/>
        <v>117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110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1"/>
        <v>11831</v>
      </c>
      <c r="B52" s="16">
        <f t="shared" si="3"/>
        <v>117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110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1"/>
        <v>11861</v>
      </c>
      <c r="B53" s="16">
        <f t="shared" si="3"/>
        <v>117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405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1"/>
        <v>11891</v>
      </c>
      <c r="B54" s="16">
        <f t="shared" si="3"/>
        <v>117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110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1"/>
        <v>11921</v>
      </c>
      <c r="B55" s="16">
        <f t="shared" si="3"/>
        <v>117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110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1"/>
        <v>11951</v>
      </c>
      <c r="B56" s="16">
        <f t="shared" si="3"/>
        <v>117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110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1"/>
        <v>11981</v>
      </c>
      <c r="B57" s="16">
        <f t="shared" si="3"/>
        <v>117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110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1"/>
        <v>12011</v>
      </c>
      <c r="B58" s="16">
        <f t="shared" si="3"/>
        <v>117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405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1"/>
        <v>12041</v>
      </c>
      <c r="B59" s="16">
        <f t="shared" si="3"/>
        <v>117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110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1"/>
        <v>12071</v>
      </c>
      <c r="B60" s="16">
        <f t="shared" si="3"/>
        <v>117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110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1"/>
        <v>12101</v>
      </c>
      <c r="B61" s="16">
        <f t="shared" si="3"/>
        <v>117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405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1"/>
        <v>12131</v>
      </c>
      <c r="B62" s="16">
        <f t="shared" si="3"/>
        <v>117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110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1"/>
        <v>12161</v>
      </c>
      <c r="B63" s="16">
        <f t="shared" si="3"/>
        <v>117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110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1"/>
        <v>12191</v>
      </c>
      <c r="B64" s="16">
        <f t="shared" si="3"/>
        <v>117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110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1"/>
        <v>12221</v>
      </c>
      <c r="B65" s="16">
        <f t="shared" si="3"/>
        <v>117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405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1"/>
        <v>12251</v>
      </c>
      <c r="B66" s="16">
        <f t="shared" si="3"/>
        <v>117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110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si="1"/>
        <v>12281</v>
      </c>
      <c r="B67" s="16">
        <f t="shared" si="3"/>
        <v>117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10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ref="A68:A131" si="4">INDIRECT(ADDRESS(ROW()+$A$1,COLUMN(),1,TRUE,$C$1))</f>
        <v>12311</v>
      </c>
      <c r="B68" s="16">
        <f t="shared" si="3"/>
        <v>117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10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117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44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117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10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117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236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117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10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117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236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117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10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117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1056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117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44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117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236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117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10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117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236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117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10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117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236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117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10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117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1056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117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44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117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236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117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10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5"/>
        <v>117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216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5"/>
        <v>117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9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5"/>
        <v>117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216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5"/>
        <v>117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9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5"/>
        <v>117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528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5"/>
        <v>117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22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5"/>
        <v>117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216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5"/>
        <v>117</v>
      </c>
      <c r="C94" s="16">
        <f t="shared" si="5"/>
        <v>1</v>
      </c>
      <c r="D94" s="16">
        <f t="shared" si="5"/>
        <v>327</v>
      </c>
      <c r="E94" s="16">
        <f t="shared" si="5"/>
        <v>1</v>
      </c>
      <c r="F94" s="16">
        <f t="shared" si="5"/>
        <v>9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13811</v>
      </c>
      <c r="B95" s="16">
        <f t="shared" si="5"/>
        <v>117</v>
      </c>
      <c r="C95" s="16">
        <f t="shared" si="5"/>
        <v>1</v>
      </c>
      <c r="D95" s="16">
        <f t="shared" si="5"/>
        <v>381</v>
      </c>
      <c r="E95" s="16">
        <f t="shared" si="5"/>
        <v>1</v>
      </c>
      <c r="F95" s="16">
        <f t="shared" si="5"/>
        <v>236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13821</v>
      </c>
      <c r="B96" s="16">
        <f t="shared" si="6"/>
        <v>117</v>
      </c>
      <c r="C96" s="16">
        <f t="shared" si="6"/>
        <v>1</v>
      </c>
      <c r="D96" s="16">
        <f t="shared" si="6"/>
        <v>382</v>
      </c>
      <c r="E96" s="16">
        <f t="shared" si="6"/>
        <v>1</v>
      </c>
      <c r="F96" s="16">
        <f t="shared" si="6"/>
        <v>10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13831</v>
      </c>
      <c r="B97" s="16">
        <f t="shared" si="6"/>
        <v>117</v>
      </c>
      <c r="C97" s="16">
        <f t="shared" si="6"/>
        <v>1</v>
      </c>
      <c r="D97" s="16">
        <f t="shared" si="6"/>
        <v>383</v>
      </c>
      <c r="E97" s="16">
        <f t="shared" si="6"/>
        <v>1</v>
      </c>
      <c r="F97" s="16">
        <f t="shared" si="6"/>
        <v>216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13841</v>
      </c>
      <c r="B98" s="16">
        <f t="shared" si="6"/>
        <v>117</v>
      </c>
      <c r="C98" s="16">
        <f t="shared" si="6"/>
        <v>1</v>
      </c>
      <c r="D98" s="16">
        <f t="shared" si="6"/>
        <v>384</v>
      </c>
      <c r="E98" s="16">
        <f t="shared" si="6"/>
        <v>1</v>
      </c>
      <c r="F98" s="16">
        <f t="shared" si="6"/>
        <v>9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13851</v>
      </c>
      <c r="B99" s="16">
        <f t="shared" si="6"/>
        <v>117</v>
      </c>
      <c r="C99" s="16">
        <f t="shared" si="6"/>
        <v>1</v>
      </c>
      <c r="D99" s="16">
        <f t="shared" si="6"/>
        <v>385</v>
      </c>
      <c r="E99" s="16">
        <f t="shared" si="6"/>
        <v>1</v>
      </c>
      <c r="F99" s="16">
        <f t="shared" si="6"/>
        <v>528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13861</v>
      </c>
      <c r="B100" s="16">
        <f t="shared" si="6"/>
        <v>117</v>
      </c>
      <c r="C100" s="16">
        <f t="shared" si="6"/>
        <v>1</v>
      </c>
      <c r="D100" s="16">
        <f t="shared" si="6"/>
        <v>386</v>
      </c>
      <c r="E100" s="16">
        <f t="shared" si="6"/>
        <v>1</v>
      </c>
      <c r="F100" s="16">
        <f t="shared" si="6"/>
        <v>22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13881</v>
      </c>
      <c r="B101" s="16">
        <f t="shared" si="6"/>
        <v>117</v>
      </c>
      <c r="C101" s="16">
        <f t="shared" si="6"/>
        <v>1</v>
      </c>
      <c r="D101" s="16">
        <f t="shared" si="6"/>
        <v>388</v>
      </c>
      <c r="E101" s="16">
        <f t="shared" si="6"/>
        <v>1</v>
      </c>
      <c r="F101" s="16">
        <f t="shared" si="6"/>
        <v>236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13891</v>
      </c>
      <c r="B102" s="16">
        <f t="shared" si="6"/>
        <v>117</v>
      </c>
      <c r="C102" s="16">
        <f t="shared" si="6"/>
        <v>1</v>
      </c>
      <c r="D102" s="16">
        <f t="shared" si="6"/>
        <v>389</v>
      </c>
      <c r="E102" s="16">
        <f t="shared" si="6"/>
        <v>1</v>
      </c>
      <c r="F102" s="16">
        <f t="shared" si="6"/>
        <v>10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01261</v>
      </c>
      <c r="B103" s="16">
        <f t="shared" si="6"/>
        <v>117</v>
      </c>
      <c r="C103" s="16">
        <f t="shared" si="6"/>
        <v>0</v>
      </c>
      <c r="D103" s="16">
        <f t="shared" si="6"/>
        <v>126</v>
      </c>
      <c r="E103" s="16">
        <f t="shared" si="6"/>
        <v>1</v>
      </c>
      <c r="F103" s="16">
        <f t="shared" si="6"/>
        <v>1476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01281</v>
      </c>
      <c r="B104" s="16">
        <f t="shared" si="6"/>
        <v>117</v>
      </c>
      <c r="C104" s="16">
        <f t="shared" si="6"/>
        <v>0</v>
      </c>
      <c r="D104" s="16">
        <f t="shared" si="6"/>
        <v>128</v>
      </c>
      <c r="E104" s="16">
        <f t="shared" si="6"/>
        <v>1</v>
      </c>
      <c r="F104" s="16">
        <f t="shared" si="6"/>
        <v>1476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01301</v>
      </c>
      <c r="B105" s="16">
        <f t="shared" si="6"/>
        <v>117</v>
      </c>
      <c r="C105" s="16">
        <f t="shared" si="6"/>
        <v>0</v>
      </c>
      <c r="D105" s="16">
        <f t="shared" si="6"/>
        <v>130</v>
      </c>
      <c r="E105" s="16">
        <f t="shared" si="6"/>
        <v>1</v>
      </c>
      <c r="F105" s="16">
        <f t="shared" si="6"/>
        <v>5412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01321</v>
      </c>
      <c r="B106" s="16">
        <f t="shared" si="6"/>
        <v>117</v>
      </c>
      <c r="C106" s="16">
        <f t="shared" si="6"/>
        <v>0</v>
      </c>
      <c r="D106" s="16">
        <f t="shared" si="6"/>
        <v>132</v>
      </c>
      <c r="E106" s="16">
        <f t="shared" si="6"/>
        <v>1</v>
      </c>
      <c r="F106" s="16">
        <f t="shared" si="6"/>
        <v>1476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01341</v>
      </c>
      <c r="B107" s="16">
        <f t="shared" si="6"/>
        <v>117</v>
      </c>
      <c r="C107" s="16">
        <f t="shared" si="6"/>
        <v>0</v>
      </c>
      <c r="D107" s="16">
        <f t="shared" si="6"/>
        <v>134</v>
      </c>
      <c r="E107" s="16">
        <f t="shared" si="6"/>
        <v>1</v>
      </c>
      <c r="F107" s="16">
        <f t="shared" si="6"/>
        <v>1476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01361</v>
      </c>
      <c r="B108" s="16">
        <f t="shared" si="6"/>
        <v>117</v>
      </c>
      <c r="C108" s="16">
        <f t="shared" si="6"/>
        <v>0</v>
      </c>
      <c r="D108" s="16">
        <f t="shared" si="6"/>
        <v>136</v>
      </c>
      <c r="E108" s="16">
        <f t="shared" si="6"/>
        <v>1</v>
      </c>
      <c r="F108" s="16">
        <f t="shared" si="6"/>
        <v>1476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01381</v>
      </c>
      <c r="B109" s="16">
        <f t="shared" si="6"/>
        <v>117</v>
      </c>
      <c r="C109" s="16">
        <f t="shared" si="6"/>
        <v>0</v>
      </c>
      <c r="D109" s="16">
        <f t="shared" si="6"/>
        <v>138</v>
      </c>
      <c r="E109" s="16">
        <f t="shared" si="6"/>
        <v>1</v>
      </c>
      <c r="F109" s="16">
        <f t="shared" si="6"/>
        <v>5412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01401</v>
      </c>
      <c r="B110" s="16">
        <f t="shared" si="6"/>
        <v>117</v>
      </c>
      <c r="C110" s="16">
        <f t="shared" si="6"/>
        <v>0</v>
      </c>
      <c r="D110" s="16">
        <f t="shared" si="6"/>
        <v>140</v>
      </c>
      <c r="E110" s="16">
        <f t="shared" si="6"/>
        <v>1</v>
      </c>
      <c r="F110" s="16">
        <f t="shared" si="6"/>
        <v>1476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01421</v>
      </c>
      <c r="B111" s="16">
        <f t="shared" si="6"/>
        <v>117</v>
      </c>
      <c r="C111" s="16">
        <f t="shared" si="6"/>
        <v>0</v>
      </c>
      <c r="D111" s="16">
        <f t="shared" si="6"/>
        <v>142</v>
      </c>
      <c r="E111" s="16">
        <f t="shared" si="6"/>
        <v>1</v>
      </c>
      <c r="F111" s="16">
        <f t="shared" si="6"/>
        <v>1476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01441</v>
      </c>
      <c r="B112" s="16">
        <f t="shared" si="6"/>
        <v>117</v>
      </c>
      <c r="C112" s="16">
        <f t="shared" si="6"/>
        <v>0</v>
      </c>
      <c r="D112" s="16">
        <f t="shared" si="6"/>
        <v>144</v>
      </c>
      <c r="E112" s="16">
        <f t="shared" si="6"/>
        <v>1</v>
      </c>
      <c r="F112" s="16">
        <f t="shared" si="6"/>
        <v>1476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01461</v>
      </c>
      <c r="B113" s="16">
        <f t="shared" si="6"/>
        <v>117</v>
      </c>
      <c r="C113" s="16">
        <f t="shared" si="6"/>
        <v>0</v>
      </c>
      <c r="D113" s="16">
        <f t="shared" si="6"/>
        <v>146</v>
      </c>
      <c r="E113" s="16">
        <f t="shared" si="6"/>
        <v>1</v>
      </c>
      <c r="F113" s="16">
        <f t="shared" si="6"/>
        <v>5412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01481</v>
      </c>
      <c r="B114" s="16">
        <f t="shared" si="6"/>
        <v>117</v>
      </c>
      <c r="C114" s="16">
        <f t="shared" si="6"/>
        <v>0</v>
      </c>
      <c r="D114" s="16">
        <f t="shared" si="6"/>
        <v>148</v>
      </c>
      <c r="E114" s="16">
        <f t="shared" si="6"/>
        <v>1</v>
      </c>
      <c r="F114" s="16">
        <f t="shared" si="6"/>
        <v>1476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01501</v>
      </c>
      <c r="B115" s="16">
        <f t="shared" si="6"/>
        <v>117</v>
      </c>
      <c r="C115" s="16">
        <f t="shared" si="6"/>
        <v>0</v>
      </c>
      <c r="D115" s="16">
        <f t="shared" si="6"/>
        <v>150</v>
      </c>
      <c r="E115" s="16">
        <f t="shared" si="6"/>
        <v>1</v>
      </c>
      <c r="F115" s="16">
        <f t="shared" si="6"/>
        <v>1476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01521</v>
      </c>
      <c r="B116" s="16">
        <f t="shared" si="6"/>
        <v>117</v>
      </c>
      <c r="C116" s="16">
        <f t="shared" si="6"/>
        <v>0</v>
      </c>
      <c r="D116" s="16">
        <f t="shared" si="6"/>
        <v>152</v>
      </c>
      <c r="E116" s="16">
        <f t="shared" si="6"/>
        <v>1</v>
      </c>
      <c r="F116" s="16">
        <f t="shared" si="6"/>
        <v>1476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01541</v>
      </c>
      <c r="B117" s="16">
        <f t="shared" si="6"/>
        <v>117</v>
      </c>
      <c r="C117" s="16">
        <f t="shared" si="6"/>
        <v>0</v>
      </c>
      <c r="D117" s="16">
        <f t="shared" si="6"/>
        <v>154</v>
      </c>
      <c r="E117" s="16">
        <f t="shared" si="6"/>
        <v>1</v>
      </c>
      <c r="F117" s="16">
        <f t="shared" si="6"/>
        <v>5412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01561</v>
      </c>
      <c r="B118" s="16">
        <f t="shared" si="6"/>
        <v>117</v>
      </c>
      <c r="C118" s="16">
        <f t="shared" si="6"/>
        <v>0</v>
      </c>
      <c r="D118" s="16">
        <f t="shared" si="6"/>
        <v>156</v>
      </c>
      <c r="E118" s="16">
        <f t="shared" si="6"/>
        <v>1</v>
      </c>
      <c r="F118" s="16">
        <f t="shared" si="6"/>
        <v>1476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01581</v>
      </c>
      <c r="B119" s="16">
        <f t="shared" si="6"/>
        <v>117</v>
      </c>
      <c r="C119" s="16">
        <f t="shared" si="6"/>
        <v>0</v>
      </c>
      <c r="D119" s="16">
        <f t="shared" si="6"/>
        <v>158</v>
      </c>
      <c r="E119" s="16">
        <f t="shared" si="6"/>
        <v>1</v>
      </c>
      <c r="F119" s="16">
        <f t="shared" si="6"/>
        <v>1476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01601</v>
      </c>
      <c r="B120" s="16">
        <f t="shared" si="6"/>
        <v>117</v>
      </c>
      <c r="C120" s="16">
        <f t="shared" si="6"/>
        <v>0</v>
      </c>
      <c r="D120" s="16">
        <f t="shared" si="6"/>
        <v>160</v>
      </c>
      <c r="E120" s="16">
        <f t="shared" si="6"/>
        <v>1</v>
      </c>
      <c r="F120" s="16">
        <f t="shared" si="6"/>
        <v>1476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01621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117</v>
      </c>
      <c r="C121" s="16">
        <f t="shared" si="7"/>
        <v>0</v>
      </c>
      <c r="D121" s="16">
        <f t="shared" si="7"/>
        <v>162</v>
      </c>
      <c r="E121" s="16">
        <f t="shared" si="7"/>
        <v>1</v>
      </c>
      <c r="F121" s="16">
        <f t="shared" si="7"/>
        <v>5412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01641</v>
      </c>
      <c r="B122" s="16">
        <f t="shared" si="7"/>
        <v>117</v>
      </c>
      <c r="C122" s="16">
        <f t="shared" si="7"/>
        <v>0</v>
      </c>
      <c r="D122" s="16">
        <f t="shared" si="7"/>
        <v>164</v>
      </c>
      <c r="E122" s="16">
        <f t="shared" si="7"/>
        <v>1</v>
      </c>
      <c r="F122" s="16">
        <f t="shared" si="7"/>
        <v>1476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01661</v>
      </c>
      <c r="B123" s="16">
        <f t="shared" si="7"/>
        <v>117</v>
      </c>
      <c r="C123" s="16">
        <f t="shared" si="7"/>
        <v>0</v>
      </c>
      <c r="D123" s="16">
        <f t="shared" si="7"/>
        <v>166</v>
      </c>
      <c r="E123" s="16">
        <f t="shared" si="7"/>
        <v>1</v>
      </c>
      <c r="F123" s="16">
        <f t="shared" si="7"/>
        <v>1607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01691</v>
      </c>
      <c r="B124" s="16">
        <f t="shared" si="7"/>
        <v>117</v>
      </c>
      <c r="C124" s="16">
        <f t="shared" si="7"/>
        <v>0</v>
      </c>
      <c r="D124" s="16">
        <f t="shared" si="7"/>
        <v>169</v>
      </c>
      <c r="E124" s="16">
        <f t="shared" si="7"/>
        <v>1</v>
      </c>
      <c r="F124" s="16">
        <f t="shared" si="7"/>
        <v>1607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01721</v>
      </c>
      <c r="B125" s="16">
        <f t="shared" si="7"/>
        <v>117</v>
      </c>
      <c r="C125" s="16">
        <f t="shared" si="7"/>
        <v>0</v>
      </c>
      <c r="D125" s="16">
        <f t="shared" si="7"/>
        <v>172</v>
      </c>
      <c r="E125" s="16">
        <f t="shared" si="7"/>
        <v>1</v>
      </c>
      <c r="F125" s="16">
        <f t="shared" si="7"/>
        <v>5893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01751</v>
      </c>
      <c r="B126" s="16">
        <f t="shared" si="7"/>
        <v>117</v>
      </c>
      <c r="C126" s="16">
        <f t="shared" si="7"/>
        <v>0</v>
      </c>
      <c r="D126" s="16">
        <f t="shared" si="7"/>
        <v>175</v>
      </c>
      <c r="E126" s="16">
        <f t="shared" si="7"/>
        <v>1</v>
      </c>
      <c r="F126" s="16">
        <f t="shared" si="7"/>
        <v>1607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01781</v>
      </c>
      <c r="B127" s="16">
        <f t="shared" si="7"/>
        <v>117</v>
      </c>
      <c r="C127" s="16">
        <f t="shared" si="7"/>
        <v>0</v>
      </c>
      <c r="D127" s="16">
        <f t="shared" si="7"/>
        <v>178</v>
      </c>
      <c r="E127" s="16">
        <f t="shared" si="7"/>
        <v>1</v>
      </c>
      <c r="F127" s="16">
        <f t="shared" si="7"/>
        <v>1607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01811</v>
      </c>
      <c r="B128" s="16">
        <f t="shared" si="7"/>
        <v>117</v>
      </c>
      <c r="C128" s="16">
        <f t="shared" si="7"/>
        <v>0</v>
      </c>
      <c r="D128" s="16">
        <f t="shared" si="7"/>
        <v>181</v>
      </c>
      <c r="E128" s="16">
        <f t="shared" si="7"/>
        <v>1</v>
      </c>
      <c r="F128" s="16">
        <f t="shared" si="7"/>
        <v>1607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01841</v>
      </c>
      <c r="B129" s="16">
        <f t="shared" si="7"/>
        <v>117</v>
      </c>
      <c r="C129" s="16">
        <f t="shared" si="7"/>
        <v>0</v>
      </c>
      <c r="D129" s="16">
        <f t="shared" si="7"/>
        <v>184</v>
      </c>
      <c r="E129" s="16">
        <f t="shared" si="7"/>
        <v>1</v>
      </c>
      <c r="F129" s="16">
        <f t="shared" si="7"/>
        <v>5893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01871</v>
      </c>
      <c r="B130" s="16">
        <f t="shared" si="7"/>
        <v>117</v>
      </c>
      <c r="C130" s="16">
        <f t="shared" si="7"/>
        <v>0</v>
      </c>
      <c r="D130" s="16">
        <f t="shared" si="7"/>
        <v>187</v>
      </c>
      <c r="E130" s="16">
        <f t="shared" si="7"/>
        <v>1</v>
      </c>
      <c r="F130" s="16">
        <f t="shared" si="7"/>
        <v>1607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si="4"/>
        <v>01901</v>
      </c>
      <c r="B131" s="16">
        <f t="shared" si="7"/>
        <v>117</v>
      </c>
      <c r="C131" s="16">
        <f t="shared" si="7"/>
        <v>0</v>
      </c>
      <c r="D131" s="16">
        <f t="shared" si="7"/>
        <v>190</v>
      </c>
      <c r="E131" s="16">
        <f t="shared" si="7"/>
        <v>1</v>
      </c>
      <c r="F131" s="16">
        <f t="shared" si="7"/>
        <v>1607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ref="A132:A195" si="8">INDIRECT(ADDRESS(ROW()+$A$1,COLUMN(),1,TRUE,$C$1))</f>
        <v>01931</v>
      </c>
      <c r="B132" s="16">
        <f t="shared" si="7"/>
        <v>117</v>
      </c>
      <c r="C132" s="16">
        <f t="shared" si="7"/>
        <v>0</v>
      </c>
      <c r="D132" s="16">
        <f t="shared" si="7"/>
        <v>193</v>
      </c>
      <c r="E132" s="16">
        <f t="shared" si="7"/>
        <v>1</v>
      </c>
      <c r="F132" s="16">
        <f t="shared" si="7"/>
        <v>1607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01961</v>
      </c>
      <c r="B133" s="16">
        <f t="shared" si="7"/>
        <v>117</v>
      </c>
      <c r="C133" s="16">
        <f t="shared" si="7"/>
        <v>0</v>
      </c>
      <c r="D133" s="16">
        <f t="shared" si="7"/>
        <v>196</v>
      </c>
      <c r="E133" s="16">
        <f t="shared" si="7"/>
        <v>1</v>
      </c>
      <c r="F133" s="16">
        <f t="shared" si="7"/>
        <v>1607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01991</v>
      </c>
      <c r="B134" s="16">
        <f t="shared" si="7"/>
        <v>117</v>
      </c>
      <c r="C134" s="16">
        <f t="shared" si="7"/>
        <v>0</v>
      </c>
      <c r="D134" s="16">
        <f t="shared" si="7"/>
        <v>199</v>
      </c>
      <c r="E134" s="16">
        <f t="shared" si="7"/>
        <v>1</v>
      </c>
      <c r="F134" s="16">
        <f t="shared" si="7"/>
        <v>5893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02021</v>
      </c>
      <c r="B135" s="16">
        <f t="shared" si="7"/>
        <v>117</v>
      </c>
      <c r="C135" s="16">
        <f t="shared" si="7"/>
        <v>0</v>
      </c>
      <c r="D135" s="16">
        <f t="shared" si="7"/>
        <v>202</v>
      </c>
      <c r="E135" s="16">
        <f t="shared" si="7"/>
        <v>1</v>
      </c>
      <c r="F135" s="16">
        <f t="shared" si="7"/>
        <v>1607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02051</v>
      </c>
      <c r="B136" s="16">
        <f t="shared" si="7"/>
        <v>117</v>
      </c>
      <c r="C136" s="16">
        <f t="shared" si="7"/>
        <v>0</v>
      </c>
      <c r="D136" s="16">
        <f t="shared" si="7"/>
        <v>205</v>
      </c>
      <c r="E136" s="16">
        <f t="shared" si="7"/>
        <v>1</v>
      </c>
      <c r="F136" s="16">
        <f t="shared" si="7"/>
        <v>1607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02081</v>
      </c>
      <c r="B137" s="16">
        <f t="shared" si="7"/>
        <v>117</v>
      </c>
      <c r="C137" s="16">
        <f t="shared" si="7"/>
        <v>0</v>
      </c>
      <c r="D137" s="16">
        <f t="shared" si="7"/>
        <v>208</v>
      </c>
      <c r="E137" s="16">
        <f t="shared" si="7"/>
        <v>1</v>
      </c>
      <c r="F137" s="16">
        <f t="shared" si="7"/>
        <v>5893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02111</v>
      </c>
      <c r="B138" s="16">
        <f t="shared" si="7"/>
        <v>117</v>
      </c>
      <c r="C138" s="16">
        <f t="shared" si="7"/>
        <v>0</v>
      </c>
      <c r="D138" s="16">
        <f t="shared" si="7"/>
        <v>211</v>
      </c>
      <c r="E138" s="16">
        <f t="shared" si="7"/>
        <v>1</v>
      </c>
      <c r="F138" s="16">
        <f t="shared" si="7"/>
        <v>1607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02141</v>
      </c>
      <c r="B139" s="16">
        <f t="shared" si="7"/>
        <v>117</v>
      </c>
      <c r="C139" s="16">
        <f t="shared" si="7"/>
        <v>0</v>
      </c>
      <c r="D139" s="16">
        <f t="shared" si="7"/>
        <v>214</v>
      </c>
      <c r="E139" s="16">
        <f t="shared" si="7"/>
        <v>1</v>
      </c>
      <c r="F139" s="16">
        <f t="shared" si="7"/>
        <v>1607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02171</v>
      </c>
      <c r="B140" s="16">
        <f t="shared" si="7"/>
        <v>117</v>
      </c>
      <c r="C140" s="16">
        <f t="shared" si="7"/>
        <v>0</v>
      </c>
      <c r="D140" s="16">
        <f t="shared" si="7"/>
        <v>217</v>
      </c>
      <c r="E140" s="16">
        <f t="shared" si="7"/>
        <v>1</v>
      </c>
      <c r="F140" s="16">
        <f t="shared" si="7"/>
        <v>1607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02201</v>
      </c>
      <c r="B141" s="16">
        <f t="shared" si="7"/>
        <v>117</v>
      </c>
      <c r="C141" s="16">
        <f t="shared" si="7"/>
        <v>0</v>
      </c>
      <c r="D141" s="16">
        <f t="shared" si="7"/>
        <v>220</v>
      </c>
      <c r="E141" s="16">
        <f t="shared" si="7"/>
        <v>1</v>
      </c>
      <c r="F141" s="16">
        <f t="shared" si="7"/>
        <v>5893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02231</v>
      </c>
      <c r="B142" s="16">
        <f t="shared" si="7"/>
        <v>117</v>
      </c>
      <c r="C142" s="16">
        <f t="shared" si="7"/>
        <v>0</v>
      </c>
      <c r="D142" s="16">
        <f t="shared" si="7"/>
        <v>223</v>
      </c>
      <c r="E142" s="16">
        <f t="shared" si="7"/>
        <v>1</v>
      </c>
      <c r="F142" s="16">
        <f t="shared" si="7"/>
        <v>1607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02261</v>
      </c>
      <c r="B143" s="16">
        <f t="shared" si="7"/>
        <v>117</v>
      </c>
      <c r="C143" s="16">
        <f t="shared" si="7"/>
        <v>0</v>
      </c>
      <c r="D143" s="16">
        <f t="shared" si="7"/>
        <v>226</v>
      </c>
      <c r="E143" s="16">
        <f t="shared" si="7"/>
        <v>1</v>
      </c>
      <c r="F143" s="16">
        <f t="shared" si="7"/>
        <v>268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02291</v>
      </c>
      <c r="B144" s="16">
        <f t="shared" si="7"/>
        <v>117</v>
      </c>
      <c r="C144" s="16">
        <f t="shared" si="7"/>
        <v>0</v>
      </c>
      <c r="D144" s="16">
        <f t="shared" si="7"/>
        <v>229</v>
      </c>
      <c r="E144" s="16">
        <f t="shared" si="7"/>
        <v>1</v>
      </c>
      <c r="F144" s="16">
        <f t="shared" si="7"/>
        <v>268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02321</v>
      </c>
      <c r="B145" s="16">
        <f t="shared" si="7"/>
        <v>117</v>
      </c>
      <c r="C145" s="16">
        <f t="shared" si="7"/>
        <v>0</v>
      </c>
      <c r="D145" s="16">
        <f t="shared" si="7"/>
        <v>232</v>
      </c>
      <c r="E145" s="16">
        <f t="shared" si="7"/>
        <v>1</v>
      </c>
      <c r="F145" s="16">
        <f t="shared" si="7"/>
        <v>1203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02351</v>
      </c>
      <c r="B146" s="16">
        <f t="shared" si="7"/>
        <v>117</v>
      </c>
      <c r="C146" s="16">
        <f t="shared" si="7"/>
        <v>0</v>
      </c>
      <c r="D146" s="16">
        <f t="shared" si="7"/>
        <v>235</v>
      </c>
      <c r="E146" s="16">
        <f t="shared" si="7"/>
        <v>1</v>
      </c>
      <c r="F146" s="16">
        <f t="shared" si="7"/>
        <v>268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01271</v>
      </c>
      <c r="B147" s="16">
        <f t="shared" si="9"/>
        <v>117</v>
      </c>
      <c r="C147" s="16">
        <f t="shared" si="9"/>
        <v>0</v>
      </c>
      <c r="D147" s="16">
        <f t="shared" si="9"/>
        <v>127</v>
      </c>
      <c r="E147" s="16">
        <f t="shared" si="9"/>
        <v>1</v>
      </c>
      <c r="F147" s="16">
        <f t="shared" si="9"/>
        <v>497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01291</v>
      </c>
      <c r="B148" s="16">
        <f t="shared" si="9"/>
        <v>117</v>
      </c>
      <c r="C148" s="16">
        <f t="shared" si="9"/>
        <v>0</v>
      </c>
      <c r="D148" s="16">
        <f t="shared" si="9"/>
        <v>129</v>
      </c>
      <c r="E148" s="16">
        <f t="shared" si="9"/>
        <v>1</v>
      </c>
      <c r="F148" s="16">
        <f t="shared" si="9"/>
        <v>497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01311</v>
      </c>
      <c r="B149" s="16">
        <f t="shared" si="9"/>
        <v>117</v>
      </c>
      <c r="C149" s="16">
        <f t="shared" si="9"/>
        <v>0</v>
      </c>
      <c r="D149" s="16">
        <f t="shared" si="9"/>
        <v>131</v>
      </c>
      <c r="E149" s="16">
        <f t="shared" si="9"/>
        <v>1</v>
      </c>
      <c r="F149" s="16">
        <f t="shared" si="9"/>
        <v>1821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01331</v>
      </c>
      <c r="B150" s="16">
        <f t="shared" si="9"/>
        <v>117</v>
      </c>
      <c r="C150" s="16">
        <f t="shared" si="9"/>
        <v>0</v>
      </c>
      <c r="D150" s="16">
        <f t="shared" si="9"/>
        <v>133</v>
      </c>
      <c r="E150" s="16">
        <f t="shared" si="9"/>
        <v>1</v>
      </c>
      <c r="F150" s="16">
        <f t="shared" si="9"/>
        <v>497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01351</v>
      </c>
      <c r="B151" s="16">
        <f t="shared" si="9"/>
        <v>117</v>
      </c>
      <c r="C151" s="16">
        <f t="shared" si="9"/>
        <v>0</v>
      </c>
      <c r="D151" s="16">
        <f t="shared" si="9"/>
        <v>135</v>
      </c>
      <c r="E151" s="16">
        <f t="shared" si="9"/>
        <v>1</v>
      </c>
      <c r="F151" s="16">
        <f t="shared" si="9"/>
        <v>497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01371</v>
      </c>
      <c r="B152" s="16">
        <f t="shared" si="9"/>
        <v>117</v>
      </c>
      <c r="C152" s="16">
        <f t="shared" si="9"/>
        <v>0</v>
      </c>
      <c r="D152" s="16">
        <f t="shared" si="9"/>
        <v>137</v>
      </c>
      <c r="E152" s="16">
        <f t="shared" si="9"/>
        <v>1</v>
      </c>
      <c r="F152" s="16">
        <f t="shared" si="9"/>
        <v>497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01391</v>
      </c>
      <c r="B153" s="16">
        <f t="shared" si="9"/>
        <v>117</v>
      </c>
      <c r="C153" s="16">
        <f t="shared" si="9"/>
        <v>0</v>
      </c>
      <c r="D153" s="16">
        <f t="shared" si="9"/>
        <v>139</v>
      </c>
      <c r="E153" s="16">
        <f t="shared" si="9"/>
        <v>1</v>
      </c>
      <c r="F153" s="16">
        <f t="shared" si="9"/>
        <v>1821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01411</v>
      </c>
      <c r="B154" s="16">
        <f t="shared" si="9"/>
        <v>117</v>
      </c>
      <c r="C154" s="16">
        <f t="shared" si="9"/>
        <v>0</v>
      </c>
      <c r="D154" s="16">
        <f t="shared" si="9"/>
        <v>141</v>
      </c>
      <c r="E154" s="16">
        <f t="shared" si="9"/>
        <v>1</v>
      </c>
      <c r="F154" s="16">
        <f t="shared" si="9"/>
        <v>497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01431</v>
      </c>
      <c r="B155" s="16">
        <f t="shared" si="9"/>
        <v>117</v>
      </c>
      <c r="C155" s="16">
        <f t="shared" si="9"/>
        <v>0</v>
      </c>
      <c r="D155" s="16">
        <f t="shared" si="9"/>
        <v>143</v>
      </c>
      <c r="E155" s="16">
        <f t="shared" si="9"/>
        <v>1</v>
      </c>
      <c r="F155" s="16">
        <f t="shared" si="9"/>
        <v>497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01451</v>
      </c>
      <c r="B156" s="16">
        <f t="shared" si="9"/>
        <v>117</v>
      </c>
      <c r="C156" s="16">
        <f t="shared" si="9"/>
        <v>0</v>
      </c>
      <c r="D156" s="16">
        <f t="shared" si="9"/>
        <v>145</v>
      </c>
      <c r="E156" s="16">
        <f t="shared" si="9"/>
        <v>1</v>
      </c>
      <c r="F156" s="16">
        <f t="shared" si="9"/>
        <v>497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01471</v>
      </c>
      <c r="B157" s="16">
        <f t="shared" si="9"/>
        <v>117</v>
      </c>
      <c r="C157" s="16">
        <f t="shared" si="9"/>
        <v>0</v>
      </c>
      <c r="D157" s="16">
        <f t="shared" si="9"/>
        <v>147</v>
      </c>
      <c r="E157" s="16">
        <f t="shared" si="9"/>
        <v>1</v>
      </c>
      <c r="F157" s="16">
        <f t="shared" si="9"/>
        <v>1821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01491</v>
      </c>
      <c r="B158" s="16">
        <f t="shared" si="9"/>
        <v>117</v>
      </c>
      <c r="C158" s="16">
        <f t="shared" si="9"/>
        <v>0</v>
      </c>
      <c r="D158" s="16">
        <f t="shared" si="9"/>
        <v>149</v>
      </c>
      <c r="E158" s="16">
        <f t="shared" si="9"/>
        <v>1</v>
      </c>
      <c r="F158" s="16">
        <f t="shared" si="9"/>
        <v>497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01511</v>
      </c>
      <c r="B159" s="16">
        <f t="shared" si="9"/>
        <v>117</v>
      </c>
      <c r="C159" s="16">
        <f t="shared" si="9"/>
        <v>0</v>
      </c>
      <c r="D159" s="16">
        <f t="shared" si="9"/>
        <v>151</v>
      </c>
      <c r="E159" s="16">
        <f t="shared" si="9"/>
        <v>1</v>
      </c>
      <c r="F159" s="16">
        <f t="shared" si="9"/>
        <v>497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01531</v>
      </c>
      <c r="B160" s="16">
        <f t="shared" si="9"/>
        <v>117</v>
      </c>
      <c r="C160" s="16">
        <f t="shared" si="9"/>
        <v>0</v>
      </c>
      <c r="D160" s="16">
        <f t="shared" si="9"/>
        <v>153</v>
      </c>
      <c r="E160" s="16">
        <f t="shared" si="9"/>
        <v>1</v>
      </c>
      <c r="F160" s="16">
        <f t="shared" si="9"/>
        <v>497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01551</v>
      </c>
      <c r="B161" s="16">
        <f t="shared" si="9"/>
        <v>117</v>
      </c>
      <c r="C161" s="16">
        <f t="shared" si="9"/>
        <v>0</v>
      </c>
      <c r="D161" s="16">
        <f t="shared" si="9"/>
        <v>155</v>
      </c>
      <c r="E161" s="16">
        <f t="shared" si="9"/>
        <v>1</v>
      </c>
      <c r="F161" s="16">
        <f t="shared" si="9"/>
        <v>1821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01571</v>
      </c>
      <c r="B162" s="16">
        <f t="shared" si="9"/>
        <v>117</v>
      </c>
      <c r="C162" s="16">
        <f t="shared" si="9"/>
        <v>0</v>
      </c>
      <c r="D162" s="16">
        <f t="shared" si="9"/>
        <v>157</v>
      </c>
      <c r="E162" s="16">
        <f t="shared" si="9"/>
        <v>1</v>
      </c>
      <c r="F162" s="16">
        <f t="shared" si="9"/>
        <v>497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01591</v>
      </c>
      <c r="B163" s="16">
        <f t="shared" si="9"/>
        <v>117</v>
      </c>
      <c r="C163" s="16">
        <f t="shared" si="9"/>
        <v>0</v>
      </c>
      <c r="D163" s="16">
        <f t="shared" si="9"/>
        <v>159</v>
      </c>
      <c r="E163" s="16">
        <f t="shared" si="9"/>
        <v>1</v>
      </c>
      <c r="F163" s="16">
        <f t="shared" si="9"/>
        <v>497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01611</v>
      </c>
      <c r="B164" s="16">
        <f t="shared" si="9"/>
        <v>117</v>
      </c>
      <c r="C164" s="16">
        <f t="shared" si="9"/>
        <v>0</v>
      </c>
      <c r="D164" s="16">
        <f t="shared" si="9"/>
        <v>161</v>
      </c>
      <c r="E164" s="16">
        <f t="shared" si="9"/>
        <v>1</v>
      </c>
      <c r="F164" s="16">
        <f t="shared" si="9"/>
        <v>497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01631</v>
      </c>
      <c r="B165" s="16">
        <f t="shared" si="9"/>
        <v>117</v>
      </c>
      <c r="C165" s="16">
        <f t="shared" si="9"/>
        <v>0</v>
      </c>
      <c r="D165" s="16">
        <f t="shared" si="9"/>
        <v>163</v>
      </c>
      <c r="E165" s="16">
        <f t="shared" si="9"/>
        <v>1</v>
      </c>
      <c r="F165" s="16">
        <f t="shared" si="9"/>
        <v>1821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01651</v>
      </c>
      <c r="B166" s="16">
        <f t="shared" si="9"/>
        <v>117</v>
      </c>
      <c r="C166" s="16">
        <f t="shared" si="9"/>
        <v>0</v>
      </c>
      <c r="D166" s="16">
        <f t="shared" si="9"/>
        <v>165</v>
      </c>
      <c r="E166" s="16">
        <f t="shared" si="9"/>
        <v>1</v>
      </c>
      <c r="F166" s="16">
        <f t="shared" si="9"/>
        <v>497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01671</v>
      </c>
      <c r="B167" s="16">
        <f t="shared" si="9"/>
        <v>117</v>
      </c>
      <c r="C167" s="16">
        <f t="shared" si="9"/>
        <v>0</v>
      </c>
      <c r="D167" s="16">
        <f t="shared" si="9"/>
        <v>167</v>
      </c>
      <c r="E167" s="16">
        <f t="shared" si="9"/>
        <v>1</v>
      </c>
      <c r="F167" s="16">
        <f t="shared" si="9"/>
        <v>508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01701</v>
      </c>
      <c r="B168" s="16">
        <f t="shared" si="9"/>
        <v>117</v>
      </c>
      <c r="C168" s="16">
        <f t="shared" si="9"/>
        <v>0</v>
      </c>
      <c r="D168" s="16">
        <f t="shared" si="9"/>
        <v>170</v>
      </c>
      <c r="E168" s="16">
        <f t="shared" si="9"/>
        <v>1</v>
      </c>
      <c r="F168" s="16">
        <f t="shared" si="9"/>
        <v>508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01731</v>
      </c>
      <c r="B169" s="16">
        <f t="shared" si="9"/>
        <v>117</v>
      </c>
      <c r="C169" s="16">
        <f t="shared" si="9"/>
        <v>0</v>
      </c>
      <c r="D169" s="16">
        <f t="shared" si="9"/>
        <v>173</v>
      </c>
      <c r="E169" s="16">
        <f t="shared" si="9"/>
        <v>1</v>
      </c>
      <c r="F169" s="16">
        <f t="shared" si="9"/>
        <v>1863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01761</v>
      </c>
      <c r="B170" s="16">
        <f t="shared" si="9"/>
        <v>117</v>
      </c>
      <c r="C170" s="16">
        <f t="shared" si="9"/>
        <v>0</v>
      </c>
      <c r="D170" s="16">
        <f t="shared" si="9"/>
        <v>176</v>
      </c>
      <c r="E170" s="16">
        <f t="shared" si="9"/>
        <v>1</v>
      </c>
      <c r="F170" s="16">
        <f t="shared" si="9"/>
        <v>508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01791</v>
      </c>
      <c r="B171" s="16">
        <f t="shared" si="9"/>
        <v>117</v>
      </c>
      <c r="C171" s="16">
        <f t="shared" si="9"/>
        <v>0</v>
      </c>
      <c r="D171" s="16">
        <f t="shared" si="9"/>
        <v>179</v>
      </c>
      <c r="E171" s="16">
        <f t="shared" si="9"/>
        <v>1</v>
      </c>
      <c r="F171" s="16">
        <f t="shared" si="9"/>
        <v>508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01821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117</v>
      </c>
      <c r="C172" s="16">
        <f t="shared" si="10"/>
        <v>0</v>
      </c>
      <c r="D172" s="16">
        <f t="shared" si="10"/>
        <v>182</v>
      </c>
      <c r="E172" s="16">
        <f t="shared" si="10"/>
        <v>1</v>
      </c>
      <c r="F172" s="16">
        <f t="shared" si="10"/>
        <v>508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01851</v>
      </c>
      <c r="B173" s="16">
        <f t="shared" si="10"/>
        <v>117</v>
      </c>
      <c r="C173" s="16">
        <f t="shared" si="10"/>
        <v>0</v>
      </c>
      <c r="D173" s="16">
        <f t="shared" si="10"/>
        <v>185</v>
      </c>
      <c r="E173" s="16">
        <f t="shared" si="10"/>
        <v>1</v>
      </c>
      <c r="F173" s="16">
        <f t="shared" si="10"/>
        <v>1863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01881</v>
      </c>
      <c r="B174" s="16">
        <f t="shared" si="10"/>
        <v>117</v>
      </c>
      <c r="C174" s="16">
        <f t="shared" si="10"/>
        <v>0</v>
      </c>
      <c r="D174" s="16">
        <f t="shared" si="10"/>
        <v>188</v>
      </c>
      <c r="E174" s="16">
        <f t="shared" si="10"/>
        <v>1</v>
      </c>
      <c r="F174" s="16">
        <f t="shared" si="10"/>
        <v>508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01911</v>
      </c>
      <c r="B175" s="16">
        <f t="shared" si="10"/>
        <v>117</v>
      </c>
      <c r="C175" s="16">
        <f t="shared" si="10"/>
        <v>0</v>
      </c>
      <c r="D175" s="16">
        <f t="shared" si="10"/>
        <v>191</v>
      </c>
      <c r="E175" s="16">
        <f t="shared" si="10"/>
        <v>1</v>
      </c>
      <c r="F175" s="16">
        <f t="shared" si="10"/>
        <v>508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01941</v>
      </c>
      <c r="B176" s="16">
        <f t="shared" si="10"/>
        <v>117</v>
      </c>
      <c r="C176" s="16">
        <f t="shared" si="10"/>
        <v>0</v>
      </c>
      <c r="D176" s="16">
        <f t="shared" si="10"/>
        <v>194</v>
      </c>
      <c r="E176" s="16">
        <f t="shared" si="10"/>
        <v>1</v>
      </c>
      <c r="F176" s="16">
        <f t="shared" si="10"/>
        <v>508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01971</v>
      </c>
      <c r="B177" s="16">
        <f t="shared" si="10"/>
        <v>117</v>
      </c>
      <c r="C177" s="16">
        <f t="shared" si="10"/>
        <v>0</v>
      </c>
      <c r="D177" s="16">
        <f t="shared" si="10"/>
        <v>197</v>
      </c>
      <c r="E177" s="16">
        <f t="shared" si="10"/>
        <v>1</v>
      </c>
      <c r="F177" s="16">
        <f t="shared" si="10"/>
        <v>508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02001</v>
      </c>
      <c r="B178" s="16">
        <f t="shared" si="10"/>
        <v>117</v>
      </c>
      <c r="C178" s="16">
        <f t="shared" si="10"/>
        <v>0</v>
      </c>
      <c r="D178" s="16">
        <f t="shared" si="10"/>
        <v>200</v>
      </c>
      <c r="E178" s="16">
        <f t="shared" si="10"/>
        <v>1</v>
      </c>
      <c r="F178" s="16">
        <f t="shared" si="10"/>
        <v>1863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02031</v>
      </c>
      <c r="B179" s="16">
        <f t="shared" si="10"/>
        <v>117</v>
      </c>
      <c r="C179" s="16">
        <f t="shared" si="10"/>
        <v>0</v>
      </c>
      <c r="D179" s="16">
        <f t="shared" si="10"/>
        <v>203</v>
      </c>
      <c r="E179" s="16">
        <f t="shared" si="10"/>
        <v>1</v>
      </c>
      <c r="F179" s="16">
        <f t="shared" si="10"/>
        <v>508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02061</v>
      </c>
      <c r="B180" s="16">
        <f t="shared" si="10"/>
        <v>117</v>
      </c>
      <c r="C180" s="16">
        <f t="shared" si="10"/>
        <v>0</v>
      </c>
      <c r="D180" s="16">
        <f t="shared" si="10"/>
        <v>206</v>
      </c>
      <c r="E180" s="16">
        <f t="shared" si="10"/>
        <v>1</v>
      </c>
      <c r="F180" s="16">
        <f t="shared" si="10"/>
        <v>508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02091</v>
      </c>
      <c r="B181" s="16">
        <f t="shared" si="10"/>
        <v>117</v>
      </c>
      <c r="C181" s="16">
        <f t="shared" si="10"/>
        <v>0</v>
      </c>
      <c r="D181" s="16">
        <f t="shared" si="10"/>
        <v>209</v>
      </c>
      <c r="E181" s="16">
        <f t="shared" si="10"/>
        <v>1</v>
      </c>
      <c r="F181" s="16">
        <f t="shared" si="10"/>
        <v>1863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02121</v>
      </c>
      <c r="B182" s="16">
        <f t="shared" si="10"/>
        <v>117</v>
      </c>
      <c r="C182" s="16">
        <f t="shared" si="10"/>
        <v>0</v>
      </c>
      <c r="D182" s="16">
        <f t="shared" si="10"/>
        <v>212</v>
      </c>
      <c r="E182" s="16">
        <f t="shared" si="10"/>
        <v>1</v>
      </c>
      <c r="F182" s="16">
        <f t="shared" si="10"/>
        <v>508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02151</v>
      </c>
      <c r="B183" s="16">
        <f t="shared" si="10"/>
        <v>117</v>
      </c>
      <c r="C183" s="16">
        <f t="shared" si="10"/>
        <v>0</v>
      </c>
      <c r="D183" s="16">
        <f t="shared" si="10"/>
        <v>215</v>
      </c>
      <c r="E183" s="16">
        <f t="shared" si="10"/>
        <v>1</v>
      </c>
      <c r="F183" s="16">
        <f t="shared" si="10"/>
        <v>508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02181</v>
      </c>
      <c r="B184" s="16">
        <f t="shared" si="10"/>
        <v>117</v>
      </c>
      <c r="C184" s="16">
        <f t="shared" si="10"/>
        <v>0</v>
      </c>
      <c r="D184" s="16">
        <f t="shared" si="10"/>
        <v>218</v>
      </c>
      <c r="E184" s="16">
        <f t="shared" si="10"/>
        <v>1</v>
      </c>
      <c r="F184" s="16">
        <f t="shared" si="10"/>
        <v>508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02211</v>
      </c>
      <c r="B185" s="16">
        <f t="shared" si="10"/>
        <v>117</v>
      </c>
      <c r="C185" s="16">
        <f t="shared" si="10"/>
        <v>0</v>
      </c>
      <c r="D185" s="16">
        <f t="shared" si="10"/>
        <v>221</v>
      </c>
      <c r="E185" s="16">
        <f t="shared" si="10"/>
        <v>1</v>
      </c>
      <c r="F185" s="16">
        <f t="shared" si="10"/>
        <v>1863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02241</v>
      </c>
      <c r="B186" s="16">
        <f t="shared" si="10"/>
        <v>117</v>
      </c>
      <c r="C186" s="16">
        <f t="shared" si="10"/>
        <v>0</v>
      </c>
      <c r="D186" s="16">
        <f t="shared" si="10"/>
        <v>224</v>
      </c>
      <c r="E186" s="16">
        <f t="shared" si="10"/>
        <v>1</v>
      </c>
      <c r="F186" s="16">
        <f t="shared" si="10"/>
        <v>508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02271</v>
      </c>
      <c r="B187" s="16">
        <f t="shared" si="10"/>
        <v>117</v>
      </c>
      <c r="C187" s="16">
        <f t="shared" si="10"/>
        <v>0</v>
      </c>
      <c r="D187" s="16">
        <f t="shared" si="10"/>
        <v>227</v>
      </c>
      <c r="E187" s="16">
        <f t="shared" si="10"/>
        <v>1</v>
      </c>
      <c r="F187" s="16">
        <f t="shared" si="10"/>
        <v>95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02301</v>
      </c>
      <c r="B188" s="16">
        <f t="shared" si="10"/>
        <v>117</v>
      </c>
      <c r="C188" s="16">
        <f t="shared" si="10"/>
        <v>0</v>
      </c>
      <c r="D188" s="16">
        <f t="shared" si="10"/>
        <v>230</v>
      </c>
      <c r="E188" s="16">
        <f t="shared" si="10"/>
        <v>1</v>
      </c>
      <c r="F188" s="16">
        <f t="shared" si="10"/>
        <v>95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02331</v>
      </c>
      <c r="B189" s="16">
        <f t="shared" si="10"/>
        <v>117</v>
      </c>
      <c r="C189" s="16">
        <f t="shared" si="10"/>
        <v>0</v>
      </c>
      <c r="D189" s="16">
        <f t="shared" si="10"/>
        <v>233</v>
      </c>
      <c r="E189" s="16">
        <f t="shared" si="10"/>
        <v>1</v>
      </c>
      <c r="F189" s="16">
        <f t="shared" si="10"/>
        <v>424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02361</v>
      </c>
      <c r="B190" s="16">
        <f t="shared" si="10"/>
        <v>117</v>
      </c>
      <c r="C190" s="16">
        <f t="shared" si="10"/>
        <v>0</v>
      </c>
      <c r="D190" s="16">
        <f t="shared" si="10"/>
        <v>236</v>
      </c>
      <c r="E190" s="16">
        <f t="shared" si="10"/>
        <v>1</v>
      </c>
      <c r="F190" s="16">
        <f t="shared" si="10"/>
        <v>95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01681</v>
      </c>
      <c r="B191" s="16">
        <f t="shared" si="10"/>
        <v>117</v>
      </c>
      <c r="C191" s="16">
        <f t="shared" si="10"/>
        <v>0</v>
      </c>
      <c r="D191" s="16">
        <f t="shared" si="10"/>
        <v>168</v>
      </c>
      <c r="E191" s="16">
        <f t="shared" si="10"/>
        <v>1</v>
      </c>
      <c r="F191" s="16">
        <f t="shared" si="10"/>
        <v>164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01711</v>
      </c>
      <c r="B192" s="16">
        <f t="shared" si="10"/>
        <v>117</v>
      </c>
      <c r="C192" s="16">
        <f t="shared" si="10"/>
        <v>0</v>
      </c>
      <c r="D192" s="16">
        <f t="shared" si="10"/>
        <v>171</v>
      </c>
      <c r="E192" s="16">
        <f t="shared" si="10"/>
        <v>1</v>
      </c>
      <c r="F192" s="16">
        <f t="shared" si="10"/>
        <v>164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01741</v>
      </c>
      <c r="B193" s="16">
        <f t="shared" si="10"/>
        <v>117</v>
      </c>
      <c r="C193" s="16">
        <f t="shared" si="10"/>
        <v>0</v>
      </c>
      <c r="D193" s="16">
        <f t="shared" si="10"/>
        <v>174</v>
      </c>
      <c r="E193" s="16">
        <f t="shared" si="10"/>
        <v>1</v>
      </c>
      <c r="F193" s="16">
        <f t="shared" si="10"/>
        <v>603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01771</v>
      </c>
      <c r="B194" s="16">
        <f t="shared" si="10"/>
        <v>117</v>
      </c>
      <c r="C194" s="16">
        <f t="shared" si="10"/>
        <v>0</v>
      </c>
      <c r="D194" s="16">
        <f t="shared" si="10"/>
        <v>177</v>
      </c>
      <c r="E194" s="16">
        <f t="shared" si="10"/>
        <v>1</v>
      </c>
      <c r="F194" s="16">
        <f t="shared" si="10"/>
        <v>164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si="8"/>
        <v>01801</v>
      </c>
      <c r="B195" s="16">
        <f t="shared" si="10"/>
        <v>117</v>
      </c>
      <c r="C195" s="16">
        <f t="shared" si="10"/>
        <v>0</v>
      </c>
      <c r="D195" s="16">
        <f t="shared" si="10"/>
        <v>180</v>
      </c>
      <c r="E195" s="16">
        <f t="shared" si="10"/>
        <v>1</v>
      </c>
      <c r="F195" s="16">
        <f t="shared" si="10"/>
        <v>164</v>
      </c>
      <c r="G195" s="16">
        <f t="shared" si="10"/>
        <v>0</v>
      </c>
      <c r="H195" s="16">
        <f t="shared" si="10"/>
        <v>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ref="A196:A256" si="11">INDIRECT(ADDRESS(ROW()+$A$1,COLUMN(),1,TRUE,$C$1))</f>
        <v>01831</v>
      </c>
      <c r="B196" s="16">
        <f t="shared" si="10"/>
        <v>117</v>
      </c>
      <c r="C196" s="16">
        <f t="shared" si="10"/>
        <v>0</v>
      </c>
      <c r="D196" s="16">
        <f t="shared" si="10"/>
        <v>183</v>
      </c>
      <c r="E196" s="16">
        <f t="shared" si="10"/>
        <v>1</v>
      </c>
      <c r="F196" s="16">
        <f t="shared" si="10"/>
        <v>164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01861</v>
      </c>
      <c r="B197" s="16">
        <f t="shared" si="10"/>
        <v>117</v>
      </c>
      <c r="C197" s="16">
        <f t="shared" si="10"/>
        <v>0</v>
      </c>
      <c r="D197" s="16">
        <f t="shared" si="10"/>
        <v>186</v>
      </c>
      <c r="E197" s="16">
        <f t="shared" si="10"/>
        <v>1</v>
      </c>
      <c r="F197" s="16">
        <f t="shared" si="10"/>
        <v>603</v>
      </c>
      <c r="G197" s="16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01891</v>
      </c>
      <c r="B198" s="16">
        <f t="shared" si="12"/>
        <v>117</v>
      </c>
      <c r="C198" s="16">
        <f t="shared" si="12"/>
        <v>0</v>
      </c>
      <c r="D198" s="16">
        <f t="shared" si="12"/>
        <v>189</v>
      </c>
      <c r="E198" s="16">
        <f t="shared" si="12"/>
        <v>1</v>
      </c>
      <c r="F198" s="16">
        <f t="shared" si="12"/>
        <v>164</v>
      </c>
      <c r="G198" s="16">
        <f t="shared" si="12"/>
        <v>0</v>
      </c>
      <c r="H198" s="16">
        <f t="shared" si="12"/>
        <v>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01921</v>
      </c>
      <c r="B199" s="16">
        <f t="shared" si="12"/>
        <v>117</v>
      </c>
      <c r="C199" s="16">
        <f t="shared" si="12"/>
        <v>0</v>
      </c>
      <c r="D199" s="16">
        <f t="shared" si="12"/>
        <v>192</v>
      </c>
      <c r="E199" s="16">
        <f t="shared" si="12"/>
        <v>1</v>
      </c>
      <c r="F199" s="16">
        <f t="shared" si="12"/>
        <v>164</v>
      </c>
      <c r="G199" s="16">
        <f t="shared" si="12"/>
        <v>0</v>
      </c>
      <c r="H199" s="16">
        <f t="shared" si="12"/>
        <v>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01951</v>
      </c>
      <c r="B200" s="16">
        <f t="shared" si="12"/>
        <v>117</v>
      </c>
      <c r="C200" s="16">
        <f t="shared" si="12"/>
        <v>0</v>
      </c>
      <c r="D200" s="16">
        <f t="shared" si="12"/>
        <v>195</v>
      </c>
      <c r="E200" s="16">
        <f t="shared" si="12"/>
        <v>1</v>
      </c>
      <c r="F200" s="16">
        <f t="shared" si="12"/>
        <v>164</v>
      </c>
      <c r="G200" s="16">
        <f t="shared" si="12"/>
        <v>0</v>
      </c>
      <c r="H200" s="16">
        <f t="shared" si="12"/>
        <v>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01981</v>
      </c>
      <c r="B201" s="16">
        <f t="shared" si="12"/>
        <v>117</v>
      </c>
      <c r="C201" s="16">
        <f t="shared" si="12"/>
        <v>0</v>
      </c>
      <c r="D201" s="16">
        <f t="shared" si="12"/>
        <v>198</v>
      </c>
      <c r="E201" s="16">
        <f t="shared" si="12"/>
        <v>1</v>
      </c>
      <c r="F201" s="16">
        <f t="shared" si="12"/>
        <v>164</v>
      </c>
      <c r="G201" s="16">
        <f t="shared" si="12"/>
        <v>0</v>
      </c>
      <c r="H201" s="16">
        <f t="shared" si="12"/>
        <v>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02011</v>
      </c>
      <c r="B202" s="16">
        <f t="shared" si="12"/>
        <v>117</v>
      </c>
      <c r="C202" s="16">
        <f t="shared" si="12"/>
        <v>0</v>
      </c>
      <c r="D202" s="16">
        <f t="shared" si="12"/>
        <v>201</v>
      </c>
      <c r="E202" s="16">
        <f t="shared" si="12"/>
        <v>1</v>
      </c>
      <c r="F202" s="16">
        <f t="shared" si="12"/>
        <v>603</v>
      </c>
      <c r="G202" s="16">
        <f t="shared" si="12"/>
        <v>0</v>
      </c>
      <c r="H202" s="16">
        <f t="shared" si="12"/>
        <v>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02041</v>
      </c>
      <c r="B203" s="16">
        <f t="shared" si="12"/>
        <v>117</v>
      </c>
      <c r="C203" s="16">
        <f t="shared" si="12"/>
        <v>0</v>
      </c>
      <c r="D203" s="16">
        <f t="shared" si="12"/>
        <v>204</v>
      </c>
      <c r="E203" s="16">
        <f t="shared" si="12"/>
        <v>1</v>
      </c>
      <c r="F203" s="16">
        <f t="shared" si="12"/>
        <v>164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02071</v>
      </c>
      <c r="B204" s="16">
        <f t="shared" si="12"/>
        <v>117</v>
      </c>
      <c r="C204" s="16">
        <f t="shared" si="12"/>
        <v>0</v>
      </c>
      <c r="D204" s="16">
        <f t="shared" si="12"/>
        <v>207</v>
      </c>
      <c r="E204" s="16">
        <f t="shared" si="12"/>
        <v>1</v>
      </c>
      <c r="F204" s="16">
        <f t="shared" si="12"/>
        <v>164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02101</v>
      </c>
      <c r="B205" s="16">
        <f t="shared" si="12"/>
        <v>117</v>
      </c>
      <c r="C205" s="16">
        <f t="shared" si="12"/>
        <v>0</v>
      </c>
      <c r="D205" s="16">
        <f t="shared" si="12"/>
        <v>210</v>
      </c>
      <c r="E205" s="16">
        <f t="shared" si="12"/>
        <v>1</v>
      </c>
      <c r="F205" s="16">
        <f t="shared" si="12"/>
        <v>603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02131</v>
      </c>
      <c r="B206" s="16">
        <f t="shared" si="12"/>
        <v>117</v>
      </c>
      <c r="C206" s="16">
        <f t="shared" si="12"/>
        <v>0</v>
      </c>
      <c r="D206" s="16">
        <f t="shared" si="12"/>
        <v>213</v>
      </c>
      <c r="E206" s="16">
        <f t="shared" si="12"/>
        <v>1</v>
      </c>
      <c r="F206" s="16">
        <f t="shared" si="12"/>
        <v>164</v>
      </c>
      <c r="G206" s="16">
        <f t="shared" si="12"/>
        <v>0</v>
      </c>
      <c r="H206" s="16">
        <f t="shared" si="12"/>
        <v>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02161</v>
      </c>
      <c r="B207" s="16">
        <f t="shared" si="12"/>
        <v>117</v>
      </c>
      <c r="C207" s="16">
        <f t="shared" si="12"/>
        <v>0</v>
      </c>
      <c r="D207" s="16">
        <f t="shared" si="12"/>
        <v>216</v>
      </c>
      <c r="E207" s="16">
        <f t="shared" si="12"/>
        <v>1</v>
      </c>
      <c r="F207" s="16">
        <f t="shared" si="12"/>
        <v>164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02191</v>
      </c>
      <c r="B208" s="16">
        <f t="shared" si="12"/>
        <v>117</v>
      </c>
      <c r="C208" s="16">
        <f t="shared" si="12"/>
        <v>0</v>
      </c>
      <c r="D208" s="16">
        <f t="shared" si="12"/>
        <v>219</v>
      </c>
      <c r="E208" s="16">
        <f t="shared" si="12"/>
        <v>1</v>
      </c>
      <c r="F208" s="16">
        <f t="shared" si="12"/>
        <v>164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02221</v>
      </c>
      <c r="B209" s="16">
        <f t="shared" si="12"/>
        <v>117</v>
      </c>
      <c r="C209" s="16">
        <f t="shared" si="12"/>
        <v>0</v>
      </c>
      <c r="D209" s="16">
        <f t="shared" si="12"/>
        <v>222</v>
      </c>
      <c r="E209" s="16">
        <f t="shared" si="12"/>
        <v>1</v>
      </c>
      <c r="F209" s="16">
        <f t="shared" si="12"/>
        <v>603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02251</v>
      </c>
      <c r="B210" s="16">
        <f t="shared" si="12"/>
        <v>117</v>
      </c>
      <c r="C210" s="16">
        <f t="shared" si="12"/>
        <v>0</v>
      </c>
      <c r="D210" s="16">
        <f t="shared" si="12"/>
        <v>225</v>
      </c>
      <c r="E210" s="16">
        <f t="shared" si="12"/>
        <v>1</v>
      </c>
      <c r="F210" s="16">
        <f t="shared" si="12"/>
        <v>164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02281</v>
      </c>
      <c r="B211" s="16">
        <f t="shared" si="12"/>
        <v>117</v>
      </c>
      <c r="C211" s="16">
        <f t="shared" si="12"/>
        <v>0</v>
      </c>
      <c r="D211" s="16">
        <f t="shared" si="12"/>
        <v>228</v>
      </c>
      <c r="E211" s="16">
        <f t="shared" si="12"/>
        <v>1</v>
      </c>
      <c r="F211" s="16">
        <f t="shared" si="12"/>
        <v>15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02311</v>
      </c>
      <c r="B212" s="16">
        <f t="shared" si="12"/>
        <v>117</v>
      </c>
      <c r="C212" s="16">
        <f t="shared" si="12"/>
        <v>0</v>
      </c>
      <c r="D212" s="16">
        <f t="shared" si="12"/>
        <v>231</v>
      </c>
      <c r="E212" s="16">
        <f t="shared" si="12"/>
        <v>1</v>
      </c>
      <c r="F212" s="16">
        <f t="shared" si="12"/>
        <v>15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02341</v>
      </c>
      <c r="B213" s="16">
        <f t="shared" si="12"/>
        <v>117</v>
      </c>
      <c r="C213" s="16">
        <f t="shared" si="12"/>
        <v>0</v>
      </c>
      <c r="D213" s="16">
        <f t="shared" si="12"/>
        <v>234</v>
      </c>
      <c r="E213" s="16">
        <f t="shared" si="12"/>
        <v>1</v>
      </c>
      <c r="F213" s="16">
        <f t="shared" si="12"/>
        <v>68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02371</v>
      </c>
      <c r="B214" s="16">
        <f t="shared" si="12"/>
        <v>117</v>
      </c>
      <c r="C214" s="16">
        <f t="shared" si="12"/>
        <v>0</v>
      </c>
      <c r="D214" s="16">
        <f t="shared" si="12"/>
        <v>237</v>
      </c>
      <c r="E214" s="16">
        <f t="shared" si="12"/>
        <v>1</v>
      </c>
      <c r="F214" s="16">
        <f t="shared" si="12"/>
        <v>15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02381</v>
      </c>
      <c r="B215" s="16">
        <f t="shared" si="12"/>
        <v>117</v>
      </c>
      <c r="C215" s="16">
        <f t="shared" si="12"/>
        <v>0</v>
      </c>
      <c r="D215" s="16">
        <f t="shared" si="12"/>
        <v>238</v>
      </c>
      <c r="E215" s="16">
        <f t="shared" si="12"/>
        <v>1</v>
      </c>
      <c r="F215" s="16">
        <f t="shared" si="12"/>
        <v>268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02391</v>
      </c>
      <c r="B216" s="16">
        <f t="shared" si="12"/>
        <v>117</v>
      </c>
      <c r="C216" s="16">
        <f t="shared" si="12"/>
        <v>0</v>
      </c>
      <c r="D216" s="16">
        <f t="shared" si="12"/>
        <v>239</v>
      </c>
      <c r="E216" s="16">
        <f t="shared" si="12"/>
        <v>1</v>
      </c>
      <c r="F216" s="16">
        <f t="shared" si="12"/>
        <v>95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02401</v>
      </c>
      <c r="B217" s="16">
        <f t="shared" si="12"/>
        <v>117</v>
      </c>
      <c r="C217" s="16">
        <f t="shared" si="12"/>
        <v>0</v>
      </c>
      <c r="D217" s="16">
        <f t="shared" si="12"/>
        <v>240</v>
      </c>
      <c r="E217" s="16">
        <f t="shared" si="12"/>
        <v>1</v>
      </c>
      <c r="F217" s="16">
        <f t="shared" si="12"/>
        <v>15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02411</v>
      </c>
      <c r="B218" s="16">
        <f t="shared" si="12"/>
        <v>117</v>
      </c>
      <c r="C218" s="16">
        <f t="shared" si="12"/>
        <v>0</v>
      </c>
      <c r="D218" s="16">
        <f t="shared" si="12"/>
        <v>241</v>
      </c>
      <c r="E218" s="16">
        <f t="shared" si="12"/>
        <v>1</v>
      </c>
      <c r="F218" s="16">
        <f t="shared" si="12"/>
        <v>268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02421</v>
      </c>
      <c r="B219" s="16">
        <f t="shared" si="12"/>
        <v>117</v>
      </c>
      <c r="C219" s="16">
        <f t="shared" si="12"/>
        <v>0</v>
      </c>
      <c r="D219" s="16">
        <f t="shared" si="12"/>
        <v>242</v>
      </c>
      <c r="E219" s="16">
        <f t="shared" si="12"/>
        <v>1</v>
      </c>
      <c r="F219" s="16">
        <f t="shared" si="12"/>
        <v>95</v>
      </c>
      <c r="G219" s="16">
        <f t="shared" si="12"/>
        <v>0</v>
      </c>
      <c r="H219" s="16">
        <f t="shared" si="12"/>
        <v>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02431</v>
      </c>
      <c r="B220" s="16">
        <f t="shared" si="12"/>
        <v>117</v>
      </c>
      <c r="C220" s="16">
        <f t="shared" si="12"/>
        <v>0</v>
      </c>
      <c r="D220" s="16">
        <f t="shared" si="12"/>
        <v>243</v>
      </c>
      <c r="E220" s="16">
        <f t="shared" si="12"/>
        <v>1</v>
      </c>
      <c r="F220" s="16">
        <f t="shared" si="12"/>
        <v>15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02441</v>
      </c>
      <c r="B221" s="16">
        <f t="shared" si="12"/>
        <v>117</v>
      </c>
      <c r="C221" s="16">
        <f t="shared" si="12"/>
        <v>0</v>
      </c>
      <c r="D221" s="16">
        <f t="shared" si="12"/>
        <v>244</v>
      </c>
      <c r="E221" s="16">
        <f t="shared" si="12"/>
        <v>1</v>
      </c>
      <c r="F221" s="16">
        <f t="shared" si="12"/>
        <v>1203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  <row r="222" spans="1:11">
      <c r="A222" s="15" t="str">
        <f t="shared" si="11"/>
        <v>02451</v>
      </c>
      <c r="B222" s="16">
        <f t="shared" si="12"/>
        <v>117</v>
      </c>
      <c r="C222" s="16">
        <f t="shared" si="12"/>
        <v>0</v>
      </c>
      <c r="D222" s="16">
        <f t="shared" si="12"/>
        <v>245</v>
      </c>
      <c r="E222" s="16">
        <f t="shared" si="12"/>
        <v>1</v>
      </c>
      <c r="F222" s="16">
        <f t="shared" si="12"/>
        <v>424</v>
      </c>
      <c r="G222" s="16">
        <f t="shared" si="12"/>
        <v>0</v>
      </c>
      <c r="H222" s="16">
        <f t="shared" si="12"/>
        <v>0</v>
      </c>
      <c r="I222" s="16">
        <f t="shared" si="12"/>
        <v>0</v>
      </c>
      <c r="J222" s="16">
        <f t="shared" si="12"/>
        <v>0</v>
      </c>
      <c r="K222" s="16">
        <f t="shared" si="12"/>
        <v>1</v>
      </c>
    </row>
    <row r="223" spans="1:11">
      <c r="A223" s="15" t="str">
        <f t="shared" si="11"/>
        <v>02461</v>
      </c>
      <c r="B223" s="16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117</v>
      </c>
      <c r="C223" s="16">
        <f t="shared" si="13"/>
        <v>0</v>
      </c>
      <c r="D223" s="16">
        <f t="shared" si="13"/>
        <v>246</v>
      </c>
      <c r="E223" s="16">
        <f t="shared" si="13"/>
        <v>1</v>
      </c>
      <c r="F223" s="16">
        <f t="shared" si="13"/>
        <v>68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1"/>
        <v>02471</v>
      </c>
      <c r="B224" s="16">
        <f t="shared" si="13"/>
        <v>117</v>
      </c>
      <c r="C224" s="16">
        <f t="shared" si="13"/>
        <v>0</v>
      </c>
      <c r="D224" s="16">
        <f t="shared" si="13"/>
        <v>247</v>
      </c>
      <c r="E224" s="16">
        <f t="shared" si="13"/>
        <v>1</v>
      </c>
      <c r="F224" s="16">
        <f t="shared" si="13"/>
        <v>268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1"/>
        <v>02481</v>
      </c>
      <c r="B225" s="16">
        <f t="shared" si="13"/>
        <v>117</v>
      </c>
      <c r="C225" s="16">
        <f t="shared" si="13"/>
        <v>0</v>
      </c>
      <c r="D225" s="16">
        <f t="shared" si="13"/>
        <v>248</v>
      </c>
      <c r="E225" s="16">
        <f t="shared" si="13"/>
        <v>1</v>
      </c>
      <c r="F225" s="16">
        <f t="shared" si="13"/>
        <v>95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1"/>
        <v>02491</v>
      </c>
      <c r="B226" s="16">
        <f t="shared" si="13"/>
        <v>117</v>
      </c>
      <c r="C226" s="16">
        <f t="shared" si="13"/>
        <v>0</v>
      </c>
      <c r="D226" s="16">
        <f t="shared" si="13"/>
        <v>249</v>
      </c>
      <c r="E226" s="16">
        <f t="shared" si="13"/>
        <v>1</v>
      </c>
      <c r="F226" s="16">
        <f t="shared" si="13"/>
        <v>15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1"/>
        <v>02501</v>
      </c>
      <c r="B227" s="16">
        <f t="shared" si="13"/>
        <v>117</v>
      </c>
      <c r="C227" s="16">
        <f t="shared" si="13"/>
        <v>0</v>
      </c>
      <c r="D227" s="16">
        <f t="shared" si="13"/>
        <v>250</v>
      </c>
      <c r="E227" s="16">
        <f t="shared" si="13"/>
        <v>1</v>
      </c>
      <c r="F227" s="16">
        <f t="shared" si="13"/>
        <v>268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1"/>
        <v>02511</v>
      </c>
      <c r="B228" s="16">
        <f t="shared" si="13"/>
        <v>117</v>
      </c>
      <c r="C228" s="16">
        <f t="shared" si="13"/>
        <v>0</v>
      </c>
      <c r="D228" s="16">
        <f t="shared" si="13"/>
        <v>251</v>
      </c>
      <c r="E228" s="16">
        <f t="shared" si="13"/>
        <v>1</v>
      </c>
      <c r="F228" s="16">
        <f t="shared" si="13"/>
        <v>95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1"/>
        <v>02521</v>
      </c>
      <c r="B229" s="16">
        <f t="shared" si="13"/>
        <v>117</v>
      </c>
      <c r="C229" s="16">
        <f t="shared" si="13"/>
        <v>0</v>
      </c>
      <c r="D229" s="16">
        <f t="shared" si="13"/>
        <v>252</v>
      </c>
      <c r="E229" s="16">
        <f t="shared" si="13"/>
        <v>1</v>
      </c>
      <c r="F229" s="16">
        <f t="shared" si="13"/>
        <v>15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1"/>
        <v>02531</v>
      </c>
      <c r="B230" s="16">
        <f t="shared" si="13"/>
        <v>117</v>
      </c>
      <c r="C230" s="16">
        <f t="shared" si="13"/>
        <v>0</v>
      </c>
      <c r="D230" s="16">
        <f t="shared" si="13"/>
        <v>253</v>
      </c>
      <c r="E230" s="16">
        <f t="shared" si="13"/>
        <v>1</v>
      </c>
      <c r="F230" s="16">
        <f t="shared" si="13"/>
        <v>268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1"/>
        <v>02541</v>
      </c>
      <c r="B231" s="16">
        <f t="shared" si="13"/>
        <v>117</v>
      </c>
      <c r="C231" s="16">
        <f t="shared" si="13"/>
        <v>0</v>
      </c>
      <c r="D231" s="16">
        <f t="shared" si="13"/>
        <v>254</v>
      </c>
      <c r="E231" s="16">
        <f t="shared" si="13"/>
        <v>1</v>
      </c>
      <c r="F231" s="16">
        <f t="shared" si="13"/>
        <v>95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1"/>
        <v>02551</v>
      </c>
      <c r="B232" s="16">
        <f t="shared" si="13"/>
        <v>117</v>
      </c>
      <c r="C232" s="16">
        <f t="shared" si="13"/>
        <v>0</v>
      </c>
      <c r="D232" s="16">
        <f t="shared" si="13"/>
        <v>255</v>
      </c>
      <c r="E232" s="16">
        <f t="shared" si="13"/>
        <v>1</v>
      </c>
      <c r="F232" s="16">
        <f t="shared" si="13"/>
        <v>15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1"/>
        <v>02561</v>
      </c>
      <c r="B233" s="16">
        <f t="shared" si="13"/>
        <v>117</v>
      </c>
      <c r="C233" s="16">
        <f t="shared" si="13"/>
        <v>0</v>
      </c>
      <c r="D233" s="16">
        <f t="shared" si="13"/>
        <v>256</v>
      </c>
      <c r="E233" s="16">
        <f t="shared" si="13"/>
        <v>1</v>
      </c>
      <c r="F233" s="16">
        <f t="shared" si="13"/>
        <v>1203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1"/>
        <v>02571</v>
      </c>
      <c r="B234" s="16">
        <f t="shared" si="13"/>
        <v>117</v>
      </c>
      <c r="C234" s="16">
        <f t="shared" si="13"/>
        <v>0</v>
      </c>
      <c r="D234" s="16">
        <f t="shared" si="13"/>
        <v>257</v>
      </c>
      <c r="E234" s="16">
        <f t="shared" si="13"/>
        <v>1</v>
      </c>
      <c r="F234" s="16">
        <f t="shared" si="13"/>
        <v>424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1"/>
        <v>02581</v>
      </c>
      <c r="B235" s="16">
        <f t="shared" si="13"/>
        <v>117</v>
      </c>
      <c r="C235" s="16">
        <f t="shared" si="13"/>
        <v>0</v>
      </c>
      <c r="D235" s="16">
        <f t="shared" si="13"/>
        <v>258</v>
      </c>
      <c r="E235" s="16">
        <f t="shared" si="13"/>
        <v>1</v>
      </c>
      <c r="F235" s="16">
        <f t="shared" si="13"/>
        <v>68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1"/>
        <v>02591</v>
      </c>
      <c r="B236" s="16">
        <f t="shared" si="13"/>
        <v>117</v>
      </c>
      <c r="C236" s="16">
        <f t="shared" si="13"/>
        <v>0</v>
      </c>
      <c r="D236" s="16">
        <f t="shared" si="13"/>
        <v>259</v>
      </c>
      <c r="E236" s="16">
        <f t="shared" si="13"/>
        <v>1</v>
      </c>
      <c r="F236" s="16">
        <f t="shared" si="13"/>
        <v>268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1"/>
        <v>02601</v>
      </c>
      <c r="B237" s="16">
        <f t="shared" si="13"/>
        <v>117</v>
      </c>
      <c r="C237" s="16">
        <f t="shared" si="13"/>
        <v>0</v>
      </c>
      <c r="D237" s="16">
        <f t="shared" si="13"/>
        <v>260</v>
      </c>
      <c r="E237" s="16">
        <f t="shared" si="13"/>
        <v>1</v>
      </c>
      <c r="F237" s="16">
        <f t="shared" si="13"/>
        <v>95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1"/>
        <v>02611</v>
      </c>
      <c r="B238" s="16">
        <f t="shared" si="13"/>
        <v>117</v>
      </c>
      <c r="C238" s="16">
        <f t="shared" si="13"/>
        <v>0</v>
      </c>
      <c r="D238" s="16">
        <f t="shared" si="13"/>
        <v>261</v>
      </c>
      <c r="E238" s="16">
        <f t="shared" si="13"/>
        <v>1</v>
      </c>
      <c r="F238" s="16">
        <f t="shared" si="13"/>
        <v>15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  <row r="239" spans="1:11">
      <c r="A239" s="15" t="str">
        <f t="shared" si="11"/>
        <v>03201</v>
      </c>
      <c r="B239" s="16">
        <f t="shared" si="13"/>
        <v>117</v>
      </c>
      <c r="C239" s="16">
        <f t="shared" si="13"/>
        <v>0</v>
      </c>
      <c r="D239" s="16">
        <f t="shared" si="13"/>
        <v>320</v>
      </c>
      <c r="E239" s="16">
        <f t="shared" si="13"/>
        <v>1</v>
      </c>
      <c r="F239" s="16">
        <f t="shared" si="13"/>
        <v>303</v>
      </c>
      <c r="G239" s="16">
        <f t="shared" si="13"/>
        <v>0</v>
      </c>
      <c r="H239" s="16">
        <f t="shared" si="13"/>
        <v>0</v>
      </c>
      <c r="I239" s="16">
        <f t="shared" si="13"/>
        <v>0</v>
      </c>
      <c r="J239" s="16">
        <f t="shared" si="13"/>
        <v>0</v>
      </c>
      <c r="K239" s="16">
        <f t="shared" si="13"/>
        <v>1</v>
      </c>
    </row>
    <row r="240" spans="1:11">
      <c r="A240" s="15" t="str">
        <f t="shared" si="11"/>
        <v>03211</v>
      </c>
      <c r="B240" s="16">
        <f t="shared" si="13"/>
        <v>117</v>
      </c>
      <c r="C240" s="16">
        <f t="shared" si="13"/>
        <v>0</v>
      </c>
      <c r="D240" s="16">
        <f t="shared" si="13"/>
        <v>321</v>
      </c>
      <c r="E240" s="16">
        <f t="shared" si="13"/>
        <v>1</v>
      </c>
      <c r="F240" s="16">
        <f t="shared" si="13"/>
        <v>35</v>
      </c>
      <c r="G240" s="16">
        <f t="shared" si="13"/>
        <v>0</v>
      </c>
      <c r="H240" s="16">
        <f t="shared" si="13"/>
        <v>0</v>
      </c>
      <c r="I240" s="16">
        <f t="shared" si="13"/>
        <v>0</v>
      </c>
      <c r="J240" s="16">
        <f t="shared" si="13"/>
        <v>0</v>
      </c>
      <c r="K240" s="16">
        <f t="shared" si="13"/>
        <v>1</v>
      </c>
    </row>
    <row r="241" spans="1:11">
      <c r="A241" s="15" t="str">
        <f t="shared" si="11"/>
        <v>03221</v>
      </c>
      <c r="B241" s="16">
        <f t="shared" si="13"/>
        <v>117</v>
      </c>
      <c r="C241" s="16">
        <f t="shared" si="13"/>
        <v>0</v>
      </c>
      <c r="D241" s="16">
        <f t="shared" si="13"/>
        <v>322</v>
      </c>
      <c r="E241" s="16">
        <f t="shared" si="13"/>
        <v>1</v>
      </c>
      <c r="F241" s="16">
        <f t="shared" si="13"/>
        <v>303</v>
      </c>
      <c r="G241" s="16">
        <f t="shared" si="13"/>
        <v>0</v>
      </c>
      <c r="H241" s="16">
        <f t="shared" si="13"/>
        <v>0</v>
      </c>
      <c r="I241" s="16">
        <f t="shared" si="13"/>
        <v>0</v>
      </c>
      <c r="J241" s="16">
        <f t="shared" si="13"/>
        <v>0</v>
      </c>
      <c r="K241" s="16">
        <f t="shared" si="13"/>
        <v>1</v>
      </c>
    </row>
    <row r="242" spans="1:11">
      <c r="A242" s="15" t="str">
        <f t="shared" si="11"/>
        <v>03231</v>
      </c>
      <c r="B242" s="16">
        <f t="shared" si="13"/>
        <v>117</v>
      </c>
      <c r="C242" s="16">
        <f t="shared" si="13"/>
        <v>0</v>
      </c>
      <c r="D242" s="16">
        <f t="shared" si="13"/>
        <v>323</v>
      </c>
      <c r="E242" s="16">
        <f t="shared" si="13"/>
        <v>1</v>
      </c>
      <c r="F242" s="16">
        <f t="shared" si="13"/>
        <v>35</v>
      </c>
      <c r="G242" s="16">
        <f t="shared" si="13"/>
        <v>0</v>
      </c>
      <c r="H242" s="16">
        <f t="shared" si="13"/>
        <v>0</v>
      </c>
      <c r="I242" s="16">
        <f t="shared" si="13"/>
        <v>0</v>
      </c>
      <c r="J242" s="16">
        <f t="shared" si="13"/>
        <v>0</v>
      </c>
      <c r="K242" s="16">
        <f t="shared" si="13"/>
        <v>1</v>
      </c>
    </row>
    <row r="243" spans="1:11">
      <c r="A243" s="15" t="str">
        <f t="shared" si="11"/>
        <v>03241</v>
      </c>
      <c r="B243" s="16">
        <f t="shared" si="13"/>
        <v>117</v>
      </c>
      <c r="C243" s="16">
        <f t="shared" si="13"/>
        <v>0</v>
      </c>
      <c r="D243" s="16">
        <f t="shared" si="13"/>
        <v>324</v>
      </c>
      <c r="E243" s="16">
        <f t="shared" si="13"/>
        <v>1</v>
      </c>
      <c r="F243" s="16">
        <f t="shared" si="13"/>
        <v>741</v>
      </c>
      <c r="G243" s="16">
        <f t="shared" si="13"/>
        <v>0</v>
      </c>
      <c r="H243" s="16">
        <f t="shared" si="13"/>
        <v>0</v>
      </c>
      <c r="I243" s="16">
        <f t="shared" si="13"/>
        <v>0</v>
      </c>
      <c r="J243" s="16">
        <f t="shared" si="13"/>
        <v>0</v>
      </c>
      <c r="K243" s="16">
        <f t="shared" si="13"/>
        <v>1</v>
      </c>
    </row>
    <row r="244" spans="1:11">
      <c r="A244" s="15" t="str">
        <f t="shared" si="11"/>
        <v>03251</v>
      </c>
      <c r="B244" s="16">
        <f t="shared" si="13"/>
        <v>117</v>
      </c>
      <c r="C244" s="16">
        <f t="shared" si="13"/>
        <v>0</v>
      </c>
      <c r="D244" s="16">
        <f t="shared" si="13"/>
        <v>325</v>
      </c>
      <c r="E244" s="16">
        <f t="shared" si="13"/>
        <v>1</v>
      </c>
      <c r="F244" s="16">
        <f t="shared" si="13"/>
        <v>85</v>
      </c>
      <c r="G244" s="16">
        <f t="shared" si="13"/>
        <v>0</v>
      </c>
      <c r="H244" s="16">
        <f t="shared" si="13"/>
        <v>0</v>
      </c>
      <c r="I244" s="16">
        <f t="shared" si="13"/>
        <v>0</v>
      </c>
      <c r="J244" s="16">
        <f t="shared" si="13"/>
        <v>0</v>
      </c>
      <c r="K244" s="16">
        <f t="shared" si="13"/>
        <v>1</v>
      </c>
    </row>
    <row r="245" spans="1:11">
      <c r="A245" s="15" t="str">
        <f t="shared" si="11"/>
        <v>03261</v>
      </c>
      <c r="B245" s="16">
        <f t="shared" si="13"/>
        <v>117</v>
      </c>
      <c r="C245" s="16">
        <f t="shared" si="13"/>
        <v>0</v>
      </c>
      <c r="D245" s="16">
        <f t="shared" si="13"/>
        <v>326</v>
      </c>
      <c r="E245" s="16">
        <f t="shared" si="13"/>
        <v>1</v>
      </c>
      <c r="F245" s="16">
        <f t="shared" si="13"/>
        <v>303</v>
      </c>
      <c r="G245" s="16">
        <f t="shared" si="13"/>
        <v>0</v>
      </c>
      <c r="H245" s="16">
        <f t="shared" si="13"/>
        <v>0</v>
      </c>
      <c r="I245" s="16">
        <f t="shared" si="13"/>
        <v>0</v>
      </c>
      <c r="J245" s="16">
        <f t="shared" si="13"/>
        <v>0</v>
      </c>
      <c r="K245" s="16">
        <f t="shared" si="13"/>
        <v>1</v>
      </c>
    </row>
    <row r="246" spans="1:11">
      <c r="A246" s="15" t="str">
        <f t="shared" si="11"/>
        <v>03271</v>
      </c>
      <c r="B246" s="16">
        <f t="shared" si="13"/>
        <v>117</v>
      </c>
      <c r="C246" s="16">
        <f t="shared" si="13"/>
        <v>0</v>
      </c>
      <c r="D246" s="16">
        <f t="shared" si="13"/>
        <v>327</v>
      </c>
      <c r="E246" s="16">
        <f t="shared" si="13"/>
        <v>1</v>
      </c>
      <c r="F246" s="16">
        <f t="shared" si="13"/>
        <v>35</v>
      </c>
      <c r="G246" s="16">
        <f t="shared" si="13"/>
        <v>0</v>
      </c>
      <c r="H246" s="16">
        <f t="shared" si="13"/>
        <v>0</v>
      </c>
      <c r="I246" s="16">
        <f t="shared" si="13"/>
        <v>0</v>
      </c>
      <c r="J246" s="16">
        <f t="shared" si="13"/>
        <v>0</v>
      </c>
      <c r="K246" s="16">
        <f t="shared" si="13"/>
        <v>1</v>
      </c>
    </row>
    <row r="247" spans="1:11">
      <c r="A247" s="15" t="str">
        <f t="shared" si="11"/>
        <v>03801</v>
      </c>
      <c r="B247" s="16">
        <f t="shared" si="13"/>
        <v>117</v>
      </c>
      <c r="C247" s="16">
        <f t="shared" si="13"/>
        <v>0</v>
      </c>
      <c r="D247" s="16">
        <f t="shared" si="13"/>
        <v>380</v>
      </c>
      <c r="E247" s="16">
        <f t="shared" si="13"/>
        <v>1</v>
      </c>
      <c r="F247" s="16">
        <f t="shared" si="13"/>
        <v>268</v>
      </c>
      <c r="G247" s="16">
        <f t="shared" si="13"/>
        <v>0</v>
      </c>
      <c r="H247" s="16">
        <f t="shared" si="13"/>
        <v>0</v>
      </c>
      <c r="I247" s="16">
        <f t="shared" si="13"/>
        <v>0</v>
      </c>
      <c r="J247" s="16">
        <f t="shared" si="13"/>
        <v>0</v>
      </c>
      <c r="K247" s="16">
        <f t="shared" si="13"/>
        <v>1</v>
      </c>
    </row>
    <row r="248" spans="1:11">
      <c r="A248" s="15" t="str">
        <f t="shared" si="11"/>
        <v>03811</v>
      </c>
      <c r="B248" s="16">
        <f t="shared" si="13"/>
        <v>117</v>
      </c>
      <c r="C248" s="16">
        <f t="shared" si="13"/>
        <v>0</v>
      </c>
      <c r="D248" s="16">
        <f t="shared" si="13"/>
        <v>381</v>
      </c>
      <c r="E248" s="16">
        <f t="shared" si="13"/>
        <v>1</v>
      </c>
      <c r="F248" s="16">
        <f t="shared" si="13"/>
        <v>95</v>
      </c>
      <c r="G248" s="16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1"/>
        <v>03821</v>
      </c>
      <c r="B249" s="16">
        <f t="shared" si="14"/>
        <v>117</v>
      </c>
      <c r="C249" s="16">
        <f t="shared" si="14"/>
        <v>0</v>
      </c>
      <c r="D249" s="16">
        <f t="shared" si="14"/>
        <v>382</v>
      </c>
      <c r="E249" s="16">
        <f t="shared" si="14"/>
        <v>1</v>
      </c>
      <c r="F249" s="16">
        <f t="shared" si="14"/>
        <v>15</v>
      </c>
      <c r="G249" s="16">
        <f t="shared" si="14"/>
        <v>0</v>
      </c>
      <c r="H249" s="16">
        <f t="shared" si="14"/>
        <v>0</v>
      </c>
      <c r="I249" s="16">
        <f t="shared" si="14"/>
        <v>0</v>
      </c>
      <c r="J249" s="16">
        <f t="shared" si="14"/>
        <v>0</v>
      </c>
      <c r="K249" s="16">
        <f t="shared" si="14"/>
        <v>1</v>
      </c>
    </row>
    <row r="250" spans="1:11">
      <c r="A250" s="15" t="str">
        <f t="shared" si="11"/>
        <v>03831</v>
      </c>
      <c r="B250" s="16">
        <f t="shared" si="14"/>
        <v>117</v>
      </c>
      <c r="C250" s="16">
        <f t="shared" si="14"/>
        <v>0</v>
      </c>
      <c r="D250" s="16">
        <f t="shared" si="14"/>
        <v>383</v>
      </c>
      <c r="E250" s="16">
        <f t="shared" si="14"/>
        <v>1</v>
      </c>
      <c r="F250" s="16">
        <f t="shared" si="14"/>
        <v>303</v>
      </c>
      <c r="G250" s="16">
        <f t="shared" si="14"/>
        <v>0</v>
      </c>
      <c r="H250" s="16">
        <f t="shared" si="14"/>
        <v>0</v>
      </c>
      <c r="I250" s="16">
        <f t="shared" si="14"/>
        <v>0</v>
      </c>
      <c r="J250" s="16">
        <f t="shared" si="14"/>
        <v>0</v>
      </c>
      <c r="K250" s="16">
        <f t="shared" si="14"/>
        <v>1</v>
      </c>
    </row>
    <row r="251" spans="1:11">
      <c r="A251" s="15" t="str">
        <f t="shared" si="11"/>
        <v>03841</v>
      </c>
      <c r="B251" s="16">
        <f t="shared" si="14"/>
        <v>117</v>
      </c>
      <c r="C251" s="16">
        <f t="shared" si="14"/>
        <v>0</v>
      </c>
      <c r="D251" s="16">
        <f t="shared" si="14"/>
        <v>384</v>
      </c>
      <c r="E251" s="16">
        <f t="shared" si="14"/>
        <v>1</v>
      </c>
      <c r="F251" s="16">
        <f t="shared" si="14"/>
        <v>35</v>
      </c>
      <c r="G251" s="16">
        <f t="shared" si="14"/>
        <v>0</v>
      </c>
      <c r="H251" s="16">
        <f t="shared" si="14"/>
        <v>0</v>
      </c>
      <c r="I251" s="16">
        <f t="shared" si="14"/>
        <v>0</v>
      </c>
      <c r="J251" s="16">
        <f t="shared" si="14"/>
        <v>0</v>
      </c>
      <c r="K251" s="16">
        <f t="shared" si="14"/>
        <v>1</v>
      </c>
    </row>
    <row r="252" spans="1:11">
      <c r="A252" s="15" t="str">
        <f t="shared" si="11"/>
        <v>03851</v>
      </c>
      <c r="B252" s="16">
        <f t="shared" si="14"/>
        <v>117</v>
      </c>
      <c r="C252" s="16">
        <f t="shared" si="14"/>
        <v>0</v>
      </c>
      <c r="D252" s="16">
        <f t="shared" si="14"/>
        <v>385</v>
      </c>
      <c r="E252" s="16">
        <f t="shared" si="14"/>
        <v>1</v>
      </c>
      <c r="F252" s="16">
        <f t="shared" si="14"/>
        <v>741</v>
      </c>
      <c r="G252" s="16">
        <f t="shared" si="14"/>
        <v>0</v>
      </c>
      <c r="H252" s="16">
        <f t="shared" si="14"/>
        <v>0</v>
      </c>
      <c r="I252" s="16">
        <f t="shared" si="14"/>
        <v>0</v>
      </c>
      <c r="J252" s="16">
        <f t="shared" si="14"/>
        <v>0</v>
      </c>
      <c r="K252" s="16">
        <f t="shared" si="14"/>
        <v>1</v>
      </c>
    </row>
    <row r="253" spans="1:11">
      <c r="A253" s="15" t="str">
        <f t="shared" si="11"/>
        <v>03861</v>
      </c>
      <c r="B253" s="16">
        <f t="shared" si="14"/>
        <v>117</v>
      </c>
      <c r="C253" s="16">
        <f t="shared" si="14"/>
        <v>0</v>
      </c>
      <c r="D253" s="16">
        <f t="shared" si="14"/>
        <v>386</v>
      </c>
      <c r="E253" s="16">
        <f t="shared" si="14"/>
        <v>1</v>
      </c>
      <c r="F253" s="16">
        <f t="shared" si="14"/>
        <v>85</v>
      </c>
      <c r="G253" s="16">
        <f t="shared" si="14"/>
        <v>0</v>
      </c>
      <c r="H253" s="16">
        <f t="shared" si="14"/>
        <v>0</v>
      </c>
      <c r="I253" s="16">
        <f t="shared" si="14"/>
        <v>0</v>
      </c>
      <c r="J253" s="16">
        <f t="shared" si="14"/>
        <v>0</v>
      </c>
      <c r="K253" s="16">
        <f t="shared" si="14"/>
        <v>1</v>
      </c>
    </row>
    <row r="254" spans="1:11">
      <c r="A254" s="15" t="str">
        <f t="shared" si="11"/>
        <v>03871</v>
      </c>
      <c r="B254" s="16">
        <f t="shared" si="14"/>
        <v>117</v>
      </c>
      <c r="C254" s="16">
        <f t="shared" si="14"/>
        <v>0</v>
      </c>
      <c r="D254" s="16">
        <f t="shared" si="14"/>
        <v>387</v>
      </c>
      <c r="E254" s="16">
        <f t="shared" si="14"/>
        <v>1</v>
      </c>
      <c r="F254" s="16">
        <f t="shared" si="14"/>
        <v>268</v>
      </c>
      <c r="G254" s="16">
        <f t="shared" si="14"/>
        <v>0</v>
      </c>
      <c r="H254" s="16">
        <f t="shared" si="14"/>
        <v>0</v>
      </c>
      <c r="I254" s="16">
        <f t="shared" si="14"/>
        <v>0</v>
      </c>
      <c r="J254" s="16">
        <f t="shared" si="14"/>
        <v>0</v>
      </c>
      <c r="K254" s="16">
        <f t="shared" si="14"/>
        <v>1</v>
      </c>
    </row>
    <row r="255" spans="1:11">
      <c r="A255" s="15" t="str">
        <f t="shared" si="11"/>
        <v>03881</v>
      </c>
      <c r="B255" s="16">
        <f t="shared" si="14"/>
        <v>117</v>
      </c>
      <c r="C255" s="16">
        <f t="shared" si="14"/>
        <v>0</v>
      </c>
      <c r="D255" s="16">
        <f t="shared" si="14"/>
        <v>388</v>
      </c>
      <c r="E255" s="16">
        <f t="shared" si="14"/>
        <v>1</v>
      </c>
      <c r="F255" s="16">
        <f t="shared" si="14"/>
        <v>95</v>
      </c>
      <c r="G255" s="16">
        <f t="shared" si="14"/>
        <v>0</v>
      </c>
      <c r="H255" s="16">
        <f t="shared" si="14"/>
        <v>0</v>
      </c>
      <c r="I255" s="16">
        <f t="shared" si="14"/>
        <v>0</v>
      </c>
      <c r="J255" s="16">
        <f t="shared" si="14"/>
        <v>0</v>
      </c>
      <c r="K255" s="16">
        <f t="shared" si="14"/>
        <v>1</v>
      </c>
    </row>
    <row r="256" spans="1:11">
      <c r="A256" s="15" t="str">
        <f t="shared" si="11"/>
        <v>03891</v>
      </c>
      <c r="B256" s="16">
        <f t="shared" si="14"/>
        <v>117</v>
      </c>
      <c r="C256" s="16">
        <f t="shared" si="14"/>
        <v>0</v>
      </c>
      <c r="D256" s="16">
        <f t="shared" si="14"/>
        <v>389</v>
      </c>
      <c r="E256" s="16">
        <f t="shared" si="14"/>
        <v>1</v>
      </c>
      <c r="F256" s="16">
        <f t="shared" si="14"/>
        <v>15</v>
      </c>
      <c r="G256" s="16">
        <f t="shared" si="14"/>
        <v>0</v>
      </c>
      <c r="H256" s="16">
        <f t="shared" si="14"/>
        <v>0</v>
      </c>
      <c r="I256" s="16">
        <f t="shared" si="14"/>
        <v>0</v>
      </c>
      <c r="J256" s="16">
        <f t="shared" si="14"/>
        <v>0</v>
      </c>
      <c r="K256" s="16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73"/>
  <sheetViews>
    <sheetView topLeftCell="A41" workbookViewId="0">
      <selection activeCell="B72" sqref="B72"/>
    </sheetView>
  </sheetViews>
  <sheetFormatPr baseColWidth="12" defaultRowHeight="14" x14ac:dyDescent="0"/>
  <cols>
    <col min="1" max="1" width="15.7109375" bestFit="1" customWidth="1"/>
  </cols>
  <sheetData>
    <row r="1" spans="1:2">
      <c r="A1" t="s">
        <v>24</v>
      </c>
      <c r="B1" t="s">
        <v>18</v>
      </c>
    </row>
    <row r="2" spans="1:2">
      <c r="A2" t="s">
        <v>25</v>
      </c>
      <c r="B2">
        <v>7501</v>
      </c>
    </row>
    <row r="3" spans="1:2">
      <c r="A3" t="s">
        <v>26</v>
      </c>
      <c r="B3">
        <v>1072</v>
      </c>
    </row>
    <row r="4" spans="1:2">
      <c r="A4" t="s">
        <v>27</v>
      </c>
      <c r="B4">
        <v>1072</v>
      </c>
    </row>
    <row r="5" spans="1:2">
      <c r="A5" t="s">
        <v>28</v>
      </c>
      <c r="B5">
        <v>1072</v>
      </c>
    </row>
    <row r="6" spans="1:2">
      <c r="A6" t="s">
        <v>29</v>
      </c>
      <c r="B6">
        <v>2293</v>
      </c>
    </row>
    <row r="7" spans="1:2">
      <c r="A7" t="s">
        <v>30</v>
      </c>
      <c r="B7">
        <v>337</v>
      </c>
    </row>
    <row r="8" spans="1:2">
      <c r="A8" t="s">
        <v>31</v>
      </c>
      <c r="B8">
        <v>337</v>
      </c>
    </row>
    <row r="9" spans="1:2">
      <c r="A9" t="s">
        <v>32</v>
      </c>
      <c r="B9">
        <v>337</v>
      </c>
    </row>
    <row r="10" spans="1:2">
      <c r="A10" t="s">
        <v>33</v>
      </c>
      <c r="B10">
        <v>751</v>
      </c>
    </row>
    <row r="11" spans="1:2">
      <c r="A11" t="s">
        <v>34</v>
      </c>
      <c r="B11">
        <v>108</v>
      </c>
    </row>
    <row r="12" spans="1:2">
      <c r="A12" t="s">
        <v>35</v>
      </c>
      <c r="B12">
        <v>108</v>
      </c>
    </row>
    <row r="13" spans="1:2">
      <c r="A13" t="s">
        <v>36</v>
      </c>
      <c r="B13">
        <v>108</v>
      </c>
    </row>
    <row r="14" spans="1:2">
      <c r="A14" t="s">
        <v>37</v>
      </c>
      <c r="B14">
        <v>1531</v>
      </c>
    </row>
    <row r="15" spans="1:2">
      <c r="A15" t="s">
        <v>38</v>
      </c>
      <c r="B15">
        <v>179</v>
      </c>
    </row>
    <row r="16" spans="1:2">
      <c r="A16" t="s">
        <v>39</v>
      </c>
      <c r="B16">
        <v>179</v>
      </c>
    </row>
    <row r="17" spans="1:2">
      <c r="A17" t="s">
        <v>40</v>
      </c>
      <c r="B17">
        <v>179</v>
      </c>
    </row>
    <row r="18" spans="1:2">
      <c r="A18" t="s">
        <v>41</v>
      </c>
      <c r="B18">
        <v>539</v>
      </c>
    </row>
    <row r="19" spans="1:2">
      <c r="A19" t="s">
        <v>42</v>
      </c>
      <c r="B19">
        <v>63</v>
      </c>
    </row>
    <row r="20" spans="1:2">
      <c r="A20" t="s">
        <v>43</v>
      </c>
      <c r="B20">
        <v>63</v>
      </c>
    </row>
    <row r="21" spans="1:2">
      <c r="A21" t="s">
        <v>44</v>
      </c>
      <c r="B21">
        <v>63</v>
      </c>
    </row>
    <row r="22" spans="1:2">
      <c r="A22" t="s">
        <v>45</v>
      </c>
      <c r="B22">
        <v>86</v>
      </c>
    </row>
    <row r="23" spans="1:2">
      <c r="A23" t="s">
        <v>46</v>
      </c>
      <c r="B23">
        <v>10</v>
      </c>
    </row>
    <row r="24" spans="1:2">
      <c r="A24" t="s">
        <v>47</v>
      </c>
      <c r="B24">
        <v>10</v>
      </c>
    </row>
    <row r="25" spans="1:2">
      <c r="A25" t="s">
        <v>48</v>
      </c>
      <c r="B25">
        <v>10</v>
      </c>
    </row>
    <row r="26" spans="1:2">
      <c r="A26" t="s">
        <v>49</v>
      </c>
      <c r="B26">
        <v>662</v>
      </c>
    </row>
    <row r="27" spans="1:2">
      <c r="A27" t="s">
        <v>50</v>
      </c>
      <c r="B27">
        <v>162</v>
      </c>
    </row>
    <row r="28" spans="1:2">
      <c r="A28" t="s">
        <v>51</v>
      </c>
      <c r="B28">
        <v>162</v>
      </c>
    </row>
    <row r="29" spans="1:2">
      <c r="A29" t="s">
        <v>52</v>
      </c>
      <c r="B29">
        <v>162</v>
      </c>
    </row>
    <row r="30" spans="1:2">
      <c r="A30" t="s">
        <v>53</v>
      </c>
      <c r="B30">
        <v>108</v>
      </c>
    </row>
    <row r="31" spans="1:2">
      <c r="A31" t="s">
        <v>54</v>
      </c>
      <c r="B31">
        <v>31</v>
      </c>
    </row>
    <row r="32" spans="1:2">
      <c r="A32" t="s">
        <v>55</v>
      </c>
      <c r="B32">
        <v>31</v>
      </c>
    </row>
    <row r="33" spans="1:2">
      <c r="A33" t="s">
        <v>56</v>
      </c>
      <c r="B33">
        <v>31</v>
      </c>
    </row>
    <row r="34" spans="1:2">
      <c r="A34" t="s">
        <v>57</v>
      </c>
      <c r="B34">
        <v>6888</v>
      </c>
    </row>
    <row r="35" spans="1:2">
      <c r="A35" t="s">
        <v>58</v>
      </c>
      <c r="B35">
        <v>984</v>
      </c>
    </row>
    <row r="36" spans="1:2">
      <c r="A36" t="s">
        <v>59</v>
      </c>
      <c r="B36">
        <v>984</v>
      </c>
    </row>
    <row r="37" spans="1:2">
      <c r="A37" t="s">
        <v>60</v>
      </c>
      <c r="B37">
        <v>984</v>
      </c>
    </row>
    <row r="38" spans="1:2">
      <c r="A38" t="s">
        <v>61</v>
      </c>
      <c r="B38">
        <v>2372</v>
      </c>
    </row>
    <row r="39" spans="1:2">
      <c r="A39" t="s">
        <v>62</v>
      </c>
      <c r="B39">
        <v>344</v>
      </c>
    </row>
    <row r="40" spans="1:2">
      <c r="A40" t="s">
        <v>63</v>
      </c>
      <c r="B40">
        <v>344</v>
      </c>
    </row>
    <row r="41" spans="1:2">
      <c r="A41" t="s">
        <v>64</v>
      </c>
      <c r="B41">
        <v>344</v>
      </c>
    </row>
    <row r="42" spans="1:2">
      <c r="A42" t="s">
        <v>65</v>
      </c>
      <c r="B42">
        <v>6368</v>
      </c>
    </row>
    <row r="43" spans="1:2">
      <c r="A43" t="s">
        <v>66</v>
      </c>
      <c r="B43">
        <v>912</v>
      </c>
    </row>
    <row r="44" spans="1:2">
      <c r="A44" t="s">
        <v>67</v>
      </c>
      <c r="B44">
        <v>912</v>
      </c>
    </row>
    <row r="45" spans="1:2">
      <c r="A45" t="s">
        <v>68</v>
      </c>
      <c r="B45">
        <v>912</v>
      </c>
    </row>
    <row r="46" spans="1:2">
      <c r="A46" t="s">
        <v>69</v>
      </c>
      <c r="B46">
        <v>471</v>
      </c>
    </row>
    <row r="47" spans="1:2">
      <c r="A47" t="s">
        <v>70</v>
      </c>
      <c r="B47">
        <v>71</v>
      </c>
    </row>
    <row r="48" spans="1:2">
      <c r="A48" t="s">
        <v>71</v>
      </c>
      <c r="B48">
        <v>71</v>
      </c>
    </row>
    <row r="49" spans="1:2">
      <c r="A49" t="s">
        <v>72</v>
      </c>
      <c r="B49">
        <v>71</v>
      </c>
    </row>
    <row r="50" spans="1:2">
      <c r="A50" t="s">
        <v>73</v>
      </c>
      <c r="B50">
        <v>1344</v>
      </c>
    </row>
    <row r="51" spans="1:2">
      <c r="A51" t="s">
        <v>74</v>
      </c>
      <c r="B51">
        <v>157</v>
      </c>
    </row>
    <row r="52" spans="1:2">
      <c r="A52" t="s">
        <v>75</v>
      </c>
      <c r="B52">
        <v>157</v>
      </c>
    </row>
    <row r="53" spans="1:2">
      <c r="A53" t="s">
        <v>76</v>
      </c>
      <c r="B53">
        <v>157</v>
      </c>
    </row>
    <row r="54" spans="1:2">
      <c r="A54" t="s">
        <v>77</v>
      </c>
      <c r="B54">
        <v>56</v>
      </c>
    </row>
    <row r="55" spans="1:2">
      <c r="A55" t="s">
        <v>78</v>
      </c>
      <c r="B55">
        <v>7</v>
      </c>
    </row>
    <row r="56" spans="1:2">
      <c r="A56" t="s">
        <v>79</v>
      </c>
      <c r="B56">
        <v>7</v>
      </c>
    </row>
    <row r="57" spans="1:2">
      <c r="A57" t="s">
        <v>80</v>
      </c>
      <c r="B57">
        <v>7</v>
      </c>
    </row>
    <row r="58" spans="1:2">
      <c r="A58" t="s">
        <v>81</v>
      </c>
      <c r="B58">
        <v>383</v>
      </c>
    </row>
    <row r="59" spans="1:2">
      <c r="A59" t="s">
        <v>82</v>
      </c>
      <c r="B59">
        <v>108</v>
      </c>
    </row>
    <row r="60" spans="1:2">
      <c r="A60" t="s">
        <v>83</v>
      </c>
      <c r="B60">
        <v>108</v>
      </c>
    </row>
    <row r="61" spans="1:2">
      <c r="A61" t="s">
        <v>84</v>
      </c>
      <c r="B61">
        <v>108</v>
      </c>
    </row>
    <row r="62" spans="1:2">
      <c r="A62" t="s">
        <v>85</v>
      </c>
      <c r="B62">
        <v>117</v>
      </c>
    </row>
    <row r="63" spans="1:2">
      <c r="A63" t="s">
        <v>86</v>
      </c>
      <c r="B63">
        <v>17</v>
      </c>
    </row>
    <row r="64" spans="1:2">
      <c r="A64" t="s">
        <v>87</v>
      </c>
      <c r="B64">
        <v>17</v>
      </c>
    </row>
    <row r="65" spans="1:2">
      <c r="A65" t="s">
        <v>88</v>
      </c>
      <c r="B65">
        <v>17</v>
      </c>
    </row>
    <row r="66" spans="1:2">
      <c r="A66" t="s">
        <v>89</v>
      </c>
      <c r="B66">
        <v>6021</v>
      </c>
    </row>
    <row r="67" spans="1:2">
      <c r="A67" t="s">
        <v>90</v>
      </c>
      <c r="B67">
        <v>864</v>
      </c>
    </row>
    <row r="68" spans="1:2">
      <c r="A68" t="s">
        <v>91</v>
      </c>
      <c r="B68">
        <v>864</v>
      </c>
    </row>
    <row r="69" spans="1:2">
      <c r="A69" t="s">
        <v>92</v>
      </c>
      <c r="B69">
        <v>864</v>
      </c>
    </row>
    <row r="70" spans="1:2">
      <c r="A70" t="s">
        <v>93</v>
      </c>
      <c r="B70">
        <v>1348</v>
      </c>
    </row>
    <row r="71" spans="1:2">
      <c r="A71" t="s">
        <v>94</v>
      </c>
      <c r="B71">
        <v>193</v>
      </c>
    </row>
    <row r="72" spans="1:2">
      <c r="A72" t="s">
        <v>95</v>
      </c>
      <c r="B72">
        <v>840</v>
      </c>
    </row>
    <row r="73" spans="1:2">
      <c r="A73" t="s">
        <v>96</v>
      </c>
      <c r="B73">
        <v>160</v>
      </c>
    </row>
  </sheetData>
  <autoFilter ref="A1:B69"/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gacha_unit_tables_115</vt:lpstr>
      <vt:lpstr>gacha_unit_tables_116</vt:lpstr>
      <vt:lpstr>gacha_unit_tables_117</vt:lpstr>
      <vt:lpstr>gacha_unit_tables_115.tmp</vt:lpstr>
      <vt:lpstr>gacha_unit_tables_116.tmp</vt:lpstr>
      <vt:lpstr>gacha_unit_tables_117.tmp</vt:lpstr>
      <vt:lpstr>gacha_115_base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菱川 亜美</cp:lastModifiedBy>
  <dcterms:created xsi:type="dcterms:W3CDTF">2015-04-01T12:34:09Z</dcterms:created>
  <dcterms:modified xsi:type="dcterms:W3CDTF">2015-10-06T16:47:30Z</dcterms:modified>
</cp:coreProperties>
</file>