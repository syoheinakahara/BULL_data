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94010" sheetId="157" r:id="rId4"/>
    <sheet name="tables_594010" sheetId="158" r:id="rId5"/>
    <sheet name="input_594100" sheetId="153" r:id="rId6"/>
    <sheet name="tables_594100" sheetId="154" r:id="rId7"/>
    <sheet name="input_settle_594100" sheetId="160" r:id="rId8"/>
    <sheet name="tables_settle_594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tables_594010!$A$1:$V$346</definedName>
    <definedName name="_xlnm._FilterDatabase" localSheetId="6" hidden="1">tables_594100!$A$1:$V$294</definedName>
    <definedName name="_xlnm._FilterDatabase" localSheetId="8" hidden="1">tables_settle_594100!$A$1:$V$294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9" i="154" l="1"/>
  <c r="D359" i="154"/>
  <c r="J359" i="154"/>
  <c r="E359" i="154"/>
  <c r="F359" i="154"/>
  <c r="C359" i="154"/>
  <c r="H359" i="154"/>
  <c r="K359" i="154"/>
  <c r="L359" i="154"/>
  <c r="M359" i="154"/>
  <c r="N359" i="154"/>
  <c r="A2" i="153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59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O361" i="154"/>
  <c r="O362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F358" i="154"/>
  <c r="H358" i="154"/>
  <c r="K358" i="154"/>
  <c r="L358" i="154"/>
  <c r="M358" i="154"/>
  <c r="N358" i="154"/>
  <c r="P358" i="154"/>
  <c r="A359" i="154"/>
  <c r="A360" i="154"/>
  <c r="A361" i="154"/>
  <c r="A362" i="154"/>
  <c r="A358" i="154"/>
  <c r="I359" i="161"/>
  <c r="D359" i="161"/>
  <c r="J359" i="161"/>
  <c r="E359" i="161"/>
  <c r="F359" i="161"/>
  <c r="C359" i="161"/>
  <c r="H359" i="161"/>
  <c r="K359" i="161"/>
  <c r="L359" i="161"/>
  <c r="M359" i="161"/>
  <c r="N359" i="161"/>
  <c r="A2" i="160"/>
  <c r="I360" i="161"/>
  <c r="D360" i="161"/>
  <c r="J360" i="161"/>
  <c r="E360" i="161"/>
  <c r="F360" i="161"/>
  <c r="C360" i="161"/>
  <c r="I361" i="161"/>
  <c r="D361" i="161"/>
  <c r="J361" i="161"/>
  <c r="E361" i="161"/>
  <c r="F361" i="161"/>
  <c r="C361" i="161"/>
  <c r="I362" i="161"/>
  <c r="D362" i="161"/>
  <c r="J362" i="161"/>
  <c r="E362" i="161"/>
  <c r="F362" i="161"/>
  <c r="C362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I357" i="161"/>
  <c r="D357" i="161"/>
  <c r="J357" i="161"/>
  <c r="E357" i="161"/>
  <c r="C357" i="161"/>
  <c r="I358" i="161"/>
  <c r="D358" i="161"/>
  <c r="J358" i="161"/>
  <c r="E358" i="161"/>
  <c r="C358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59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O361" i="161"/>
  <c r="O362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62" i="161"/>
  <c r="K362" i="161"/>
  <c r="L362" i="161"/>
  <c r="M362" i="161"/>
  <c r="N362" i="161"/>
  <c r="P362" i="161"/>
  <c r="F358" i="161"/>
  <c r="H358" i="161"/>
  <c r="K358" i="161"/>
  <c r="L358" i="161"/>
  <c r="M358" i="161"/>
  <c r="N358" i="161"/>
  <c r="P358" i="161"/>
  <c r="A359" i="161"/>
  <c r="A360" i="161"/>
  <c r="A361" i="161"/>
  <c r="A362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O361" i="158"/>
  <c r="O362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F356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F356" i="161"/>
  <c r="F357" i="161"/>
  <c r="P356" i="161"/>
  <c r="P357" i="161"/>
  <c r="F50" i="160"/>
  <c r="F356" i="154"/>
  <c r="F357" i="154"/>
  <c r="P356" i="154"/>
  <c r="P357" i="154"/>
  <c r="F50" i="153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P362" i="158"/>
  <c r="F50" i="157"/>
  <c r="B2" i="98"/>
  <c r="B10" i="157"/>
  <c r="B31" i="157"/>
  <c r="F348" i="161"/>
  <c r="H348" i="161"/>
  <c r="K348" i="161"/>
  <c r="L348" i="161"/>
  <c r="M348" i="161"/>
  <c r="N348" i="161"/>
  <c r="F349" i="161"/>
  <c r="F350" i="161"/>
  <c r="F351" i="161"/>
  <c r="F352" i="161"/>
  <c r="F353" i="161"/>
  <c r="F354" i="161"/>
  <c r="F355" i="161"/>
  <c r="B10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B10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H362" i="158"/>
  <c r="K362" i="158"/>
  <c r="L362" i="158"/>
  <c r="M362" i="158"/>
  <c r="N362" i="158"/>
  <c r="A362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6" i="157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6" i="153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B31" i="153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F34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<sst xmlns="http://schemas.openxmlformats.org/spreadsheetml/2006/main" count="635" uniqueCount="266">
  <si>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</si>
  <si>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</si>
  <si>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</si>
  <si>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</si>
  <si>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</si>
  <si>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</si>
  <si>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</si>
  <si>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</si>
  <si>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</si>
  <si>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</si>
  <si>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</si>
  <si>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</si>
  <si>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</si>
  <si>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</si>
  <si>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</si>
  <si>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</si>
  <si>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</si>
  <si>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</si>
  <si>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</si>
  <si>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</si>
  <si>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</si>
  <si>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</si>
  <si>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</si>
  <si>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</si>
  <si>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</si>
  <si>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</si>
  <si>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</si>
  <si>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</si>
  <si>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</si>
  <si>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</si>
  <si>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</si>
  <si>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</si>
  <si>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</si>
  <si>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</si>
  <si>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</si>
  <si>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</si>
  <si>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</si>
  <si>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</si>
  <si>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</si>
  <si>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</si>
  <si>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</si>
  <si>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</si>
  <si>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</si>
  <si>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</si>
  <si>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</si>
  <si>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</si>
  <si>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</si>
  <si>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</si>
  <si>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</si>
  <si>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</si>
  <si>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</si>
  <si>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</si>
  <si>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</si>
  <si>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</si>
  <si>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</si>
  <si>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</si>
  <si>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</si>
  <si>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</si>
  <si>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</si>
  <si>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</si>
  <si>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</si>
  <si>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</si>
  <si>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</si>
  <si>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</si>
  <si>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</si>
  <si>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</si>
  <si>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</si>
  <si>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</si>
  <si>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</si>
  <si>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</si>
  <si>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</si>
  <si>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</si>
  <si>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</si>
  <si>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</si>
  <si>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</si>
  <si>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</si>
  <si>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</si>
  <si>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</si>
  <si>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</si>
  <si>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</si>
  <si>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</si>
  <si>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</si>
  <si>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</si>
  <si>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</si>
  <si>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</si>
  <si>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</si>
  <si>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</si>
  <si>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</si>
  <si>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</si>
  <si>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</si>
  <si>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</si>
  <si>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</si>
  <si>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</si>
  <si>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</si>
  <si>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</si>
  <si>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</si>
  <si>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</si>
  <si>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</si>
  <si>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</si>
  <si>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</si>
  <si>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</si>
  <si>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</si>
  <si>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</si>
  <si>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</si>
  <si>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</si>
  <si>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</si>
  <si>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</si>
  <si>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</si>
  <si>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</si>
  <si>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</si>
  <si>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</si>
  <si>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</si>
  <si>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</si>
  <si>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</si>
  <si>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</si>
  <si>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</si>
  <si>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</si>
  <si>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</si>
  <si>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</si>
  <si>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</si>
  <si>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</si>
  <si>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</si>
  <si>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</si>
  <si>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</si>
  <si>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</si>
  <si>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</si>
  <si>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</si>
  <si>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</si>
  <si>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</si>
  <si>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</si>
  <si>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</si>
  <si>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</si>
  <si>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</si>
  <si>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</si>
  <si>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</si>
  <si>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</si>
  <si>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</si>
  <si>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</si>
  <si>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</si>
  <si>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</si>
  <si>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</si>
  <si>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</si>
  <si>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</si>
  <si>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</si>
  <si>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</si>
  <si>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</si>
  <si>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</si>
  <si>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</si>
  <si>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</si>
  <si>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</si>
  <si>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</si>
  <si>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</si>
  <si>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</si>
  <si>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</si>
  <si>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</si>
  <si>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</si>
  <si>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</si>
  <si>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</si>
  <si>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</si>
  <si>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</si>
  <si>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</si>
  <si>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</si>
  <si>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</si>
  <si>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</si>
  <si>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</si>
  <si>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</si>
  <si>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</si>
  <si>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</si>
  <si>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</si>
  <si>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</si>
  <si>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</si>
  <si>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</si>
  <si>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</si>
  <si>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</si>
  <si>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</si>
  <si>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</si>
  <si>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</si>
  <si>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</si>
  <si>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</si>
  <si>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</si>
  <si>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</si>
  <si>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</si>
  <si>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</si>
  <si>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</si>
  <si>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</si>
  <si>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</si>
  <si>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</si>
  <si>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</si>
  <si>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</si>
  <si>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</si>
  <si>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</si>
  <si>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</si>
  <si>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</si>
  <si>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</si>
  <si>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</si>
  <si>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</si>
  <si>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</si>
  <si>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</si>
  <si>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</si>
  <si>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</si>
  <si>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</si>
  <si>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</si>
  <si>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</si>
  <si>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</si>
  <si>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</si>
  <si>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</si>
  <si>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</si>
  <si>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</si>
  <si>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</si>
  <si>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</si>
  <si>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</si>
  <si>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</si>
  <si>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</si>
  <si>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</si>
  <si>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</si>
  <si>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</si>
  <si>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</si>
  <si>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</si>
  <si>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</si>
  <si>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</si>
  <si>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</si>
  <si>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</si>
  <si>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</si>
  <si>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</si>
  <si>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</si>
  <si>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</si>
  <si>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</si>
  <si>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</si>
  <si>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</si>
  <si>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</si>
  <si>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</si>
  <si>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</si>
  <si>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</si>
  <si>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</si>
  <si>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</si>
  <si>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</si>
  <si>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</si>
  <si>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</si>
  <si>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</si>
  <si>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</si>
  <si>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</si>
  <si>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</si>
  <si>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</si>
  <si>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</si>
  <si>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</si>
  <si>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</si>
  <si>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</si>
  <si>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</si>
  <si>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</si>
  <si>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</si>
  <si>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</si>
  <si>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</si>
  <si>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</si>
  <si>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</si>
  <si>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</si>
  <si>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</si>
  <si>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</si>
  <si>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</si>
  <si>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</si>
  <si>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</si>
  <si>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</si>
  <si>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</si>
  <si>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</si>
  <si>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tables_594100</t>
    <phoneticPr fontId="21"/>
  </si>
  <si>
    <t>tables_594010</t>
    <phoneticPr fontId="21"/>
  </si>
  <si>
    <t>tables_settle_594100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</si>
</sst>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human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594100</v>
      </c>
      <c r="D2" s="19" t="s">
        <v>45</v>
      </c>
      <c r="E2" s="17" t="str">
        <f t="shared" ref="E2" si="1">B2&amp;C2&amp;D2</f>
        <v>gacha_select_tables_594100.tmp</v>
      </c>
      <c r="F2" s="102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594010</v>
      </c>
      <c r="D3" s="19" t="s">
        <v>45</v>
      </c>
      <c r="E3" s="17" t="str">
        <f t="shared" ref="E3:E10" si="3">B3&amp;C3&amp;D3</f>
        <v>gacha_select_tables_594010.tmp</v>
      </c>
      <c r="F3" s="102" t="s">
        <v>264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594100</v>
      </c>
      <c r="D4" s="19" t="s">
        <v>248</v>
      </c>
      <c r="E4" s="17" t="str">
        <f t="shared" si="3"/>
        <v>gacha_settle_tables_594100.tmp</v>
      </c>
      <c r="F4" s="102" t="s">
        <v>265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6" t="s">
        <v>252</v>
      </c>
      <c r="B8" s="27" t="s">
        <v>50</v>
      </c>
      <c r="C8" s="32">
        <v>594</v>
      </c>
      <c r="D8" s="19" t="s">
        <v>46</v>
      </c>
      <c r="E8" s="17" t="str">
        <f t="shared" si="3"/>
        <v>gacha_bonus_tables_594.tmp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6" t="s">
        <v>257</v>
      </c>
      <c r="B9" s="19" t="s">
        <v>48</v>
      </c>
      <c r="C9" s="32">
        <v>594</v>
      </c>
      <c r="D9" s="19" t="s">
        <v>46</v>
      </c>
      <c r="E9" s="17" t="str">
        <f t="shared" si="3"/>
        <v>gifts_tmp_594.tmp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6" t="s">
        <v>258</v>
      </c>
      <c r="B10" s="19" t="s">
        <v>49</v>
      </c>
      <c r="C10" s="32">
        <v>594</v>
      </c>
      <c r="D10" s="19" t="s">
        <v>46</v>
      </c>
      <c r="E10" s="17" t="str">
        <f t="shared" si="3"/>
        <v>gifts_i18n_594.tmp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6" sqref="F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VLOOKUP(L3,tables_594010!B:C,2,FALSE)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VLOOKUP(L4,tables_594010!B:C,2,FALSE)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1E-3</v>
      </c>
      <c r="F5">
        <f>(COUNTIF(tables_594010!C:C,input_594010!A28)+COUNTIF(tables_594010!C:C,input_594010!A29))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9.4329896907216493E-3</v>
      </c>
      <c r="F6">
        <f>(COUNTIF(tables_594010!C:C,input_594010!A25)+COUNTIF(tables_594010!C:C,input_594010!A18)+COUNTIF(tables_594010!C:C,input_594010!A20)+COUNTIF(tables_594010!C:C,input_594010!A22))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260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0.21228865979381445</v>
      </c>
      <c r="C17" s="84">
        <f t="shared" ref="C17:C31" si="2">SUMIF(Q:Q,A17,N:N)</f>
        <v>0</v>
      </c>
      <c r="D17" s="74">
        <f t="shared" ref="D17:D32" si="3">B17-C17</f>
        <v>0.21228865979381445</v>
      </c>
      <c r="E17">
        <f>COUNTIF(tables_594010!C:C,input_594010!A17)-COUNTIF(Q:Q,A17)</f>
        <v>20</v>
      </c>
      <c r="F17" s="43">
        <f>IFERROR(B17/E17,0)</f>
        <v>1.0614432989690722E-2</v>
      </c>
      <c r="G17">
        <f t="shared" ref="G17:G31" si="4">A$36*B17</f>
        <v>30888000.000000004</v>
      </c>
      <c r="H17">
        <f t="shared" ref="H17:H31" si="5">IFERROR(ROUND(G17/E17,5),0)</f>
        <v>1544400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1.4464948453608292E-2</v>
      </c>
      <c r="C18" s="84">
        <f t="shared" si="2"/>
        <v>0</v>
      </c>
      <c r="D18" s="74">
        <f t="shared" si="3"/>
        <v>1.4464948453608292E-2</v>
      </c>
      <c r="E18">
        <f>COUNTIF(tables_594010!C:C,input_594010!A18)-COUNTIF(Q:Q,A18)</f>
        <v>20</v>
      </c>
      <c r="F18" s="43">
        <f>IFERROR(B18/E18,0)</f>
        <v>7.2324742268041454E-4</v>
      </c>
      <c r="G18">
        <f t="shared" si="4"/>
        <v>2104650.0000000065</v>
      </c>
      <c r="H18">
        <f t="shared" si="5"/>
        <v>105232.5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0.22073195876288659</v>
      </c>
      <c r="C19" s="84">
        <f t="shared" si="2"/>
        <v>0</v>
      </c>
      <c r="D19" s="74">
        <f t="shared" si="3"/>
        <v>0.22073195876288659</v>
      </c>
      <c r="E19">
        <f>COUNTIF(tables_594010!C:C,input_594010!A19)-COUNTIF(Q:Q,A19)</f>
        <v>52</v>
      </c>
      <c r="F19" s="43">
        <f t="shared" ref="F19:F31" si="8">IFERROR(B19/E19,0)</f>
        <v>4.2448453608247422E-3</v>
      </c>
      <c r="G19">
        <f t="shared" si="4"/>
        <v>32116500</v>
      </c>
      <c r="H19">
        <f t="shared" si="5"/>
        <v>617625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0.22073195876288662</v>
      </c>
      <c r="C20" s="84">
        <f t="shared" si="2"/>
        <v>0</v>
      </c>
      <c r="D20" s="74">
        <f t="shared" si="3"/>
        <v>0.22073195876288662</v>
      </c>
      <c r="E20">
        <f>COUNTIF(tables_594010!C:C,input_594010!A20)-COUNTIF(Q:Q,A20)</f>
        <v>52</v>
      </c>
      <c r="F20" s="43">
        <f t="shared" si="8"/>
        <v>4.244845360824743E-3</v>
      </c>
      <c r="G20">
        <f t="shared" si="4"/>
        <v>32116500.000000004</v>
      </c>
      <c r="H20">
        <f t="shared" si="5"/>
        <v>617625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COUNTIF(tables_594010!C:C,input_594010!A21)-COUNTIF(Q:Q,A21)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COUNTIF(tables_594010!C:C,input_594010!A22)-COUNTIF(Q:Q,A22)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COUNTIF(tables_594010!C:C,input_594010!A23)-COUNTIF(Q:Q,A23)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1.6979381443298969E-2</v>
      </c>
      <c r="C24" s="84">
        <f t="shared" si="2"/>
        <v>0</v>
      </c>
      <c r="D24" s="74">
        <f t="shared" si="3"/>
        <v>1.6979381443298969E-2</v>
      </c>
      <c r="E24">
        <f>COUNTIF(tables_594010!C:C,input_594010!A24)-COUNTIF(Q:Q,A24)</f>
        <v>4</v>
      </c>
      <c r="F24" s="43">
        <f t="shared" si="8"/>
        <v>4.2448453608247422E-3</v>
      </c>
      <c r="G24">
        <f t="shared" si="4"/>
        <v>2470500</v>
      </c>
      <c r="H24">
        <f t="shared" si="5"/>
        <v>617625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1.6979381443298972E-2</v>
      </c>
      <c r="C25" s="84">
        <f t="shared" si="2"/>
        <v>0</v>
      </c>
      <c r="D25" s="74">
        <f t="shared" si="3"/>
        <v>1.6979381443298972E-2</v>
      </c>
      <c r="E25">
        <f>COUNTIF(tables_594010!C:C,input_594010!A25)-COUNTIF(Q:Q,A25)</f>
        <v>4</v>
      </c>
      <c r="F25" s="43">
        <f t="shared" si="8"/>
        <v>4.244845360824743E-3</v>
      </c>
      <c r="G25">
        <f t="shared" si="4"/>
        <v>2470500.0000000005</v>
      </c>
      <c r="H25">
        <f t="shared" si="5"/>
        <v>617625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COUNTIF(tables_594010!C:C,input_594010!A26)-COUNTIF(Q:Q,A26)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2.5200000000000004E-2</v>
      </c>
      <c r="C27" s="84">
        <f t="shared" si="2"/>
        <v>0</v>
      </c>
      <c r="D27" s="74">
        <f t="shared" si="3"/>
        <v>2.5200000000000004E-2</v>
      </c>
      <c r="E27">
        <f>COUNTIF(tables_594010!C:C,input_594010!A27)-COUNTIF(Q:Q,A27)</f>
        <v>28</v>
      </c>
      <c r="F27" s="43">
        <f>IFERROR(B27/E27,0)</f>
        <v>9.0000000000000008E-4</v>
      </c>
      <c r="G27">
        <f t="shared" si="4"/>
        <v>3666600.0000000005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COUNTIF(tables_594010!C:C,input_594010!A28)-COUNTIF(Q:Q,A28)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COUNTIF(tables_594010!C:C,input_594010!A29)-COUNTIF(Q:Q,A29)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COUNTIF(tables_594010!C:C,input_594010!A30)-COUNTIF(Q:Q,A30)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COUNTIF(tables_594010!C:C,input_594010!A31)-COUNTIF(Q:Q,A31)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SUMIF(tables_594010!C:C,input_594010!A40,tables_594010!O:O)</f>
        <v>32116500</v>
      </c>
      <c r="C40" s="54">
        <f t="shared" ref="C40:C46" ca="1" si="9">B40/B$47</f>
        <v>0.45945464572677802</v>
      </c>
      <c r="E40">
        <v>3</v>
      </c>
      <c r="F40">
        <f ca="1">SUMIF(tables_594010!J:J,input_594010!E40,tables_594010!O:O)</f>
        <v>65475000</v>
      </c>
      <c r="G40">
        <f ca="1">F40/A36</f>
        <v>0.45</v>
      </c>
    </row>
    <row r="41" spans="1:7" x14ac:dyDescent="0.15">
      <c r="A41" s="33" t="s">
        <v>104</v>
      </c>
      <c r="B41">
        <f ca="1">SUMIF(tables_594010!C:C,input_594010!A41,tables_594010!O:O)</f>
        <v>32116500</v>
      </c>
      <c r="C41" s="54">
        <f t="shared" ca="1" si="9"/>
        <v>0.45945464572677802</v>
      </c>
      <c r="E41">
        <v>4</v>
      </c>
      <c r="F41">
        <f ca="1">SUMIF(tables_594010!J:J,input_594010!E41,tables_594010!O:O)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SUMIF(tables_594010!C:C,input_594010!A42,tables_594010!O:O)</f>
        <v>3666600</v>
      </c>
      <c r="C42" s="54">
        <f t="shared" ca="1" si="9"/>
        <v>5.2453922563847379E-2</v>
      </c>
      <c r="E42">
        <v>5</v>
      </c>
      <c r="F42">
        <f ca="1">SUMIF(tables_594010!J:J,input_594010!E42,tables_594010!O:O)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SUMIF(tables_594010!C:C,input_594010!A43,tables_594010!O:O)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SUMIF(tables_594010!C:C,input_594010!A44,tables_594010!O:O)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SUMIF(tables_594010!C:C,input_594010!A45,tables_594010!O:O)</f>
        <v>407400</v>
      </c>
      <c r="C45" s="54">
        <f t="shared" ca="1" si="9"/>
        <v>5.8282136182052644E-3</v>
      </c>
      <c r="E45" t="s">
        <v>204</v>
      </c>
      <c r="F45" s="55">
        <f ca="1">SUMIF(tables_594010!I:I,input_594010!E45,tables_594010!P:P)</f>
        <v>0.23241340206196751</v>
      </c>
    </row>
    <row r="46" spans="1:7" x14ac:dyDescent="0.15">
      <c r="A46" s="33" t="s">
        <v>108</v>
      </c>
      <c r="B46">
        <f>SUMIF(tables_594010!C:C,input_594010!A46,tables_594010!O:O)</f>
        <v>0</v>
      </c>
      <c r="C46" s="54">
        <f t="shared" ca="1" si="9"/>
        <v>0</v>
      </c>
      <c r="E46" t="s">
        <v>205</v>
      </c>
      <c r="F46" s="55">
        <f ca="1">SUMIF(tables_594010!I:I,input_594010!E46,tables_594010!P:P)</f>
        <v>0.17620604678798849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SUMIF(tables_594010!I:I,input_594010!E47,tables_594010!P:P)</f>
        <v>0.50638055115000413</v>
      </c>
    </row>
    <row r="48" spans="1:7" x14ac:dyDescent="0.15">
      <c r="E48" t="s">
        <v>207</v>
      </c>
      <c r="F48" s="55">
        <f ca="1">SUMIF(tables_594010!I:I,input_594010!E48,tables_594010!P:P)</f>
        <v>6.5000000000031227E-2</v>
      </c>
      <c r="G48" s="55"/>
    </row>
    <row r="49" spans="5:6" x14ac:dyDescent="0.15">
      <c r="E49" t="s">
        <v>249</v>
      </c>
      <c r="F49" s="55">
        <f ca="1">SUMIF(tables_594010!I:I,input_594010!E49,tables_594010!P:P)</f>
        <v>1.0000000000004812E-2</v>
      </c>
    </row>
    <row r="50" spans="5:6" x14ac:dyDescent="0.15">
      <c r="E50" t="s">
        <v>262</v>
      </c>
      <c r="F50" s="55">
        <f ca="1">SUMIF(tables_594010!I:I,input_594010!E50,tables_594010!P:P)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4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input_594010!A$2</f>
        <v>594010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IFERROR(VLOOKUP(B2,input_594010!L:R,7,FALSE),VLOOKUP(tables_594010!C2,input_594010!A:H,8,FALSE))</f>
        <v>1544400</v>
      </c>
      <c r="P2" s="46">
        <f t="shared" ref="P2:P65" ca="1" si="1">O2/SUM(O:O)</f>
        <v>1.0614432989695829E-2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input_594010!A$2</f>
        <v>594010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IFERROR(VLOOKUP(B3,input_594010!L:R,7,FALSE),VLOOKUP(tables_594010!C3,input_594010!A:H,8,FALSE))</f>
        <v>105232.5</v>
      </c>
      <c r="P3" s="46">
        <f t="shared" ca="1" si="1"/>
        <v>7.232474226807604E-4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input_594010!A$2</f>
        <v>594010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IFERROR(VLOOKUP(B4,input_594010!L:R,7,FALSE),VLOOKUP(tables_594010!C4,input_594010!A:H,8,FALSE))</f>
        <v>1544400</v>
      </c>
      <c r="P4" s="46">
        <f t="shared" ca="1" si="1"/>
        <v>1.0614432989695829E-2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input_594010!A$2</f>
        <v>594010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IFERROR(VLOOKUP(B5,input_594010!L:R,7,FALSE),VLOOKUP(tables_594010!C5,input_594010!A:H,8,FALSE))</f>
        <v>105232.5</v>
      </c>
      <c r="P5" s="46">
        <f t="shared" ca="1" si="1"/>
        <v>7.232474226807604E-4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input_594010!A$2</f>
        <v>594010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IFERROR(VLOOKUP(B6,input_594010!L:R,7,FALSE),VLOOKUP(tables_594010!C6,input_594010!A:H,8,FALSE))</f>
        <v>1544400</v>
      </c>
      <c r="P6" s="46">
        <f t="shared" ca="1" si="1"/>
        <v>1.0614432989695829E-2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input_594010!A$2</f>
        <v>594010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IFERROR(VLOOKUP(B7,input_594010!L:R,7,FALSE),VLOOKUP(tables_594010!C7,input_594010!A:H,8,FALSE))</f>
        <v>105232.5</v>
      </c>
      <c r="P7" s="46">
        <f t="shared" ca="1" si="1"/>
        <v>7.232474226807604E-4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input_594010!A$2</f>
        <v>594010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IFERROR(VLOOKUP(B8,input_594010!L:R,7,FALSE),VLOOKUP(tables_594010!C8,input_594010!A:H,8,FALSE))</f>
        <v>1544400</v>
      </c>
      <c r="P8" s="46">
        <f t="shared" ca="1" si="1"/>
        <v>1.0614432989695829E-2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input_594010!A$2</f>
        <v>594010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IFERROR(VLOOKUP(B9,input_594010!L:R,7,FALSE),VLOOKUP(tables_594010!C9,input_594010!A:H,8,FALSE))</f>
        <v>105232.5</v>
      </c>
      <c r="P9" s="46">
        <f t="shared" ca="1" si="1"/>
        <v>7.232474226807604E-4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input_594010!A$2</f>
        <v>594010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IFERROR(VLOOKUP(B10,input_594010!L:R,7,FALSE),VLOOKUP(tables_594010!C10,input_594010!A:H,8,FALSE))</f>
        <v>1544400</v>
      </c>
      <c r="P10" s="46">
        <f t="shared" ca="1" si="1"/>
        <v>1.0614432989695829E-2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input_594010!A$2</f>
        <v>594010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IFERROR(VLOOKUP(B11,input_594010!L:R,7,FALSE),VLOOKUP(tables_594010!C11,input_594010!A:H,8,FALSE))</f>
        <v>105232.5</v>
      </c>
      <c r="P11" s="46">
        <f t="shared" ca="1" si="1"/>
        <v>7.232474226807604E-4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input_594010!A$2</f>
        <v>594010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IFERROR(VLOOKUP(B12,input_594010!L:R,7,FALSE),VLOOKUP(tables_594010!C12,input_594010!A:H,8,FALSE))</f>
        <v>1544400</v>
      </c>
      <c r="P12" s="46">
        <f t="shared" ca="1" si="1"/>
        <v>1.0614432989695829E-2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input_594010!A$2</f>
        <v>594010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IFERROR(VLOOKUP(B13,input_594010!L:R,7,FALSE),VLOOKUP(tables_594010!C13,input_594010!A:H,8,FALSE))</f>
        <v>105232.5</v>
      </c>
      <c r="P13" s="46">
        <f t="shared" ca="1" si="1"/>
        <v>7.232474226807604E-4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input_594010!A$2</f>
        <v>594010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IFERROR(VLOOKUP(B14,input_594010!L:R,7,FALSE),VLOOKUP(tables_594010!C14,input_594010!A:H,8,FALSE))</f>
        <v>1544400</v>
      </c>
      <c r="P14" s="46">
        <f t="shared" ca="1" si="1"/>
        <v>1.0614432989695829E-2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input_594010!A$2</f>
        <v>594010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IFERROR(VLOOKUP(B15,input_594010!L:R,7,FALSE),VLOOKUP(tables_594010!C15,input_594010!A:H,8,FALSE))</f>
        <v>105232.5</v>
      </c>
      <c r="P15" s="46">
        <f t="shared" ca="1" si="1"/>
        <v>7.232474226807604E-4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input_594010!A$2</f>
        <v>594010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IFERROR(VLOOKUP(B16,input_594010!L:R,7,FALSE),VLOOKUP(tables_594010!C16,input_594010!A:H,8,FALSE))</f>
        <v>1544400</v>
      </c>
      <c r="P16" s="46">
        <f t="shared" ca="1" si="1"/>
        <v>1.0614432989695829E-2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input_594010!A$2</f>
        <v>594010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IFERROR(VLOOKUP(B17,input_594010!L:R,7,FALSE),VLOOKUP(tables_594010!C17,input_594010!A:H,8,FALSE))</f>
        <v>105232.5</v>
      </c>
      <c r="P17" s="46">
        <f t="shared" ca="1" si="1"/>
        <v>7.232474226807604E-4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input_594010!A$2</f>
        <v>594010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IFERROR(VLOOKUP(B18,input_594010!L:R,7,FALSE),VLOOKUP(tables_594010!C18,input_594010!A:H,8,FALSE))</f>
        <v>1544400</v>
      </c>
      <c r="P18" s="46">
        <f t="shared" ca="1" si="1"/>
        <v>1.0614432989695829E-2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input_594010!A$2</f>
        <v>594010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IFERROR(VLOOKUP(B19,input_594010!L:R,7,FALSE),VLOOKUP(tables_594010!C19,input_594010!A:H,8,FALSE))</f>
        <v>105232.5</v>
      </c>
      <c r="P19" s="46">
        <f t="shared" ca="1" si="1"/>
        <v>7.232474226807604E-4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input_594010!A$2</f>
        <v>594010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IFERROR(VLOOKUP(B20,input_594010!L:R,7,FALSE),VLOOKUP(tables_594010!C20,input_594010!A:H,8,FALSE))</f>
        <v>1544400</v>
      </c>
      <c r="P20" s="46">
        <f t="shared" ca="1" si="1"/>
        <v>1.0614432989695829E-2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input_594010!A$2</f>
        <v>594010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IFERROR(VLOOKUP(B21,input_594010!L:R,7,FALSE),VLOOKUP(tables_594010!C21,input_594010!A:H,8,FALSE))</f>
        <v>105232.5</v>
      </c>
      <c r="P21" s="46">
        <f t="shared" ca="1" si="1"/>
        <v>7.232474226807604E-4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input_594010!A$2</f>
        <v>594010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IFERROR(VLOOKUP(B22,input_594010!L:R,7,FALSE),VLOOKUP(tables_594010!C22,input_594010!A:H,8,FALSE))</f>
        <v>1544400</v>
      </c>
      <c r="P22" s="46">
        <f t="shared" ca="1" si="1"/>
        <v>1.0614432989695829E-2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input_594010!A$2</f>
        <v>594010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IFERROR(VLOOKUP(B23,input_594010!L:R,7,FALSE),VLOOKUP(tables_594010!C23,input_594010!A:H,8,FALSE))</f>
        <v>105232.5</v>
      </c>
      <c r="P23" s="46">
        <f t="shared" ca="1" si="1"/>
        <v>7.232474226807604E-4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input_594010!A$2</f>
        <v>594010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IFERROR(VLOOKUP(B24,input_594010!L:R,7,FALSE),VLOOKUP(tables_594010!C24,input_594010!A:H,8,FALSE))</f>
        <v>1544400</v>
      </c>
      <c r="P24" s="46">
        <f t="shared" ca="1" si="1"/>
        <v>1.0614432989695829E-2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input_594010!A$2</f>
        <v>594010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IFERROR(VLOOKUP(B25,input_594010!L:R,7,FALSE),VLOOKUP(tables_594010!C25,input_594010!A:H,8,FALSE))</f>
        <v>105232.5</v>
      </c>
      <c r="P25" s="46">
        <f t="shared" ca="1" si="1"/>
        <v>7.232474226807604E-4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input_594010!A$2</f>
        <v>594010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IFERROR(VLOOKUP(B26,input_594010!L:R,7,FALSE),VLOOKUP(tables_594010!C26,input_594010!A:H,8,FALSE))</f>
        <v>1544400</v>
      </c>
      <c r="P26" s="46">
        <f t="shared" ca="1" si="1"/>
        <v>1.0614432989695829E-2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input_594010!A$2</f>
        <v>594010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IFERROR(VLOOKUP(B27,input_594010!L:R,7,FALSE),VLOOKUP(tables_594010!C27,input_594010!A:H,8,FALSE))</f>
        <v>105232.5</v>
      </c>
      <c r="P27" s="46">
        <f t="shared" ca="1" si="1"/>
        <v>7.232474226807604E-4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input_594010!A$2</f>
        <v>594010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IFERROR(VLOOKUP(B28,input_594010!L:R,7,FALSE),VLOOKUP(tables_594010!C28,input_594010!A:H,8,FALSE))</f>
        <v>1544400</v>
      </c>
      <c r="P28" s="46">
        <f t="shared" ca="1" si="1"/>
        <v>1.0614432989695829E-2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input_594010!A$2</f>
        <v>594010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IFERROR(VLOOKUP(B29,input_594010!L:R,7,FALSE),VLOOKUP(tables_594010!C29,input_594010!A:H,8,FALSE))</f>
        <v>105232.5</v>
      </c>
      <c r="P29" s="46">
        <f t="shared" ca="1" si="1"/>
        <v>7.232474226807604E-4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input_594010!A$2</f>
        <v>594010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IFERROR(VLOOKUP(B30,input_594010!L:R,7,FALSE),VLOOKUP(tables_594010!C30,input_594010!A:H,8,FALSE))</f>
        <v>1544400</v>
      </c>
      <c r="P30" s="46">
        <f t="shared" ca="1" si="1"/>
        <v>1.0614432989695829E-2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input_594010!A$2</f>
        <v>594010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IFERROR(VLOOKUP(B31,input_594010!L:R,7,FALSE),VLOOKUP(tables_594010!C31,input_594010!A:H,8,FALSE))</f>
        <v>105232.5</v>
      </c>
      <c r="P31" s="46">
        <f t="shared" ca="1" si="1"/>
        <v>7.232474226807604E-4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input_594010!A$2</f>
        <v>594010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IFERROR(VLOOKUP(B32,input_594010!L:R,7,FALSE),VLOOKUP(tables_594010!C32,input_594010!A:H,8,FALSE))</f>
        <v>1544400</v>
      </c>
      <c r="P32" s="46">
        <f t="shared" ca="1" si="1"/>
        <v>1.0614432989695829E-2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input_594010!A$2</f>
        <v>594010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IFERROR(VLOOKUP(B33,input_594010!L:R,7,FALSE),VLOOKUP(tables_594010!C33,input_594010!A:H,8,FALSE))</f>
        <v>105232.5</v>
      </c>
      <c r="P33" s="46">
        <f t="shared" ca="1" si="1"/>
        <v>7.232474226807604E-4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input_594010!A$2</f>
        <v>594010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IFERROR(VLOOKUP(B34,input_594010!L:R,7,FALSE),VLOOKUP(tables_594010!C34,input_594010!A:H,8,FALSE))</f>
        <v>1544400</v>
      </c>
      <c r="P34" s="46">
        <f t="shared" ca="1" si="1"/>
        <v>1.0614432989695829E-2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input_594010!A$2</f>
        <v>594010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IFERROR(VLOOKUP(B35,input_594010!L:R,7,FALSE),VLOOKUP(tables_594010!C35,input_594010!A:H,8,FALSE))</f>
        <v>105232.5</v>
      </c>
      <c r="P35" s="46">
        <f t="shared" ca="1" si="1"/>
        <v>7.232474226807604E-4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input_594010!A$2</f>
        <v>594010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IFERROR(VLOOKUP(B36,input_594010!L:R,7,FALSE),VLOOKUP(tables_594010!C36,input_594010!A:H,8,FALSE))</f>
        <v>1544400</v>
      </c>
      <c r="P36" s="46">
        <f t="shared" ca="1" si="1"/>
        <v>1.0614432989695829E-2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input_594010!A$2</f>
        <v>594010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IFERROR(VLOOKUP(B37,input_594010!L:R,7,FALSE),VLOOKUP(tables_594010!C37,input_594010!A:H,8,FALSE))</f>
        <v>105232.5</v>
      </c>
      <c r="P37" s="46">
        <f t="shared" ca="1" si="1"/>
        <v>7.232474226807604E-4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input_594010!A$2</f>
        <v>594010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IFERROR(VLOOKUP(B38,input_594010!L:R,7,FALSE),VLOOKUP(tables_594010!C38,input_594010!A:H,8,FALSE))</f>
        <v>1544400</v>
      </c>
      <c r="P38" s="46">
        <f t="shared" ca="1" si="1"/>
        <v>1.0614432989695829E-2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input_594010!A$2</f>
        <v>594010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IFERROR(VLOOKUP(B39,input_594010!L:R,7,FALSE),VLOOKUP(tables_594010!C39,input_594010!A:H,8,FALSE))</f>
        <v>105232.5</v>
      </c>
      <c r="P39" s="46">
        <f t="shared" ca="1" si="1"/>
        <v>7.232474226807604E-4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input_594010!A$2</f>
        <v>594010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IFERROR(VLOOKUP(B40,input_594010!L:R,7,FALSE),VLOOKUP(tables_594010!C40,input_594010!A:H,8,FALSE))</f>
        <v>1544400</v>
      </c>
      <c r="P40" s="46">
        <f t="shared" ca="1" si="1"/>
        <v>1.0614432989695829E-2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input_594010!A$2</f>
        <v>594010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IFERROR(VLOOKUP(B41,input_594010!L:R,7,FALSE),VLOOKUP(tables_594010!C41,input_594010!A:H,8,FALSE))</f>
        <v>105232.5</v>
      </c>
      <c r="P41" s="46">
        <f t="shared" ca="1" si="1"/>
        <v>7.232474226807604E-4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input_594010!A$2</f>
        <v>594010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IFERROR(VLOOKUP(B42,input_594010!L:R,7,FALSE),VLOOKUP(tables_594010!C42,input_594010!A:H,8,FALSE))</f>
        <v>617625</v>
      </c>
      <c r="P42" s="46">
        <f t="shared" ca="1" si="1"/>
        <v>4.2448453608267848E-3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input_594010!A$2</f>
        <v>594010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IFERROR(VLOOKUP(B43,input_594010!L:R,7,FALSE),VLOOKUP(tables_594010!C43,input_594010!A:H,8,FALSE))</f>
        <v>617625</v>
      </c>
      <c r="P43" s="46">
        <f t="shared" ca="1" si="1"/>
        <v>4.2448453608267848E-3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input_594010!A$2</f>
        <v>594010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IFERROR(VLOOKUP(B44,input_594010!L:R,7,FALSE),VLOOKUP(tables_594010!C44,input_594010!A:H,8,FALSE))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input_594010!A$2</f>
        <v>594010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IFERROR(VLOOKUP(B45,input_594010!L:R,7,FALSE),VLOOKUP(tables_594010!C45,input_594010!A:H,8,FALSE))</f>
        <v>617625</v>
      </c>
      <c r="P45" s="46">
        <f t="shared" ca="1" si="1"/>
        <v>4.2448453608267848E-3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input_594010!A$2</f>
        <v>594010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IFERROR(VLOOKUP(B46,input_594010!L:R,7,FALSE),VLOOKUP(tables_594010!C46,input_594010!A:H,8,FALSE))</f>
        <v>617625</v>
      </c>
      <c r="P46" s="46">
        <f t="shared" ca="1" si="1"/>
        <v>4.2448453608267848E-3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input_594010!A$2</f>
        <v>594010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IFERROR(VLOOKUP(B47,input_594010!L:R,7,FALSE),VLOOKUP(tables_594010!C47,input_594010!A:H,8,FALSE))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input_594010!A$2</f>
        <v>594010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IFERROR(VLOOKUP(B48,input_594010!L:R,7,FALSE),VLOOKUP(tables_594010!C48,input_594010!A:H,8,FALSE))</f>
        <v>617625</v>
      </c>
      <c r="P48" s="46">
        <f t="shared" ca="1" si="1"/>
        <v>4.2448453608267848E-3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input_594010!A$2</f>
        <v>594010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IFERROR(VLOOKUP(B49,input_594010!L:R,7,FALSE),VLOOKUP(tables_594010!C49,input_594010!A:H,8,FALSE))</f>
        <v>617625</v>
      </c>
      <c r="P49" s="46">
        <f t="shared" ca="1" si="1"/>
        <v>4.2448453608267848E-3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input_594010!A$2</f>
        <v>594010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IFERROR(VLOOKUP(B50,input_594010!L:R,7,FALSE),VLOOKUP(tables_594010!C50,input_594010!A:H,8,FALSE))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input_594010!A$2</f>
        <v>594010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IFERROR(VLOOKUP(B51,input_594010!L:R,7,FALSE),VLOOKUP(tables_594010!C51,input_594010!A:H,8,FALSE))</f>
        <v>617625</v>
      </c>
      <c r="P51" s="46">
        <f t="shared" ca="1" si="1"/>
        <v>4.2448453608267848E-3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input_594010!A$2</f>
        <v>594010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IFERROR(VLOOKUP(B52,input_594010!L:R,7,FALSE),VLOOKUP(tables_594010!C52,input_594010!A:H,8,FALSE))</f>
        <v>617625</v>
      </c>
      <c r="P52" s="46">
        <f t="shared" ca="1" si="1"/>
        <v>4.2448453608267848E-3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input_594010!A$2</f>
        <v>594010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IFERROR(VLOOKUP(B53,input_594010!L:R,7,FALSE),VLOOKUP(tables_594010!C53,input_594010!A:H,8,FALSE))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input_594010!A$2</f>
        <v>594010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IFERROR(VLOOKUP(B54,input_594010!L:R,7,FALSE),VLOOKUP(tables_594010!C54,input_594010!A:H,8,FALSE))</f>
        <v>617625</v>
      </c>
      <c r="P54" s="46">
        <f t="shared" ca="1" si="1"/>
        <v>4.2448453608267848E-3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input_594010!A$2</f>
        <v>594010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IFERROR(VLOOKUP(B55,input_594010!L:R,7,FALSE),VLOOKUP(tables_594010!C55,input_594010!A:H,8,FALSE))</f>
        <v>617625</v>
      </c>
      <c r="P55" s="46">
        <f t="shared" ca="1" si="1"/>
        <v>4.2448453608267848E-3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input_594010!A$2</f>
        <v>594010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IFERROR(VLOOKUP(B56,input_594010!L:R,7,FALSE),VLOOKUP(tables_594010!C56,input_594010!A:H,8,FALSE))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input_594010!A$2</f>
        <v>594010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IFERROR(VLOOKUP(B57,input_594010!L:R,7,FALSE),VLOOKUP(tables_594010!C57,input_594010!A:H,8,FALSE))</f>
        <v>617625</v>
      </c>
      <c r="P57" s="46">
        <f t="shared" ca="1" si="1"/>
        <v>4.2448453608267848E-3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input_594010!A$2</f>
        <v>594010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IFERROR(VLOOKUP(B58,input_594010!L:R,7,FALSE),VLOOKUP(tables_594010!C58,input_594010!A:H,8,FALSE))</f>
        <v>617625</v>
      </c>
      <c r="P58" s="46">
        <f t="shared" ca="1" si="1"/>
        <v>4.2448453608267848E-3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input_594010!A$2</f>
        <v>594010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IFERROR(VLOOKUP(B59,input_594010!L:R,7,FALSE),VLOOKUP(tables_594010!C59,input_594010!A:H,8,FALSE))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input_594010!A$2</f>
        <v>594010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IFERROR(VLOOKUP(B60,input_594010!L:R,7,FALSE),VLOOKUP(tables_594010!C60,input_594010!A:H,8,FALSE))</f>
        <v>617625</v>
      </c>
      <c r="P60" s="46">
        <f t="shared" ca="1" si="1"/>
        <v>4.2448453608267848E-3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input_594010!A$2</f>
        <v>594010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IFERROR(VLOOKUP(B61,input_594010!L:R,7,FALSE),VLOOKUP(tables_594010!C61,input_594010!A:H,8,FALSE))</f>
        <v>617625</v>
      </c>
      <c r="P61" s="46">
        <f t="shared" ca="1" si="1"/>
        <v>4.2448453608267848E-3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input_594010!A$2</f>
        <v>594010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IFERROR(VLOOKUP(B62,input_594010!L:R,7,FALSE),VLOOKUP(tables_594010!C62,input_594010!A:H,8,FALSE))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input_594010!A$2</f>
        <v>594010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IFERROR(VLOOKUP(B63,input_594010!L:R,7,FALSE),VLOOKUP(tables_594010!C63,input_594010!A:H,8,FALSE))</f>
        <v>617625</v>
      </c>
      <c r="P63" s="46">
        <f t="shared" ca="1" si="1"/>
        <v>4.2448453608267848E-3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input_594010!A$2</f>
        <v>594010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IFERROR(VLOOKUP(B64,input_594010!L:R,7,FALSE),VLOOKUP(tables_594010!C64,input_594010!A:H,8,FALSE))</f>
        <v>617625</v>
      </c>
      <c r="P64" s="46">
        <f t="shared" ca="1" si="1"/>
        <v>4.2448453608267848E-3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input_594010!A$2</f>
        <v>594010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IFERROR(VLOOKUP(B65,input_594010!L:R,7,FALSE),VLOOKUP(tables_594010!C65,input_594010!A:H,8,FALSE))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input_594010!A$2</f>
        <v>594010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IFERROR(VLOOKUP(B66,input_594010!L:R,7,FALSE),VLOOKUP(tables_594010!C66,input_594010!A:H,8,FALSE))</f>
        <v>617625</v>
      </c>
      <c r="P66" s="46">
        <f t="shared" ref="P66:P129" ca="1" si="4">O66/SUM(O:O)</f>
        <v>4.2448453608267848E-3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input_594010!A$2</f>
        <v>594010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IFERROR(VLOOKUP(B67,input_594010!L:R,7,FALSE),VLOOKUP(tables_594010!C67,input_594010!A:H,8,FALSE))</f>
        <v>617625</v>
      </c>
      <c r="P67" s="46">
        <f t="shared" ca="1" si="4"/>
        <v>4.2448453608267848E-3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input_594010!A$2</f>
        <v>594010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IFERROR(VLOOKUP(B68,input_594010!L:R,7,FALSE),VLOOKUP(tables_594010!C68,input_594010!A:H,8,FALSE))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input_594010!A$2</f>
        <v>594010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IFERROR(VLOOKUP(B69,input_594010!L:R,7,FALSE),VLOOKUP(tables_594010!C69,input_594010!A:H,8,FALSE))</f>
        <v>617625</v>
      </c>
      <c r="P69" s="46">
        <f t="shared" ca="1" si="4"/>
        <v>4.2448453608267848E-3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input_594010!A$2</f>
        <v>594010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IFERROR(VLOOKUP(B70,input_594010!L:R,7,FALSE),VLOOKUP(tables_594010!C70,input_594010!A:H,8,FALSE))</f>
        <v>617625</v>
      </c>
      <c r="P70" s="46">
        <f t="shared" ca="1" si="4"/>
        <v>4.2448453608267848E-3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input_594010!A$2</f>
        <v>594010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IFERROR(VLOOKUP(B71,input_594010!L:R,7,FALSE),VLOOKUP(tables_594010!C71,input_594010!A:H,8,FALSE))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input_594010!A$2</f>
        <v>594010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IFERROR(VLOOKUP(B72,input_594010!L:R,7,FALSE),VLOOKUP(tables_594010!C72,input_594010!A:H,8,FALSE))</f>
        <v>617625</v>
      </c>
      <c r="P72" s="46">
        <f t="shared" ca="1" si="4"/>
        <v>4.2448453608267848E-3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input_594010!A$2</f>
        <v>594010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IFERROR(VLOOKUP(B73,input_594010!L:R,7,FALSE),VLOOKUP(tables_594010!C73,input_594010!A:H,8,FALSE))</f>
        <v>617625</v>
      </c>
      <c r="P73" s="46">
        <f t="shared" ca="1" si="4"/>
        <v>4.2448453608267848E-3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input_594010!A$2</f>
        <v>594010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IFERROR(VLOOKUP(B74,input_594010!L:R,7,FALSE),VLOOKUP(tables_594010!C74,input_594010!A:H,8,FALSE))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input_594010!A$2</f>
        <v>594010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IFERROR(VLOOKUP(B75,input_594010!L:R,7,FALSE),VLOOKUP(tables_594010!C75,input_594010!A:H,8,FALSE))</f>
        <v>617625</v>
      </c>
      <c r="P75" s="46">
        <f t="shared" ca="1" si="4"/>
        <v>4.2448453608267848E-3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input_594010!A$2</f>
        <v>594010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IFERROR(VLOOKUP(B76,input_594010!L:R,7,FALSE),VLOOKUP(tables_594010!C76,input_594010!A:H,8,FALSE))</f>
        <v>617625</v>
      </c>
      <c r="P76" s="46">
        <f t="shared" ca="1" si="4"/>
        <v>4.2448453608267848E-3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input_594010!A$2</f>
        <v>594010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IFERROR(VLOOKUP(B77,input_594010!L:R,7,FALSE),VLOOKUP(tables_594010!C77,input_594010!A:H,8,FALSE))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input_594010!A$2</f>
        <v>594010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IFERROR(VLOOKUP(B78,input_594010!L:R,7,FALSE),VLOOKUP(tables_594010!C78,input_594010!A:H,8,FALSE))</f>
        <v>617625</v>
      </c>
      <c r="P78" s="46">
        <f t="shared" ca="1" si="4"/>
        <v>4.2448453608267848E-3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input_594010!A$2</f>
        <v>594010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IFERROR(VLOOKUP(B79,input_594010!L:R,7,FALSE),VLOOKUP(tables_594010!C79,input_594010!A:H,8,FALSE))</f>
        <v>617625</v>
      </c>
      <c r="P79" s="46">
        <f t="shared" ca="1" si="4"/>
        <v>4.2448453608267848E-3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input_594010!A$2</f>
        <v>594010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IFERROR(VLOOKUP(B80,input_594010!L:R,7,FALSE),VLOOKUP(tables_594010!C80,input_594010!A:H,8,FALSE))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input_594010!A$2</f>
        <v>594010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IFERROR(VLOOKUP(B81,input_594010!L:R,7,FALSE),VLOOKUP(tables_594010!C81,input_594010!A:H,8,FALSE))</f>
        <v>617625</v>
      </c>
      <c r="P81" s="46">
        <f t="shared" ca="1" si="4"/>
        <v>4.2448453608267848E-3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input_594010!A$2</f>
        <v>594010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IFERROR(VLOOKUP(B82,input_594010!L:R,7,FALSE),VLOOKUP(tables_594010!C82,input_594010!A:H,8,FALSE))</f>
        <v>617625</v>
      </c>
      <c r="P82" s="46">
        <f t="shared" ca="1" si="4"/>
        <v>4.2448453608267848E-3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input_594010!A$2</f>
        <v>594010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IFERROR(VLOOKUP(B83,input_594010!L:R,7,FALSE),VLOOKUP(tables_594010!C83,input_594010!A:H,8,FALSE))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input_594010!A$2</f>
        <v>594010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IFERROR(VLOOKUP(B84,input_594010!L:R,7,FALSE),VLOOKUP(tables_594010!C84,input_594010!A:H,8,FALSE))</f>
        <v>617625</v>
      </c>
      <c r="P84" s="46">
        <f t="shared" ca="1" si="4"/>
        <v>4.2448453608267848E-3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input_594010!A$2</f>
        <v>594010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IFERROR(VLOOKUP(B85,input_594010!L:R,7,FALSE),VLOOKUP(tables_594010!C85,input_594010!A:H,8,FALSE))</f>
        <v>617625</v>
      </c>
      <c r="P85" s="46">
        <f t="shared" ca="1" si="4"/>
        <v>4.2448453608267848E-3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input_594010!A$2</f>
        <v>594010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IFERROR(VLOOKUP(B86,input_594010!L:R,7,FALSE),VLOOKUP(tables_594010!C86,input_594010!A:H,8,FALSE))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input_594010!A$2</f>
        <v>594010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IFERROR(VLOOKUP(B87,input_594010!L:R,7,FALSE),VLOOKUP(tables_594010!C87,input_594010!A:H,8,FALSE))</f>
        <v>617625</v>
      </c>
      <c r="P87" s="46">
        <f t="shared" ca="1" si="4"/>
        <v>4.2448453608267848E-3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input_594010!A$2</f>
        <v>594010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IFERROR(VLOOKUP(B88,input_594010!L:R,7,FALSE),VLOOKUP(tables_594010!C88,input_594010!A:H,8,FALSE))</f>
        <v>617625</v>
      </c>
      <c r="P88" s="46">
        <f t="shared" ca="1" si="4"/>
        <v>4.2448453608267848E-3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input_594010!A$2</f>
        <v>594010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IFERROR(VLOOKUP(B89,input_594010!L:R,7,FALSE),VLOOKUP(tables_594010!C89,input_594010!A:H,8,FALSE))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input_594010!A$2</f>
        <v>594010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IFERROR(VLOOKUP(B90,input_594010!L:R,7,FALSE),VLOOKUP(tables_594010!C90,input_594010!A:H,8,FALSE))</f>
        <v>617625</v>
      </c>
      <c r="P90" s="46">
        <f t="shared" ca="1" si="4"/>
        <v>4.2448453608267848E-3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input_594010!A$2</f>
        <v>594010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IFERROR(VLOOKUP(B91,input_594010!L:R,7,FALSE),VLOOKUP(tables_594010!C91,input_594010!A:H,8,FALSE))</f>
        <v>617625</v>
      </c>
      <c r="P91" s="46">
        <f t="shared" ca="1" si="4"/>
        <v>4.2448453608267848E-3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input_594010!A$2</f>
        <v>594010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IFERROR(VLOOKUP(B92,input_594010!L:R,7,FALSE),VLOOKUP(tables_594010!C92,input_594010!A:H,8,FALSE))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input_594010!A$2</f>
        <v>594010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IFERROR(VLOOKUP(B93,input_594010!L:R,7,FALSE),VLOOKUP(tables_594010!C93,input_594010!A:H,8,FALSE))</f>
        <v>617625</v>
      </c>
      <c r="P93" s="46">
        <f t="shared" ca="1" si="4"/>
        <v>4.2448453608267848E-3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input_594010!A$2</f>
        <v>594010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IFERROR(VLOOKUP(B94,input_594010!L:R,7,FALSE),VLOOKUP(tables_594010!C94,input_594010!A:H,8,FALSE))</f>
        <v>617625</v>
      </c>
      <c r="P94" s="46">
        <f t="shared" ca="1" si="4"/>
        <v>4.2448453608267848E-3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input_594010!A$2</f>
        <v>594010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IFERROR(VLOOKUP(B95,input_594010!L:R,7,FALSE),VLOOKUP(tables_594010!C95,input_594010!A:H,8,FALSE))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input_594010!A$2</f>
        <v>594010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IFERROR(VLOOKUP(B96,input_594010!L:R,7,FALSE),VLOOKUP(tables_594010!C96,input_594010!A:H,8,FALSE))</f>
        <v>617625</v>
      </c>
      <c r="P96" s="46">
        <f t="shared" ca="1" si="4"/>
        <v>4.2448453608267848E-3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input_594010!A$2</f>
        <v>594010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IFERROR(VLOOKUP(B97,input_594010!L:R,7,FALSE),VLOOKUP(tables_594010!C97,input_594010!A:H,8,FALSE))</f>
        <v>617625</v>
      </c>
      <c r="P97" s="46">
        <f t="shared" ca="1" si="4"/>
        <v>4.2448453608267848E-3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input_594010!A$2</f>
        <v>594010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IFERROR(VLOOKUP(B98,input_594010!L:R,7,FALSE),VLOOKUP(tables_594010!C98,input_594010!A:H,8,FALSE))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input_594010!A$2</f>
        <v>594010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IFERROR(VLOOKUP(B99,input_594010!L:R,7,FALSE),VLOOKUP(tables_594010!C99,input_594010!A:H,8,FALSE))</f>
        <v>617625</v>
      </c>
      <c r="P99" s="46">
        <f t="shared" ca="1" si="4"/>
        <v>4.2448453608267848E-3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input_594010!A$2</f>
        <v>594010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IFERROR(VLOOKUP(B100,input_594010!L:R,7,FALSE),VLOOKUP(tables_594010!C100,input_594010!A:H,8,FALSE))</f>
        <v>617625</v>
      </c>
      <c r="P100" s="46">
        <f t="shared" ca="1" si="4"/>
        <v>4.2448453608267848E-3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input_594010!A$2</f>
        <v>594010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IFERROR(VLOOKUP(B101,input_594010!L:R,7,FALSE),VLOOKUP(tables_594010!C101,input_594010!A:H,8,FALSE))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input_594010!A$2</f>
        <v>594010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IFERROR(VLOOKUP(B102,input_594010!L:R,7,FALSE),VLOOKUP(tables_594010!C102,input_594010!A:H,8,FALSE))</f>
        <v>617625</v>
      </c>
      <c r="P102" s="46">
        <f t="shared" ca="1" si="4"/>
        <v>4.2448453608267848E-3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input_594010!A$2</f>
        <v>594010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IFERROR(VLOOKUP(B103,input_594010!L:R,7,FALSE),VLOOKUP(tables_594010!C103,input_594010!A:H,8,FALSE))</f>
        <v>617625</v>
      </c>
      <c r="P103" s="46">
        <f t="shared" ca="1" si="4"/>
        <v>4.2448453608267848E-3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input_594010!A$2</f>
        <v>594010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IFERROR(VLOOKUP(B104,input_594010!L:R,7,FALSE),VLOOKUP(tables_594010!C104,input_594010!A:H,8,FALSE))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input_594010!A$2</f>
        <v>594010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IFERROR(VLOOKUP(B105,input_594010!L:R,7,FALSE),VLOOKUP(tables_594010!C105,input_594010!A:H,8,FALSE))</f>
        <v>617625</v>
      </c>
      <c r="P105" s="46">
        <f t="shared" ca="1" si="4"/>
        <v>4.2448453608267848E-3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input_594010!A$2</f>
        <v>594010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IFERROR(VLOOKUP(B106,input_594010!L:R,7,FALSE),VLOOKUP(tables_594010!C106,input_594010!A:H,8,FALSE))</f>
        <v>617625</v>
      </c>
      <c r="P106" s="46">
        <f t="shared" ca="1" si="4"/>
        <v>4.2448453608267848E-3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input_594010!A$2</f>
        <v>594010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IFERROR(VLOOKUP(B107,input_594010!L:R,7,FALSE),VLOOKUP(tables_594010!C107,input_594010!A:H,8,FALSE))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input_594010!A$2</f>
        <v>594010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IFERROR(VLOOKUP(B108,input_594010!L:R,7,FALSE),VLOOKUP(tables_594010!C108,input_594010!A:H,8,FALSE))</f>
        <v>617625</v>
      </c>
      <c r="P108" s="46">
        <f t="shared" ca="1" si="4"/>
        <v>4.2448453608267848E-3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input_594010!A$2</f>
        <v>594010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IFERROR(VLOOKUP(B109,input_594010!L:R,7,FALSE),VLOOKUP(tables_594010!C109,input_594010!A:H,8,FALSE))</f>
        <v>617625</v>
      </c>
      <c r="P109" s="46">
        <f t="shared" ca="1" si="4"/>
        <v>4.2448453608267848E-3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input_594010!A$2</f>
        <v>594010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IFERROR(VLOOKUP(B110,input_594010!L:R,7,FALSE),VLOOKUP(tables_594010!C110,input_594010!A:H,8,FALSE))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input_594010!A$2</f>
        <v>594010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IFERROR(VLOOKUP(B111,input_594010!L:R,7,FALSE),VLOOKUP(tables_594010!C111,input_594010!A:H,8,FALSE))</f>
        <v>617625</v>
      </c>
      <c r="P111" s="46">
        <f t="shared" ca="1" si="4"/>
        <v>4.2448453608267848E-3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input_594010!A$2</f>
        <v>594010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IFERROR(VLOOKUP(B112,input_594010!L:R,7,FALSE),VLOOKUP(tables_594010!C112,input_594010!A:H,8,FALSE))</f>
        <v>617625</v>
      </c>
      <c r="P112" s="46">
        <f t="shared" ca="1" si="4"/>
        <v>4.2448453608267848E-3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input_594010!A$2</f>
        <v>594010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IFERROR(VLOOKUP(B113,input_594010!L:R,7,FALSE),VLOOKUP(tables_594010!C113,input_594010!A:H,8,FALSE))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input_594010!A$2</f>
        <v>594010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IFERROR(VLOOKUP(B114,input_594010!L:R,7,FALSE),VLOOKUP(tables_594010!C114,input_594010!A:H,8,FALSE))</f>
        <v>617625</v>
      </c>
      <c r="P114" s="46">
        <f t="shared" ca="1" si="4"/>
        <v>4.2448453608267848E-3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input_594010!A$2</f>
        <v>594010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IFERROR(VLOOKUP(B115,input_594010!L:R,7,FALSE),VLOOKUP(tables_594010!C115,input_594010!A:H,8,FALSE))</f>
        <v>617625</v>
      </c>
      <c r="P115" s="46">
        <f t="shared" ca="1" si="4"/>
        <v>4.2448453608267848E-3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input_594010!A$2</f>
        <v>594010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IFERROR(VLOOKUP(B116,input_594010!L:R,7,FALSE),VLOOKUP(tables_594010!C116,input_594010!A:H,8,FALSE))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input_594010!A$2</f>
        <v>594010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IFERROR(VLOOKUP(B117,input_594010!L:R,7,FALSE),VLOOKUP(tables_594010!C117,input_594010!A:H,8,FALSE))</f>
        <v>617625</v>
      </c>
      <c r="P117" s="46">
        <f t="shared" ca="1" si="4"/>
        <v>4.2448453608267848E-3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input_594010!A$2</f>
        <v>594010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IFERROR(VLOOKUP(B118,input_594010!L:R,7,FALSE),VLOOKUP(tables_594010!C118,input_594010!A:H,8,FALSE))</f>
        <v>617625</v>
      </c>
      <c r="P118" s="46">
        <f t="shared" ca="1" si="4"/>
        <v>4.2448453608267848E-3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input_594010!A$2</f>
        <v>594010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IFERROR(VLOOKUP(B119,input_594010!L:R,7,FALSE),VLOOKUP(tables_594010!C119,input_594010!A:H,8,FALSE))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input_594010!A$2</f>
        <v>594010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IFERROR(VLOOKUP(B120,input_594010!L:R,7,FALSE),VLOOKUP(tables_594010!C120,input_594010!A:H,8,FALSE))</f>
        <v>617625</v>
      </c>
      <c r="P120" s="46">
        <f t="shared" ca="1" si="4"/>
        <v>4.2448453608267848E-3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input_594010!A$2</f>
        <v>594010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IFERROR(VLOOKUP(B121,input_594010!L:R,7,FALSE),VLOOKUP(tables_594010!C121,input_594010!A:H,8,FALSE))</f>
        <v>617625</v>
      </c>
      <c r="P121" s="46">
        <f t="shared" ca="1" si="4"/>
        <v>4.2448453608267848E-3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input_594010!A$2</f>
        <v>594010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IFERROR(VLOOKUP(B122,input_594010!L:R,7,FALSE),VLOOKUP(tables_594010!C122,input_594010!A:H,8,FALSE))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input_594010!A$2</f>
        <v>594010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IFERROR(VLOOKUP(B123,input_594010!L:R,7,FALSE),VLOOKUP(tables_594010!C123,input_594010!A:H,8,FALSE))</f>
        <v>617625</v>
      </c>
      <c r="P123" s="46">
        <f t="shared" ca="1" si="4"/>
        <v>4.2448453608267848E-3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input_594010!A$2</f>
        <v>594010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IFERROR(VLOOKUP(B124,input_594010!L:R,7,FALSE),VLOOKUP(tables_594010!C124,input_594010!A:H,8,FALSE))</f>
        <v>617625</v>
      </c>
      <c r="P124" s="46">
        <f t="shared" ca="1" si="4"/>
        <v>4.2448453608267848E-3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input_594010!A$2</f>
        <v>594010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IFERROR(VLOOKUP(B125,input_594010!L:R,7,FALSE),VLOOKUP(tables_594010!C125,input_594010!A:H,8,FALSE))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input_594010!A$2</f>
        <v>594010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IFERROR(VLOOKUP(B126,input_594010!L:R,7,FALSE),VLOOKUP(tables_594010!C126,input_594010!A:H,8,FALSE))</f>
        <v>617625</v>
      </c>
      <c r="P126" s="46">
        <f t="shared" ca="1" si="4"/>
        <v>4.2448453608267848E-3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input_594010!A$2</f>
        <v>594010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IFERROR(VLOOKUP(B127,input_594010!L:R,7,FALSE),VLOOKUP(tables_594010!C127,input_594010!A:H,8,FALSE))</f>
        <v>617625</v>
      </c>
      <c r="P127" s="46">
        <f t="shared" ca="1" si="4"/>
        <v>4.2448453608267848E-3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input_594010!A$2</f>
        <v>594010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IFERROR(VLOOKUP(B128,input_594010!L:R,7,FALSE),VLOOKUP(tables_594010!C128,input_594010!A:H,8,FALSE))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input_594010!A$2</f>
        <v>594010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IFERROR(VLOOKUP(B129,input_594010!L:R,7,FALSE),VLOOKUP(tables_594010!C129,input_594010!A:H,8,FALSE))</f>
        <v>617625</v>
      </c>
      <c r="P129" s="46">
        <f t="shared" ca="1" si="4"/>
        <v>4.2448453608267848E-3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input_594010!A$2</f>
        <v>594010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IFERROR(VLOOKUP(B130,input_594010!L:R,7,FALSE),VLOOKUP(tables_594010!C130,input_594010!A:H,8,FALSE))</f>
        <v>617625</v>
      </c>
      <c r="P130" s="46">
        <f t="shared" ref="P130:P193" ca="1" si="7">O130/SUM(O:O)</f>
        <v>4.2448453608267848E-3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input_594010!A$2</f>
        <v>594010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IFERROR(VLOOKUP(B131,input_594010!L:R,7,FALSE),VLOOKUP(tables_594010!C131,input_594010!A:H,8,FALSE))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input_594010!A$2</f>
        <v>594010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IFERROR(VLOOKUP(B132,input_594010!L:R,7,FALSE),VLOOKUP(tables_594010!C132,input_594010!A:H,8,FALSE))</f>
        <v>617625</v>
      </c>
      <c r="P132" s="46">
        <f t="shared" ca="1" si="7"/>
        <v>4.2448453608267848E-3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input_594010!A$2</f>
        <v>594010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IFERROR(VLOOKUP(B133,input_594010!L:R,7,FALSE),VLOOKUP(tables_594010!C133,input_594010!A:H,8,FALSE))</f>
        <v>617625</v>
      </c>
      <c r="P133" s="46">
        <f t="shared" ca="1" si="7"/>
        <v>4.2448453608267848E-3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input_594010!A$2</f>
        <v>594010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IFERROR(VLOOKUP(B134,input_594010!L:R,7,FALSE),VLOOKUP(tables_594010!C134,input_594010!A:H,8,FALSE))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input_594010!A$2</f>
        <v>594010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IFERROR(VLOOKUP(B135,input_594010!L:R,7,FALSE),VLOOKUP(tables_594010!C135,input_594010!A:H,8,FALSE))</f>
        <v>617625</v>
      </c>
      <c r="P135" s="46">
        <f t="shared" ca="1" si="7"/>
        <v>4.2448453608267848E-3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input_594010!A$2</f>
        <v>594010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IFERROR(VLOOKUP(B136,input_594010!L:R,7,FALSE),VLOOKUP(tables_594010!C136,input_594010!A:H,8,FALSE))</f>
        <v>617625</v>
      </c>
      <c r="P136" s="46">
        <f t="shared" ca="1" si="7"/>
        <v>4.2448453608267848E-3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input_594010!A$2</f>
        <v>594010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IFERROR(VLOOKUP(B137,input_594010!L:R,7,FALSE),VLOOKUP(tables_594010!C137,input_594010!A:H,8,FALSE))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input_594010!A$2</f>
        <v>594010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IFERROR(VLOOKUP(B138,input_594010!L:R,7,FALSE),VLOOKUP(tables_594010!C138,input_594010!A:H,8,FALSE))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input_594010!A$2</f>
        <v>594010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IFERROR(VLOOKUP(B139,input_594010!L:R,7,FALSE),VLOOKUP(tables_594010!C139,input_594010!A:H,8,FALSE))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input_594010!A$2</f>
        <v>594010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IFERROR(VLOOKUP(B140,input_594010!L:R,7,FALSE),VLOOKUP(tables_594010!C140,input_594010!A:H,8,FALSE))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input_594010!A$2</f>
        <v>594010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IFERROR(VLOOKUP(B141,input_594010!L:R,7,FALSE),VLOOKUP(tables_594010!C141,input_594010!A:H,8,FALSE))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input_594010!A$2</f>
        <v>594010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IFERROR(VLOOKUP(B142,input_594010!L:R,7,FALSE),VLOOKUP(tables_594010!C142,input_594010!A:H,8,FALSE))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input_594010!A$2</f>
        <v>594010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IFERROR(VLOOKUP(B143,input_594010!L:R,7,FALSE),VLOOKUP(tables_594010!C143,input_594010!A:H,8,FALSE))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input_594010!A$2</f>
        <v>594010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IFERROR(VLOOKUP(B144,input_594010!L:R,7,FALSE),VLOOKUP(tables_594010!C144,input_594010!A:H,8,FALSE))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input_594010!A$2</f>
        <v>594010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IFERROR(VLOOKUP(B145,input_594010!L:R,7,FALSE),VLOOKUP(tables_594010!C145,input_594010!A:H,8,FALSE))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input_594010!A$2</f>
        <v>594010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IFERROR(VLOOKUP(B146,input_594010!L:R,7,FALSE),VLOOKUP(tables_594010!C146,input_594010!A:H,8,FALSE))</f>
        <v>617625</v>
      </c>
      <c r="P146" s="46">
        <f t="shared" ca="1" si="7"/>
        <v>4.2448453608267848E-3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input_594010!A$2</f>
        <v>594010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IFERROR(VLOOKUP(B147,input_594010!L:R,7,FALSE),VLOOKUP(tables_594010!C147,input_594010!A:H,8,FALSE))</f>
        <v>617625</v>
      </c>
      <c r="P147" s="46">
        <f t="shared" ca="1" si="7"/>
        <v>4.2448453608267848E-3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input_594010!A$2</f>
        <v>594010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IFERROR(VLOOKUP(B148,input_594010!L:R,7,FALSE),VLOOKUP(tables_594010!C148,input_594010!A:H,8,FALSE))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input_594010!A$2</f>
        <v>594010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IFERROR(VLOOKUP(B149,input_594010!L:R,7,FALSE),VLOOKUP(tables_594010!C149,input_594010!A:H,8,FALSE))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input_594010!A$2</f>
        <v>594010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IFERROR(VLOOKUP(B150,input_594010!L:R,7,FALSE),VLOOKUP(tables_594010!C150,input_594010!A:H,8,FALSE))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input_594010!A$2</f>
        <v>594010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IFERROR(VLOOKUP(B151,input_594010!L:R,7,FALSE),VLOOKUP(tables_594010!C151,input_594010!A:H,8,FALSE))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input_594010!A$2</f>
        <v>594010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IFERROR(VLOOKUP(B152,input_594010!L:R,7,FALSE),VLOOKUP(tables_594010!C152,input_594010!A:H,8,FALSE))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input_594010!A$2</f>
        <v>594010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IFERROR(VLOOKUP(B153,input_594010!L:R,7,FALSE),VLOOKUP(tables_594010!C153,input_594010!A:H,8,FALSE))</f>
        <v>617625</v>
      </c>
      <c r="P153" s="46">
        <f t="shared" ca="1" si="7"/>
        <v>4.2448453608267848E-3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input_594010!A$2</f>
        <v>594010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IFERROR(VLOOKUP(B154,input_594010!L:R,7,FALSE),VLOOKUP(tables_594010!C154,input_594010!A:H,8,FALSE))</f>
        <v>617625</v>
      </c>
      <c r="P154" s="46">
        <f t="shared" ca="1" si="7"/>
        <v>4.2448453608267848E-3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input_594010!A$2</f>
        <v>594010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IFERROR(VLOOKUP(B155,input_594010!L:R,7,FALSE),VLOOKUP(tables_594010!C155,input_594010!A:H,8,FALSE))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input_594010!A$2</f>
        <v>594010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IFERROR(VLOOKUP(B156,input_594010!L:R,7,FALSE),VLOOKUP(tables_594010!C156,input_594010!A:H,8,FALSE))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input_594010!A$2</f>
        <v>594010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IFERROR(VLOOKUP(B157,input_594010!L:R,7,FALSE),VLOOKUP(tables_594010!C157,input_594010!A:H,8,FALSE))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input_594010!A$2</f>
        <v>594010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IFERROR(VLOOKUP(B158,input_594010!L:R,7,FALSE),VLOOKUP(tables_594010!C158,input_594010!A:H,8,FALSE))</f>
        <v>617625</v>
      </c>
      <c r="P158" s="46">
        <f t="shared" ca="1" si="7"/>
        <v>4.2448453608267848E-3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input_594010!A$2</f>
        <v>594010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IFERROR(VLOOKUP(B159,input_594010!L:R,7,FALSE),VLOOKUP(tables_594010!C159,input_594010!A:H,8,FALSE))</f>
        <v>617625</v>
      </c>
      <c r="P159" s="46">
        <f t="shared" ca="1" si="7"/>
        <v>4.2448453608267848E-3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input_594010!A$2</f>
        <v>594010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IFERROR(VLOOKUP(B160,input_594010!L:R,7,FALSE),VLOOKUP(tables_594010!C160,input_594010!A:H,8,FALSE))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input_594010!A$2</f>
        <v>594010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IFERROR(VLOOKUP(B161,input_594010!L:R,7,FALSE),VLOOKUP(tables_594010!C161,input_594010!A:H,8,FALSE))</f>
        <v>617625</v>
      </c>
      <c r="P161" s="46">
        <f t="shared" ca="1" si="7"/>
        <v>4.2448453608267848E-3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input_594010!A$2</f>
        <v>594010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IFERROR(VLOOKUP(B162,input_594010!L:R,7,FALSE),VLOOKUP(tables_594010!C162,input_594010!A:H,8,FALSE))</f>
        <v>617625</v>
      </c>
      <c r="P162" s="46">
        <f t="shared" ca="1" si="7"/>
        <v>4.2448453608267848E-3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input_594010!A$2</f>
        <v>594010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IFERROR(VLOOKUP(B163,input_594010!L:R,7,FALSE),VLOOKUP(tables_594010!C163,input_594010!A:H,8,FALSE))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input_594010!A$2</f>
        <v>594010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IFERROR(VLOOKUP(B164,input_594010!L:R,7,FALSE),VLOOKUP(tables_594010!C164,input_594010!A:H,8,FALSE))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input_594010!A$2</f>
        <v>594010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IFERROR(VLOOKUP(B165,input_594010!L:R,7,FALSE),VLOOKUP(tables_594010!C165,input_594010!A:H,8,FALSE))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input_594010!A$2</f>
        <v>594010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IFERROR(VLOOKUP(B166,input_594010!L:R,7,FALSE),VLOOKUP(tables_594010!C166,input_594010!A:H,8,FALSE))</f>
        <v>617625</v>
      </c>
      <c r="P166" s="46">
        <f t="shared" ca="1" si="7"/>
        <v>4.2448453608267848E-3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input_594010!A$2</f>
        <v>594010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IFERROR(VLOOKUP(B167,input_594010!L:R,7,FALSE),VLOOKUP(tables_594010!C167,input_594010!A:H,8,FALSE))</f>
        <v>617625</v>
      </c>
      <c r="P167" s="46">
        <f t="shared" ca="1" si="7"/>
        <v>4.2448453608267848E-3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input_594010!A$2</f>
        <v>594010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IFERROR(VLOOKUP(B168,input_594010!L:R,7,FALSE),VLOOKUP(tables_594010!C168,input_594010!A:H,8,FALSE))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input_594010!A$2</f>
        <v>594010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IFERROR(VLOOKUP(B169,input_594010!L:R,7,FALSE),VLOOKUP(tables_594010!C169,input_594010!A:H,8,FALSE))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input_594010!A$2</f>
        <v>594010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IFERROR(VLOOKUP(B170,input_594010!L:R,7,FALSE),VLOOKUP(tables_594010!C170,input_594010!A:H,8,FALSE))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input_594010!A$2</f>
        <v>594010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IFERROR(VLOOKUP(B171,input_594010!L:R,7,FALSE),VLOOKUP(tables_594010!C171,input_594010!A:H,8,FALSE))</f>
        <v>617625</v>
      </c>
      <c r="P171" s="46">
        <f t="shared" ca="1" si="7"/>
        <v>4.2448453608267848E-3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input_594010!A$2</f>
        <v>594010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IFERROR(VLOOKUP(B172,input_594010!L:R,7,FALSE),VLOOKUP(tables_594010!C172,input_594010!A:H,8,FALSE))</f>
        <v>617625</v>
      </c>
      <c r="P172" s="46">
        <f t="shared" ca="1" si="7"/>
        <v>4.2448453608267848E-3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input_594010!A$2</f>
        <v>594010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IFERROR(VLOOKUP(B173,input_594010!L:R,7,FALSE),VLOOKUP(tables_594010!C173,input_594010!A:H,8,FALSE))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input_594010!A$2</f>
        <v>594010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IFERROR(VLOOKUP(B174,input_594010!L:R,7,FALSE),VLOOKUP(tables_594010!C174,input_594010!A:H,8,FALSE))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input_594010!A$2</f>
        <v>594010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IFERROR(VLOOKUP(B175,input_594010!L:R,7,FALSE),VLOOKUP(tables_594010!C175,input_594010!A:H,8,FALSE))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input_594010!A$2</f>
        <v>594010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IFERROR(VLOOKUP(B176,input_594010!L:R,7,FALSE),VLOOKUP(tables_594010!C176,input_594010!A:H,8,FALSE))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input_594010!A$2</f>
        <v>594010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IFERROR(VLOOKUP(B177,input_594010!L:R,7,FALSE),VLOOKUP(tables_594010!C177,input_594010!A:H,8,FALSE))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input_594010!A$2</f>
        <v>594010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IFERROR(VLOOKUP(B178,input_594010!L:R,7,FALSE),VLOOKUP(tables_594010!C178,input_594010!A:H,8,FALSE))</f>
        <v>617625</v>
      </c>
      <c r="P178" s="46">
        <f t="shared" ca="1" si="7"/>
        <v>4.2448453608267848E-3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input_594010!A$2</f>
        <v>594010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IFERROR(VLOOKUP(B179,input_594010!L:R,7,FALSE),VLOOKUP(tables_594010!C179,input_594010!A:H,8,FALSE))</f>
        <v>617625</v>
      </c>
      <c r="P179" s="46">
        <f t="shared" ca="1" si="7"/>
        <v>4.2448453608267848E-3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input_594010!A$2</f>
        <v>594010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IFERROR(VLOOKUP(B180,input_594010!L:R,7,FALSE),VLOOKUP(tables_594010!C180,input_594010!A:H,8,FALSE))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input_594010!A$2</f>
        <v>594010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IFERROR(VLOOKUP(B181,input_594010!L:R,7,FALSE),VLOOKUP(tables_594010!C181,input_594010!A:H,8,FALSE))</f>
        <v>617625</v>
      </c>
      <c r="P181" s="46">
        <f t="shared" ca="1" si="7"/>
        <v>4.2448453608267848E-3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input_594010!A$2</f>
        <v>594010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IFERROR(VLOOKUP(B182,input_594010!L:R,7,FALSE),VLOOKUP(tables_594010!C182,input_594010!A:H,8,FALSE))</f>
        <v>617625</v>
      </c>
      <c r="P182" s="46">
        <f t="shared" ca="1" si="7"/>
        <v>4.2448453608267848E-3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input_594010!A$2</f>
        <v>594010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IFERROR(VLOOKUP(B183,input_594010!L:R,7,FALSE),VLOOKUP(tables_594010!C183,input_594010!A:H,8,FALSE))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input_594010!A$2</f>
        <v>594010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IFERROR(VLOOKUP(B184,input_594010!L:R,7,FALSE),VLOOKUP(tables_594010!C184,input_594010!A:H,8,FALSE))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input_594010!A$2</f>
        <v>594010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IFERROR(VLOOKUP(B185,input_594010!L:R,7,FALSE),VLOOKUP(tables_594010!C185,input_594010!A:H,8,FALSE))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input_594010!A$2</f>
        <v>594010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IFERROR(VLOOKUP(B186,input_594010!L:R,7,FALSE),VLOOKUP(tables_594010!C186,input_594010!A:H,8,FALSE))</f>
        <v>617625</v>
      </c>
      <c r="P186" s="46">
        <f t="shared" ca="1" si="7"/>
        <v>4.2448453608267848E-3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input_594010!A$2</f>
        <v>594010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IFERROR(VLOOKUP(B187,input_594010!L:R,7,FALSE),VLOOKUP(tables_594010!C187,input_594010!A:H,8,FALSE))</f>
        <v>617625</v>
      </c>
      <c r="P187" s="46">
        <f t="shared" ca="1" si="7"/>
        <v>4.2448453608267848E-3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input_594010!A$2</f>
        <v>594010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IFERROR(VLOOKUP(B188,input_594010!L:R,7,FALSE),VLOOKUP(tables_594010!C188,input_594010!A:H,8,FALSE))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input_594010!A$2</f>
        <v>594010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IFERROR(VLOOKUP(B189,input_594010!L:R,7,FALSE),VLOOKUP(tables_594010!C189,input_594010!A:H,8,FALSE))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input_594010!A$2</f>
        <v>594010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IFERROR(VLOOKUP(B190,input_594010!L:R,7,FALSE),VLOOKUP(tables_594010!C190,input_594010!A:H,8,FALSE))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input_594010!A$2</f>
        <v>594010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IFERROR(VLOOKUP(B191,input_594010!L:R,7,FALSE),VLOOKUP(tables_594010!C191,input_594010!A:H,8,FALSE))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input_594010!A$2</f>
        <v>594010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IFERROR(VLOOKUP(B192,input_594010!L:R,7,FALSE),VLOOKUP(tables_594010!C192,input_594010!A:H,8,FALSE))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input_594010!A$2</f>
        <v>594010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IFERROR(VLOOKUP(B193,input_594010!L:R,7,FALSE),VLOOKUP(tables_594010!C193,input_594010!A:H,8,FALSE))</f>
        <v>617625</v>
      </c>
      <c r="P193" s="46">
        <f t="shared" ca="1" si="7"/>
        <v>4.2448453608267848E-3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input_594010!A$2</f>
        <v>594010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IFERROR(VLOOKUP(B194,input_594010!L:R,7,FALSE),VLOOKUP(tables_594010!C194,input_594010!A:H,8,FALSE))</f>
        <v>617625</v>
      </c>
      <c r="P194" s="46">
        <f t="shared" ref="P194:P257" ca="1" si="10">O194/SUM(O:O)</f>
        <v>4.2448453608267848E-3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input_594010!A$2</f>
        <v>594010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IFERROR(VLOOKUP(B195,input_594010!L:R,7,FALSE),VLOOKUP(tables_594010!C195,input_594010!A:H,8,FALSE))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input_594010!A$2</f>
        <v>594010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IFERROR(VLOOKUP(B196,input_594010!L:R,7,FALSE),VLOOKUP(tables_594010!C196,input_594010!A:H,8,FALSE))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input_594010!A$2</f>
        <v>594010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IFERROR(VLOOKUP(B197,input_594010!L:R,7,FALSE),VLOOKUP(tables_594010!C197,input_594010!A:H,8,FALSE))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input_594010!A$2</f>
        <v>594010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IFERROR(VLOOKUP(B198,input_594010!L:R,7,FALSE),VLOOKUP(tables_594010!C198,input_594010!A:H,8,FALSE))</f>
        <v>617625</v>
      </c>
      <c r="P198" s="46">
        <f t="shared" ca="1" si="10"/>
        <v>4.2448453608267848E-3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input_594010!A$2</f>
        <v>594010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IFERROR(VLOOKUP(B199,input_594010!L:R,7,FALSE),VLOOKUP(tables_594010!C199,input_594010!A:H,8,FALSE))</f>
        <v>617625</v>
      </c>
      <c r="P199" s="46">
        <f t="shared" ca="1" si="10"/>
        <v>4.2448453608267848E-3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input_594010!A$2</f>
        <v>594010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IFERROR(VLOOKUP(B200,input_594010!L:R,7,FALSE),VLOOKUP(tables_594010!C200,input_594010!A:H,8,FALSE))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input_594010!A$2</f>
        <v>594010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IFERROR(VLOOKUP(B201,input_594010!L:R,7,FALSE),VLOOKUP(tables_594010!C201,input_594010!A:H,8,FALSE))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input_594010!A$2</f>
        <v>594010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IFERROR(VLOOKUP(B202,input_594010!L:R,7,FALSE),VLOOKUP(tables_594010!C202,input_594010!A:H,8,FALSE))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input_594010!A$2</f>
        <v>594010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IFERROR(VLOOKUP(B203,input_594010!L:R,7,FALSE),VLOOKUP(tables_594010!C203,input_594010!A:H,8,FALSE))</f>
        <v>617625</v>
      </c>
      <c r="P203" s="46">
        <f t="shared" ca="1" si="10"/>
        <v>4.2448453608267848E-3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input_594010!A$2</f>
        <v>594010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IFERROR(VLOOKUP(B204,input_594010!L:R,7,FALSE),VLOOKUP(tables_594010!C204,input_594010!A:H,8,FALSE))</f>
        <v>617625</v>
      </c>
      <c r="P204" s="46">
        <f t="shared" ca="1" si="10"/>
        <v>4.2448453608267848E-3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input_594010!A$2</f>
        <v>594010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IFERROR(VLOOKUP(B205,input_594010!L:R,7,FALSE),VLOOKUP(tables_594010!C205,input_594010!A:H,8,FALSE))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input_594010!A$2</f>
        <v>594010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IFERROR(VLOOKUP(B206,input_594010!L:R,7,FALSE),VLOOKUP(tables_594010!C206,input_594010!A:H,8,FALSE))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input_594010!A$2</f>
        <v>594010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IFERROR(VLOOKUP(B207,input_594010!L:R,7,FALSE),VLOOKUP(tables_594010!C207,input_594010!A:H,8,FALSE))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input_594010!A$2</f>
        <v>594010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IFERROR(VLOOKUP(B208,input_594010!L:R,7,FALSE),VLOOKUP(tables_594010!C208,input_594010!A:H,8,FALSE))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input_594010!A$2</f>
        <v>594010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IFERROR(VLOOKUP(B209,input_594010!L:R,7,FALSE),VLOOKUP(tables_594010!C209,input_594010!A:H,8,FALSE))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input_594010!A$2</f>
        <v>594010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IFERROR(VLOOKUP(B210,input_594010!L:R,7,FALSE),VLOOKUP(tables_594010!C210,input_594010!A:H,8,FALSE))</f>
        <v>617625</v>
      </c>
      <c r="P210" s="46">
        <f t="shared" ca="1" si="10"/>
        <v>4.2448453608267848E-3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input_594010!A$2</f>
        <v>594010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IFERROR(VLOOKUP(B211,input_594010!L:R,7,FALSE),VLOOKUP(tables_594010!C211,input_594010!A:H,8,FALSE))</f>
        <v>617625</v>
      </c>
      <c r="P211" s="46">
        <f t="shared" ca="1" si="10"/>
        <v>4.2448453608267848E-3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input_594010!A$2</f>
        <v>594010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IFERROR(VLOOKUP(B212,input_594010!L:R,7,FALSE),VLOOKUP(tables_594010!C212,input_594010!A:H,8,FALSE))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input_594010!A$2</f>
        <v>594010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IFERROR(VLOOKUP(B213,input_594010!L:R,7,FALSE),VLOOKUP(tables_594010!C213,input_594010!A:H,8,FALSE))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input_594010!A$2</f>
        <v>594010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IFERROR(VLOOKUP(B214,input_594010!L:R,7,FALSE),VLOOKUP(tables_594010!C214,input_594010!A:H,8,FALSE))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input_594010!A$2</f>
        <v>594010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IFERROR(VLOOKUP(B215,input_594010!L:R,7,FALSE),VLOOKUP(tables_594010!C215,input_594010!A:H,8,FALSE))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input_594010!A$2</f>
        <v>594010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IFERROR(VLOOKUP(B216,input_594010!L:R,7,FALSE),VLOOKUP(tables_594010!C216,input_594010!A:H,8,FALSE))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input_594010!A$2</f>
        <v>594010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IFERROR(VLOOKUP(B217,input_594010!L:R,7,FALSE),VLOOKUP(tables_594010!C217,input_594010!A:H,8,FALSE))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input_594010!A$2</f>
        <v>594010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IFERROR(VLOOKUP(B218,input_594010!L:R,7,FALSE),VLOOKUP(tables_594010!C218,input_594010!A:H,8,FALSE))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input_594010!A$2</f>
        <v>594010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IFERROR(VLOOKUP(B219,input_594010!L:R,7,FALSE),VLOOKUP(tables_594010!C219,input_594010!A:H,8,FALSE))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input_594010!A$2</f>
        <v>594010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IFERROR(VLOOKUP(B220,input_594010!L:R,7,FALSE),VLOOKUP(tables_594010!C220,input_594010!A:H,8,FALSE))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input_594010!A$2</f>
        <v>594010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IFERROR(VLOOKUP(B221,input_594010!L:R,7,FALSE),VLOOKUP(tables_594010!C221,input_594010!A:H,8,FALSE))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input_594010!A$2</f>
        <v>594010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IFERROR(VLOOKUP(B222,input_594010!L:R,7,FALSE),VLOOKUP(tables_594010!C222,input_594010!A:H,8,FALSE))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input_594010!A$2</f>
        <v>594010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IFERROR(VLOOKUP(B223,input_594010!L:R,7,FALSE),VLOOKUP(tables_594010!C223,input_594010!A:H,8,FALSE))</f>
        <v>617625</v>
      </c>
      <c r="P223" s="46">
        <f t="shared" ca="1" si="10"/>
        <v>4.2448453608267848E-3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input_594010!A$2</f>
        <v>594010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IFERROR(VLOOKUP(B224,input_594010!L:R,7,FALSE),VLOOKUP(tables_594010!C224,input_594010!A:H,8,FALSE))</f>
        <v>617625</v>
      </c>
      <c r="P224" s="46">
        <f t="shared" ca="1" si="10"/>
        <v>4.2448453608267848E-3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input_594010!A$2</f>
        <v>594010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IFERROR(VLOOKUP(B225,input_594010!L:R,7,FALSE),VLOOKUP(tables_594010!C225,input_594010!A:H,8,FALSE))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input_594010!A$2</f>
        <v>594010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IFERROR(VLOOKUP(B226,input_594010!L:R,7,FALSE),VLOOKUP(tables_594010!C226,input_594010!A:H,8,FALSE))</f>
        <v>617625</v>
      </c>
      <c r="P226" s="46">
        <f t="shared" ca="1" si="10"/>
        <v>4.2448453608267848E-3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input_594010!A$2</f>
        <v>594010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IFERROR(VLOOKUP(B227,input_594010!L:R,7,FALSE),VLOOKUP(tables_594010!C227,input_594010!A:H,8,FALSE))</f>
        <v>617625</v>
      </c>
      <c r="P227" s="46">
        <f t="shared" ca="1" si="10"/>
        <v>4.2448453608267848E-3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input_594010!A$2</f>
        <v>594010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IFERROR(VLOOKUP(B228,input_594010!L:R,7,FALSE),VLOOKUP(tables_594010!C228,input_594010!A:H,8,FALSE))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input_594010!A$2</f>
        <v>594010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IFERROR(VLOOKUP(B229,input_594010!L:R,7,FALSE),VLOOKUP(tables_594010!C229,input_594010!A:H,8,FALSE))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input_594010!A$2</f>
        <v>594010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IFERROR(VLOOKUP(B230,input_594010!L:R,7,FALSE),VLOOKUP(tables_594010!C230,input_594010!A:H,8,FALSE))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input_594010!A$2</f>
        <v>594010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IFERROR(VLOOKUP(B231,input_594010!L:R,7,FALSE),VLOOKUP(tables_594010!C231,input_594010!A:H,8,FALSE))</f>
        <v>617625</v>
      </c>
      <c r="P231" s="46">
        <f t="shared" ca="1" si="10"/>
        <v>4.2448453608267848E-3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input_594010!A$2</f>
        <v>594010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IFERROR(VLOOKUP(B232,input_594010!L:R,7,FALSE),VLOOKUP(tables_594010!C232,input_594010!A:H,8,FALSE))</f>
        <v>617625</v>
      </c>
      <c r="P232" s="46">
        <f t="shared" ca="1" si="10"/>
        <v>4.2448453608267848E-3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input_594010!A$2</f>
        <v>594010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IFERROR(VLOOKUP(B233,input_594010!L:R,7,FALSE),VLOOKUP(tables_594010!C233,input_594010!A:H,8,FALSE))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input_594010!A$2</f>
        <v>594010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IFERROR(VLOOKUP(B234,input_594010!L:R,7,FALSE),VLOOKUP(tables_594010!C234,input_594010!A:H,8,FALSE))</f>
        <v>617625</v>
      </c>
      <c r="P234" s="46">
        <f t="shared" ca="1" si="10"/>
        <v>4.2448453608267848E-3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input_594010!A$2</f>
        <v>594010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IFERROR(VLOOKUP(B235,input_594010!L:R,7,FALSE),VLOOKUP(tables_594010!C235,input_594010!A:H,8,FALSE))</f>
        <v>617625</v>
      </c>
      <c r="P235" s="46">
        <f t="shared" ca="1" si="10"/>
        <v>4.2448453608267848E-3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input_594010!A$2</f>
        <v>594010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IFERROR(VLOOKUP(B236,input_594010!L:R,7,FALSE),VLOOKUP(tables_594010!C236,input_594010!A:H,8,FALSE))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input_594010!A$2</f>
        <v>594010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IFERROR(VLOOKUP(B237,input_594010!L:R,7,FALSE),VLOOKUP(tables_594010!C237,input_594010!A:H,8,FALSE))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input_594010!A$2</f>
        <v>594010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IFERROR(VLOOKUP(B238,input_594010!L:R,7,FALSE),VLOOKUP(tables_594010!C238,input_594010!A:H,8,FALSE))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input_594010!A$2</f>
        <v>594010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IFERROR(VLOOKUP(B239,input_594010!L:R,7,FALSE),VLOOKUP(tables_594010!C239,input_594010!A:H,8,FALSE))</f>
        <v>617625</v>
      </c>
      <c r="P239" s="46">
        <f t="shared" ca="1" si="10"/>
        <v>4.2448453608267848E-3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input_594010!A$2</f>
        <v>594010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IFERROR(VLOOKUP(B240,input_594010!L:R,7,FALSE),VLOOKUP(tables_594010!C240,input_594010!A:H,8,FALSE))</f>
        <v>617625</v>
      </c>
      <c r="P240" s="46">
        <f t="shared" ca="1" si="10"/>
        <v>4.2448453608267848E-3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input_594010!A$2</f>
        <v>594010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IFERROR(VLOOKUP(B241,input_594010!L:R,7,FALSE),VLOOKUP(tables_594010!C241,input_594010!A:H,8,FALSE))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input_594010!A$2</f>
        <v>594010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IFERROR(VLOOKUP(B242,input_594010!L:R,7,FALSE),VLOOKUP(tables_594010!C242,input_594010!A:H,8,FALSE))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input_594010!A$2</f>
        <v>594010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IFERROR(VLOOKUP(B243,input_594010!L:R,7,FALSE),VLOOKUP(tables_594010!C243,input_594010!A:H,8,FALSE))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input_594010!A$2</f>
        <v>594010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IFERROR(VLOOKUP(B244,input_594010!L:R,7,FALSE),VLOOKUP(tables_594010!C244,input_594010!A:H,8,FALSE))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input_594010!A$2</f>
        <v>594010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IFERROR(VLOOKUP(B245,input_594010!L:R,7,FALSE),VLOOKUP(tables_594010!C245,input_594010!A:H,8,FALSE))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input_594010!A$2</f>
        <v>594010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IFERROR(VLOOKUP(B246,input_594010!L:R,7,FALSE),VLOOKUP(tables_594010!C246,input_594010!A:H,8,FALSE))</f>
        <v>617625</v>
      </c>
      <c r="P246" s="46">
        <f t="shared" ca="1" si="10"/>
        <v>4.2448453608267848E-3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input_594010!A$2</f>
        <v>594010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IFERROR(VLOOKUP(B247,input_594010!L:R,7,FALSE),VLOOKUP(tables_594010!C247,input_594010!A:H,8,FALSE))</f>
        <v>617625</v>
      </c>
      <c r="P247" s="46">
        <f t="shared" ca="1" si="10"/>
        <v>4.2448453608267848E-3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input_594010!A$2</f>
        <v>594010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IFERROR(VLOOKUP(B248,input_594010!L:R,7,FALSE),VLOOKUP(tables_594010!C248,input_594010!A:H,8,FALSE))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input_594010!A$2</f>
        <v>594010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IFERROR(VLOOKUP(B249,input_594010!L:R,7,FALSE),VLOOKUP(tables_594010!C249,input_594010!A:H,8,FALSE))</f>
        <v>617625</v>
      </c>
      <c r="P249" s="46">
        <f t="shared" ca="1" si="10"/>
        <v>4.2448453608267848E-3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input_594010!A$2</f>
        <v>594010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IFERROR(VLOOKUP(B250,input_594010!L:R,7,FALSE),VLOOKUP(tables_594010!C250,input_594010!A:H,8,FALSE))</f>
        <v>617625</v>
      </c>
      <c r="P250" s="46">
        <f t="shared" ca="1" si="10"/>
        <v>4.2448453608267848E-3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input_594010!A$2</f>
        <v>594010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IFERROR(VLOOKUP(B251,input_594010!L:R,7,FALSE),VLOOKUP(tables_594010!C251,input_594010!A:H,8,FALSE))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input_594010!A$2</f>
        <v>594010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IFERROR(VLOOKUP(B252,input_594010!L:R,7,FALSE),VLOOKUP(tables_594010!C252,input_594010!A:H,8,FALSE))</f>
        <v>617625</v>
      </c>
      <c r="P252" s="46">
        <f t="shared" ca="1" si="10"/>
        <v>4.2448453608267848E-3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input_594010!A$2</f>
        <v>594010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IFERROR(VLOOKUP(B253,input_594010!L:R,7,FALSE),VLOOKUP(tables_594010!C253,input_594010!A:H,8,FALSE))</f>
        <v>617625</v>
      </c>
      <c r="P253" s="46">
        <f t="shared" ca="1" si="10"/>
        <v>4.2448453608267848E-3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input_594010!A$2</f>
        <v>594010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IFERROR(VLOOKUP(B254,input_594010!L:R,7,FALSE),VLOOKUP(tables_594010!C254,input_594010!A:H,8,FALSE))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input_594010!A$2</f>
        <v>594010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IFERROR(VLOOKUP(B255,input_594010!L:R,7,FALSE),VLOOKUP(tables_594010!C255,input_594010!A:H,8,FALSE))</f>
        <v>617625</v>
      </c>
      <c r="P255" s="46">
        <f t="shared" ca="1" si="10"/>
        <v>4.2448453608267848E-3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input_594010!A$2</f>
        <v>594010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IFERROR(VLOOKUP(B256,input_594010!L:R,7,FALSE),VLOOKUP(tables_594010!C256,input_594010!A:H,8,FALSE))</f>
        <v>617625</v>
      </c>
      <c r="P256" s="46">
        <f t="shared" ca="1" si="10"/>
        <v>4.2448453608267848E-3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input_594010!A$2</f>
        <v>594010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IFERROR(VLOOKUP(B257,input_594010!L:R,7,FALSE),VLOOKUP(tables_594010!C257,input_594010!A:H,8,FALSE))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input_594010!A$2</f>
        <v>594010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IFERROR(VLOOKUP(B258,input_594010!L:R,7,FALSE),VLOOKUP(tables_594010!C258,input_594010!A:H,8,FALSE))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input_594010!A$2</f>
        <v>594010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IFERROR(VLOOKUP(B259,input_594010!L:R,7,FALSE),VLOOKUP(tables_594010!C259,input_594010!A:H,8,FALSE))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input_594010!A$2</f>
        <v>594010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IFERROR(VLOOKUP(B260,input_594010!L:R,7,FALSE),VLOOKUP(tables_594010!C260,input_594010!A:H,8,FALSE))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input_594010!A$2</f>
        <v>594010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IFERROR(VLOOKUP(B261,input_594010!L:R,7,FALSE),VLOOKUP(tables_594010!C261,input_594010!A:H,8,FALSE))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input_594010!A$2</f>
        <v>594010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IFERROR(VLOOKUP(B262,input_594010!L:R,7,FALSE),VLOOKUP(tables_594010!C262,input_594010!A:H,8,FALSE))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input_594010!A$2</f>
        <v>594010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IFERROR(VLOOKUP(B263,input_594010!L:R,7,FALSE),VLOOKUP(tables_594010!C263,input_594010!A:H,8,FALSE))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input_594010!A$2</f>
        <v>594010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IFERROR(VLOOKUP(B264,input_594010!L:R,7,FALSE),VLOOKUP(tables_594010!C264,input_594010!A:H,8,FALSE))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input_594010!A$2</f>
        <v>594010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IFERROR(VLOOKUP(B265,input_594010!L:R,7,FALSE),VLOOKUP(tables_594010!C265,input_594010!A:H,8,FALSE))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input_594010!A$2</f>
        <v>594010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IFERROR(VLOOKUP(B266,input_594010!L:R,7,FALSE),VLOOKUP(tables_594010!C266,input_594010!A:H,8,FALSE))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input_594010!A$2</f>
        <v>594010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IFERROR(VLOOKUP(B267,input_594010!L:R,7,FALSE),VLOOKUP(tables_594010!C267,input_594010!A:H,8,FALSE))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input_594010!A$2</f>
        <v>594010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IFERROR(VLOOKUP(B268,input_594010!L:R,7,FALSE),VLOOKUP(tables_594010!C268,input_594010!A:H,8,FALSE))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input_594010!A$2</f>
        <v>594010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IFERROR(VLOOKUP(B269,input_594010!L:R,7,FALSE),VLOOKUP(tables_594010!C269,input_594010!A:H,8,FALSE))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input_594010!A$2</f>
        <v>594010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IFERROR(VLOOKUP(B270,input_594010!L:R,7,FALSE),VLOOKUP(tables_594010!C270,input_594010!A:H,8,FALSE))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input_594010!A$2</f>
        <v>594010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IFERROR(VLOOKUP(B271,input_594010!L:R,7,FALSE),VLOOKUP(tables_594010!C271,input_594010!A:H,8,FALSE))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input_594010!A$2</f>
        <v>594010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IFERROR(VLOOKUP(B272,input_594010!L:R,7,FALSE),VLOOKUP(tables_594010!C272,input_594010!A:H,8,FALSE))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input_594010!A$2</f>
        <v>594010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IFERROR(VLOOKUP(B273,input_594010!L:R,7,FALSE),VLOOKUP(tables_594010!C273,input_594010!A:H,8,FALSE))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input_594010!A$2</f>
        <v>594010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IFERROR(VLOOKUP(B274,input_594010!L:R,7,FALSE),VLOOKUP(tables_594010!C274,input_594010!A:H,8,FALSE))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input_594010!A$2</f>
        <v>594010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IFERROR(VLOOKUP(B275,input_594010!L:R,7,FALSE),VLOOKUP(tables_594010!C275,input_594010!A:H,8,FALSE))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input_594010!A$2</f>
        <v>594010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IFERROR(VLOOKUP(B276,input_594010!L:R,7,FALSE),VLOOKUP(tables_594010!C276,input_594010!A:H,8,FALSE))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input_594010!A$2</f>
        <v>594010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IFERROR(VLOOKUP(B277,input_594010!L:R,7,FALSE),VLOOKUP(tables_594010!C277,input_594010!A:H,8,FALSE))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input_594010!A$2</f>
        <v>594010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IFERROR(VLOOKUP(B278,input_594010!L:R,7,FALSE),VLOOKUP(tables_594010!C278,input_594010!A:H,8,FALSE))</f>
        <v>617625</v>
      </c>
      <c r="P278" s="46">
        <f t="shared" ca="1" si="13"/>
        <v>4.2448453608267848E-3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input_594010!A$2</f>
        <v>594010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IFERROR(VLOOKUP(B279,input_594010!L:R,7,FALSE),VLOOKUP(tables_594010!C279,input_594010!A:H,8,FALSE))</f>
        <v>617625</v>
      </c>
      <c r="P279" s="46">
        <f t="shared" ca="1" si="13"/>
        <v>4.2448453608267848E-3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input_594010!A$2</f>
        <v>594010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IFERROR(VLOOKUP(B280,input_594010!L:R,7,FALSE),VLOOKUP(tables_594010!C280,input_594010!A:H,8,FALSE))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input_594010!A$2</f>
        <v>594010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IFERROR(VLOOKUP(B281,input_594010!L:R,7,FALSE),VLOOKUP(tables_594010!C281,input_594010!A:H,8,FALSE))</f>
        <v>617625</v>
      </c>
      <c r="P281" s="46">
        <f t="shared" ca="1" si="13"/>
        <v>4.2448453608267848E-3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input_594010!A$2</f>
        <v>594010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IFERROR(VLOOKUP(B282,input_594010!L:R,7,FALSE),VLOOKUP(tables_594010!C282,input_594010!A:H,8,FALSE))</f>
        <v>617625</v>
      </c>
      <c r="P282" s="46">
        <f t="shared" ca="1" si="13"/>
        <v>4.2448453608267848E-3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input_594010!A$2</f>
        <v>594010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IFERROR(VLOOKUP(B283,input_594010!L:R,7,FALSE),VLOOKUP(tables_594010!C283,input_594010!A:H,8,FALSE))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input_594010!A$2</f>
        <v>594010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IFERROR(VLOOKUP(B284,input_594010!L:R,7,FALSE),VLOOKUP(tables_594010!C284,input_594010!A:H,8,FALSE))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input_594010!A$2</f>
        <v>594010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IFERROR(VLOOKUP(B285,input_594010!L:R,7,FALSE),VLOOKUP(tables_594010!C285,input_594010!A:H,8,FALSE))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input_594010!A$2</f>
        <v>594010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IFERROR(VLOOKUP(B286,input_594010!L:R,7,FALSE),VLOOKUP(tables_594010!C286,input_594010!A:H,8,FALSE))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input_594010!A$2</f>
        <v>594010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IFERROR(VLOOKUP(B287,input_594010!L:R,7,FALSE),VLOOKUP(tables_594010!C287,input_594010!A:H,8,FALSE))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input_594010!A$2</f>
        <v>594010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IFERROR(VLOOKUP(B288,input_594010!L:R,7,FALSE),VLOOKUP(tables_594010!C288,input_594010!A:H,8,FALSE))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input_594010!A$2</f>
        <v>594010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IFERROR(VLOOKUP(B289,input_594010!L:R,7,FALSE),VLOOKUP(tables_594010!C289,input_594010!A:H,8,FALSE))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input_594010!A$2</f>
        <v>594010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IFERROR(VLOOKUP(B290,input_594010!L:R,7,FALSE),VLOOKUP(tables_594010!C290,input_594010!A:H,8,FALSE))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input_594010!A$2</f>
        <v>594010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IFERROR(VLOOKUP(B291,input_594010!L:R,7,FALSE),VLOOKUP(tables_594010!C291,input_594010!A:H,8,FALSE))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input_594010!A$2</f>
        <v>594010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IFERROR(VLOOKUP(B292,input_594010!L:R,7,FALSE),VLOOKUP(tables_594010!C292,input_594010!A:H,8,FALSE))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input_594010!A$2</f>
        <v>594010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IFERROR(VLOOKUP(B293,input_594010!L:R,7,FALSE),VLOOKUP(tables_594010!C293,input_594010!A:H,8,FALSE))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input_594010!A$2</f>
        <v>594010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IFERROR(VLOOKUP(B294,input_594010!L:R,7,FALSE),VLOOKUP(tables_594010!C294,input_594010!A:H,8,FALSE))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input_594010!A$2</f>
        <v>594010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IFERROR(VLOOKUP(B295,input_594010!L:R,7,FALSE),VLOOKUP(tables_594010!C295,input_594010!A:H,8,FALSE))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input_594010!A$2</f>
        <v>594010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IFERROR(VLOOKUP(B296,input_594010!L:R,7,FALSE),VLOOKUP(tables_594010!C296,input_594010!A:H,8,FALSE))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input_594010!A$2</f>
        <v>594010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IFERROR(VLOOKUP(B297,input_594010!L:R,7,FALSE),VLOOKUP(tables_594010!C297,input_594010!A:H,8,FALSE))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input_594010!A$2</f>
        <v>594010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IFERROR(VLOOKUP(B298,input_594010!L:R,7,FALSE),VLOOKUP(tables_594010!C298,input_594010!A:H,8,FALSE))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input_594010!A$2</f>
        <v>594010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IFERROR(VLOOKUP(B299,input_594010!L:R,7,FALSE),VLOOKUP(tables_594010!C299,input_594010!A:H,8,FALSE))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input_594010!A$2</f>
        <v>594010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IFERROR(VLOOKUP(B300,input_594010!L:R,7,FALSE),VLOOKUP(tables_594010!C300,input_594010!A:H,8,FALSE))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input_594010!A$2</f>
        <v>594010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IFERROR(VLOOKUP(B301,input_594010!L:R,7,FALSE),VLOOKUP(tables_594010!C301,input_594010!A:H,8,FALSE))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input_594010!A$2</f>
        <v>594010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IFERROR(VLOOKUP(B302,input_594010!L:R,7,FALSE),VLOOKUP(tables_594010!C302,input_594010!A:H,8,FALSE))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input_594010!A$2</f>
        <v>594010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IFERROR(VLOOKUP(B303,input_594010!L:R,7,FALSE),VLOOKUP(tables_594010!C303,input_594010!A:H,8,FALSE))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input_594010!A$2</f>
        <v>594010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IFERROR(VLOOKUP(B304,input_594010!L:R,7,FALSE),VLOOKUP(tables_594010!C304,input_594010!A:H,8,FALSE))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input_594010!A$2</f>
        <v>594010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IFERROR(VLOOKUP(B305,input_594010!L:R,7,FALSE),VLOOKUP(tables_594010!C305,input_594010!A:H,8,FALSE))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input_594010!A$2</f>
        <v>594010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IFERROR(VLOOKUP(B306,input_594010!L:R,7,FALSE),VLOOKUP(tables_594010!C306,input_594010!A:H,8,FALSE))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input_594010!A$2</f>
        <v>594010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IFERROR(VLOOKUP(B307,input_594010!L:R,7,FALSE),VLOOKUP(tables_594010!C307,input_594010!A:H,8,FALSE))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input_594010!A$2</f>
        <v>594010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IFERROR(VLOOKUP(B308,input_594010!L:R,7,FALSE),VLOOKUP(tables_594010!C308,input_594010!A:H,8,FALSE))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input_594010!A$2</f>
        <v>594010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IFERROR(VLOOKUP(B309,input_594010!L:R,7,FALSE),VLOOKUP(tables_594010!C309,input_594010!A:H,8,FALSE))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input_594010!A$2</f>
        <v>594010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IFERROR(VLOOKUP(B310,input_594010!L:R,7,FALSE),VLOOKUP(tables_594010!C310,input_594010!A:H,8,FALSE))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input_594010!A$2</f>
        <v>594010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IFERROR(VLOOKUP(B311,input_594010!L:R,7,FALSE),VLOOKUP(tables_594010!C311,input_594010!A:H,8,FALSE))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input_594010!A$2</f>
        <v>594010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IFERROR(VLOOKUP(B312,input_594010!L:R,7,FALSE),VLOOKUP(tables_594010!C312,input_594010!A:H,8,FALSE))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input_594010!A$2</f>
        <v>594010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IFERROR(VLOOKUP(B313,input_594010!L:R,7,FALSE),VLOOKUP(tables_594010!C313,input_594010!A:H,8,FALSE))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input_594010!A$2</f>
        <v>594010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IFERROR(VLOOKUP(B314,input_594010!L:R,7,FALSE),VLOOKUP(tables_594010!C314,input_594010!A:H,8,FALSE))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input_594010!A$2</f>
        <v>594010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IFERROR(VLOOKUP(B315,input_594010!L:R,7,FALSE),VLOOKUP(tables_594010!C315,input_594010!A:H,8,FALSE))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input_594010!A$2</f>
        <v>594010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IFERROR(VLOOKUP(B316,input_594010!L:R,7,FALSE),VLOOKUP(tables_594010!C316,input_594010!A:H,8,FALSE))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input_594010!A$2</f>
        <v>594010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IFERROR(VLOOKUP(B317,input_594010!L:R,7,FALSE),VLOOKUP(tables_594010!C317,input_594010!A:H,8,FALSE))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input_594010!A$2</f>
        <v>594010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IFERROR(VLOOKUP(B318,input_594010!L:R,7,FALSE),VLOOKUP(tables_594010!C318,input_594010!A:H,8,FALSE))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input_594010!A$2</f>
        <v>594010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IFERROR(VLOOKUP(B319,input_594010!L:R,7,FALSE),VLOOKUP(tables_594010!C319,input_594010!A:H,8,FALSE))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input_594010!A$2</f>
        <v>594010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IFERROR(VLOOKUP(B320,input_594010!L:R,7,FALSE),VLOOKUP(tables_594010!C320,input_594010!A:H,8,FALSE))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input_594010!A$2</f>
        <v>594010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IFERROR(VLOOKUP(B321,input_594010!L:R,7,FALSE),VLOOKUP(tables_594010!C321,input_594010!A:H,8,FALSE))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input_594010!A$2</f>
        <v>594010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IFERROR(VLOOKUP(B322,input_594010!L:R,7,FALSE),VLOOKUP(tables_594010!C322,input_594010!A:H,8,FALSE))</f>
        <v>145500</v>
      </c>
      <c r="P322" s="46">
        <f t="shared" ref="P322:P356" ca="1" si="23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input_594010!A$2</f>
        <v>594010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IFERROR(VLOOKUP(B323,input_594010!L:R,7,FALSE),VLOOKUP(tables_594010!C323,input_594010!A:H,8,FALSE))</f>
        <v>145500</v>
      </c>
      <c r="P323" s="46">
        <f t="shared" ca="1" si="23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input_594010!A$2</f>
        <v>594010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IFERROR(VLOOKUP(B324,input_594010!L:R,7,FALSE),VLOOKUP(tables_594010!C324,input_594010!A:H,8,FALSE))</f>
        <v>1196035.71429</v>
      </c>
      <c r="P324" s="46">
        <f t="shared" ca="1" si="23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input_594010!A$2</f>
        <v>594010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IFERROR(VLOOKUP(B325,input_594010!L:R,7,FALSE),VLOOKUP(tables_594010!C325,input_594010!A:H,8,FALSE))</f>
        <v>137250</v>
      </c>
      <c r="P325" s="46">
        <f t="shared" ca="1" si="23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input_594010!A$2</f>
        <v>594010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IFERROR(VLOOKUP(B326,input_594010!L:R,7,FALSE),VLOOKUP(tables_594010!C326,input_594010!A:H,8,FALSE))</f>
        <v>1196035.71429</v>
      </c>
      <c r="P326" s="46">
        <f t="shared" ca="1" si="23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input_594010!A$2</f>
        <v>594010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IFERROR(VLOOKUP(B327,input_594010!L:R,7,FALSE),VLOOKUP(tables_594010!C327,input_594010!A:H,8,FALSE))</f>
        <v>137250</v>
      </c>
      <c r="P327" s="46">
        <f t="shared" ca="1" si="23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input_594010!A$2</f>
        <v>594010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IFERROR(VLOOKUP(B328,input_594010!L:R,7,FALSE),VLOOKUP(tables_594010!C328,input_594010!A:H,8,FALSE))</f>
        <v>145500</v>
      </c>
      <c r="P328" s="46">
        <f t="shared" ca="1" si="23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input_594010!A$2</f>
        <v>594010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IFERROR(VLOOKUP(B329,input_594010!L:R,7,FALSE),VLOOKUP(tables_594010!C329,input_594010!A:H,8,FALSE))</f>
        <v>145500</v>
      </c>
      <c r="P329" s="46">
        <f t="shared" ca="1" si="23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input_594010!A$2</f>
        <v>594010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IFERROR(VLOOKUP(B330,input_594010!L:R,7,FALSE),VLOOKUP(tables_594010!C330,input_594010!A:H,8,FALSE))</f>
        <v>145500</v>
      </c>
      <c r="P330" s="46">
        <f t="shared" ca="1" si="23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input_594010!A$2</f>
        <v>594010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IFERROR(VLOOKUP(B331,input_594010!L:R,7,FALSE),VLOOKUP(tables_594010!C331,input_594010!A:H,8,FALSE))</f>
        <v>145500</v>
      </c>
      <c r="P331" s="46">
        <f t="shared" ca="1" si="23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input_594010!A$2</f>
        <v>594010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IFERROR(VLOOKUP(B332,input_594010!L:R,7,FALSE),VLOOKUP(tables_594010!C332,input_594010!A:H,8,FALSE))</f>
        <v>145500</v>
      </c>
      <c r="P332" s="46">
        <f t="shared" ca="1" si="23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input_594010!A$2</f>
        <v>594010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IFERROR(VLOOKUP(B333,input_594010!L:R,7,FALSE),VLOOKUP(tables_594010!C333,input_594010!A:H,8,FALSE))</f>
        <v>145500</v>
      </c>
      <c r="P333" s="46">
        <f t="shared" ca="1" si="23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input_594010!A$2</f>
        <v>594010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IFERROR(VLOOKUP(B334,input_594010!L:R,7,FALSE),VLOOKUP(tables_594010!C334,input_594010!A:H,8,FALSE))</f>
        <v>1196035.71429</v>
      </c>
      <c r="P334" s="46">
        <f t="shared" ca="1" si="23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input_594010!A$2</f>
        <v>594010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IFERROR(VLOOKUP(B335,input_594010!L:R,7,FALSE),VLOOKUP(tables_594010!C335,input_594010!A:H,8,FALSE))</f>
        <v>137250</v>
      </c>
      <c r="P335" s="46">
        <f t="shared" ca="1" si="23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input_594010!A$2</f>
        <v>594010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IFERROR(VLOOKUP(B336,input_594010!L:R,7,FALSE),VLOOKUP(tables_594010!C336,input_594010!A:H,8,FALSE))</f>
        <v>1196035.71429</v>
      </c>
      <c r="P336" s="46">
        <f t="shared" ca="1" si="23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input_594010!A$2</f>
        <v>594010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IFERROR(VLOOKUP(B337,input_594010!L:R,7,FALSE),VLOOKUP(tables_594010!C337,input_594010!A:H,8,FALSE))</f>
        <v>137250</v>
      </c>
      <c r="P337" s="46">
        <f t="shared" ca="1" si="23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input_594010!A$2</f>
        <v>594010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IFERROR(VLOOKUP(B338,input_594010!L:R,7,FALSE),VLOOKUP(tables_594010!C338,input_594010!A:H,8,FALSE))</f>
        <v>145500</v>
      </c>
      <c r="P338" s="46">
        <f t="shared" ca="1" si="23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input_594010!A$2</f>
        <v>594010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IFERROR(VLOOKUP(B339,input_594010!L:R,7,FALSE),VLOOKUP(tables_594010!C339,input_594010!A:H,8,FALSE))</f>
        <v>145500</v>
      </c>
      <c r="P339" s="46">
        <f t="shared" ca="1" si="23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input_594010!A$2</f>
        <v>594010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IFERROR(VLOOKUP(B340,input_594010!L:R,7,FALSE),VLOOKUP(tables_594010!C340,input_594010!A:H,8,FALSE))</f>
        <v>145500</v>
      </c>
      <c r="P340" s="46">
        <f t="shared" ca="1" si="23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input_594010!A$2</f>
        <v>594010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IFERROR(VLOOKUP(B341,input_594010!L:R,7,FALSE),VLOOKUP(tables_594010!C341,input_594010!A:H,8,FALSE))</f>
        <v>145500</v>
      </c>
      <c r="P341" s="46">
        <f t="shared" ca="1" si="23"/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input_594010!A$2</f>
        <v>594010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IFERROR(VLOOKUP(B342,input_594010!L:R,7,FALSE),VLOOKUP(tables_594010!C342,input_594010!A:H,8,FALSE))</f>
        <v>145500</v>
      </c>
      <c r="P342" s="46">
        <f t="shared" ca="1" si="23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input_594010!A$2</f>
        <v>594010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IFERROR(VLOOKUP(B343,input_594010!L:R,7,FALSE),VLOOKUP(tables_594010!C343,input_594010!A:H,8,FALSE))</f>
        <v>1196035.71429</v>
      </c>
      <c r="P343" s="46">
        <f t="shared" ca="1" si="23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input_594010!A$2</f>
        <v>594010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IFERROR(VLOOKUP(B344,input_594010!L:R,7,FALSE),VLOOKUP(tables_594010!C344,input_594010!A:H,8,FALSE))</f>
        <v>137250</v>
      </c>
      <c r="P344" s="46">
        <f t="shared" ca="1" si="23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input_594010!A$2</f>
        <v>594010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IFERROR(VLOOKUP(B345,input_594010!L:R,7,FALSE),VLOOKUP(tables_594010!C345,input_594010!A:H,8,FALSE))</f>
        <v>145500</v>
      </c>
      <c r="P345" s="46">
        <f t="shared" ca="1" si="23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input_594010!A$2</f>
        <v>594010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IFERROR(VLOOKUP(B346,input_594010!L:R,7,FALSE),VLOOKUP(tables_594010!C346,input_594010!A:H,8,FALSE))</f>
        <v>145500</v>
      </c>
      <c r="P346" s="46">
        <f t="shared" ca="1" si="23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input_594010!A$2</f>
        <v>594010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IFERROR(VLOOKUP(B347,input_594010!L:R,7,FALSE),VLOOKUP(tables_594010!C347,input_594010!A:H,8,FALSE))</f>
        <v>145500</v>
      </c>
      <c r="P347" s="46">
        <f t="shared" ca="1" si="23"/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input_594010!A$2</f>
        <v>594010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IFERROR(VLOOKUP(B348,input_594010!L:R,7,FALSE),VLOOKUP(tables_594010!C348,input_594010!A:H,8,FALSE))</f>
        <v>145500</v>
      </c>
      <c r="P348" s="46">
        <f t="shared" ca="1" si="23"/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input_594010!A$2</f>
        <v>594010</v>
      </c>
      <c r="B349" s="100">
        <v>1266</v>
      </c>
      <c r="C349" s="7" t="str">
        <f t="shared" ref="C349:C362" si="38">D349&amp;J349&amp;E349&amp;F349&amp;G349</f>
        <v>Premium4R3less</v>
      </c>
      <c r="D349" s="7" t="str">
        <f t="shared" ref="D349:D362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IFERROR(VLOOKUP(B349,input_594010!L:R,7,FALSE),VLOOKUP(tables_594010!C349,input_594010!A:H,8,FALSE))</f>
        <v>1196035.71429</v>
      </c>
      <c r="P349" s="46">
        <f t="shared" ca="1" si="23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input_594010!A$2</f>
        <v>594010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IFERROR(VLOOKUP(B350,input_594010!L:R,7,FALSE),VLOOKUP(tables_594010!C350,input_594010!A:H,8,FALSE))</f>
        <v>137250</v>
      </c>
      <c r="P350" s="46">
        <f t="shared" ca="1" si="23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input_594010!A$2</f>
        <v>594010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IFERROR(VLOOKUP(B351,input_594010!L:R,7,FALSE),VLOOKUP(tables_594010!C351,input_594010!A:H,8,FALSE))</f>
        <v>145500</v>
      </c>
      <c r="P351" s="46">
        <f t="shared" ca="1" si="23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input_594010!A$2</f>
        <v>594010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IFERROR(VLOOKUP(B352,input_594010!L:R,7,FALSE),VLOOKUP(tables_594010!C352,input_594010!A:H,8,FALSE))</f>
        <v>145500</v>
      </c>
      <c r="P352" s="46">
        <f t="shared" ca="1" si="23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input_594010!A$2</f>
        <v>594010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IFERROR(VLOOKUP(B353,input_594010!L:R,7,FALSE),VLOOKUP(tables_594010!C353,input_594010!A:H,8,FALSE))</f>
        <v>145500</v>
      </c>
      <c r="P353" s="46">
        <f t="shared" ca="1" si="23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input_594010!A$2</f>
        <v>594010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IFERROR(VLOOKUP(B354,input_594010!L:R,7,FALSE),VLOOKUP(tables_594010!C354,input_594010!A:H,8,FALSE))</f>
        <v>1196035.71429</v>
      </c>
      <c r="P354" s="46">
        <f t="shared" ca="1" si="23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input_594010!A$2</f>
        <v>594010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IFERROR(VLOOKUP(B355,input_594010!L:R,7,FALSE),VLOOKUP(tables_594010!C355,input_594010!A:H,8,FALSE))</f>
        <v>137250</v>
      </c>
      <c r="P355" s="46">
        <f t="shared" ca="1" si="23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input_594010!A$2</f>
        <v>594010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IFERROR(VLOOKUP(B356,input_594010!L:R,7,FALSE),VLOOKUP(tables_594010!C356,input_594010!A:H,8,FALSE))</f>
        <v>1196035.71429</v>
      </c>
      <c r="P356" s="46">
        <f t="shared" ca="1" si="23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input_594010!A$2</f>
        <v>594010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IFERROR(VLOOKUP(B357,input_594010!L:R,7,FALSE),VLOOKUP(tables_594010!C357,input_594010!A:H,8,FALSE))</f>
        <v>137250</v>
      </c>
      <c r="P357" s="46">
        <f t="shared" ref="P357:P360" ca="1" si="44">O357/SUM(O:O)</f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input_594010!A$2</f>
        <v>594010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IFERROR(VLOOKUP(B358,input_594010!L:R,7,FALSE),VLOOKUP(tables_594010!C358,input_594010!A:H,8,FALSE))</f>
        <v>145500</v>
      </c>
      <c r="P358" s="46">
        <f t="shared" ca="1" si="44"/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input_594010!A$2</f>
        <v>594010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IFERROR(VLOOKUP(B359,input_594010!L:R,7,FALSE),VLOOKUP(tables_594010!C359,input_594010!A:H,8,FALSE))</f>
        <v>145500</v>
      </c>
      <c r="P359" s="46">
        <f t="shared" ca="1" si="44"/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input_594010!A$2</f>
        <v>594010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IFERROR(VLOOKUP(B360,input_594010!L:R,7,FALSE),VLOOKUP(tables_594010!C360,input_594010!A:H,8,FALSE))</f>
        <v>145500</v>
      </c>
      <c r="P360" s="46">
        <f t="shared" ca="1" si="44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input_594010!A$2</f>
        <v>594010</v>
      </c>
      <c r="B361" s="5">
        <v>488</v>
      </c>
      <c r="C361" s="7" t="str">
        <f t="shared" si="38"/>
        <v>PremiumSSS5R3less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直観の異論 ヘンペル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男性</v>
      </c>
      <c r="O361" s="45">
        <f ca="1">IFERROR(VLOOKUP(B361,input_594010!L:R,7,FALSE),VLOOKUP(tables_594010!C361,input_594010!A:H,8,FALSE))</f>
        <v>727500</v>
      </c>
      <c r="P361" s="46">
        <f ca="1">O361/SUM(O:O)</f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input_594010!A$2</f>
        <v>594010</v>
      </c>
      <c r="B362" s="5">
        <v>762</v>
      </c>
      <c r="C362" s="7" t="str">
        <f t="shared" si="38"/>
        <v>PremiumSSS5R3less</v>
      </c>
      <c r="D362" s="7" t="str">
        <f t="shared" si="39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フィボナッチ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human</v>
      </c>
      <c r="N362" s="7" t="str">
        <f>VLOOKUP(B362,[1]characters!$A:$G,7,FALSE)</f>
        <v>男性</v>
      </c>
      <c r="O362" s="45">
        <f ca="1">IFERROR(VLOOKUP(B362,input_594010!L:R,7,FALSE),VLOOKUP(tables_594010!C362,input_594010!A:H,8,FALSE))</f>
        <v>727500</v>
      </c>
      <c r="P362" s="46">
        <f ca="1">O362/SUM(O:O)</f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customFormat="1" ht="21" customHeight="1" x14ac:dyDescent="0.15"/>
    <row r="364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F50" sqref="F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(COUNTIF(tables_594100!C:C,input_594100!A28)+COUNTIF(tables_594100!C:C,input_594100!A29))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9.4329896907216493E-3</v>
      </c>
      <c r="F6">
        <f>(COUNTIF(tables_594100!C:C,input_594100!A25)+COUNTIF(tables_594100!C:C,input_594100!A18)+COUNTIF(tables_594100!C:C,input_594100!A20)+COUNTIF(tables_594100!C:C,input_594100!A22))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COUNTIF(tables_594100!C:C,input_594100!A17)-COUNTIF(Q:Q,A17)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0.22675360824742274</v>
      </c>
      <c r="C18" s="84">
        <f t="shared" si="2"/>
        <v>0</v>
      </c>
      <c r="D18" s="74">
        <f t="shared" si="3"/>
        <v>0.22675360824742274</v>
      </c>
      <c r="E18">
        <f>COUNTIF(tables_594100!C:C,input_594100!A18)-COUNTIF(Q:Q,A18)</f>
        <v>20</v>
      </c>
      <c r="F18" s="43">
        <f>IFERROR(B18/E18,0)</f>
        <v>1.1337680412371137E-2</v>
      </c>
      <c r="G18">
        <f t="shared" si="4"/>
        <v>32992650.000000007</v>
      </c>
      <c r="H18">
        <f t="shared" si="5"/>
        <v>1649632.5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COUNTIF(tables_594100!C:C,input_594100!A19)-COUNTIF(Q:Q,A19)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0.44146391752577319</v>
      </c>
      <c r="C20" s="84">
        <f t="shared" si="2"/>
        <v>0</v>
      </c>
      <c r="D20" s="74">
        <f t="shared" si="3"/>
        <v>0.44146391752577319</v>
      </c>
      <c r="E20">
        <f>COUNTIF(tables_594100!C:C,input_594100!A20)-COUNTIF(Q:Q,A20)</f>
        <v>52</v>
      </c>
      <c r="F20" s="43">
        <f t="shared" si="8"/>
        <v>8.4896907216494844E-3</v>
      </c>
      <c r="G20">
        <f t="shared" si="4"/>
        <v>64233000</v>
      </c>
      <c r="H20">
        <f t="shared" si="5"/>
        <v>1235250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COUNTIF(tables_594100!C:C,input_594100!A21)-COUNTIF(Q:Q,A21)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COUNTIF(tables_594100!C:C,input_594100!A22)-COUNTIF(Q:Q,A22)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COUNTIF(tables_594100!C:C,input_594100!A23)-COUNTIF(Q:Q,A23)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COUNTIF(tables_594100!C:C,input_594100!A24)-COUNTIF(Q:Q,A24)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3.3958762886597937E-2</v>
      </c>
      <c r="C25" s="84">
        <f t="shared" si="2"/>
        <v>0</v>
      </c>
      <c r="D25" s="74">
        <f t="shared" si="3"/>
        <v>3.3958762886597937E-2</v>
      </c>
      <c r="E25">
        <f>COUNTIF(tables_594100!C:C,input_594100!A25)-COUNTIF(Q:Q,A25)</f>
        <v>4</v>
      </c>
      <c r="F25" s="43">
        <f t="shared" si="8"/>
        <v>8.4896907216494844E-3</v>
      </c>
      <c r="G25">
        <f t="shared" si="4"/>
        <v>4941000</v>
      </c>
      <c r="H25">
        <f t="shared" si="5"/>
        <v>1235250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COUNTIF(tables_594100!C:C,input_594100!A26)-COUNTIF(Q:Q,A26)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2.52E-2</v>
      </c>
      <c r="C27" s="84">
        <f t="shared" si="2"/>
        <v>0</v>
      </c>
      <c r="D27" s="74">
        <f t="shared" si="3"/>
        <v>2.52E-2</v>
      </c>
      <c r="E27">
        <f>COUNTIF(tables_594100!C:C,input_594100!A27)-COUNTIF(Q:Q,A27)</f>
        <v>28</v>
      </c>
      <c r="F27" s="43">
        <f>IFERROR(B27/E27,0)</f>
        <v>8.9999999999999998E-4</v>
      </c>
      <c r="G27">
        <f t="shared" si="4"/>
        <v>3666600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COUNTIF(tables_594100!C:C,input_594100!A28)-COUNTIF(Q:Q,A28)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COUNTIF(tables_594100!C:C,input_594100!A29)-COUNTIF(Q:Q,A29)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COUNTIF(tables_594100!C:C,input_594100!A30)-COUNTIF(Q:Q,A30)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COUNTIF(tables_594100!C:C,input_594100!A31)-COUNTIF(Q:Q,A31)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-0.45000000000061752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SUMIF(tables_594100!C:C,input_594100!A40,tables_594100!O:O)</f>
        <v>0</v>
      </c>
      <c r="C40" s="54">
        <f t="shared" ref="C40:C46" ca="1" si="9">B40/B$47</f>
        <v>0</v>
      </c>
      <c r="E40">
        <v>3</v>
      </c>
      <c r="F40">
        <f ca="1">SUMIF(tables_594100!J:J,input_594100!E40,tables_594100!O:O)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SUMIF(tables_594100!C:C,input_594100!A41,tables_594100!O:O)</f>
        <v>64233000</v>
      </c>
      <c r="C41" s="54">
        <f t="shared" ca="1" si="9"/>
        <v>0.91890929145355604</v>
      </c>
      <c r="E41">
        <v>4</v>
      </c>
      <c r="F41">
        <f ca="1">SUMIF(tables_594100!J:J,input_594100!E41,tables_594100!O:O)</f>
        <v>130950000.00008985</v>
      </c>
      <c r="G41">
        <f ca="1">F41/A36</f>
        <v>0.90000000000061753</v>
      </c>
    </row>
    <row r="42" spans="1:7" x14ac:dyDescent="0.15">
      <c r="A42" s="33" t="s">
        <v>106</v>
      </c>
      <c r="B42">
        <f ca="1">SUMIF(tables_594100!C:C,input_594100!A42,tables_594100!O:O)</f>
        <v>3666600</v>
      </c>
      <c r="C42" s="54">
        <f t="shared" ca="1" si="9"/>
        <v>5.2453922563847379E-2</v>
      </c>
      <c r="E42">
        <v>5</v>
      </c>
      <c r="F42">
        <f ca="1">SUMIF(tables_594100!J:J,input_594100!E42,tables_594100!O:O)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SUMIF(tables_594100!C:C,input_594100!A43,tables_594100!O:O)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SUMIF(tables_594100!C:C,input_594100!A44,tables_594100!O:O)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SUMIF(tables_594100!C:C,input_594100!A45,tables_594100!O:O)</f>
        <v>407400</v>
      </c>
      <c r="C45" s="54">
        <f t="shared" ca="1" si="9"/>
        <v>5.8282136182052644E-3</v>
      </c>
      <c r="E45" t="s">
        <v>204</v>
      </c>
      <c r="F45" s="55">
        <f ca="1">SUMIF(tables_594100!I:I,input_594100!E45,tables_594100!P:P)</f>
        <v>0.23241340206196751</v>
      </c>
    </row>
    <row r="46" spans="1:7" x14ac:dyDescent="0.15">
      <c r="A46" s="33" t="s">
        <v>108</v>
      </c>
      <c r="B46">
        <f>SUMIF(tables_594100!C:C,input_594100!A46,tables_594100!O:O)</f>
        <v>0</v>
      </c>
      <c r="C46" s="54">
        <f t="shared" ca="1" si="9"/>
        <v>0</v>
      </c>
      <c r="E46" t="s">
        <v>205</v>
      </c>
      <c r="F46" s="55">
        <f ca="1">SUMIF(tables_594100!I:I,input_594100!E46,tables_594100!P:P)</f>
        <v>0.17620604678798851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SUMIF(tables_594100!I:I,input_594100!E47,tables_594100!P:P)</f>
        <v>0.5063805511500038</v>
      </c>
    </row>
    <row r="48" spans="1:7" x14ac:dyDescent="0.15">
      <c r="E48" t="s">
        <v>207</v>
      </c>
      <c r="F48" s="55">
        <f ca="1">SUMIF(tables_594100!I:I,input_594100!E48,tables_594100!P:P)</f>
        <v>6.5000000000031227E-2</v>
      </c>
      <c r="G48" s="55"/>
    </row>
    <row r="49" spans="5:6" x14ac:dyDescent="0.15">
      <c r="E49" t="s">
        <v>250</v>
      </c>
      <c r="F49" s="55">
        <f ca="1">SUMIF(tables_594100!I:I,input_594100!E49,tables_594100!P:P)</f>
        <v>1.0000000000004812E-2</v>
      </c>
    </row>
    <row r="50" spans="5:6" x14ac:dyDescent="0.15">
      <c r="E50" t="s">
        <v>262</v>
      </c>
      <c r="F50" s="55">
        <f ca="1">SUMIF(tables_594100!I:I,input_594100!E50,tables_594100!P:P)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input_594100!A$2</f>
        <v>594100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IFERROR(VLOOKUP(B2,input_594100!L:R,7,FALSE),VLOOKUP(tables_594100!C2,input_594100!A:H,8,FALSE))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input_594100!A$2</f>
        <v>594100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IFERROR(VLOOKUP(B3,input_594100!L:R,7,FALSE),VLOOKUP(tables_594100!C3,input_594100!A:H,8,FALSE))</f>
        <v>1649632.5</v>
      </c>
      <c r="P3" s="46">
        <f t="shared" ca="1" si="1"/>
        <v>1.1337680412376589E-2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input_594100!A$2</f>
        <v>594100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IFERROR(VLOOKUP(B4,input_594100!L:R,7,FALSE),VLOOKUP(tables_594100!C4,input_594100!A:H,8,FALSE))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input_594100!A$2</f>
        <v>594100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IFERROR(VLOOKUP(B5,input_594100!L:R,7,FALSE),VLOOKUP(tables_594100!C5,input_594100!A:H,8,FALSE))</f>
        <v>1649632.5</v>
      </c>
      <c r="P5" s="46">
        <f t="shared" ca="1" si="1"/>
        <v>1.1337680412376589E-2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input_594100!A$2</f>
        <v>594100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IFERROR(VLOOKUP(B6,input_594100!L:R,7,FALSE),VLOOKUP(tables_594100!C6,input_594100!A:H,8,FALSE))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input_594100!A$2</f>
        <v>594100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IFERROR(VLOOKUP(B7,input_594100!L:R,7,FALSE),VLOOKUP(tables_594100!C7,input_594100!A:H,8,FALSE))</f>
        <v>1649632.5</v>
      </c>
      <c r="P7" s="46">
        <f t="shared" ca="1" si="1"/>
        <v>1.1337680412376589E-2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input_594100!A$2</f>
        <v>594100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IFERROR(VLOOKUP(B8,input_594100!L:R,7,FALSE),VLOOKUP(tables_594100!C8,input_594100!A:H,8,FALSE))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input_594100!A$2</f>
        <v>594100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IFERROR(VLOOKUP(B9,input_594100!L:R,7,FALSE),VLOOKUP(tables_594100!C9,input_594100!A:H,8,FALSE))</f>
        <v>1649632.5</v>
      </c>
      <c r="P9" s="46">
        <f t="shared" ca="1" si="1"/>
        <v>1.1337680412376589E-2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input_594100!A$2</f>
        <v>594100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IFERROR(VLOOKUP(B10,input_594100!L:R,7,FALSE),VLOOKUP(tables_594100!C10,input_594100!A:H,8,FALSE))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input_594100!A$2</f>
        <v>594100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IFERROR(VLOOKUP(B11,input_594100!L:R,7,FALSE),VLOOKUP(tables_594100!C11,input_594100!A:H,8,FALSE))</f>
        <v>1649632.5</v>
      </c>
      <c r="P11" s="46">
        <f t="shared" ca="1" si="1"/>
        <v>1.1337680412376589E-2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input_594100!A$2</f>
        <v>594100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IFERROR(VLOOKUP(B12,input_594100!L:R,7,FALSE),VLOOKUP(tables_594100!C12,input_594100!A:H,8,FALSE))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input_594100!A$2</f>
        <v>594100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IFERROR(VLOOKUP(B13,input_594100!L:R,7,FALSE),VLOOKUP(tables_594100!C13,input_594100!A:H,8,FALSE))</f>
        <v>1649632.5</v>
      </c>
      <c r="P13" s="46">
        <f t="shared" ca="1" si="1"/>
        <v>1.1337680412376589E-2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input_594100!A$2</f>
        <v>594100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IFERROR(VLOOKUP(B14,input_594100!L:R,7,FALSE),VLOOKUP(tables_594100!C14,input_594100!A:H,8,FALSE))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input_594100!A$2</f>
        <v>594100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IFERROR(VLOOKUP(B15,input_594100!L:R,7,FALSE),VLOOKUP(tables_594100!C15,input_594100!A:H,8,FALSE))</f>
        <v>1649632.5</v>
      </c>
      <c r="P15" s="46">
        <f t="shared" ca="1" si="1"/>
        <v>1.1337680412376589E-2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input_594100!A$2</f>
        <v>594100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IFERROR(VLOOKUP(B16,input_594100!L:R,7,FALSE),VLOOKUP(tables_594100!C16,input_594100!A:H,8,FALSE))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input_594100!A$2</f>
        <v>594100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IFERROR(VLOOKUP(B17,input_594100!L:R,7,FALSE),VLOOKUP(tables_594100!C17,input_594100!A:H,8,FALSE))</f>
        <v>1649632.5</v>
      </c>
      <c r="P17" s="46">
        <f t="shared" ca="1" si="1"/>
        <v>1.1337680412376589E-2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input_594100!A$2</f>
        <v>594100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IFERROR(VLOOKUP(B18,input_594100!L:R,7,FALSE),VLOOKUP(tables_594100!C18,input_594100!A:H,8,FALSE))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input_594100!A$2</f>
        <v>594100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IFERROR(VLOOKUP(B19,input_594100!L:R,7,FALSE),VLOOKUP(tables_594100!C19,input_594100!A:H,8,FALSE))</f>
        <v>1649632.5</v>
      </c>
      <c r="P19" s="46">
        <f t="shared" ca="1" si="1"/>
        <v>1.1337680412376589E-2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input_594100!A$2</f>
        <v>594100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IFERROR(VLOOKUP(B20,input_594100!L:R,7,FALSE),VLOOKUP(tables_594100!C20,input_594100!A:H,8,FALSE))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input_594100!A$2</f>
        <v>594100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IFERROR(VLOOKUP(B21,input_594100!L:R,7,FALSE),VLOOKUP(tables_594100!C21,input_594100!A:H,8,FALSE))</f>
        <v>1649632.5</v>
      </c>
      <c r="P21" s="46">
        <f t="shared" ca="1" si="1"/>
        <v>1.1337680412376589E-2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input_594100!A$2</f>
        <v>594100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IFERROR(VLOOKUP(B22,input_594100!L:R,7,FALSE),VLOOKUP(tables_594100!C22,input_594100!A:H,8,FALSE))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input_594100!A$2</f>
        <v>594100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IFERROR(VLOOKUP(B23,input_594100!L:R,7,FALSE),VLOOKUP(tables_594100!C23,input_594100!A:H,8,FALSE))</f>
        <v>1649632.5</v>
      </c>
      <c r="P23" s="46">
        <f t="shared" ca="1" si="1"/>
        <v>1.1337680412376589E-2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input_594100!A$2</f>
        <v>594100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IFERROR(VLOOKUP(B24,input_594100!L:R,7,FALSE),VLOOKUP(tables_594100!C24,input_594100!A:H,8,FALSE))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input_594100!A$2</f>
        <v>594100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IFERROR(VLOOKUP(B25,input_594100!L:R,7,FALSE),VLOOKUP(tables_594100!C25,input_594100!A:H,8,FALSE))</f>
        <v>1649632.5</v>
      </c>
      <c r="P25" s="46">
        <f t="shared" ca="1" si="1"/>
        <v>1.1337680412376589E-2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input_594100!A$2</f>
        <v>594100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IFERROR(VLOOKUP(B26,input_594100!L:R,7,FALSE),VLOOKUP(tables_594100!C26,input_594100!A:H,8,FALSE))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input_594100!A$2</f>
        <v>594100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IFERROR(VLOOKUP(B27,input_594100!L:R,7,FALSE),VLOOKUP(tables_594100!C27,input_594100!A:H,8,FALSE))</f>
        <v>1649632.5</v>
      </c>
      <c r="P27" s="46">
        <f t="shared" ca="1" si="1"/>
        <v>1.1337680412376589E-2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input_594100!A$2</f>
        <v>594100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IFERROR(VLOOKUP(B28,input_594100!L:R,7,FALSE),VLOOKUP(tables_594100!C28,input_594100!A:H,8,FALSE))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input_594100!A$2</f>
        <v>594100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IFERROR(VLOOKUP(B29,input_594100!L:R,7,FALSE),VLOOKUP(tables_594100!C29,input_594100!A:H,8,FALSE))</f>
        <v>1649632.5</v>
      </c>
      <c r="P29" s="46">
        <f t="shared" ca="1" si="1"/>
        <v>1.1337680412376589E-2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input_594100!A$2</f>
        <v>594100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IFERROR(VLOOKUP(B30,input_594100!L:R,7,FALSE),VLOOKUP(tables_594100!C30,input_594100!A:H,8,FALSE))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input_594100!A$2</f>
        <v>594100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IFERROR(VLOOKUP(B31,input_594100!L:R,7,FALSE),VLOOKUP(tables_594100!C31,input_594100!A:H,8,FALSE))</f>
        <v>1649632.5</v>
      </c>
      <c r="P31" s="46">
        <f t="shared" ca="1" si="1"/>
        <v>1.1337680412376589E-2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input_594100!A$2</f>
        <v>594100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IFERROR(VLOOKUP(B32,input_594100!L:R,7,FALSE),VLOOKUP(tables_594100!C32,input_594100!A:H,8,FALSE))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input_594100!A$2</f>
        <v>594100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IFERROR(VLOOKUP(B33,input_594100!L:R,7,FALSE),VLOOKUP(tables_594100!C33,input_594100!A:H,8,FALSE))</f>
        <v>1649632.5</v>
      </c>
      <c r="P33" s="46">
        <f t="shared" ca="1" si="1"/>
        <v>1.1337680412376589E-2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input_594100!A$2</f>
        <v>594100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IFERROR(VLOOKUP(B34,input_594100!L:R,7,FALSE),VLOOKUP(tables_594100!C34,input_594100!A:H,8,FALSE))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input_594100!A$2</f>
        <v>594100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IFERROR(VLOOKUP(B35,input_594100!L:R,7,FALSE),VLOOKUP(tables_594100!C35,input_594100!A:H,8,FALSE))</f>
        <v>1649632.5</v>
      </c>
      <c r="P35" s="46">
        <f t="shared" ca="1" si="1"/>
        <v>1.1337680412376589E-2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input_594100!A$2</f>
        <v>594100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IFERROR(VLOOKUP(B36,input_594100!L:R,7,FALSE),VLOOKUP(tables_594100!C36,input_594100!A:H,8,FALSE))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input_594100!A$2</f>
        <v>594100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IFERROR(VLOOKUP(B37,input_594100!L:R,7,FALSE),VLOOKUP(tables_594100!C37,input_594100!A:H,8,FALSE))</f>
        <v>1649632.5</v>
      </c>
      <c r="P37" s="46">
        <f t="shared" ca="1" si="1"/>
        <v>1.1337680412376589E-2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input_594100!A$2</f>
        <v>594100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IFERROR(VLOOKUP(B38,input_594100!L:R,7,FALSE),VLOOKUP(tables_594100!C38,input_594100!A:H,8,FALSE))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input_594100!A$2</f>
        <v>594100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IFERROR(VLOOKUP(B39,input_594100!L:R,7,FALSE),VLOOKUP(tables_594100!C39,input_594100!A:H,8,FALSE))</f>
        <v>1649632.5</v>
      </c>
      <c r="P39" s="46">
        <f t="shared" ca="1" si="1"/>
        <v>1.1337680412376589E-2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input_594100!A$2</f>
        <v>594100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IFERROR(VLOOKUP(B40,input_594100!L:R,7,FALSE),VLOOKUP(tables_594100!C40,input_594100!A:H,8,FALSE))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input_594100!A$2</f>
        <v>594100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IFERROR(VLOOKUP(B41,input_594100!L:R,7,FALSE),VLOOKUP(tables_594100!C41,input_594100!A:H,8,FALSE))</f>
        <v>1649632.5</v>
      </c>
      <c r="P41" s="46">
        <f t="shared" ca="1" si="1"/>
        <v>1.1337680412376589E-2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input_594100!A$2</f>
        <v>594100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IFERROR(VLOOKUP(B42,input_594100!L:R,7,FALSE),VLOOKUP(tables_594100!C42,input_594100!A:H,8,FALSE))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input_594100!A$2</f>
        <v>594100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IFERROR(VLOOKUP(B43,input_594100!L:R,7,FALSE),VLOOKUP(tables_594100!C43,input_594100!A:H,8,FALSE))</f>
        <v>1235250</v>
      </c>
      <c r="P43" s="46">
        <f t="shared" ca="1" si="1"/>
        <v>8.4896907216535696E-3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input_594100!A$2</f>
        <v>594100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IFERROR(VLOOKUP(B44,input_594100!L:R,7,FALSE),VLOOKUP(tables_594100!C44,input_594100!A:H,8,FALSE))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input_594100!A$2</f>
        <v>594100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IFERROR(VLOOKUP(B45,input_594100!L:R,7,FALSE),VLOOKUP(tables_594100!C45,input_594100!A:H,8,FALSE))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input_594100!A$2</f>
        <v>594100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IFERROR(VLOOKUP(B46,input_594100!L:R,7,FALSE),VLOOKUP(tables_594100!C46,input_594100!A:H,8,FALSE))</f>
        <v>1235250</v>
      </c>
      <c r="P46" s="46">
        <f t="shared" ca="1" si="1"/>
        <v>8.4896907216535696E-3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input_594100!A$2</f>
        <v>594100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IFERROR(VLOOKUP(B47,input_594100!L:R,7,FALSE),VLOOKUP(tables_594100!C47,input_594100!A:H,8,FALSE))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input_594100!A$2</f>
        <v>594100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IFERROR(VLOOKUP(B48,input_594100!L:R,7,FALSE),VLOOKUP(tables_594100!C48,input_594100!A:H,8,FALSE))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input_594100!A$2</f>
        <v>594100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IFERROR(VLOOKUP(B49,input_594100!L:R,7,FALSE),VLOOKUP(tables_594100!C49,input_594100!A:H,8,FALSE))</f>
        <v>1235250</v>
      </c>
      <c r="P49" s="46">
        <f t="shared" ca="1" si="1"/>
        <v>8.4896907216535696E-3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input_594100!A$2</f>
        <v>594100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IFERROR(VLOOKUP(B50,input_594100!L:R,7,FALSE),VLOOKUP(tables_594100!C50,input_594100!A:H,8,FALSE))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input_594100!A$2</f>
        <v>594100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IFERROR(VLOOKUP(B51,input_594100!L:R,7,FALSE),VLOOKUP(tables_594100!C51,input_594100!A:H,8,FALSE))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input_594100!A$2</f>
        <v>594100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IFERROR(VLOOKUP(B52,input_594100!L:R,7,FALSE),VLOOKUP(tables_594100!C52,input_594100!A:H,8,FALSE))</f>
        <v>1235250</v>
      </c>
      <c r="P52" s="46">
        <f t="shared" ca="1" si="1"/>
        <v>8.4896907216535696E-3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input_594100!A$2</f>
        <v>594100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IFERROR(VLOOKUP(B53,input_594100!L:R,7,FALSE),VLOOKUP(tables_594100!C53,input_594100!A:H,8,FALSE))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input_594100!A$2</f>
        <v>594100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IFERROR(VLOOKUP(B54,input_594100!L:R,7,FALSE),VLOOKUP(tables_594100!C54,input_594100!A:H,8,FALSE))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input_594100!A$2</f>
        <v>594100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IFERROR(VLOOKUP(B55,input_594100!L:R,7,FALSE),VLOOKUP(tables_594100!C55,input_594100!A:H,8,FALSE))</f>
        <v>1235250</v>
      </c>
      <c r="P55" s="46">
        <f t="shared" ca="1" si="1"/>
        <v>8.4896907216535696E-3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input_594100!A$2</f>
        <v>594100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IFERROR(VLOOKUP(B56,input_594100!L:R,7,FALSE),VLOOKUP(tables_594100!C56,input_594100!A:H,8,FALSE))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input_594100!A$2</f>
        <v>594100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IFERROR(VLOOKUP(B57,input_594100!L:R,7,FALSE),VLOOKUP(tables_594100!C57,input_594100!A:H,8,FALSE))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input_594100!A$2</f>
        <v>594100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IFERROR(VLOOKUP(B58,input_594100!L:R,7,FALSE),VLOOKUP(tables_594100!C58,input_594100!A:H,8,FALSE))</f>
        <v>1235250</v>
      </c>
      <c r="P58" s="46">
        <f t="shared" ca="1" si="1"/>
        <v>8.4896907216535696E-3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input_594100!A$2</f>
        <v>594100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IFERROR(VLOOKUP(B59,input_594100!L:R,7,FALSE),VLOOKUP(tables_594100!C59,input_594100!A:H,8,FALSE))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input_594100!A$2</f>
        <v>594100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IFERROR(VLOOKUP(B60,input_594100!L:R,7,FALSE),VLOOKUP(tables_594100!C60,input_594100!A:H,8,FALSE))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input_594100!A$2</f>
        <v>594100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IFERROR(VLOOKUP(B61,input_594100!L:R,7,FALSE),VLOOKUP(tables_594100!C61,input_594100!A:H,8,FALSE))</f>
        <v>1235250</v>
      </c>
      <c r="P61" s="46">
        <f t="shared" ca="1" si="1"/>
        <v>8.4896907216535696E-3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input_594100!A$2</f>
        <v>594100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IFERROR(VLOOKUP(B62,input_594100!L:R,7,FALSE),VLOOKUP(tables_594100!C62,input_594100!A:H,8,FALSE))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input_594100!A$2</f>
        <v>594100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IFERROR(VLOOKUP(B63,input_594100!L:R,7,FALSE),VLOOKUP(tables_594100!C63,input_594100!A:H,8,FALSE))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input_594100!A$2</f>
        <v>594100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IFERROR(VLOOKUP(B64,input_594100!L:R,7,FALSE),VLOOKUP(tables_594100!C64,input_594100!A:H,8,FALSE))</f>
        <v>1235250</v>
      </c>
      <c r="P64" s="46">
        <f t="shared" ca="1" si="1"/>
        <v>8.4896907216535696E-3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input_594100!A$2</f>
        <v>594100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IFERROR(VLOOKUP(B65,input_594100!L:R,7,FALSE),VLOOKUP(tables_594100!C65,input_594100!A:H,8,FALSE))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input_594100!A$2</f>
        <v>594100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IFERROR(VLOOKUP(B66,input_594100!L:R,7,FALSE),VLOOKUP(tables_594100!C66,input_594100!A:H,8,FALSE))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input_594100!A$2</f>
        <v>594100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IFERROR(VLOOKUP(B67,input_594100!L:R,7,FALSE),VLOOKUP(tables_594100!C67,input_594100!A:H,8,FALSE))</f>
        <v>1235250</v>
      </c>
      <c r="P67" s="46">
        <f t="shared" ca="1" si="4"/>
        <v>8.4896907216535696E-3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input_594100!A$2</f>
        <v>594100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IFERROR(VLOOKUP(B68,input_594100!L:R,7,FALSE),VLOOKUP(tables_594100!C68,input_594100!A:H,8,FALSE))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input_594100!A$2</f>
        <v>594100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IFERROR(VLOOKUP(B69,input_594100!L:R,7,FALSE),VLOOKUP(tables_594100!C69,input_594100!A:H,8,FALSE))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input_594100!A$2</f>
        <v>594100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IFERROR(VLOOKUP(B70,input_594100!L:R,7,FALSE),VLOOKUP(tables_594100!C70,input_594100!A:H,8,FALSE))</f>
        <v>1235250</v>
      </c>
      <c r="P70" s="46">
        <f t="shared" ca="1" si="4"/>
        <v>8.4896907216535696E-3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input_594100!A$2</f>
        <v>594100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IFERROR(VLOOKUP(B71,input_594100!L:R,7,FALSE),VLOOKUP(tables_594100!C71,input_594100!A:H,8,FALSE))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input_594100!A$2</f>
        <v>594100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IFERROR(VLOOKUP(B72,input_594100!L:R,7,FALSE),VLOOKUP(tables_594100!C72,input_594100!A:H,8,FALSE))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input_594100!A$2</f>
        <v>594100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IFERROR(VLOOKUP(B73,input_594100!L:R,7,FALSE),VLOOKUP(tables_594100!C73,input_594100!A:H,8,FALSE))</f>
        <v>1235250</v>
      </c>
      <c r="P73" s="46">
        <f t="shared" ca="1" si="4"/>
        <v>8.4896907216535696E-3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input_594100!A$2</f>
        <v>594100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IFERROR(VLOOKUP(B74,input_594100!L:R,7,FALSE),VLOOKUP(tables_594100!C74,input_594100!A:H,8,FALSE))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input_594100!A$2</f>
        <v>594100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IFERROR(VLOOKUP(B75,input_594100!L:R,7,FALSE),VLOOKUP(tables_594100!C75,input_594100!A:H,8,FALSE))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input_594100!A$2</f>
        <v>594100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IFERROR(VLOOKUP(B76,input_594100!L:R,7,FALSE),VLOOKUP(tables_594100!C76,input_594100!A:H,8,FALSE))</f>
        <v>1235250</v>
      </c>
      <c r="P76" s="46">
        <f t="shared" ca="1" si="4"/>
        <v>8.4896907216535696E-3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input_594100!A$2</f>
        <v>594100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IFERROR(VLOOKUP(B77,input_594100!L:R,7,FALSE),VLOOKUP(tables_594100!C77,input_594100!A:H,8,FALSE))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input_594100!A$2</f>
        <v>594100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IFERROR(VLOOKUP(B78,input_594100!L:R,7,FALSE),VLOOKUP(tables_594100!C78,input_594100!A:H,8,FALSE))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input_594100!A$2</f>
        <v>594100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IFERROR(VLOOKUP(B79,input_594100!L:R,7,FALSE),VLOOKUP(tables_594100!C79,input_594100!A:H,8,FALSE))</f>
        <v>1235250</v>
      </c>
      <c r="P79" s="46">
        <f t="shared" ca="1" si="4"/>
        <v>8.4896907216535696E-3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input_594100!A$2</f>
        <v>594100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IFERROR(VLOOKUP(B80,input_594100!L:R,7,FALSE),VLOOKUP(tables_594100!C80,input_594100!A:H,8,FALSE))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input_594100!A$2</f>
        <v>594100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IFERROR(VLOOKUP(B81,input_594100!L:R,7,FALSE),VLOOKUP(tables_594100!C81,input_594100!A:H,8,FALSE))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input_594100!A$2</f>
        <v>594100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IFERROR(VLOOKUP(B82,input_594100!L:R,7,FALSE),VLOOKUP(tables_594100!C82,input_594100!A:H,8,FALSE))</f>
        <v>1235250</v>
      </c>
      <c r="P82" s="46">
        <f t="shared" ca="1" si="4"/>
        <v>8.4896907216535696E-3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input_594100!A$2</f>
        <v>594100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IFERROR(VLOOKUP(B83,input_594100!L:R,7,FALSE),VLOOKUP(tables_594100!C83,input_594100!A:H,8,FALSE))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input_594100!A$2</f>
        <v>594100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IFERROR(VLOOKUP(B84,input_594100!L:R,7,FALSE),VLOOKUP(tables_594100!C84,input_594100!A:H,8,FALSE))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input_594100!A$2</f>
        <v>594100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IFERROR(VLOOKUP(B85,input_594100!L:R,7,FALSE),VLOOKUP(tables_594100!C85,input_594100!A:H,8,FALSE))</f>
        <v>1235250</v>
      </c>
      <c r="P85" s="46">
        <f t="shared" ca="1" si="4"/>
        <v>8.4896907216535696E-3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input_594100!A$2</f>
        <v>594100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IFERROR(VLOOKUP(B86,input_594100!L:R,7,FALSE),VLOOKUP(tables_594100!C86,input_594100!A:H,8,FALSE))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input_594100!A$2</f>
        <v>594100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IFERROR(VLOOKUP(B87,input_594100!L:R,7,FALSE),VLOOKUP(tables_594100!C87,input_594100!A:H,8,FALSE))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input_594100!A$2</f>
        <v>594100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IFERROR(VLOOKUP(B88,input_594100!L:R,7,FALSE),VLOOKUP(tables_594100!C88,input_594100!A:H,8,FALSE))</f>
        <v>1235250</v>
      </c>
      <c r="P88" s="46">
        <f t="shared" ca="1" si="4"/>
        <v>8.4896907216535696E-3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input_594100!A$2</f>
        <v>594100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IFERROR(VLOOKUP(B89,input_594100!L:R,7,FALSE),VLOOKUP(tables_594100!C89,input_594100!A:H,8,FALSE))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input_594100!A$2</f>
        <v>594100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IFERROR(VLOOKUP(B90,input_594100!L:R,7,FALSE),VLOOKUP(tables_594100!C90,input_594100!A:H,8,FALSE))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input_594100!A$2</f>
        <v>594100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IFERROR(VLOOKUP(B91,input_594100!L:R,7,FALSE),VLOOKUP(tables_594100!C91,input_594100!A:H,8,FALSE))</f>
        <v>1235250</v>
      </c>
      <c r="P91" s="46">
        <f t="shared" ca="1" si="4"/>
        <v>8.4896907216535696E-3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input_594100!A$2</f>
        <v>594100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IFERROR(VLOOKUP(B92,input_594100!L:R,7,FALSE),VLOOKUP(tables_594100!C92,input_594100!A:H,8,FALSE))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input_594100!A$2</f>
        <v>594100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IFERROR(VLOOKUP(B93,input_594100!L:R,7,FALSE),VLOOKUP(tables_594100!C93,input_594100!A:H,8,FALSE))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input_594100!A$2</f>
        <v>594100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IFERROR(VLOOKUP(B94,input_594100!L:R,7,FALSE),VLOOKUP(tables_594100!C94,input_594100!A:H,8,FALSE))</f>
        <v>1235250</v>
      </c>
      <c r="P94" s="46">
        <f t="shared" ca="1" si="4"/>
        <v>8.4896907216535696E-3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input_594100!A$2</f>
        <v>594100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IFERROR(VLOOKUP(B95,input_594100!L:R,7,FALSE),VLOOKUP(tables_594100!C95,input_594100!A:H,8,FALSE))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input_594100!A$2</f>
        <v>594100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IFERROR(VLOOKUP(B96,input_594100!L:R,7,FALSE),VLOOKUP(tables_594100!C96,input_594100!A:H,8,FALSE))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input_594100!A$2</f>
        <v>594100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IFERROR(VLOOKUP(B97,input_594100!L:R,7,FALSE),VLOOKUP(tables_594100!C97,input_594100!A:H,8,FALSE))</f>
        <v>1235250</v>
      </c>
      <c r="P97" s="46">
        <f t="shared" ca="1" si="4"/>
        <v>8.4896907216535696E-3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input_594100!A$2</f>
        <v>594100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IFERROR(VLOOKUP(B98,input_594100!L:R,7,FALSE),VLOOKUP(tables_594100!C98,input_594100!A:H,8,FALSE))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input_594100!A$2</f>
        <v>594100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IFERROR(VLOOKUP(B99,input_594100!L:R,7,FALSE),VLOOKUP(tables_594100!C99,input_594100!A:H,8,FALSE))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input_594100!A$2</f>
        <v>594100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IFERROR(VLOOKUP(B100,input_594100!L:R,7,FALSE),VLOOKUP(tables_594100!C100,input_594100!A:H,8,FALSE))</f>
        <v>1235250</v>
      </c>
      <c r="P100" s="46">
        <f t="shared" ca="1" si="4"/>
        <v>8.4896907216535696E-3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input_594100!A$2</f>
        <v>594100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IFERROR(VLOOKUP(B101,input_594100!L:R,7,FALSE),VLOOKUP(tables_594100!C101,input_594100!A:H,8,FALSE))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input_594100!A$2</f>
        <v>594100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IFERROR(VLOOKUP(B102,input_594100!L:R,7,FALSE),VLOOKUP(tables_594100!C102,input_594100!A:H,8,FALSE))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input_594100!A$2</f>
        <v>594100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IFERROR(VLOOKUP(B103,input_594100!L:R,7,FALSE),VLOOKUP(tables_594100!C103,input_594100!A:H,8,FALSE))</f>
        <v>1235250</v>
      </c>
      <c r="P103" s="46">
        <f t="shared" ca="1" si="4"/>
        <v>8.4896907216535696E-3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input_594100!A$2</f>
        <v>594100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IFERROR(VLOOKUP(B104,input_594100!L:R,7,FALSE),VLOOKUP(tables_594100!C104,input_594100!A:H,8,FALSE))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input_594100!A$2</f>
        <v>594100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IFERROR(VLOOKUP(B105,input_594100!L:R,7,FALSE),VLOOKUP(tables_594100!C105,input_594100!A:H,8,FALSE))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input_594100!A$2</f>
        <v>594100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IFERROR(VLOOKUP(B106,input_594100!L:R,7,FALSE),VLOOKUP(tables_594100!C106,input_594100!A:H,8,FALSE))</f>
        <v>1235250</v>
      </c>
      <c r="P106" s="46">
        <f t="shared" ca="1" si="4"/>
        <v>8.4896907216535696E-3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input_594100!A$2</f>
        <v>594100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IFERROR(VLOOKUP(B107,input_594100!L:R,7,FALSE),VLOOKUP(tables_594100!C107,input_594100!A:H,8,FALSE))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input_594100!A$2</f>
        <v>594100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IFERROR(VLOOKUP(B108,input_594100!L:R,7,FALSE),VLOOKUP(tables_594100!C108,input_594100!A:H,8,FALSE))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input_594100!A$2</f>
        <v>594100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IFERROR(VLOOKUP(B109,input_594100!L:R,7,FALSE),VLOOKUP(tables_594100!C109,input_594100!A:H,8,FALSE))</f>
        <v>1235250</v>
      </c>
      <c r="P109" s="46">
        <f t="shared" ca="1" si="4"/>
        <v>8.4896907216535696E-3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input_594100!A$2</f>
        <v>594100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IFERROR(VLOOKUP(B110,input_594100!L:R,7,FALSE),VLOOKUP(tables_594100!C110,input_594100!A:H,8,FALSE))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input_594100!A$2</f>
        <v>594100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IFERROR(VLOOKUP(B111,input_594100!L:R,7,FALSE),VLOOKUP(tables_594100!C111,input_594100!A:H,8,FALSE))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input_594100!A$2</f>
        <v>594100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IFERROR(VLOOKUP(B112,input_594100!L:R,7,FALSE),VLOOKUP(tables_594100!C112,input_594100!A:H,8,FALSE))</f>
        <v>1235250</v>
      </c>
      <c r="P112" s="46">
        <f t="shared" ca="1" si="4"/>
        <v>8.4896907216535696E-3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input_594100!A$2</f>
        <v>594100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IFERROR(VLOOKUP(B113,input_594100!L:R,7,FALSE),VLOOKUP(tables_594100!C113,input_594100!A:H,8,FALSE))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input_594100!A$2</f>
        <v>594100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IFERROR(VLOOKUP(B114,input_594100!L:R,7,FALSE),VLOOKUP(tables_594100!C114,input_594100!A:H,8,FALSE))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input_594100!A$2</f>
        <v>594100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IFERROR(VLOOKUP(B115,input_594100!L:R,7,FALSE),VLOOKUP(tables_594100!C115,input_594100!A:H,8,FALSE))</f>
        <v>1235250</v>
      </c>
      <c r="P115" s="46">
        <f t="shared" ca="1" si="4"/>
        <v>8.4896907216535696E-3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input_594100!A$2</f>
        <v>594100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IFERROR(VLOOKUP(B116,input_594100!L:R,7,FALSE),VLOOKUP(tables_594100!C116,input_594100!A:H,8,FALSE))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input_594100!A$2</f>
        <v>594100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IFERROR(VLOOKUP(B117,input_594100!L:R,7,FALSE),VLOOKUP(tables_594100!C117,input_594100!A:H,8,FALSE))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input_594100!A$2</f>
        <v>594100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IFERROR(VLOOKUP(B118,input_594100!L:R,7,FALSE),VLOOKUP(tables_594100!C118,input_594100!A:H,8,FALSE))</f>
        <v>1235250</v>
      </c>
      <c r="P118" s="46">
        <f t="shared" ca="1" si="4"/>
        <v>8.4896907216535696E-3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input_594100!A$2</f>
        <v>594100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IFERROR(VLOOKUP(B119,input_594100!L:R,7,FALSE),VLOOKUP(tables_594100!C119,input_594100!A:H,8,FALSE))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input_594100!A$2</f>
        <v>594100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IFERROR(VLOOKUP(B120,input_594100!L:R,7,FALSE),VLOOKUP(tables_594100!C120,input_594100!A:H,8,FALSE))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input_594100!A$2</f>
        <v>594100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IFERROR(VLOOKUP(B121,input_594100!L:R,7,FALSE),VLOOKUP(tables_594100!C121,input_594100!A:H,8,FALSE))</f>
        <v>1235250</v>
      </c>
      <c r="P121" s="46">
        <f t="shared" ca="1" si="4"/>
        <v>8.4896907216535696E-3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input_594100!A$2</f>
        <v>594100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IFERROR(VLOOKUP(B122,input_594100!L:R,7,FALSE),VLOOKUP(tables_594100!C122,input_594100!A:H,8,FALSE))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input_594100!A$2</f>
        <v>594100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IFERROR(VLOOKUP(B123,input_594100!L:R,7,FALSE),VLOOKUP(tables_594100!C123,input_594100!A:H,8,FALSE))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input_594100!A$2</f>
        <v>594100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IFERROR(VLOOKUP(B124,input_594100!L:R,7,FALSE),VLOOKUP(tables_594100!C124,input_594100!A:H,8,FALSE))</f>
        <v>1235250</v>
      </c>
      <c r="P124" s="46">
        <f t="shared" ca="1" si="4"/>
        <v>8.4896907216535696E-3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input_594100!A$2</f>
        <v>594100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IFERROR(VLOOKUP(B125,input_594100!L:R,7,FALSE),VLOOKUP(tables_594100!C125,input_594100!A:H,8,FALSE))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input_594100!A$2</f>
        <v>594100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IFERROR(VLOOKUP(B126,input_594100!L:R,7,FALSE),VLOOKUP(tables_594100!C126,input_594100!A:H,8,FALSE))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input_594100!A$2</f>
        <v>594100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IFERROR(VLOOKUP(B127,input_594100!L:R,7,FALSE),VLOOKUP(tables_594100!C127,input_594100!A:H,8,FALSE))</f>
        <v>1235250</v>
      </c>
      <c r="P127" s="46">
        <f t="shared" ca="1" si="4"/>
        <v>8.4896907216535696E-3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input_594100!A$2</f>
        <v>594100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IFERROR(VLOOKUP(B128,input_594100!L:R,7,FALSE),VLOOKUP(tables_594100!C128,input_594100!A:H,8,FALSE))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input_594100!A$2</f>
        <v>594100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IFERROR(VLOOKUP(B129,input_594100!L:R,7,FALSE),VLOOKUP(tables_594100!C129,input_594100!A:H,8,FALSE))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input_594100!A$2</f>
        <v>594100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IFERROR(VLOOKUP(B130,input_594100!L:R,7,FALSE),VLOOKUP(tables_594100!C130,input_594100!A:H,8,FALSE))</f>
        <v>1235250</v>
      </c>
      <c r="P130" s="46">
        <f t="shared" ref="P130:P193" ca="1" si="7">O130/SUM(O:O)</f>
        <v>8.4896907216535696E-3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input_594100!A$2</f>
        <v>594100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IFERROR(VLOOKUP(B131,input_594100!L:R,7,FALSE),VLOOKUP(tables_594100!C131,input_594100!A:H,8,FALSE))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input_594100!A$2</f>
        <v>594100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IFERROR(VLOOKUP(B132,input_594100!L:R,7,FALSE),VLOOKUP(tables_594100!C132,input_594100!A:H,8,FALSE))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input_594100!A$2</f>
        <v>594100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IFERROR(VLOOKUP(B133,input_594100!L:R,7,FALSE),VLOOKUP(tables_594100!C133,input_594100!A:H,8,FALSE))</f>
        <v>1235250</v>
      </c>
      <c r="P133" s="46">
        <f t="shared" ca="1" si="7"/>
        <v>8.4896907216535696E-3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input_594100!A$2</f>
        <v>594100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IFERROR(VLOOKUP(B134,input_594100!L:R,7,FALSE),VLOOKUP(tables_594100!C134,input_594100!A:H,8,FALSE))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input_594100!A$2</f>
        <v>594100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IFERROR(VLOOKUP(B135,input_594100!L:R,7,FALSE),VLOOKUP(tables_594100!C135,input_594100!A:H,8,FALSE))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input_594100!A$2</f>
        <v>594100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IFERROR(VLOOKUP(B136,input_594100!L:R,7,FALSE),VLOOKUP(tables_594100!C136,input_594100!A:H,8,FALSE))</f>
        <v>1235250</v>
      </c>
      <c r="P136" s="46">
        <f t="shared" ca="1" si="7"/>
        <v>8.4896907216535696E-3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input_594100!A$2</f>
        <v>594100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IFERROR(VLOOKUP(B137,input_594100!L:R,7,FALSE),VLOOKUP(tables_594100!C137,input_594100!A:H,8,FALSE))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input_594100!A$2</f>
        <v>594100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IFERROR(VLOOKUP(B138,input_594100!L:R,7,FALSE),VLOOKUP(tables_594100!C138,input_594100!A:H,8,FALSE))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input_594100!A$2</f>
        <v>594100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IFERROR(VLOOKUP(B139,input_594100!L:R,7,FALSE),VLOOKUP(tables_594100!C139,input_594100!A:H,8,FALSE))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input_594100!A$2</f>
        <v>594100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IFERROR(VLOOKUP(B140,input_594100!L:R,7,FALSE),VLOOKUP(tables_594100!C140,input_594100!A:H,8,FALSE))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input_594100!A$2</f>
        <v>594100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IFERROR(VLOOKUP(B141,input_594100!L:R,7,FALSE),VLOOKUP(tables_594100!C141,input_594100!A:H,8,FALSE))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input_594100!A$2</f>
        <v>594100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IFERROR(VLOOKUP(B142,input_594100!L:R,7,FALSE),VLOOKUP(tables_594100!C142,input_594100!A:H,8,FALSE))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input_594100!A$2</f>
        <v>594100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IFERROR(VLOOKUP(B143,input_594100!L:R,7,FALSE),VLOOKUP(tables_594100!C143,input_594100!A:H,8,FALSE))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input_594100!A$2</f>
        <v>594100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IFERROR(VLOOKUP(B144,input_594100!L:R,7,FALSE),VLOOKUP(tables_594100!C144,input_594100!A:H,8,FALSE))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input_594100!A$2</f>
        <v>594100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IFERROR(VLOOKUP(B145,input_594100!L:R,7,FALSE),VLOOKUP(tables_594100!C145,input_594100!A:H,8,FALSE))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input_594100!A$2</f>
        <v>594100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IFERROR(VLOOKUP(B146,input_594100!L:R,7,FALSE),VLOOKUP(tables_594100!C146,input_594100!A:H,8,FALSE))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input_594100!A$2</f>
        <v>594100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IFERROR(VLOOKUP(B147,input_594100!L:R,7,FALSE),VLOOKUP(tables_594100!C147,input_594100!A:H,8,FALSE))</f>
        <v>1235250</v>
      </c>
      <c r="P147" s="46">
        <f t="shared" ca="1" si="7"/>
        <v>8.4896907216535696E-3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input_594100!A$2</f>
        <v>594100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IFERROR(VLOOKUP(B148,input_594100!L:R,7,FALSE),VLOOKUP(tables_594100!C148,input_594100!A:H,8,FALSE))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input_594100!A$2</f>
        <v>594100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IFERROR(VLOOKUP(B149,input_594100!L:R,7,FALSE),VLOOKUP(tables_594100!C149,input_594100!A:H,8,FALSE))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input_594100!A$2</f>
        <v>594100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IFERROR(VLOOKUP(B150,input_594100!L:R,7,FALSE),VLOOKUP(tables_594100!C150,input_594100!A:H,8,FALSE))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input_594100!A$2</f>
        <v>594100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IFERROR(VLOOKUP(B151,input_594100!L:R,7,FALSE),VLOOKUP(tables_594100!C151,input_594100!A:H,8,FALSE))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input_594100!A$2</f>
        <v>594100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IFERROR(VLOOKUP(B152,input_594100!L:R,7,FALSE),VLOOKUP(tables_594100!C152,input_594100!A:H,8,FALSE))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input_594100!A$2</f>
        <v>594100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IFERROR(VLOOKUP(B153,input_594100!L:R,7,FALSE),VLOOKUP(tables_594100!C153,input_594100!A:H,8,FALSE))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input_594100!A$2</f>
        <v>594100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IFERROR(VLOOKUP(B154,input_594100!L:R,7,FALSE),VLOOKUP(tables_594100!C154,input_594100!A:H,8,FALSE))</f>
        <v>1235250</v>
      </c>
      <c r="P154" s="46">
        <f t="shared" ca="1" si="7"/>
        <v>8.4896907216535696E-3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input_594100!A$2</f>
        <v>594100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IFERROR(VLOOKUP(B155,input_594100!L:R,7,FALSE),VLOOKUP(tables_594100!C155,input_594100!A:H,8,FALSE))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input_594100!A$2</f>
        <v>594100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IFERROR(VLOOKUP(B156,input_594100!L:R,7,FALSE),VLOOKUP(tables_594100!C156,input_594100!A:H,8,FALSE))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input_594100!A$2</f>
        <v>594100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IFERROR(VLOOKUP(B157,input_594100!L:R,7,FALSE),VLOOKUP(tables_594100!C157,input_594100!A:H,8,FALSE))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input_594100!A$2</f>
        <v>594100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IFERROR(VLOOKUP(B158,input_594100!L:R,7,FALSE),VLOOKUP(tables_594100!C158,input_594100!A:H,8,FALSE))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input_594100!A$2</f>
        <v>594100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IFERROR(VLOOKUP(B159,input_594100!L:R,7,FALSE),VLOOKUP(tables_594100!C159,input_594100!A:H,8,FALSE))</f>
        <v>1235250</v>
      </c>
      <c r="P159" s="46">
        <f t="shared" ca="1" si="7"/>
        <v>8.4896907216535696E-3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input_594100!A$2</f>
        <v>594100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IFERROR(VLOOKUP(B160,input_594100!L:R,7,FALSE),VLOOKUP(tables_594100!C160,input_594100!A:H,8,FALSE))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input_594100!A$2</f>
        <v>594100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IFERROR(VLOOKUP(B161,input_594100!L:R,7,FALSE),VLOOKUP(tables_594100!C161,input_594100!A:H,8,FALSE))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input_594100!A$2</f>
        <v>594100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IFERROR(VLOOKUP(B162,input_594100!L:R,7,FALSE),VLOOKUP(tables_594100!C162,input_594100!A:H,8,FALSE))</f>
        <v>1235250</v>
      </c>
      <c r="P162" s="46">
        <f t="shared" ca="1" si="7"/>
        <v>8.4896907216535696E-3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input_594100!A$2</f>
        <v>594100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IFERROR(VLOOKUP(B163,input_594100!L:R,7,FALSE),VLOOKUP(tables_594100!C163,input_594100!A:H,8,FALSE))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input_594100!A$2</f>
        <v>594100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IFERROR(VLOOKUP(B164,input_594100!L:R,7,FALSE),VLOOKUP(tables_594100!C164,input_594100!A:H,8,FALSE))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input_594100!A$2</f>
        <v>594100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IFERROR(VLOOKUP(B165,input_594100!L:R,7,FALSE),VLOOKUP(tables_594100!C165,input_594100!A:H,8,FALSE))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input_594100!A$2</f>
        <v>594100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IFERROR(VLOOKUP(B166,input_594100!L:R,7,FALSE),VLOOKUP(tables_594100!C166,input_594100!A:H,8,FALSE))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input_594100!A$2</f>
        <v>594100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IFERROR(VLOOKUP(B167,input_594100!L:R,7,FALSE),VLOOKUP(tables_594100!C167,input_594100!A:H,8,FALSE))</f>
        <v>1235250</v>
      </c>
      <c r="P167" s="46">
        <f t="shared" ca="1" si="7"/>
        <v>8.4896907216535696E-3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input_594100!A$2</f>
        <v>594100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IFERROR(VLOOKUP(B168,input_594100!L:R,7,FALSE),VLOOKUP(tables_594100!C168,input_594100!A:H,8,FALSE))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input_594100!A$2</f>
        <v>594100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IFERROR(VLOOKUP(B169,input_594100!L:R,7,FALSE),VLOOKUP(tables_594100!C169,input_594100!A:H,8,FALSE))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input_594100!A$2</f>
        <v>594100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IFERROR(VLOOKUP(B170,input_594100!L:R,7,FALSE),VLOOKUP(tables_594100!C170,input_594100!A:H,8,FALSE))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input_594100!A$2</f>
        <v>594100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IFERROR(VLOOKUP(B171,input_594100!L:R,7,FALSE),VLOOKUP(tables_594100!C171,input_594100!A:H,8,FALSE))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input_594100!A$2</f>
        <v>594100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IFERROR(VLOOKUP(B172,input_594100!L:R,7,FALSE),VLOOKUP(tables_594100!C172,input_594100!A:H,8,FALSE))</f>
        <v>1235250</v>
      </c>
      <c r="P172" s="46">
        <f t="shared" ca="1" si="7"/>
        <v>8.4896907216535696E-3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input_594100!A$2</f>
        <v>594100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IFERROR(VLOOKUP(B173,input_594100!L:R,7,FALSE),VLOOKUP(tables_594100!C173,input_594100!A:H,8,FALSE))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input_594100!A$2</f>
        <v>594100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IFERROR(VLOOKUP(B174,input_594100!L:R,7,FALSE),VLOOKUP(tables_594100!C174,input_594100!A:H,8,FALSE))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input_594100!A$2</f>
        <v>594100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IFERROR(VLOOKUP(B175,input_594100!L:R,7,FALSE),VLOOKUP(tables_594100!C175,input_594100!A:H,8,FALSE))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input_594100!A$2</f>
        <v>594100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IFERROR(VLOOKUP(B176,input_594100!L:R,7,FALSE),VLOOKUP(tables_594100!C176,input_594100!A:H,8,FALSE))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input_594100!A$2</f>
        <v>594100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IFERROR(VLOOKUP(B177,input_594100!L:R,7,FALSE),VLOOKUP(tables_594100!C177,input_594100!A:H,8,FALSE))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input_594100!A$2</f>
        <v>594100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IFERROR(VLOOKUP(B178,input_594100!L:R,7,FALSE),VLOOKUP(tables_594100!C178,input_594100!A:H,8,FALSE))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input_594100!A$2</f>
        <v>594100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IFERROR(VLOOKUP(B179,input_594100!L:R,7,FALSE),VLOOKUP(tables_594100!C179,input_594100!A:H,8,FALSE))</f>
        <v>1235250</v>
      </c>
      <c r="P179" s="46">
        <f t="shared" ca="1" si="7"/>
        <v>8.4896907216535696E-3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input_594100!A$2</f>
        <v>594100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IFERROR(VLOOKUP(B180,input_594100!L:R,7,FALSE),VLOOKUP(tables_594100!C180,input_594100!A:H,8,FALSE))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input_594100!A$2</f>
        <v>594100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IFERROR(VLOOKUP(B181,input_594100!L:R,7,FALSE),VLOOKUP(tables_594100!C181,input_594100!A:H,8,FALSE))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input_594100!A$2</f>
        <v>594100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IFERROR(VLOOKUP(B182,input_594100!L:R,7,FALSE),VLOOKUP(tables_594100!C182,input_594100!A:H,8,FALSE))</f>
        <v>1235250</v>
      </c>
      <c r="P182" s="46">
        <f t="shared" ca="1" si="7"/>
        <v>8.4896907216535696E-3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input_594100!A$2</f>
        <v>594100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IFERROR(VLOOKUP(B183,input_594100!L:R,7,FALSE),VLOOKUP(tables_594100!C183,input_594100!A:H,8,FALSE))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input_594100!A$2</f>
        <v>594100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IFERROR(VLOOKUP(B184,input_594100!L:R,7,FALSE),VLOOKUP(tables_594100!C184,input_594100!A:H,8,FALSE))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input_594100!A$2</f>
        <v>594100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IFERROR(VLOOKUP(B185,input_594100!L:R,7,FALSE),VLOOKUP(tables_594100!C185,input_594100!A:H,8,FALSE))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input_594100!A$2</f>
        <v>594100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IFERROR(VLOOKUP(B186,input_594100!L:R,7,FALSE),VLOOKUP(tables_594100!C186,input_594100!A:H,8,FALSE))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input_594100!A$2</f>
        <v>594100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IFERROR(VLOOKUP(B187,input_594100!L:R,7,FALSE),VLOOKUP(tables_594100!C187,input_594100!A:H,8,FALSE))</f>
        <v>1235250</v>
      </c>
      <c r="P187" s="46">
        <f t="shared" ca="1" si="7"/>
        <v>8.4896907216535696E-3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input_594100!A$2</f>
        <v>594100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IFERROR(VLOOKUP(B188,input_594100!L:R,7,FALSE),VLOOKUP(tables_594100!C188,input_594100!A:H,8,FALSE))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input_594100!A$2</f>
        <v>594100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IFERROR(VLOOKUP(B189,input_594100!L:R,7,FALSE),VLOOKUP(tables_594100!C189,input_594100!A:H,8,FALSE))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input_594100!A$2</f>
        <v>594100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IFERROR(VLOOKUP(B190,input_594100!L:R,7,FALSE),VLOOKUP(tables_594100!C190,input_594100!A:H,8,FALSE))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input_594100!A$2</f>
        <v>594100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IFERROR(VLOOKUP(B191,input_594100!L:R,7,FALSE),VLOOKUP(tables_594100!C191,input_594100!A:H,8,FALSE))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input_594100!A$2</f>
        <v>594100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IFERROR(VLOOKUP(B192,input_594100!L:R,7,FALSE),VLOOKUP(tables_594100!C192,input_594100!A:H,8,FALSE))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input_594100!A$2</f>
        <v>594100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IFERROR(VLOOKUP(B193,input_594100!L:R,7,FALSE),VLOOKUP(tables_594100!C193,input_594100!A:H,8,FALSE))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input_594100!A$2</f>
        <v>594100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IFERROR(VLOOKUP(B194,input_594100!L:R,7,FALSE),VLOOKUP(tables_594100!C194,input_594100!A:H,8,FALSE))</f>
        <v>1235250</v>
      </c>
      <c r="P194" s="46">
        <f t="shared" ref="P194:P257" ca="1" si="10">O194/SUM(O:O)</f>
        <v>8.4896907216535696E-3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input_594100!A$2</f>
        <v>594100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IFERROR(VLOOKUP(B195,input_594100!L:R,7,FALSE),VLOOKUP(tables_594100!C195,input_594100!A:H,8,FALSE))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input_594100!A$2</f>
        <v>594100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IFERROR(VLOOKUP(B196,input_594100!L:R,7,FALSE),VLOOKUP(tables_594100!C196,input_594100!A:H,8,FALSE))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input_594100!A$2</f>
        <v>594100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IFERROR(VLOOKUP(B197,input_594100!L:R,7,FALSE),VLOOKUP(tables_594100!C197,input_594100!A:H,8,FALSE))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input_594100!A$2</f>
        <v>594100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IFERROR(VLOOKUP(B198,input_594100!L:R,7,FALSE),VLOOKUP(tables_594100!C198,input_594100!A:H,8,FALSE))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input_594100!A$2</f>
        <v>594100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IFERROR(VLOOKUP(B199,input_594100!L:R,7,FALSE),VLOOKUP(tables_594100!C199,input_594100!A:H,8,FALSE))</f>
        <v>1235250</v>
      </c>
      <c r="P199" s="46">
        <f t="shared" ca="1" si="10"/>
        <v>8.4896907216535696E-3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input_594100!A$2</f>
        <v>594100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IFERROR(VLOOKUP(B200,input_594100!L:R,7,FALSE),VLOOKUP(tables_594100!C200,input_594100!A:H,8,FALSE))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input_594100!A$2</f>
        <v>594100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IFERROR(VLOOKUP(B201,input_594100!L:R,7,FALSE),VLOOKUP(tables_594100!C201,input_594100!A:H,8,FALSE))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input_594100!A$2</f>
        <v>594100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IFERROR(VLOOKUP(B202,input_594100!L:R,7,FALSE),VLOOKUP(tables_594100!C202,input_594100!A:H,8,FALSE))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input_594100!A$2</f>
        <v>594100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IFERROR(VLOOKUP(B203,input_594100!L:R,7,FALSE),VLOOKUP(tables_594100!C203,input_594100!A:H,8,FALSE))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input_594100!A$2</f>
        <v>594100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IFERROR(VLOOKUP(B204,input_594100!L:R,7,FALSE),VLOOKUP(tables_594100!C204,input_594100!A:H,8,FALSE))</f>
        <v>1235250</v>
      </c>
      <c r="P204" s="46">
        <f t="shared" ca="1" si="10"/>
        <v>8.4896907216535696E-3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input_594100!A$2</f>
        <v>594100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IFERROR(VLOOKUP(B205,input_594100!L:R,7,FALSE),VLOOKUP(tables_594100!C205,input_594100!A:H,8,FALSE))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input_594100!A$2</f>
        <v>594100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IFERROR(VLOOKUP(B206,input_594100!L:R,7,FALSE),VLOOKUP(tables_594100!C206,input_594100!A:H,8,FALSE))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input_594100!A$2</f>
        <v>594100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IFERROR(VLOOKUP(B207,input_594100!L:R,7,FALSE),VLOOKUP(tables_594100!C207,input_594100!A:H,8,FALSE))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input_594100!A$2</f>
        <v>594100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IFERROR(VLOOKUP(B208,input_594100!L:R,7,FALSE),VLOOKUP(tables_594100!C208,input_594100!A:H,8,FALSE))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input_594100!A$2</f>
        <v>594100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IFERROR(VLOOKUP(B209,input_594100!L:R,7,FALSE),VLOOKUP(tables_594100!C209,input_594100!A:H,8,FALSE))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input_594100!A$2</f>
        <v>594100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IFERROR(VLOOKUP(B210,input_594100!L:R,7,FALSE),VLOOKUP(tables_594100!C210,input_594100!A:H,8,FALSE))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input_594100!A$2</f>
        <v>594100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IFERROR(VLOOKUP(B211,input_594100!L:R,7,FALSE),VLOOKUP(tables_594100!C211,input_594100!A:H,8,FALSE))</f>
        <v>1235250</v>
      </c>
      <c r="P211" s="46">
        <f t="shared" ca="1" si="10"/>
        <v>8.4896907216535696E-3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input_594100!A$2</f>
        <v>594100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IFERROR(VLOOKUP(B212,input_594100!L:R,7,FALSE),VLOOKUP(tables_594100!C212,input_594100!A:H,8,FALSE))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input_594100!A$2</f>
        <v>594100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IFERROR(VLOOKUP(B213,input_594100!L:R,7,FALSE),VLOOKUP(tables_594100!C213,input_594100!A:H,8,FALSE))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input_594100!A$2</f>
        <v>594100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IFERROR(VLOOKUP(B214,input_594100!L:R,7,FALSE),VLOOKUP(tables_594100!C214,input_594100!A:H,8,FALSE))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input_594100!A$2</f>
        <v>594100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IFERROR(VLOOKUP(B215,input_594100!L:R,7,FALSE),VLOOKUP(tables_594100!C215,input_594100!A:H,8,FALSE))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input_594100!A$2</f>
        <v>594100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IFERROR(VLOOKUP(B216,input_594100!L:R,7,FALSE),VLOOKUP(tables_594100!C216,input_594100!A:H,8,FALSE))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input_594100!A$2</f>
        <v>594100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IFERROR(VLOOKUP(B217,input_594100!L:R,7,FALSE),VLOOKUP(tables_594100!C217,input_594100!A:H,8,FALSE))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input_594100!A$2</f>
        <v>594100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IFERROR(VLOOKUP(B218,input_594100!L:R,7,FALSE),VLOOKUP(tables_594100!C218,input_594100!A:H,8,FALSE))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input_594100!A$2</f>
        <v>594100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IFERROR(VLOOKUP(B219,input_594100!L:R,7,FALSE),VLOOKUP(tables_594100!C219,input_594100!A:H,8,FALSE))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input_594100!A$2</f>
        <v>594100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IFERROR(VLOOKUP(B220,input_594100!L:R,7,FALSE),VLOOKUP(tables_594100!C220,input_594100!A:H,8,FALSE))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input_594100!A$2</f>
        <v>594100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IFERROR(VLOOKUP(B221,input_594100!L:R,7,FALSE),VLOOKUP(tables_594100!C221,input_594100!A:H,8,FALSE))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input_594100!A$2</f>
        <v>594100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IFERROR(VLOOKUP(B222,input_594100!L:R,7,FALSE),VLOOKUP(tables_594100!C222,input_594100!A:H,8,FALSE))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input_594100!A$2</f>
        <v>594100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IFERROR(VLOOKUP(B223,input_594100!L:R,7,FALSE),VLOOKUP(tables_594100!C223,input_594100!A:H,8,FALSE))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input_594100!A$2</f>
        <v>594100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IFERROR(VLOOKUP(B224,input_594100!L:R,7,FALSE),VLOOKUP(tables_594100!C224,input_594100!A:H,8,FALSE))</f>
        <v>1235250</v>
      </c>
      <c r="P224" s="46">
        <f t="shared" ca="1" si="10"/>
        <v>8.4896907216535696E-3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input_594100!A$2</f>
        <v>594100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IFERROR(VLOOKUP(B225,input_594100!L:R,7,FALSE),VLOOKUP(tables_594100!C225,input_594100!A:H,8,FALSE))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input_594100!A$2</f>
        <v>594100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IFERROR(VLOOKUP(B226,input_594100!L:R,7,FALSE),VLOOKUP(tables_594100!C226,input_594100!A:H,8,FALSE))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input_594100!A$2</f>
        <v>594100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IFERROR(VLOOKUP(B227,input_594100!L:R,7,FALSE),VLOOKUP(tables_594100!C227,input_594100!A:H,8,FALSE))</f>
        <v>1235250</v>
      </c>
      <c r="P227" s="46">
        <f t="shared" ca="1" si="10"/>
        <v>8.4896907216535696E-3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input_594100!A$2</f>
        <v>594100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IFERROR(VLOOKUP(B228,input_594100!L:R,7,FALSE),VLOOKUP(tables_594100!C228,input_594100!A:H,8,FALSE))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input_594100!A$2</f>
        <v>594100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IFERROR(VLOOKUP(B229,input_594100!L:R,7,FALSE),VLOOKUP(tables_594100!C229,input_594100!A:H,8,FALSE))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input_594100!A$2</f>
        <v>594100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IFERROR(VLOOKUP(B230,input_594100!L:R,7,FALSE),VLOOKUP(tables_594100!C230,input_594100!A:H,8,FALSE))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input_594100!A$2</f>
        <v>594100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IFERROR(VLOOKUP(B231,input_594100!L:R,7,FALSE),VLOOKUP(tables_594100!C231,input_594100!A:H,8,FALSE))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input_594100!A$2</f>
        <v>594100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IFERROR(VLOOKUP(B232,input_594100!L:R,7,FALSE),VLOOKUP(tables_594100!C232,input_594100!A:H,8,FALSE))</f>
        <v>1235250</v>
      </c>
      <c r="P232" s="46">
        <f t="shared" ca="1" si="10"/>
        <v>8.4896907216535696E-3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input_594100!A$2</f>
        <v>594100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IFERROR(VLOOKUP(B233,input_594100!L:R,7,FALSE),VLOOKUP(tables_594100!C233,input_594100!A:H,8,FALSE))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input_594100!A$2</f>
        <v>594100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IFERROR(VLOOKUP(B234,input_594100!L:R,7,FALSE),VLOOKUP(tables_594100!C234,input_594100!A:H,8,FALSE))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input_594100!A$2</f>
        <v>594100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IFERROR(VLOOKUP(B235,input_594100!L:R,7,FALSE),VLOOKUP(tables_594100!C235,input_594100!A:H,8,FALSE))</f>
        <v>1235250</v>
      </c>
      <c r="P235" s="46">
        <f t="shared" ca="1" si="10"/>
        <v>8.4896907216535696E-3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input_594100!A$2</f>
        <v>594100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IFERROR(VLOOKUP(B236,input_594100!L:R,7,FALSE),VLOOKUP(tables_594100!C236,input_594100!A:H,8,FALSE))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input_594100!A$2</f>
        <v>594100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IFERROR(VLOOKUP(B237,input_594100!L:R,7,FALSE),VLOOKUP(tables_594100!C237,input_594100!A:H,8,FALSE))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input_594100!A$2</f>
        <v>594100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IFERROR(VLOOKUP(B238,input_594100!L:R,7,FALSE),VLOOKUP(tables_594100!C238,input_594100!A:H,8,FALSE))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input_594100!A$2</f>
        <v>594100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IFERROR(VLOOKUP(B239,input_594100!L:R,7,FALSE),VLOOKUP(tables_594100!C239,input_594100!A:H,8,FALSE))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input_594100!A$2</f>
        <v>594100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IFERROR(VLOOKUP(B240,input_594100!L:R,7,FALSE),VLOOKUP(tables_594100!C240,input_594100!A:H,8,FALSE))</f>
        <v>1235250</v>
      </c>
      <c r="P240" s="46">
        <f t="shared" ca="1" si="10"/>
        <v>8.4896907216535696E-3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input_594100!A$2</f>
        <v>594100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IFERROR(VLOOKUP(B241,input_594100!L:R,7,FALSE),VLOOKUP(tables_594100!C241,input_594100!A:H,8,FALSE))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input_594100!A$2</f>
        <v>594100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IFERROR(VLOOKUP(B242,input_594100!L:R,7,FALSE),VLOOKUP(tables_594100!C242,input_594100!A:H,8,FALSE))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input_594100!A$2</f>
        <v>594100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IFERROR(VLOOKUP(B243,input_594100!L:R,7,FALSE),VLOOKUP(tables_594100!C243,input_594100!A:H,8,FALSE))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input_594100!A$2</f>
        <v>594100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IFERROR(VLOOKUP(B244,input_594100!L:R,7,FALSE),VLOOKUP(tables_594100!C244,input_594100!A:H,8,FALSE))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input_594100!A$2</f>
        <v>594100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IFERROR(VLOOKUP(B245,input_594100!L:R,7,FALSE),VLOOKUP(tables_594100!C245,input_594100!A:H,8,FALSE))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input_594100!A$2</f>
        <v>594100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IFERROR(VLOOKUP(B246,input_594100!L:R,7,FALSE),VLOOKUP(tables_594100!C246,input_594100!A:H,8,FALSE))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input_594100!A$2</f>
        <v>594100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IFERROR(VLOOKUP(B247,input_594100!L:R,7,FALSE),VLOOKUP(tables_594100!C247,input_594100!A:H,8,FALSE))</f>
        <v>1235250</v>
      </c>
      <c r="P247" s="46">
        <f t="shared" ca="1" si="10"/>
        <v>8.4896907216535696E-3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input_594100!A$2</f>
        <v>594100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IFERROR(VLOOKUP(B248,input_594100!L:R,7,FALSE),VLOOKUP(tables_594100!C248,input_594100!A:H,8,FALSE))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input_594100!A$2</f>
        <v>594100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IFERROR(VLOOKUP(B249,input_594100!L:R,7,FALSE),VLOOKUP(tables_594100!C249,input_594100!A:H,8,FALSE))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input_594100!A$2</f>
        <v>594100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IFERROR(VLOOKUP(B250,input_594100!L:R,7,FALSE),VLOOKUP(tables_594100!C250,input_594100!A:H,8,FALSE))</f>
        <v>1235250</v>
      </c>
      <c r="P250" s="46">
        <f t="shared" ca="1" si="10"/>
        <v>8.4896907216535696E-3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input_594100!A$2</f>
        <v>594100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IFERROR(VLOOKUP(B251,input_594100!L:R,7,FALSE),VLOOKUP(tables_594100!C251,input_594100!A:H,8,FALSE))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input_594100!A$2</f>
        <v>594100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IFERROR(VLOOKUP(B252,input_594100!L:R,7,FALSE),VLOOKUP(tables_594100!C252,input_594100!A:H,8,FALSE))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input_594100!A$2</f>
        <v>594100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IFERROR(VLOOKUP(B253,input_594100!L:R,7,FALSE),VLOOKUP(tables_594100!C253,input_594100!A:H,8,FALSE))</f>
        <v>1235250</v>
      </c>
      <c r="P253" s="46">
        <f t="shared" ca="1" si="10"/>
        <v>8.4896907216535696E-3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input_594100!A$2</f>
        <v>594100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IFERROR(VLOOKUP(B254,input_594100!L:R,7,FALSE),VLOOKUP(tables_594100!C254,input_594100!A:H,8,FALSE))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input_594100!A$2</f>
        <v>594100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IFERROR(VLOOKUP(B255,input_594100!L:R,7,FALSE),VLOOKUP(tables_594100!C255,input_594100!A:H,8,FALSE))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input_594100!A$2</f>
        <v>594100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IFERROR(VLOOKUP(B256,input_594100!L:R,7,FALSE),VLOOKUP(tables_594100!C256,input_594100!A:H,8,FALSE))</f>
        <v>1235250</v>
      </c>
      <c r="P256" s="46">
        <f t="shared" ca="1" si="10"/>
        <v>8.4896907216535696E-3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input_594100!A$2</f>
        <v>594100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IFERROR(VLOOKUP(B257,input_594100!L:R,7,FALSE),VLOOKUP(tables_594100!C257,input_594100!A:H,8,FALSE))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input_594100!A$2</f>
        <v>594100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IFERROR(VLOOKUP(B258,input_594100!L:R,7,FALSE),VLOOKUP(tables_594100!C258,input_594100!A:H,8,FALSE))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input_594100!A$2</f>
        <v>594100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IFERROR(VLOOKUP(B259,input_594100!L:R,7,FALSE),VLOOKUP(tables_594100!C259,input_594100!A:H,8,FALSE))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input_594100!A$2</f>
        <v>594100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IFERROR(VLOOKUP(B260,input_594100!L:R,7,FALSE),VLOOKUP(tables_594100!C260,input_594100!A:H,8,FALSE))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input_594100!A$2</f>
        <v>594100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IFERROR(VLOOKUP(B261,input_594100!L:R,7,FALSE),VLOOKUP(tables_594100!C261,input_594100!A:H,8,FALSE))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input_594100!A$2</f>
        <v>594100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IFERROR(VLOOKUP(B262,input_594100!L:R,7,FALSE),VLOOKUP(tables_594100!C262,input_594100!A:H,8,FALSE))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input_594100!A$2</f>
        <v>594100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IFERROR(VLOOKUP(B263,input_594100!L:R,7,FALSE),VLOOKUP(tables_594100!C263,input_594100!A:H,8,FALSE))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input_594100!A$2</f>
        <v>594100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IFERROR(VLOOKUP(B264,input_594100!L:R,7,FALSE),VLOOKUP(tables_594100!C264,input_594100!A:H,8,FALSE))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input_594100!A$2</f>
        <v>594100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IFERROR(VLOOKUP(B265,input_594100!L:R,7,FALSE),VLOOKUP(tables_594100!C265,input_594100!A:H,8,FALSE))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input_594100!A$2</f>
        <v>594100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IFERROR(VLOOKUP(B266,input_594100!L:R,7,FALSE),VLOOKUP(tables_594100!C266,input_594100!A:H,8,FALSE))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input_594100!A$2</f>
        <v>594100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IFERROR(VLOOKUP(B267,input_594100!L:R,7,FALSE),VLOOKUP(tables_594100!C267,input_594100!A:H,8,FALSE))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input_594100!A$2</f>
        <v>594100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IFERROR(VLOOKUP(B268,input_594100!L:R,7,FALSE),VLOOKUP(tables_594100!C268,input_594100!A:H,8,FALSE))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input_594100!A$2</f>
        <v>594100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IFERROR(VLOOKUP(B269,input_594100!L:R,7,FALSE),VLOOKUP(tables_594100!C269,input_594100!A:H,8,FALSE))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input_594100!A$2</f>
        <v>594100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IFERROR(VLOOKUP(B270,input_594100!L:R,7,FALSE),VLOOKUP(tables_594100!C270,input_594100!A:H,8,FALSE))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input_594100!A$2</f>
        <v>594100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IFERROR(VLOOKUP(B271,input_594100!L:R,7,FALSE),VLOOKUP(tables_594100!C271,input_594100!A:H,8,FALSE))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input_594100!A$2</f>
        <v>594100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IFERROR(VLOOKUP(B272,input_594100!L:R,7,FALSE),VLOOKUP(tables_594100!C272,input_594100!A:H,8,FALSE))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input_594100!A$2</f>
        <v>594100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IFERROR(VLOOKUP(B273,input_594100!L:R,7,FALSE),VLOOKUP(tables_594100!C273,input_594100!A:H,8,FALSE))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input_594100!A$2</f>
        <v>594100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IFERROR(VLOOKUP(B274,input_594100!L:R,7,FALSE),VLOOKUP(tables_594100!C274,input_594100!A:H,8,FALSE))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input_594100!A$2</f>
        <v>594100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IFERROR(VLOOKUP(B275,input_594100!L:R,7,FALSE),VLOOKUP(tables_594100!C275,input_594100!A:H,8,FALSE))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input_594100!A$2</f>
        <v>594100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IFERROR(VLOOKUP(B276,input_594100!L:R,7,FALSE),VLOOKUP(tables_594100!C276,input_594100!A:H,8,FALSE))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input_594100!A$2</f>
        <v>594100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IFERROR(VLOOKUP(B277,input_594100!L:R,7,FALSE),VLOOKUP(tables_594100!C277,input_594100!A:H,8,FALSE))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input_594100!A$2</f>
        <v>594100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IFERROR(VLOOKUP(B278,input_594100!L:R,7,FALSE),VLOOKUP(tables_594100!C278,input_594100!A:H,8,FALSE))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input_594100!A$2</f>
        <v>594100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IFERROR(VLOOKUP(B279,input_594100!L:R,7,FALSE),VLOOKUP(tables_594100!C279,input_594100!A:H,8,FALSE))</f>
        <v>1235250</v>
      </c>
      <c r="P279" s="46">
        <f t="shared" ca="1" si="13"/>
        <v>8.4896907216535696E-3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input_594100!A$2</f>
        <v>594100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IFERROR(VLOOKUP(B280,input_594100!L:R,7,FALSE),VLOOKUP(tables_594100!C280,input_594100!A:H,8,FALSE))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input_594100!A$2</f>
        <v>594100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IFERROR(VLOOKUP(B281,input_594100!L:R,7,FALSE),VLOOKUP(tables_594100!C281,input_594100!A:H,8,FALSE))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input_594100!A$2</f>
        <v>594100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IFERROR(VLOOKUP(B282,input_594100!L:R,7,FALSE),VLOOKUP(tables_594100!C282,input_594100!A:H,8,FALSE))</f>
        <v>1235250</v>
      </c>
      <c r="P282" s="46">
        <f t="shared" ca="1" si="13"/>
        <v>8.4896907216535696E-3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input_594100!A$2</f>
        <v>594100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IFERROR(VLOOKUP(B283,input_594100!L:R,7,FALSE),VLOOKUP(tables_594100!C283,input_594100!A:H,8,FALSE))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input_594100!A$2</f>
        <v>594100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IFERROR(VLOOKUP(B284,input_594100!L:R,7,FALSE),VLOOKUP(tables_594100!C284,input_594100!A:H,8,FALSE))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input_594100!A$2</f>
        <v>594100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IFERROR(VLOOKUP(B285,input_594100!L:R,7,FALSE),VLOOKUP(tables_594100!C285,input_594100!A:H,8,FALSE))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input_594100!A$2</f>
        <v>594100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IFERROR(VLOOKUP(B286,input_594100!L:R,7,FALSE),VLOOKUP(tables_594100!C286,input_594100!A:H,8,FALSE))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input_594100!A$2</f>
        <v>594100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IFERROR(VLOOKUP(B287,input_594100!L:R,7,FALSE),VLOOKUP(tables_594100!C287,input_594100!A:H,8,FALSE))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input_594100!A$2</f>
        <v>594100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IFERROR(VLOOKUP(B288,input_594100!L:R,7,FALSE),VLOOKUP(tables_594100!C288,input_594100!A:H,8,FALSE))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input_594100!A$2</f>
        <v>594100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IFERROR(VLOOKUP(B289,input_594100!L:R,7,FALSE),VLOOKUP(tables_594100!C289,input_594100!A:H,8,FALSE))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input_594100!A$2</f>
        <v>594100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IFERROR(VLOOKUP(B290,input_594100!L:R,7,FALSE),VLOOKUP(tables_594100!C290,input_594100!A:H,8,FALSE))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input_594100!A$2</f>
        <v>594100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IFERROR(VLOOKUP(B291,input_594100!L:R,7,FALSE),VLOOKUP(tables_594100!C291,input_594100!A:H,8,FALSE))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input_594100!A$2</f>
        <v>594100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IFERROR(VLOOKUP(B292,input_594100!L:R,7,FALSE),VLOOKUP(tables_594100!C292,input_594100!A:H,8,FALSE))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input_594100!A$2</f>
        <v>594100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IFERROR(VLOOKUP(B293,input_594100!L:R,7,FALSE),VLOOKUP(tables_594100!C293,input_594100!A:H,8,FALSE))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input_594100!A$2</f>
        <v>594100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IFERROR(VLOOKUP(B294,input_594100!L:R,7,FALSE),VLOOKUP(tables_594100!C294,input_594100!A:H,8,FALSE))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input_594100!A$2</f>
        <v>594100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IFERROR(VLOOKUP(B295,input_594100!L:R,7,FALSE),VLOOKUP(tables_594100!C295,input_594100!A:H,8,FALSE))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input_594100!A$2</f>
        <v>594100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IFERROR(VLOOKUP(B296,input_594100!L:R,7,FALSE),VLOOKUP(tables_594100!C296,input_594100!A:H,8,FALSE))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input_594100!A$2</f>
        <v>594100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IFERROR(VLOOKUP(B297,input_594100!L:R,7,FALSE),VLOOKUP(tables_594100!C297,input_594100!A:H,8,FALSE))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input_594100!A$2</f>
        <v>594100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IFERROR(VLOOKUP(B298,input_594100!L:R,7,FALSE),VLOOKUP(tables_594100!C298,input_594100!A:H,8,FALSE))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input_594100!A$2</f>
        <v>594100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IFERROR(VLOOKUP(B299,input_594100!L:R,7,FALSE),VLOOKUP(tables_594100!C299,input_594100!A:H,8,FALSE))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input_594100!A$2</f>
        <v>594100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IFERROR(VLOOKUP(B300,input_594100!L:R,7,FALSE),VLOOKUP(tables_594100!C300,input_594100!A:H,8,FALSE))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input_594100!A$2</f>
        <v>594100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IFERROR(VLOOKUP(B301,input_594100!L:R,7,FALSE),VLOOKUP(tables_594100!C301,input_594100!A:H,8,FALSE))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input_594100!A$2</f>
        <v>594100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IFERROR(VLOOKUP(B302,input_594100!L:R,7,FALSE),VLOOKUP(tables_594100!C302,input_594100!A:H,8,FALSE))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input_594100!A$2</f>
        <v>594100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IFERROR(VLOOKUP(B303,input_594100!L:R,7,FALSE),VLOOKUP(tables_594100!C303,input_594100!A:H,8,FALSE))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input_594100!A$2</f>
        <v>594100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IFERROR(VLOOKUP(B304,input_594100!L:R,7,FALSE),VLOOKUP(tables_594100!C304,input_594100!A:H,8,FALSE))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input_594100!A$2</f>
        <v>594100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IFERROR(VLOOKUP(B305,input_594100!L:R,7,FALSE),VLOOKUP(tables_594100!C305,input_594100!A:H,8,FALSE))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input_594100!A$2</f>
        <v>594100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IFERROR(VLOOKUP(B306,input_594100!L:R,7,FALSE),VLOOKUP(tables_594100!C306,input_594100!A:H,8,FALSE))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input_594100!A$2</f>
        <v>594100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IFERROR(VLOOKUP(B307,input_594100!L:R,7,FALSE),VLOOKUP(tables_594100!C307,input_594100!A:H,8,FALSE))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input_594100!A$2</f>
        <v>594100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IFERROR(VLOOKUP(B308,input_594100!L:R,7,FALSE),VLOOKUP(tables_594100!C308,input_594100!A:H,8,FALSE))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input_594100!A$2</f>
        <v>594100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IFERROR(VLOOKUP(B309,input_594100!L:R,7,FALSE),VLOOKUP(tables_594100!C309,input_594100!A:H,8,FALSE))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input_594100!A$2</f>
        <v>594100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IFERROR(VLOOKUP(B310,input_594100!L:R,7,FALSE),VLOOKUP(tables_594100!C310,input_594100!A:H,8,FALSE))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input_594100!A$2</f>
        <v>594100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IFERROR(VLOOKUP(B311,input_594100!L:R,7,FALSE),VLOOKUP(tables_594100!C311,input_594100!A:H,8,FALSE))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input_594100!A$2</f>
        <v>594100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IFERROR(VLOOKUP(B312,input_594100!L:R,7,FALSE),VLOOKUP(tables_594100!C312,input_594100!A:H,8,FALSE))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input_594100!A$2</f>
        <v>594100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IFERROR(VLOOKUP(B313,input_594100!L:R,7,FALSE),VLOOKUP(tables_594100!C313,input_594100!A:H,8,FALSE))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input_594100!A$2</f>
        <v>594100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IFERROR(VLOOKUP(B314,input_594100!L:R,7,FALSE),VLOOKUP(tables_594100!C314,input_594100!A:H,8,FALSE))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input_594100!A$2</f>
        <v>594100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IFERROR(VLOOKUP(B315,input_594100!L:R,7,FALSE),VLOOKUP(tables_594100!C315,input_594100!A:H,8,FALSE))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input_594100!A$2</f>
        <v>594100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IFERROR(VLOOKUP(B316,input_594100!L:R,7,FALSE),VLOOKUP(tables_594100!C316,input_594100!A:H,8,FALSE))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input_594100!A$2</f>
        <v>594100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IFERROR(VLOOKUP(B317,input_594100!L:R,7,FALSE),VLOOKUP(tables_594100!C317,input_594100!A:H,8,FALSE))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input_594100!A$2</f>
        <v>594100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IFERROR(VLOOKUP(B318,input_594100!L:R,7,FALSE),VLOOKUP(tables_594100!C318,input_594100!A:H,8,FALSE))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input_594100!A$2</f>
        <v>594100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IFERROR(VLOOKUP(B319,input_594100!L:R,7,FALSE),VLOOKUP(tables_594100!C319,input_594100!A:H,8,FALSE))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input_594100!A$2</f>
        <v>594100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IFERROR(VLOOKUP(B320,input_594100!L:R,7,FALSE),VLOOKUP(tables_594100!C320,input_594100!A:H,8,FALSE))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input_594100!A$2</f>
        <v>594100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IFERROR(VLOOKUP(B321,input_594100!L:R,7,FALSE),VLOOKUP(tables_594100!C321,input_594100!A:H,8,FALSE))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input_594100!A$2</f>
        <v>594100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IFERROR(VLOOKUP(B322,input_594100!L:R,7,FALSE),VLOOKUP(tables_594100!C322,input_594100!A:H,8,FALSE))</f>
        <v>145500</v>
      </c>
      <c r="P322" s="46">
        <f t="shared" ref="P322:P340" ca="1" si="26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input_594100!A$2</f>
        <v>594100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IFERROR(VLOOKUP(B323,input_594100!L:R,7,FALSE),VLOOKUP(tables_594100!C323,input_594100!A:H,8,FALSE))</f>
        <v>145500</v>
      </c>
      <c r="P323" s="46">
        <f t="shared" ca="1" si="26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input_594100!A$2</f>
        <v>594100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IFERROR(VLOOKUP(B324,input_594100!L:R,7,FALSE),VLOOKUP(tables_594100!C324,input_594100!A:H,8,FALSE))</f>
        <v>1196035.71429</v>
      </c>
      <c r="P324" s="46">
        <f t="shared" ca="1" si="26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input_594100!A$2</f>
        <v>594100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IFERROR(VLOOKUP(B325,input_594100!L:R,7,FALSE),VLOOKUP(tables_594100!C325,input_594100!A:H,8,FALSE))</f>
        <v>137250</v>
      </c>
      <c r="P325" s="46">
        <f t="shared" ca="1" si="26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input_594100!A$2</f>
        <v>594100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IFERROR(VLOOKUP(B326,input_594100!L:R,7,FALSE),VLOOKUP(tables_594100!C326,input_594100!A:H,8,FALSE))</f>
        <v>1196035.71429</v>
      </c>
      <c r="P326" s="46">
        <f t="shared" ca="1" si="26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input_594100!A$2</f>
        <v>594100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IFERROR(VLOOKUP(B327,input_594100!L:R,7,FALSE),VLOOKUP(tables_594100!C327,input_594100!A:H,8,FALSE))</f>
        <v>137250</v>
      </c>
      <c r="P327" s="46">
        <f t="shared" ca="1" si="26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input_594100!A$2</f>
        <v>594100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IFERROR(VLOOKUP(B328,input_594100!L:R,7,FALSE),VLOOKUP(tables_594100!C328,input_594100!A:H,8,FALSE))</f>
        <v>145500</v>
      </c>
      <c r="P328" s="46">
        <f t="shared" ca="1" si="26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input_594100!A$2</f>
        <v>594100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IFERROR(VLOOKUP(B329,input_594100!L:R,7,FALSE),VLOOKUP(tables_594100!C329,input_594100!A:H,8,FALSE))</f>
        <v>145500</v>
      </c>
      <c r="P329" s="46">
        <f t="shared" ca="1" si="26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input_594100!A$2</f>
        <v>594100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IFERROR(VLOOKUP(B330,input_594100!L:R,7,FALSE),VLOOKUP(tables_594100!C330,input_594100!A:H,8,FALSE))</f>
        <v>145500</v>
      </c>
      <c r="P330" s="46">
        <f t="shared" ca="1" si="26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input_594100!A$2</f>
        <v>594100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IFERROR(VLOOKUP(B331,input_594100!L:R,7,FALSE),VLOOKUP(tables_594100!C331,input_594100!A:H,8,FALSE))</f>
        <v>145500</v>
      </c>
      <c r="P331" s="46">
        <f t="shared" ca="1" si="26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input_594100!A$2</f>
        <v>594100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IFERROR(VLOOKUP(B332,input_594100!L:R,7,FALSE),VLOOKUP(tables_594100!C332,input_594100!A:H,8,FALSE))</f>
        <v>145500</v>
      </c>
      <c r="P332" s="46">
        <f t="shared" ca="1" si="26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input_594100!A$2</f>
        <v>594100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IFERROR(VLOOKUP(B333,input_594100!L:R,7,FALSE),VLOOKUP(tables_594100!C333,input_594100!A:H,8,FALSE))</f>
        <v>145500</v>
      </c>
      <c r="P333" s="46">
        <f t="shared" ca="1" si="26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input_594100!A$2</f>
        <v>594100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IFERROR(VLOOKUP(B334,input_594100!L:R,7,FALSE),VLOOKUP(tables_594100!C334,input_594100!A:H,8,FALSE))</f>
        <v>1196035.71429</v>
      </c>
      <c r="P334" s="46">
        <f t="shared" ca="1" si="26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input_594100!A$2</f>
        <v>594100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IFERROR(VLOOKUP(B335,input_594100!L:R,7,FALSE),VLOOKUP(tables_594100!C335,input_594100!A:H,8,FALSE))</f>
        <v>137250</v>
      </c>
      <c r="P335" s="46">
        <f t="shared" ca="1" si="26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input_594100!A$2</f>
        <v>594100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IFERROR(VLOOKUP(B336,input_594100!L:R,7,FALSE),VLOOKUP(tables_594100!C336,input_594100!A:H,8,FALSE))</f>
        <v>1196035.71429</v>
      </c>
      <c r="P336" s="46">
        <f t="shared" ca="1" si="26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input_594100!A$2</f>
        <v>594100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IFERROR(VLOOKUP(B337,input_594100!L:R,7,FALSE),VLOOKUP(tables_594100!C337,input_594100!A:H,8,FALSE))</f>
        <v>137250</v>
      </c>
      <c r="P337" s="46">
        <f t="shared" ca="1" si="26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input_594100!A$2</f>
        <v>594100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IFERROR(VLOOKUP(B338,input_594100!L:R,7,FALSE),VLOOKUP(tables_594100!C338,input_594100!A:H,8,FALSE))</f>
        <v>145500</v>
      </c>
      <c r="P338" s="46">
        <f t="shared" ca="1" si="26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input_594100!A$2</f>
        <v>594100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IFERROR(VLOOKUP(B339,input_594100!L:R,7,FALSE),VLOOKUP(tables_594100!C339,input_594100!A:H,8,FALSE))</f>
        <v>145500</v>
      </c>
      <c r="P339" s="46">
        <f t="shared" ca="1" si="26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input_594100!A$2</f>
        <v>594100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IFERROR(VLOOKUP(B340,input_594100!L:R,7,FALSE),VLOOKUP(tables_594100!C340,input_594100!A:H,8,FALSE))</f>
        <v>145500</v>
      </c>
      <c r="P340" s="46">
        <f t="shared" ca="1" si="26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input_594100!A$2</f>
        <v>594100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IFERROR(VLOOKUP(B341,input_594100!L:R,7,FALSE),VLOOKUP(tables_594100!C341,input_594100!A:H,8,FALSE))</f>
        <v>145500</v>
      </c>
      <c r="P341" s="46">
        <f t="shared" ref="P341:P346" ca="1" si="35">O341/SUM(O:O)</f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input_594100!A$2</f>
        <v>594100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IFERROR(VLOOKUP(B342,input_594100!L:R,7,FALSE),VLOOKUP(tables_594100!C342,input_594100!A:H,8,FALSE))</f>
        <v>145500</v>
      </c>
      <c r="P342" s="46">
        <f t="shared" ca="1" si="35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input_594100!A$2</f>
        <v>594100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IFERROR(VLOOKUP(B343,input_594100!L:R,7,FALSE),VLOOKUP(tables_594100!C343,input_594100!A:H,8,FALSE))</f>
        <v>1196035.71429</v>
      </c>
      <c r="P343" s="46">
        <f t="shared" ca="1" si="35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input_594100!A$2</f>
        <v>594100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IFERROR(VLOOKUP(B344,input_594100!L:R,7,FALSE),VLOOKUP(tables_594100!C344,input_594100!A:H,8,FALSE))</f>
        <v>137250</v>
      </c>
      <c r="P344" s="46">
        <f t="shared" ca="1" si="35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input_594100!A$2</f>
        <v>594100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IFERROR(VLOOKUP(B345,input_594100!L:R,7,FALSE),VLOOKUP(tables_594100!C345,input_594100!A:H,8,FALSE))</f>
        <v>145500</v>
      </c>
      <c r="P345" s="46">
        <f t="shared" ca="1" si="35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input_594100!A$2</f>
        <v>594100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IFERROR(VLOOKUP(B346,input_594100!L:R,7,FALSE),VLOOKUP(tables_594100!C346,input_594100!A:H,8,FALSE))</f>
        <v>145500</v>
      </c>
      <c r="P346" s="46">
        <f t="shared" ca="1" si="35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input_594100!A$2</f>
        <v>594100</v>
      </c>
      <c r="B347" s="100">
        <v>1262</v>
      </c>
      <c r="C347" s="7" t="str">
        <f t="shared" ref="C347" si="36">D347&amp;J347&amp;E347&amp;F347&amp;G347</f>
        <v>PremiumSS5R5only</v>
      </c>
      <c r="D347" s="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IFERROR(VLOOKUP(B347,input_594100!L:R,7,FALSE),VLOOKUP(tables_594100!C347,input_594100!A:H,8,FALSE))</f>
        <v>145500</v>
      </c>
      <c r="P347" s="46">
        <f ca="1">O347/SUM(O:O)</f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input_594100!A$2</f>
        <v>594100</v>
      </c>
      <c r="B348" s="100">
        <v>1264</v>
      </c>
      <c r="C348" s="7" t="str">
        <f t="shared" ref="C348:C357" si="38">D348&amp;J348&amp;E348&amp;F348&amp;G348</f>
        <v>PremiumSS5R5only</v>
      </c>
      <c r="D348" s="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IFERROR(VLOOKUP(B348,input_594100!L:R,7,FALSE),VLOOKUP(tables_594100!C348,input_594100!A:H,8,FALSE))</f>
        <v>145500</v>
      </c>
      <c r="P348" s="46">
        <f t="shared" ref="P348:P357" ca="1" si="40">O348/SUM(O:O)</f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input_594100!A$2</f>
        <v>594100</v>
      </c>
      <c r="B349" s="100">
        <v>1266</v>
      </c>
      <c r="C349" s="7" t="str">
        <f t="shared" si="38"/>
        <v>Premium4R3less</v>
      </c>
      <c r="D349" s="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IFERROR(VLOOKUP(B349,input_594100!L:R,7,FALSE),VLOOKUP(tables_594100!C349,input_594100!A:H,8,FALSE))</f>
        <v>1196035.71429</v>
      </c>
      <c r="P349" s="46">
        <f t="shared" ca="1" si="40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input_594100!A$2</f>
        <v>594100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IFERROR(VLOOKUP(B350,input_594100!L:R,7,FALSE),VLOOKUP(tables_594100!C350,input_594100!A:H,8,FALSE))</f>
        <v>137250</v>
      </c>
      <c r="P350" s="46">
        <f t="shared" ca="1" si="40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input_594100!A$2</f>
        <v>594100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IFERROR(VLOOKUP(B351,input_594100!L:R,7,FALSE),VLOOKUP(tables_594100!C351,input_594100!A:H,8,FALSE))</f>
        <v>145500</v>
      </c>
      <c r="P351" s="46">
        <f t="shared" ca="1" si="40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input_594100!A$2</f>
        <v>594100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IFERROR(VLOOKUP(B352,input_594100!L:R,7,FALSE),VLOOKUP(tables_594100!C352,input_594100!A:H,8,FALSE))</f>
        <v>145500</v>
      </c>
      <c r="P352" s="46">
        <f t="shared" ca="1" si="40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input_594100!A$2</f>
        <v>594100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IFERROR(VLOOKUP(B353,input_594100!L:R,7,FALSE),VLOOKUP(tables_594100!C353,input_594100!A:H,8,FALSE))</f>
        <v>145500</v>
      </c>
      <c r="P353" s="46">
        <f t="shared" ca="1" si="40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input_594100!A$2</f>
        <v>594100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IFERROR(VLOOKUP(B354,input_594100!L:R,7,FALSE),VLOOKUP(tables_594100!C354,input_594100!A:H,8,FALSE))</f>
        <v>1196035.71429</v>
      </c>
      <c r="P354" s="46">
        <f t="shared" ca="1" si="40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input_594100!A$2</f>
        <v>594100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IFERROR(VLOOKUP(B355,input_594100!L:R,7,FALSE),VLOOKUP(tables_594100!C355,input_594100!A:H,8,FALSE))</f>
        <v>137250</v>
      </c>
      <c r="P355" s="46">
        <f t="shared" ca="1" si="40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input_594100!A$2</f>
        <v>594100</v>
      </c>
      <c r="B356" s="101">
        <v>1381</v>
      </c>
      <c r="C356" s="7" t="str">
        <f t="shared" si="38"/>
        <v>Premium4R3less</v>
      </c>
      <c r="D356" s="7" t="str">
        <f t="shared" si="3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IFERROR(VLOOKUP(B356,input_594100!L:R,7,FALSE),VLOOKUP(tables_594100!C356,input_594100!A:H,8,FALSE))</f>
        <v>1196035.71429</v>
      </c>
      <c r="P356" s="46">
        <f t="shared" ca="1" si="40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input_594100!A$2</f>
        <v>594100</v>
      </c>
      <c r="B357" s="101">
        <v>1382</v>
      </c>
      <c r="C357" s="7" t="str">
        <f t="shared" si="38"/>
        <v>Premium5R3less</v>
      </c>
      <c r="D357" s="7" t="str">
        <f t="shared" si="3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IFERROR(VLOOKUP(B357,input_594100!L:R,7,FALSE),VLOOKUP(tables_594100!C357,input_594100!A:H,8,FALSE))</f>
        <v>137250</v>
      </c>
      <c r="P357" s="46">
        <f t="shared" ca="1" si="40"/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input_594100!A$2</f>
        <v>594100</v>
      </c>
      <c r="B358" s="101">
        <v>1383</v>
      </c>
      <c r="C358" s="7" t="str">
        <f t="shared" ref="C358" si="41">D358&amp;J358&amp;E358&amp;F358&amp;G358</f>
        <v>PremiumSS5R5only</v>
      </c>
      <c r="D358" s="7" t="str">
        <f t="shared" ref="D358" si="4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IFERROR(VLOOKUP(B358,input_594100!L:R,7,FALSE),VLOOKUP(tables_594100!C358,input_594100!A:H,8,FALSE))</f>
        <v>145500</v>
      </c>
      <c r="P358" s="46">
        <f t="shared" ref="P358" ca="1" si="43">O358/SUM(O:O)</f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input_594100!A$2</f>
        <v>594100</v>
      </c>
      <c r="B359" s="101">
        <v>1385</v>
      </c>
      <c r="C359" s="7" t="str">
        <f t="shared" ref="C359:C362" si="44">D359&amp;J359&amp;E359&amp;F359&amp;G359</f>
        <v>PremiumSS5R5only</v>
      </c>
      <c r="D359" s="7" t="str">
        <f t="shared" ref="D359:D362" si="4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IFERROR(VLOOKUP(B359,input_594100!L:R,7,FALSE),VLOOKUP(tables_594100!C359,input_594100!A:H,8,FALSE))</f>
        <v>145500</v>
      </c>
      <c r="P359" s="46">
        <f t="shared" ref="P359:P362" ca="1" si="46">O359/SUM(O:O)</f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input_594100!A$2</f>
        <v>594100</v>
      </c>
      <c r="B360" s="101">
        <v>1387</v>
      </c>
      <c r="C360" s="7" t="str">
        <f t="shared" si="44"/>
        <v>PremiumSS5R5only</v>
      </c>
      <c r="D360" s="7" t="str">
        <f t="shared" si="4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IFERROR(VLOOKUP(B360,input_594100!L:R,7,FALSE),VLOOKUP(tables_594100!C360,input_594100!A:H,8,FALSE))</f>
        <v>145500</v>
      </c>
      <c r="P360" s="46">
        <f t="shared" ca="1" si="46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input_594100!A$2</f>
        <v>594100</v>
      </c>
      <c r="B361" s="5">
        <v>488</v>
      </c>
      <c r="C361" s="7" t="str">
        <f t="shared" si="44"/>
        <v>PremiumSSS5R3less</v>
      </c>
      <c r="D361" s="7" t="str">
        <f t="shared" si="4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直観の異論 ヘンペル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男性</v>
      </c>
      <c r="O361" s="45">
        <f ca="1">IFERROR(VLOOKUP(B361,input_594100!L:R,7,FALSE),VLOOKUP(tables_594100!C361,input_594100!A:H,8,FALSE))</f>
        <v>727500</v>
      </c>
      <c r="P361" s="46">
        <f t="shared" ca="1" si="46"/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input_594100!A$2</f>
        <v>594100</v>
      </c>
      <c r="B362" s="5">
        <v>762</v>
      </c>
      <c r="C362" s="7" t="str">
        <f t="shared" si="44"/>
        <v>PremiumSSS5R3less</v>
      </c>
      <c r="D362" s="7" t="str">
        <f t="shared" si="4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フィボナッチ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human</v>
      </c>
      <c r="N362" s="7" t="str">
        <f>VLOOKUP(B362,[1]characters!$A:$G,7,FALSE)</f>
        <v>男性</v>
      </c>
      <c r="O362" s="45">
        <f ca="1">IFERROR(VLOOKUP(B362,input_594100!L:R,7,FALSE),VLOOKUP(tables_594100!C362,input_594100!A:H,8,FALSE))</f>
        <v>727500</v>
      </c>
      <c r="P362" s="46">
        <f t="shared" ca="1" si="46"/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G48" sqref="G48: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VLOOKUP(L3,tables_settle_594100!B:C,2,FALSE)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VLOOKUP(L4,tables_settle_594100!B:C,2,FALSE)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(COUNTIF(tables_settle_594100!C:C,input_settle_594100!A28)+COUNTIF(tables_settle_594100!C:C,input_settle_594100!A29))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VLOOKUP(L5,tables_settle_594100!B:C,2,FALSE)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9.4329896907216493E-3</v>
      </c>
      <c r="F6">
        <f>(COUNTIF(tables_settle_594100!C:C,input_settle_594100!A25)+COUNTIF(tables_settle_594100!C:C,input_settle_594100!A18)+COUNTIF(tables_settle_594100!C:C,input_settle_594100!A20)+COUNTIF(tables_settle_594100!C:C,input_settle_594100!A22))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VLOOKUP(L6,tables_settle_594100!B:C,2,FALSE)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VLOOKUP(L7,tables_settle_594100!B:C,2,FALSE)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VLOOKUP(L8,tables_settle_594100!B:C,2,FALSE)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VLOOKUP(L9,tables_settle_594100!B:C,2,FALSE)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VLOOKUP(L10,tables_settle_594100!B:C,2,FALSE)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VLOOKUP(L11,tables_settle_594100!B:C,2,FALSE)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VLOOKUP(L12,tables_settle_594100!B:C,2,FALSE)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VLOOKUP(L13,tables_settle_594100!B:C,2,FALSE)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VLOOKUP(L14,tables_settle_594100!B:C,2,FALSE)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VLOOKUP(L15,tables_settle_594100!B:C,2,FALSE)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VLOOKUP(L16,tables_settle_594100!B:C,2,FALSE)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COUNTIF(tables_settle_594100!C:C,input_settle_594100!A17)-COUNTIF(Q:Q,A17)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VLOOKUP(L17,tables_settle_594100!B:C,2,FALSE)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COUNTIF(tables_settle_594100!C:C,input_settle_594100!A18)-COUNTIF(Q:Q,A18)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VLOOKUP(L18,tables_settle_594100!B:C,2,FALSE)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COUNTIF(tables_settle_594100!C:C,input_settle_594100!A19)-COUNTIF(Q:Q,A19)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VLOOKUP(L19,tables_settle_594100!B:C,2,FALSE)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COUNTIF(tables_settle_594100!C:C,input_settle_594100!A20)-COUNTIF(Q:Q,A20)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VLOOKUP(L20,tables_settle_594100!B:C,2,FALSE)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0.62257731958762885</v>
      </c>
      <c r="C21" s="84">
        <f t="shared" si="2"/>
        <v>0</v>
      </c>
      <c r="D21" s="74">
        <f t="shared" si="3"/>
        <v>0.62257731958762885</v>
      </c>
      <c r="E21">
        <f>COUNTIF(tables_settle_594100!C:C,input_settle_594100!A21)-COUNTIF(Q:Q,A21)</f>
        <v>52</v>
      </c>
      <c r="F21" s="43">
        <f t="shared" si="8"/>
        <v>1.1972640761300555E-2</v>
      </c>
      <c r="G21">
        <f t="shared" si="4"/>
        <v>90585000</v>
      </c>
      <c r="H21">
        <f t="shared" si="5"/>
        <v>1742019.23077</v>
      </c>
      <c r="I21">
        <f t="shared" si="6"/>
        <v>0.23077000002376735</v>
      </c>
      <c r="J21">
        <f t="shared" si="7"/>
        <v>4.3333188884907416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COUNTIF(tables_settle_594100!C:C,input_settle_594100!A22)-COUNTIF(Q:Q,A22)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0.25469072164948453</v>
      </c>
      <c r="C23" s="84">
        <f t="shared" si="2"/>
        <v>0</v>
      </c>
      <c r="D23" s="74">
        <f t="shared" si="3"/>
        <v>0.25469072164948453</v>
      </c>
      <c r="E23">
        <f>COUNTIF(tables_settle_594100!C:C,input_settle_594100!A23)-COUNTIF(Q:Q,A23)</f>
        <v>27</v>
      </c>
      <c r="F23" s="43">
        <f t="shared" si="8"/>
        <v>9.4329896907216493E-3</v>
      </c>
      <c r="G23">
        <f t="shared" si="4"/>
        <v>37057500</v>
      </c>
      <c r="H23">
        <f t="shared" si="5"/>
        <v>1372500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COUNTIF(tables_settle_594100!C:C,input_settle_594100!A24)-COUNTIF(Q:Q,A24)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COUNTIF(tables_settle_594100!C:C,input_settle_594100!A25)-COUNTIF(Q:Q,A25)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3.7731958762886597E-2</v>
      </c>
      <c r="C26" s="84">
        <f t="shared" si="2"/>
        <v>0</v>
      </c>
      <c r="D26" s="74">
        <f t="shared" si="3"/>
        <v>3.7731958762886597E-2</v>
      </c>
      <c r="E26">
        <f>COUNTIF(tables_settle_594100!C:C,input_settle_594100!A26)-COUNTIF(Q:Q,A26)</f>
        <v>4</v>
      </c>
      <c r="F26" s="43">
        <f t="shared" si="8"/>
        <v>9.4329896907216493E-3</v>
      </c>
      <c r="G26">
        <f t="shared" si="4"/>
        <v>5490000</v>
      </c>
      <c r="H26">
        <f t="shared" si="5"/>
        <v>1372500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COUNTIF(tables_settle_594100!C:C,input_settle_594100!A27)-COUNTIF(Q:Q,A27)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2.8000000000000001E-2</v>
      </c>
      <c r="C28" s="84">
        <f t="shared" si="2"/>
        <v>0</v>
      </c>
      <c r="D28" s="74">
        <f t="shared" si="3"/>
        <v>2.8000000000000001E-2</v>
      </c>
      <c r="E28">
        <f>COUNTIF(tables_settle_594100!C:C,input_settle_594100!A28)-COUNTIF(Q:Q,A28)</f>
        <v>28</v>
      </c>
      <c r="F28" s="43">
        <f t="shared" si="8"/>
        <v>1E-3</v>
      </c>
      <c r="G28">
        <f t="shared" si="4"/>
        <v>4074000</v>
      </c>
      <c r="H28">
        <f t="shared" si="5"/>
        <v>145500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COUNTIF(tables_settle_594100!C:C,input_settle_594100!A29)-COUNTIF(Q:Q,A29)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COUNTIF(tables_settle_594100!C:C,input_settle_594100!A30)-COUNTIF(Q:Q,A30)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COUNTIF(tables_settle_594100!C:C,input_settle_594100!A31)-COUNTIF(Q:Q,A31)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SUMIF(tables_settle_594100!C:C,input_settle_594100!A40,tables_settle_594100!O:O)</f>
        <v>0</v>
      </c>
      <c r="C40" s="54">
        <f t="shared" ref="C40:C46" ca="1" si="9">B40/B$47</f>
        <v>0</v>
      </c>
      <c r="E40">
        <v>3</v>
      </c>
      <c r="F40">
        <f ca="1">SUMIF(tables_settle_594100!J:J,input_settle_594100!E40,tables_settle_594100!O:O)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SUMIF(tables_settle_594100!C:C,input_settle_594100!A41,tables_settle_594100!O:O)</f>
        <v>0</v>
      </c>
      <c r="C41" s="54">
        <f t="shared" ca="1" si="9"/>
        <v>0</v>
      </c>
      <c r="E41">
        <v>4</v>
      </c>
      <c r="F41">
        <f ca="1">SUMIF(tables_settle_594100!J:J,input_settle_594100!E41,tables_settle_594100!O:O)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SUMIF(tables_settle_594100!C:C,input_settle_594100!A42,tables_settle_594100!O:O)</f>
        <v>0</v>
      </c>
      <c r="C42" s="54">
        <f t="shared" ca="1" si="9"/>
        <v>0</v>
      </c>
      <c r="E42">
        <v>5</v>
      </c>
      <c r="F42">
        <f ca="1">SUMIF(tables_settle_594100!J:J,input_settle_594100!E42,tables_settle_594100!O:O)</f>
        <v>145500000.00004011</v>
      </c>
      <c r="G42">
        <f ca="1">F42/A36</f>
        <v>1.0000000000002758</v>
      </c>
    </row>
    <row r="43" spans="1:7" x14ac:dyDescent="0.15">
      <c r="A43" s="33" t="s">
        <v>109</v>
      </c>
      <c r="B43">
        <f>SUMIF(tables_settle_594100!C:C,input_settle_594100!A43,tables_settle_594100!O:O)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SUMIF(tables_settle_594100!C:C,input_settle_594100!A44,tables_settle_594100!O:O)</f>
        <v>90585000.000040069</v>
      </c>
      <c r="C44" s="54">
        <f t="shared" ca="1" si="9"/>
        <v>0.95696130320415096</v>
      </c>
      <c r="E44" t="s">
        <v>54</v>
      </c>
      <c r="F44" s="55"/>
    </row>
    <row r="45" spans="1:7" x14ac:dyDescent="0.15">
      <c r="A45" s="33" t="s">
        <v>107</v>
      </c>
      <c r="B45">
        <f ca="1">SUMIF(tables_settle_594100!C:C,input_settle_594100!A45,tables_settle_594100!O:O)</f>
        <v>4074000</v>
      </c>
      <c r="C45" s="54">
        <f t="shared" ca="1" si="9"/>
        <v>4.3038696795849055E-2</v>
      </c>
      <c r="E45" t="s">
        <v>204</v>
      </c>
      <c r="F45" s="55">
        <f ca="1">SUMIF(tables_settle_594100!I:I,input_settle_594100!E45,tables_settle_594100!P:P)</f>
        <v>5.659793814431429E-2</v>
      </c>
    </row>
    <row r="46" spans="1:7" x14ac:dyDescent="0.15">
      <c r="A46" s="33" t="s">
        <v>108</v>
      </c>
      <c r="B46">
        <f>SUMIF(tables_settle_594100!C:C,input_settle_594100!A46,tables_settle_594100!O:O)</f>
        <v>0</v>
      </c>
      <c r="C46" s="54">
        <f t="shared" ca="1" si="9"/>
        <v>0</v>
      </c>
      <c r="E46" t="s">
        <v>205</v>
      </c>
      <c r="F46" s="55">
        <f ca="1">SUMIF(tables_settle_594100!I:I,input_settle_594100!E46,tables_settle_594100!P:P)</f>
        <v>0.23183386201430045</v>
      </c>
    </row>
    <row r="47" spans="1:7" x14ac:dyDescent="0.15">
      <c r="A47" s="39" t="s">
        <v>59</v>
      </c>
      <c r="B47">
        <f ca="1">SUM(B40:B46)</f>
        <v>94659000.000040069</v>
      </c>
      <c r="C47" s="55">
        <f ca="1">SUM(C40:C46)</f>
        <v>1</v>
      </c>
      <c r="E47" t="s">
        <v>206</v>
      </c>
      <c r="F47" s="55">
        <f ca="1">SUMIF(tables_settle_594100!I:I,input_settle_594100!E47,tables_settle_594100!P:P)</f>
        <v>0.62656819984140821</v>
      </c>
    </row>
    <row r="48" spans="1:7" x14ac:dyDescent="0.15">
      <c r="E48" t="s">
        <v>207</v>
      </c>
      <c r="F48" s="55">
        <f ca="1">SUMIF(tables_settle_594100!I:I,input_settle_594100!E48,tables_settle_594100!P:P)</f>
        <v>6.499999999998203E-2</v>
      </c>
      <c r="G48" s="55"/>
    </row>
    <row r="49" spans="5:6" x14ac:dyDescent="0.15">
      <c r="E49" t="s">
        <v>249</v>
      </c>
      <c r="F49" s="55">
        <f ca="1">SUMIF(tables_settle_594100!I:I,input_settle_594100!E49,tables_settle_594100!P:P)</f>
        <v>9.9999999999972403E-3</v>
      </c>
    </row>
    <row r="50" spans="5:6" x14ac:dyDescent="0.15">
      <c r="E50" t="s">
        <v>261</v>
      </c>
      <c r="F50" s="55">
        <f ca="1">SUMIF(tables_settle_594100!I:I,input_settle_594100!E50,tables_settle_594100!P:P)</f>
        <v>9.9999999999972437E-3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22" activePane="bottomLeft" state="frozen"/>
      <selection activeCell="P347" sqref="P347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input_settle_594100!A$2</f>
        <v>594100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IFERROR(VLOOKUP(B2,input_settle_594100!L:R,7,FALSE),VLOOKUP(tables_settle_594100!C2,input_settle_594100!A:H,8,FALSE))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input_settle_594100!A$2</f>
        <v>594100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IFERROR(VLOOKUP(B3,input_settle_594100!L:R,7,FALSE),VLOOKUP(tables_settle_594100!C3,input_settle_594100!A:H,8,FALSE))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input_settle_594100!A$2</f>
        <v>594100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IFERROR(VLOOKUP(B4,input_settle_594100!L:R,7,FALSE),VLOOKUP(tables_settle_594100!C4,input_settle_594100!A:H,8,FALSE))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input_settle_594100!A$2</f>
        <v>594100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IFERROR(VLOOKUP(B5,input_settle_594100!L:R,7,FALSE),VLOOKUP(tables_settle_594100!C5,input_settle_594100!A:H,8,FALSE))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input_settle_594100!A$2</f>
        <v>594100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IFERROR(VLOOKUP(B6,input_settle_594100!L:R,7,FALSE),VLOOKUP(tables_settle_594100!C6,input_settle_594100!A:H,8,FALSE))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input_settle_594100!A$2</f>
        <v>594100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IFERROR(VLOOKUP(B7,input_settle_594100!L:R,7,FALSE),VLOOKUP(tables_settle_594100!C7,input_settle_594100!A:H,8,FALSE))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input_settle_594100!A$2</f>
        <v>594100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IFERROR(VLOOKUP(B8,input_settle_594100!L:R,7,FALSE),VLOOKUP(tables_settle_594100!C8,input_settle_594100!A:H,8,FALSE))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input_settle_594100!A$2</f>
        <v>594100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IFERROR(VLOOKUP(B9,input_settle_594100!L:R,7,FALSE),VLOOKUP(tables_settle_594100!C9,input_settle_594100!A:H,8,FALSE))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input_settle_594100!A$2</f>
        <v>594100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IFERROR(VLOOKUP(B10,input_settle_594100!L:R,7,FALSE),VLOOKUP(tables_settle_594100!C10,input_settle_594100!A:H,8,FALSE))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input_settle_594100!A$2</f>
        <v>594100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IFERROR(VLOOKUP(B11,input_settle_594100!L:R,7,FALSE),VLOOKUP(tables_settle_594100!C11,input_settle_594100!A:H,8,FALSE))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input_settle_594100!A$2</f>
        <v>594100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IFERROR(VLOOKUP(B12,input_settle_594100!L:R,7,FALSE),VLOOKUP(tables_settle_594100!C12,input_settle_594100!A:H,8,FALSE))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input_settle_594100!A$2</f>
        <v>594100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IFERROR(VLOOKUP(B13,input_settle_594100!L:R,7,FALSE),VLOOKUP(tables_settle_594100!C13,input_settle_594100!A:H,8,FALSE))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input_settle_594100!A$2</f>
        <v>594100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IFERROR(VLOOKUP(B14,input_settle_594100!L:R,7,FALSE),VLOOKUP(tables_settle_594100!C14,input_settle_594100!A:H,8,FALSE))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input_settle_594100!A$2</f>
        <v>594100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IFERROR(VLOOKUP(B15,input_settle_594100!L:R,7,FALSE),VLOOKUP(tables_settle_594100!C15,input_settle_594100!A:H,8,FALSE))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input_settle_594100!A$2</f>
        <v>594100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IFERROR(VLOOKUP(B16,input_settle_594100!L:R,7,FALSE),VLOOKUP(tables_settle_594100!C16,input_settle_594100!A:H,8,FALSE))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input_settle_594100!A$2</f>
        <v>594100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IFERROR(VLOOKUP(B17,input_settle_594100!L:R,7,FALSE),VLOOKUP(tables_settle_594100!C17,input_settle_594100!A:H,8,FALSE))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input_settle_594100!A$2</f>
        <v>594100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IFERROR(VLOOKUP(B18,input_settle_594100!L:R,7,FALSE),VLOOKUP(tables_settle_594100!C18,input_settle_594100!A:H,8,FALSE))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input_settle_594100!A$2</f>
        <v>594100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IFERROR(VLOOKUP(B19,input_settle_594100!L:R,7,FALSE),VLOOKUP(tables_settle_594100!C19,input_settle_594100!A:H,8,FALSE))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input_settle_594100!A$2</f>
        <v>594100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IFERROR(VLOOKUP(B20,input_settle_594100!L:R,7,FALSE),VLOOKUP(tables_settle_594100!C20,input_settle_594100!A:H,8,FALSE))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input_settle_594100!A$2</f>
        <v>594100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IFERROR(VLOOKUP(B21,input_settle_594100!L:R,7,FALSE),VLOOKUP(tables_settle_594100!C21,input_settle_594100!A:H,8,FALSE))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input_settle_594100!A$2</f>
        <v>594100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IFERROR(VLOOKUP(B22,input_settle_594100!L:R,7,FALSE),VLOOKUP(tables_settle_594100!C22,input_settle_594100!A:H,8,FALSE))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input_settle_594100!A$2</f>
        <v>594100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IFERROR(VLOOKUP(B23,input_settle_594100!L:R,7,FALSE),VLOOKUP(tables_settle_594100!C23,input_settle_594100!A:H,8,FALSE))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input_settle_594100!A$2</f>
        <v>594100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IFERROR(VLOOKUP(B24,input_settle_594100!L:R,7,FALSE),VLOOKUP(tables_settle_594100!C24,input_settle_594100!A:H,8,FALSE))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input_settle_594100!A$2</f>
        <v>594100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IFERROR(VLOOKUP(B25,input_settle_594100!L:R,7,FALSE),VLOOKUP(tables_settle_594100!C25,input_settle_594100!A:H,8,FALSE))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input_settle_594100!A$2</f>
        <v>594100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IFERROR(VLOOKUP(B26,input_settle_594100!L:R,7,FALSE),VLOOKUP(tables_settle_594100!C26,input_settle_594100!A:H,8,FALSE))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input_settle_594100!A$2</f>
        <v>594100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IFERROR(VLOOKUP(B27,input_settle_594100!L:R,7,FALSE),VLOOKUP(tables_settle_594100!C27,input_settle_594100!A:H,8,FALSE))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input_settle_594100!A$2</f>
        <v>594100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IFERROR(VLOOKUP(B28,input_settle_594100!L:R,7,FALSE),VLOOKUP(tables_settle_594100!C28,input_settle_594100!A:H,8,FALSE))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input_settle_594100!A$2</f>
        <v>594100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IFERROR(VLOOKUP(B29,input_settle_594100!L:R,7,FALSE),VLOOKUP(tables_settle_594100!C29,input_settle_594100!A:H,8,FALSE))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input_settle_594100!A$2</f>
        <v>594100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IFERROR(VLOOKUP(B30,input_settle_594100!L:R,7,FALSE),VLOOKUP(tables_settle_594100!C30,input_settle_594100!A:H,8,FALSE))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input_settle_594100!A$2</f>
        <v>594100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IFERROR(VLOOKUP(B31,input_settle_594100!L:R,7,FALSE),VLOOKUP(tables_settle_594100!C31,input_settle_594100!A:H,8,FALSE))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input_settle_594100!A$2</f>
        <v>594100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IFERROR(VLOOKUP(B32,input_settle_594100!L:R,7,FALSE),VLOOKUP(tables_settle_594100!C32,input_settle_594100!A:H,8,FALSE))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input_settle_594100!A$2</f>
        <v>594100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IFERROR(VLOOKUP(B33,input_settle_594100!L:R,7,FALSE),VLOOKUP(tables_settle_594100!C33,input_settle_594100!A:H,8,FALSE))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input_settle_594100!A$2</f>
        <v>594100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IFERROR(VLOOKUP(B34,input_settle_594100!L:R,7,FALSE),VLOOKUP(tables_settle_594100!C34,input_settle_594100!A:H,8,FALSE))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input_settle_594100!A$2</f>
        <v>594100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IFERROR(VLOOKUP(B35,input_settle_594100!L:R,7,FALSE),VLOOKUP(tables_settle_594100!C35,input_settle_594100!A:H,8,FALSE))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input_settle_594100!A$2</f>
        <v>594100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IFERROR(VLOOKUP(B36,input_settle_594100!L:R,7,FALSE),VLOOKUP(tables_settle_594100!C36,input_settle_594100!A:H,8,FALSE))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input_settle_594100!A$2</f>
        <v>594100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IFERROR(VLOOKUP(B37,input_settle_594100!L:R,7,FALSE),VLOOKUP(tables_settle_594100!C37,input_settle_594100!A:H,8,FALSE))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input_settle_594100!A$2</f>
        <v>594100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IFERROR(VLOOKUP(B38,input_settle_594100!L:R,7,FALSE),VLOOKUP(tables_settle_594100!C38,input_settle_594100!A:H,8,FALSE))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input_settle_594100!A$2</f>
        <v>594100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IFERROR(VLOOKUP(B39,input_settle_594100!L:R,7,FALSE),VLOOKUP(tables_settle_594100!C39,input_settle_594100!A:H,8,FALSE))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input_settle_594100!A$2</f>
        <v>594100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IFERROR(VLOOKUP(B40,input_settle_594100!L:R,7,FALSE),VLOOKUP(tables_settle_594100!C40,input_settle_594100!A:H,8,FALSE))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input_settle_594100!A$2</f>
        <v>594100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IFERROR(VLOOKUP(B41,input_settle_594100!L:R,7,FALSE),VLOOKUP(tables_settle_594100!C41,input_settle_594100!A:H,8,FALSE))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input_settle_594100!A$2</f>
        <v>594100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IFERROR(VLOOKUP(B42,input_settle_594100!L:R,7,FALSE),VLOOKUP(tables_settle_594100!C42,input_settle_594100!A:H,8,FALSE))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input_settle_594100!A$2</f>
        <v>594100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IFERROR(VLOOKUP(B43,input_settle_594100!L:R,7,FALSE),VLOOKUP(tables_settle_594100!C43,input_settle_594100!A:H,8,FALSE))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input_settle_594100!A$2</f>
        <v>594100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IFERROR(VLOOKUP(B44,input_settle_594100!L:R,7,FALSE),VLOOKUP(tables_settle_594100!C44,input_settle_594100!A:H,8,FALSE))</f>
        <v>1372500</v>
      </c>
      <c r="P44" s="46">
        <f t="shared" ca="1" si="1"/>
        <v>9.4329896907190489E-3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input_settle_594100!A$2</f>
        <v>594100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IFERROR(VLOOKUP(B45,input_settle_594100!L:R,7,FALSE),VLOOKUP(tables_settle_594100!C45,input_settle_594100!A:H,8,FALSE))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input_settle_594100!A$2</f>
        <v>594100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IFERROR(VLOOKUP(B46,input_settle_594100!L:R,7,FALSE),VLOOKUP(tables_settle_594100!C46,input_settle_594100!A:H,8,FALSE))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input_settle_594100!A$2</f>
        <v>594100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IFERROR(VLOOKUP(B47,input_settle_594100!L:R,7,FALSE),VLOOKUP(tables_settle_594100!C47,input_settle_594100!A:H,8,FALSE))</f>
        <v>1372500</v>
      </c>
      <c r="P47" s="46">
        <f t="shared" ca="1" si="1"/>
        <v>9.4329896907190489E-3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input_settle_594100!A$2</f>
        <v>594100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IFERROR(VLOOKUP(B48,input_settle_594100!L:R,7,FALSE),VLOOKUP(tables_settle_594100!C48,input_settle_594100!A:H,8,FALSE))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input_settle_594100!A$2</f>
        <v>594100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IFERROR(VLOOKUP(B49,input_settle_594100!L:R,7,FALSE),VLOOKUP(tables_settle_594100!C49,input_settle_594100!A:H,8,FALSE))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input_settle_594100!A$2</f>
        <v>594100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IFERROR(VLOOKUP(B50,input_settle_594100!L:R,7,FALSE),VLOOKUP(tables_settle_594100!C50,input_settle_594100!A:H,8,FALSE))</f>
        <v>1372500</v>
      </c>
      <c r="P50" s="46">
        <f t="shared" ca="1" si="1"/>
        <v>9.4329896907190489E-3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input_settle_594100!A$2</f>
        <v>594100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IFERROR(VLOOKUP(B51,input_settle_594100!L:R,7,FALSE),VLOOKUP(tables_settle_594100!C51,input_settle_594100!A:H,8,FALSE))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input_settle_594100!A$2</f>
        <v>594100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IFERROR(VLOOKUP(B52,input_settle_594100!L:R,7,FALSE),VLOOKUP(tables_settle_594100!C52,input_settle_594100!A:H,8,FALSE))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input_settle_594100!A$2</f>
        <v>594100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IFERROR(VLOOKUP(B53,input_settle_594100!L:R,7,FALSE),VLOOKUP(tables_settle_594100!C53,input_settle_594100!A:H,8,FALSE))</f>
        <v>1742019.23077</v>
      </c>
      <c r="P53" s="46">
        <f t="shared" ca="1" si="1"/>
        <v>1.1972640761302542E-2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input_settle_594100!A$2</f>
        <v>594100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IFERROR(VLOOKUP(B54,input_settle_594100!L:R,7,FALSE),VLOOKUP(tables_settle_594100!C54,input_settle_594100!A:H,8,FALSE))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input_settle_594100!A$2</f>
        <v>594100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IFERROR(VLOOKUP(B55,input_settle_594100!L:R,7,FALSE),VLOOKUP(tables_settle_594100!C55,input_settle_594100!A:H,8,FALSE))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input_settle_594100!A$2</f>
        <v>594100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IFERROR(VLOOKUP(B56,input_settle_594100!L:R,7,FALSE),VLOOKUP(tables_settle_594100!C56,input_settle_594100!A:H,8,FALSE))</f>
        <v>1742019.23077</v>
      </c>
      <c r="P56" s="46">
        <f t="shared" ca="1" si="1"/>
        <v>1.1972640761302542E-2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input_settle_594100!A$2</f>
        <v>594100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IFERROR(VLOOKUP(B57,input_settle_594100!L:R,7,FALSE),VLOOKUP(tables_settle_594100!C57,input_settle_594100!A:H,8,FALSE))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input_settle_594100!A$2</f>
        <v>594100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IFERROR(VLOOKUP(B58,input_settle_594100!L:R,7,FALSE),VLOOKUP(tables_settle_594100!C58,input_settle_594100!A:H,8,FALSE))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input_settle_594100!A$2</f>
        <v>594100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IFERROR(VLOOKUP(B59,input_settle_594100!L:R,7,FALSE),VLOOKUP(tables_settle_594100!C59,input_settle_594100!A:H,8,FALSE))</f>
        <v>1742019.23077</v>
      </c>
      <c r="P59" s="46">
        <f t="shared" ca="1" si="1"/>
        <v>1.1972640761302542E-2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input_settle_594100!A$2</f>
        <v>594100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IFERROR(VLOOKUP(B60,input_settle_594100!L:R,7,FALSE),VLOOKUP(tables_settle_594100!C60,input_settle_594100!A:H,8,FALSE))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input_settle_594100!A$2</f>
        <v>594100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IFERROR(VLOOKUP(B61,input_settle_594100!L:R,7,FALSE),VLOOKUP(tables_settle_594100!C61,input_settle_594100!A:H,8,FALSE))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input_settle_594100!A$2</f>
        <v>594100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IFERROR(VLOOKUP(B62,input_settle_594100!L:R,7,FALSE),VLOOKUP(tables_settle_594100!C62,input_settle_594100!A:H,8,FALSE))</f>
        <v>1742019.23077</v>
      </c>
      <c r="P62" s="46">
        <f t="shared" ca="1" si="1"/>
        <v>1.1972640761302542E-2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input_settle_594100!A$2</f>
        <v>594100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IFERROR(VLOOKUP(B63,input_settle_594100!L:R,7,FALSE),VLOOKUP(tables_settle_594100!C63,input_settle_594100!A:H,8,FALSE))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input_settle_594100!A$2</f>
        <v>594100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IFERROR(VLOOKUP(B64,input_settle_594100!L:R,7,FALSE),VLOOKUP(tables_settle_594100!C64,input_settle_594100!A:H,8,FALSE))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input_settle_594100!A$2</f>
        <v>594100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IFERROR(VLOOKUP(B65,input_settle_594100!L:R,7,FALSE),VLOOKUP(tables_settle_594100!C65,input_settle_594100!A:H,8,FALSE))</f>
        <v>1742019.23077</v>
      </c>
      <c r="P65" s="46">
        <f t="shared" ca="1" si="1"/>
        <v>1.1972640761302542E-2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input_settle_594100!A$2</f>
        <v>594100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IFERROR(VLOOKUP(B66,input_settle_594100!L:R,7,FALSE),VLOOKUP(tables_settle_594100!C66,input_settle_594100!A:H,8,FALSE))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input_settle_594100!A$2</f>
        <v>594100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IFERROR(VLOOKUP(B67,input_settle_594100!L:R,7,FALSE),VLOOKUP(tables_settle_594100!C67,input_settle_594100!A:H,8,FALSE))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input_settle_594100!A$2</f>
        <v>594100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IFERROR(VLOOKUP(B68,input_settle_594100!L:R,7,FALSE),VLOOKUP(tables_settle_594100!C68,input_settle_594100!A:H,8,FALSE))</f>
        <v>1742019.23077</v>
      </c>
      <c r="P68" s="46">
        <f t="shared" ca="1" si="4"/>
        <v>1.1972640761302542E-2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input_settle_594100!A$2</f>
        <v>594100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IFERROR(VLOOKUP(B69,input_settle_594100!L:R,7,FALSE),VLOOKUP(tables_settle_594100!C69,input_settle_594100!A:H,8,FALSE))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input_settle_594100!A$2</f>
        <v>594100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IFERROR(VLOOKUP(B70,input_settle_594100!L:R,7,FALSE),VLOOKUP(tables_settle_594100!C70,input_settle_594100!A:H,8,FALSE))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input_settle_594100!A$2</f>
        <v>594100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IFERROR(VLOOKUP(B71,input_settle_594100!L:R,7,FALSE),VLOOKUP(tables_settle_594100!C71,input_settle_594100!A:H,8,FALSE))</f>
        <v>1742019.23077</v>
      </c>
      <c r="P71" s="46">
        <f t="shared" ca="1" si="4"/>
        <v>1.1972640761302542E-2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input_settle_594100!A$2</f>
        <v>594100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IFERROR(VLOOKUP(B72,input_settle_594100!L:R,7,FALSE),VLOOKUP(tables_settle_594100!C72,input_settle_594100!A:H,8,FALSE))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input_settle_594100!A$2</f>
        <v>594100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IFERROR(VLOOKUP(B73,input_settle_594100!L:R,7,FALSE),VLOOKUP(tables_settle_594100!C73,input_settle_594100!A:H,8,FALSE))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input_settle_594100!A$2</f>
        <v>594100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IFERROR(VLOOKUP(B74,input_settle_594100!L:R,7,FALSE),VLOOKUP(tables_settle_594100!C74,input_settle_594100!A:H,8,FALSE))</f>
        <v>1742019.23077</v>
      </c>
      <c r="P74" s="46">
        <f t="shared" ca="1" si="4"/>
        <v>1.1972640761302542E-2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input_settle_594100!A$2</f>
        <v>594100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IFERROR(VLOOKUP(B75,input_settle_594100!L:R,7,FALSE),VLOOKUP(tables_settle_594100!C75,input_settle_594100!A:H,8,FALSE))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input_settle_594100!A$2</f>
        <v>594100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IFERROR(VLOOKUP(B76,input_settle_594100!L:R,7,FALSE),VLOOKUP(tables_settle_594100!C76,input_settle_594100!A:H,8,FALSE))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input_settle_594100!A$2</f>
        <v>594100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IFERROR(VLOOKUP(B77,input_settle_594100!L:R,7,FALSE),VLOOKUP(tables_settle_594100!C77,input_settle_594100!A:H,8,FALSE))</f>
        <v>1742019.23077</v>
      </c>
      <c r="P77" s="46">
        <f t="shared" ca="1" si="4"/>
        <v>1.1972640761302542E-2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input_settle_594100!A$2</f>
        <v>594100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IFERROR(VLOOKUP(B78,input_settle_594100!L:R,7,FALSE),VLOOKUP(tables_settle_594100!C78,input_settle_594100!A:H,8,FALSE))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input_settle_594100!A$2</f>
        <v>594100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IFERROR(VLOOKUP(B79,input_settle_594100!L:R,7,FALSE),VLOOKUP(tables_settle_594100!C79,input_settle_594100!A:H,8,FALSE))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input_settle_594100!A$2</f>
        <v>594100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IFERROR(VLOOKUP(B80,input_settle_594100!L:R,7,FALSE),VLOOKUP(tables_settle_594100!C80,input_settle_594100!A:H,8,FALSE))</f>
        <v>1742019.23077</v>
      </c>
      <c r="P80" s="46">
        <f t="shared" ca="1" si="4"/>
        <v>1.1972640761302542E-2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input_settle_594100!A$2</f>
        <v>594100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IFERROR(VLOOKUP(B81,input_settle_594100!L:R,7,FALSE),VLOOKUP(tables_settle_594100!C81,input_settle_594100!A:H,8,FALSE))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input_settle_594100!A$2</f>
        <v>594100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IFERROR(VLOOKUP(B82,input_settle_594100!L:R,7,FALSE),VLOOKUP(tables_settle_594100!C82,input_settle_594100!A:H,8,FALSE))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input_settle_594100!A$2</f>
        <v>594100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IFERROR(VLOOKUP(B83,input_settle_594100!L:R,7,FALSE),VLOOKUP(tables_settle_594100!C83,input_settle_594100!A:H,8,FALSE))</f>
        <v>1742019.23077</v>
      </c>
      <c r="P83" s="46">
        <f t="shared" ca="1" si="4"/>
        <v>1.1972640761302542E-2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input_settle_594100!A$2</f>
        <v>594100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IFERROR(VLOOKUP(B84,input_settle_594100!L:R,7,FALSE),VLOOKUP(tables_settle_594100!C84,input_settle_594100!A:H,8,FALSE))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input_settle_594100!A$2</f>
        <v>594100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IFERROR(VLOOKUP(B85,input_settle_594100!L:R,7,FALSE),VLOOKUP(tables_settle_594100!C85,input_settle_594100!A:H,8,FALSE))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input_settle_594100!A$2</f>
        <v>594100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IFERROR(VLOOKUP(B86,input_settle_594100!L:R,7,FALSE),VLOOKUP(tables_settle_594100!C86,input_settle_594100!A:H,8,FALSE))</f>
        <v>1742019.23077</v>
      </c>
      <c r="P86" s="46">
        <f t="shared" ca="1" si="4"/>
        <v>1.1972640761302542E-2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input_settle_594100!A$2</f>
        <v>594100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IFERROR(VLOOKUP(B87,input_settle_594100!L:R,7,FALSE),VLOOKUP(tables_settle_594100!C87,input_settle_594100!A:H,8,FALSE))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input_settle_594100!A$2</f>
        <v>594100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IFERROR(VLOOKUP(B88,input_settle_594100!L:R,7,FALSE),VLOOKUP(tables_settle_594100!C88,input_settle_594100!A:H,8,FALSE))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input_settle_594100!A$2</f>
        <v>594100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IFERROR(VLOOKUP(B89,input_settle_594100!L:R,7,FALSE),VLOOKUP(tables_settle_594100!C89,input_settle_594100!A:H,8,FALSE))</f>
        <v>1742019.23077</v>
      </c>
      <c r="P89" s="46">
        <f t="shared" ca="1" si="4"/>
        <v>1.1972640761302542E-2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input_settle_594100!A$2</f>
        <v>594100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IFERROR(VLOOKUP(B90,input_settle_594100!L:R,7,FALSE),VLOOKUP(tables_settle_594100!C90,input_settle_594100!A:H,8,FALSE))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input_settle_594100!A$2</f>
        <v>594100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IFERROR(VLOOKUP(B91,input_settle_594100!L:R,7,FALSE),VLOOKUP(tables_settle_594100!C91,input_settle_594100!A:H,8,FALSE))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input_settle_594100!A$2</f>
        <v>594100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IFERROR(VLOOKUP(B92,input_settle_594100!L:R,7,FALSE),VLOOKUP(tables_settle_594100!C92,input_settle_594100!A:H,8,FALSE))</f>
        <v>1742019.23077</v>
      </c>
      <c r="P92" s="46">
        <f t="shared" ca="1" si="4"/>
        <v>1.1972640761302542E-2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input_settle_594100!A$2</f>
        <v>594100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IFERROR(VLOOKUP(B93,input_settle_594100!L:R,7,FALSE),VLOOKUP(tables_settle_594100!C93,input_settle_594100!A:H,8,FALSE))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input_settle_594100!A$2</f>
        <v>594100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IFERROR(VLOOKUP(B94,input_settle_594100!L:R,7,FALSE),VLOOKUP(tables_settle_594100!C94,input_settle_594100!A:H,8,FALSE))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input_settle_594100!A$2</f>
        <v>594100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IFERROR(VLOOKUP(B95,input_settle_594100!L:R,7,FALSE),VLOOKUP(tables_settle_594100!C95,input_settle_594100!A:H,8,FALSE))</f>
        <v>1742019.23077</v>
      </c>
      <c r="P95" s="46">
        <f t="shared" ca="1" si="4"/>
        <v>1.1972640761302542E-2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input_settle_594100!A$2</f>
        <v>594100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IFERROR(VLOOKUP(B96,input_settle_594100!L:R,7,FALSE),VLOOKUP(tables_settle_594100!C96,input_settle_594100!A:H,8,FALSE))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input_settle_594100!A$2</f>
        <v>594100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IFERROR(VLOOKUP(B97,input_settle_594100!L:R,7,FALSE),VLOOKUP(tables_settle_594100!C97,input_settle_594100!A:H,8,FALSE))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input_settle_594100!A$2</f>
        <v>594100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IFERROR(VLOOKUP(B98,input_settle_594100!L:R,7,FALSE),VLOOKUP(tables_settle_594100!C98,input_settle_594100!A:H,8,FALSE))</f>
        <v>1742019.23077</v>
      </c>
      <c r="P98" s="46">
        <f t="shared" ca="1" si="4"/>
        <v>1.1972640761302542E-2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input_settle_594100!A$2</f>
        <v>594100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IFERROR(VLOOKUP(B99,input_settle_594100!L:R,7,FALSE),VLOOKUP(tables_settle_594100!C99,input_settle_594100!A:H,8,FALSE))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input_settle_594100!A$2</f>
        <v>594100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IFERROR(VLOOKUP(B100,input_settle_594100!L:R,7,FALSE),VLOOKUP(tables_settle_594100!C100,input_settle_594100!A:H,8,FALSE))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input_settle_594100!A$2</f>
        <v>594100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IFERROR(VLOOKUP(B101,input_settle_594100!L:R,7,FALSE),VLOOKUP(tables_settle_594100!C101,input_settle_594100!A:H,8,FALSE))</f>
        <v>1742019.23077</v>
      </c>
      <c r="P101" s="46">
        <f t="shared" ca="1" si="4"/>
        <v>1.1972640761302542E-2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input_settle_594100!A$2</f>
        <v>594100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IFERROR(VLOOKUP(B102,input_settle_594100!L:R,7,FALSE),VLOOKUP(tables_settle_594100!C102,input_settle_594100!A:H,8,FALSE))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input_settle_594100!A$2</f>
        <v>594100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IFERROR(VLOOKUP(B103,input_settle_594100!L:R,7,FALSE),VLOOKUP(tables_settle_594100!C103,input_settle_594100!A:H,8,FALSE))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input_settle_594100!A$2</f>
        <v>594100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IFERROR(VLOOKUP(B104,input_settle_594100!L:R,7,FALSE),VLOOKUP(tables_settle_594100!C104,input_settle_594100!A:H,8,FALSE))</f>
        <v>1742019.23077</v>
      </c>
      <c r="P104" s="46">
        <f t="shared" ca="1" si="4"/>
        <v>1.1972640761302542E-2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input_settle_594100!A$2</f>
        <v>594100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IFERROR(VLOOKUP(B105,input_settle_594100!L:R,7,FALSE),VLOOKUP(tables_settle_594100!C105,input_settle_594100!A:H,8,FALSE))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input_settle_594100!A$2</f>
        <v>594100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IFERROR(VLOOKUP(B106,input_settle_594100!L:R,7,FALSE),VLOOKUP(tables_settle_594100!C106,input_settle_594100!A:H,8,FALSE))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input_settle_594100!A$2</f>
        <v>594100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IFERROR(VLOOKUP(B107,input_settle_594100!L:R,7,FALSE),VLOOKUP(tables_settle_594100!C107,input_settle_594100!A:H,8,FALSE))</f>
        <v>1742019.23077</v>
      </c>
      <c r="P107" s="46">
        <f t="shared" ca="1" si="4"/>
        <v>1.1972640761302542E-2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input_settle_594100!A$2</f>
        <v>594100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IFERROR(VLOOKUP(B108,input_settle_594100!L:R,7,FALSE),VLOOKUP(tables_settle_594100!C108,input_settle_594100!A:H,8,FALSE))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input_settle_594100!A$2</f>
        <v>594100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IFERROR(VLOOKUP(B109,input_settle_594100!L:R,7,FALSE),VLOOKUP(tables_settle_594100!C109,input_settle_594100!A:H,8,FALSE))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input_settle_594100!A$2</f>
        <v>594100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IFERROR(VLOOKUP(B110,input_settle_594100!L:R,7,FALSE),VLOOKUP(tables_settle_594100!C110,input_settle_594100!A:H,8,FALSE))</f>
        <v>1742019.23077</v>
      </c>
      <c r="P110" s="46">
        <f t="shared" ca="1" si="4"/>
        <v>1.1972640761302542E-2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input_settle_594100!A$2</f>
        <v>594100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IFERROR(VLOOKUP(B111,input_settle_594100!L:R,7,FALSE),VLOOKUP(tables_settle_594100!C111,input_settle_594100!A:H,8,FALSE))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input_settle_594100!A$2</f>
        <v>594100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IFERROR(VLOOKUP(B112,input_settle_594100!L:R,7,FALSE),VLOOKUP(tables_settle_594100!C112,input_settle_594100!A:H,8,FALSE))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input_settle_594100!A$2</f>
        <v>594100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IFERROR(VLOOKUP(B113,input_settle_594100!L:R,7,FALSE),VLOOKUP(tables_settle_594100!C113,input_settle_594100!A:H,8,FALSE))</f>
        <v>1372500</v>
      </c>
      <c r="P113" s="46">
        <f t="shared" ca="1" si="4"/>
        <v>9.4329896907190489E-3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input_settle_594100!A$2</f>
        <v>594100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IFERROR(VLOOKUP(B114,input_settle_594100!L:R,7,FALSE),VLOOKUP(tables_settle_594100!C114,input_settle_594100!A:H,8,FALSE))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input_settle_594100!A$2</f>
        <v>594100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IFERROR(VLOOKUP(B115,input_settle_594100!L:R,7,FALSE),VLOOKUP(tables_settle_594100!C115,input_settle_594100!A:H,8,FALSE))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input_settle_594100!A$2</f>
        <v>594100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IFERROR(VLOOKUP(B116,input_settle_594100!L:R,7,FALSE),VLOOKUP(tables_settle_594100!C116,input_settle_594100!A:H,8,FALSE))</f>
        <v>1742019.23077</v>
      </c>
      <c r="P116" s="46">
        <f t="shared" ca="1" si="4"/>
        <v>1.1972640761302542E-2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input_settle_594100!A$2</f>
        <v>594100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IFERROR(VLOOKUP(B117,input_settle_594100!L:R,7,FALSE),VLOOKUP(tables_settle_594100!C117,input_settle_594100!A:H,8,FALSE))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input_settle_594100!A$2</f>
        <v>594100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IFERROR(VLOOKUP(B118,input_settle_594100!L:R,7,FALSE),VLOOKUP(tables_settle_594100!C118,input_settle_594100!A:H,8,FALSE))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input_settle_594100!A$2</f>
        <v>594100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IFERROR(VLOOKUP(B119,input_settle_594100!L:R,7,FALSE),VLOOKUP(tables_settle_594100!C119,input_settle_594100!A:H,8,FALSE))</f>
        <v>1742019.23077</v>
      </c>
      <c r="P119" s="46">
        <f t="shared" ca="1" si="4"/>
        <v>1.1972640761302542E-2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input_settle_594100!A$2</f>
        <v>594100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IFERROR(VLOOKUP(B120,input_settle_594100!L:R,7,FALSE),VLOOKUP(tables_settle_594100!C120,input_settle_594100!A:H,8,FALSE))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input_settle_594100!A$2</f>
        <v>594100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IFERROR(VLOOKUP(B121,input_settle_594100!L:R,7,FALSE),VLOOKUP(tables_settle_594100!C121,input_settle_594100!A:H,8,FALSE))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input_settle_594100!A$2</f>
        <v>594100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IFERROR(VLOOKUP(B122,input_settle_594100!L:R,7,FALSE),VLOOKUP(tables_settle_594100!C122,input_settle_594100!A:H,8,FALSE))</f>
        <v>1742019.23077</v>
      </c>
      <c r="P122" s="46">
        <f t="shared" ca="1" si="4"/>
        <v>1.1972640761302542E-2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input_settle_594100!A$2</f>
        <v>594100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IFERROR(VLOOKUP(B123,input_settle_594100!L:R,7,FALSE),VLOOKUP(tables_settle_594100!C123,input_settle_594100!A:H,8,FALSE))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input_settle_594100!A$2</f>
        <v>594100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IFERROR(VLOOKUP(B124,input_settle_594100!L:R,7,FALSE),VLOOKUP(tables_settle_594100!C124,input_settle_594100!A:H,8,FALSE))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input_settle_594100!A$2</f>
        <v>594100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IFERROR(VLOOKUP(B125,input_settle_594100!L:R,7,FALSE),VLOOKUP(tables_settle_594100!C125,input_settle_594100!A:H,8,FALSE))</f>
        <v>1742019.23077</v>
      </c>
      <c r="P125" s="46">
        <f t="shared" ca="1" si="4"/>
        <v>1.1972640761302542E-2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input_settle_594100!A$2</f>
        <v>594100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IFERROR(VLOOKUP(B126,input_settle_594100!L:R,7,FALSE),VLOOKUP(tables_settle_594100!C126,input_settle_594100!A:H,8,FALSE))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input_settle_594100!A$2</f>
        <v>594100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IFERROR(VLOOKUP(B127,input_settle_594100!L:R,7,FALSE),VLOOKUP(tables_settle_594100!C127,input_settle_594100!A:H,8,FALSE))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input_settle_594100!A$2</f>
        <v>594100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IFERROR(VLOOKUP(B128,input_settle_594100!L:R,7,FALSE),VLOOKUP(tables_settle_594100!C128,input_settle_594100!A:H,8,FALSE))</f>
        <v>1742019.23077</v>
      </c>
      <c r="P128" s="46">
        <f t="shared" ca="1" si="4"/>
        <v>1.1972640761302542E-2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input_settle_594100!A$2</f>
        <v>594100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IFERROR(VLOOKUP(B129,input_settle_594100!L:R,7,FALSE),VLOOKUP(tables_settle_594100!C129,input_settle_594100!A:H,8,FALSE))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input_settle_594100!A$2</f>
        <v>594100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IFERROR(VLOOKUP(B130,input_settle_594100!L:R,7,FALSE),VLOOKUP(tables_settle_594100!C130,input_settle_594100!A:H,8,FALSE))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input_settle_594100!A$2</f>
        <v>594100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IFERROR(VLOOKUP(B131,input_settle_594100!L:R,7,FALSE),VLOOKUP(tables_settle_594100!C131,input_settle_594100!A:H,8,FALSE))</f>
        <v>1742019.23077</v>
      </c>
      <c r="P131" s="46">
        <f t="shared" ca="1" si="7"/>
        <v>1.1972640761302542E-2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input_settle_594100!A$2</f>
        <v>594100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IFERROR(VLOOKUP(B132,input_settle_594100!L:R,7,FALSE),VLOOKUP(tables_settle_594100!C132,input_settle_594100!A:H,8,FALSE))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input_settle_594100!A$2</f>
        <v>594100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IFERROR(VLOOKUP(B133,input_settle_594100!L:R,7,FALSE),VLOOKUP(tables_settle_594100!C133,input_settle_594100!A:H,8,FALSE))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input_settle_594100!A$2</f>
        <v>594100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IFERROR(VLOOKUP(B134,input_settle_594100!L:R,7,FALSE),VLOOKUP(tables_settle_594100!C134,input_settle_594100!A:H,8,FALSE))</f>
        <v>1742019.23077</v>
      </c>
      <c r="P134" s="46">
        <f t="shared" ca="1" si="7"/>
        <v>1.1972640761302542E-2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input_settle_594100!A$2</f>
        <v>594100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IFERROR(VLOOKUP(B135,input_settle_594100!L:R,7,FALSE),VLOOKUP(tables_settle_594100!C135,input_settle_594100!A:H,8,FALSE))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input_settle_594100!A$2</f>
        <v>594100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IFERROR(VLOOKUP(B136,input_settle_594100!L:R,7,FALSE),VLOOKUP(tables_settle_594100!C136,input_settle_594100!A:H,8,FALSE))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input_settle_594100!A$2</f>
        <v>594100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IFERROR(VLOOKUP(B137,input_settle_594100!L:R,7,FALSE),VLOOKUP(tables_settle_594100!C137,input_settle_594100!A:H,8,FALSE))</f>
        <v>1742019.23077</v>
      </c>
      <c r="P137" s="46">
        <f t="shared" ca="1" si="7"/>
        <v>1.1972640761302542E-2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input_settle_594100!A$2</f>
        <v>594100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IFERROR(VLOOKUP(B138,input_settle_594100!L:R,7,FALSE),VLOOKUP(tables_settle_594100!C138,input_settle_594100!A:H,8,FALSE))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input_settle_594100!A$2</f>
        <v>594100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IFERROR(VLOOKUP(B139,input_settle_594100!L:R,7,FALSE),VLOOKUP(tables_settle_594100!C139,input_settle_594100!A:H,8,FALSE))</f>
        <v>145500</v>
      </c>
      <c r="P139" s="46">
        <f t="shared" ca="1" si="7"/>
        <v>9.999999999997242E-4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input_settle_594100!A$2</f>
        <v>594100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IFERROR(VLOOKUP(B140,input_settle_594100!L:R,7,FALSE),VLOOKUP(tables_settle_594100!C140,input_settle_594100!A:H,8,FALSE))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input_settle_594100!A$2</f>
        <v>594100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IFERROR(VLOOKUP(B141,input_settle_594100!L:R,7,FALSE),VLOOKUP(tables_settle_594100!C141,input_settle_594100!A:H,8,FALSE))</f>
        <v>145500</v>
      </c>
      <c r="P141" s="46">
        <f t="shared" ca="1" si="7"/>
        <v>9.999999999997242E-4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input_settle_594100!A$2</f>
        <v>594100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IFERROR(VLOOKUP(B142,input_settle_594100!L:R,7,FALSE),VLOOKUP(tables_settle_594100!C142,input_settle_594100!A:H,8,FALSE))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input_settle_594100!A$2</f>
        <v>594100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IFERROR(VLOOKUP(B143,input_settle_594100!L:R,7,FALSE),VLOOKUP(tables_settle_594100!C143,input_settle_594100!A:H,8,FALSE))</f>
        <v>145500</v>
      </c>
      <c r="P143" s="46">
        <f t="shared" ca="1" si="7"/>
        <v>9.999999999997242E-4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input_settle_594100!A$2</f>
        <v>594100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IFERROR(VLOOKUP(B144,input_settle_594100!L:R,7,FALSE),VLOOKUP(tables_settle_594100!C144,input_settle_594100!A:H,8,FALSE))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input_settle_594100!A$2</f>
        <v>594100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IFERROR(VLOOKUP(B145,input_settle_594100!L:R,7,FALSE),VLOOKUP(tables_settle_594100!C145,input_settle_594100!A:H,8,FALSE))</f>
        <v>145500</v>
      </c>
      <c r="P145" s="46">
        <f t="shared" ca="1" si="7"/>
        <v>9.999999999997242E-4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input_settle_594100!A$2</f>
        <v>594100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IFERROR(VLOOKUP(B146,input_settle_594100!L:R,7,FALSE),VLOOKUP(tables_settle_594100!C146,input_settle_594100!A:H,8,FALSE))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input_settle_594100!A$2</f>
        <v>594100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IFERROR(VLOOKUP(B147,input_settle_594100!L:R,7,FALSE),VLOOKUP(tables_settle_594100!C147,input_settle_594100!A:H,8,FALSE))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input_settle_594100!A$2</f>
        <v>594100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IFERROR(VLOOKUP(B148,input_settle_594100!L:R,7,FALSE),VLOOKUP(tables_settle_594100!C148,input_settle_594100!A:H,8,FALSE))</f>
        <v>1742019.23077</v>
      </c>
      <c r="P148" s="46">
        <f t="shared" ca="1" si="7"/>
        <v>1.1972640761302542E-2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input_settle_594100!A$2</f>
        <v>594100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IFERROR(VLOOKUP(B149,input_settle_594100!L:R,7,FALSE),VLOOKUP(tables_settle_594100!C149,input_settle_594100!A:H,8,FALSE))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input_settle_594100!A$2</f>
        <v>594100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IFERROR(VLOOKUP(B150,input_settle_594100!L:R,7,FALSE),VLOOKUP(tables_settle_594100!C150,input_settle_594100!A:H,8,FALSE))</f>
        <v>145500</v>
      </c>
      <c r="P150" s="46">
        <f t="shared" ca="1" si="7"/>
        <v>9.999999999997242E-4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input_settle_594100!A$2</f>
        <v>594100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IFERROR(VLOOKUP(B151,input_settle_594100!L:R,7,FALSE),VLOOKUP(tables_settle_594100!C151,input_settle_594100!A:H,8,FALSE))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input_settle_594100!A$2</f>
        <v>594100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IFERROR(VLOOKUP(B152,input_settle_594100!L:R,7,FALSE),VLOOKUP(tables_settle_594100!C152,input_settle_594100!A:H,8,FALSE))</f>
        <v>145500</v>
      </c>
      <c r="P152" s="46">
        <f t="shared" ca="1" si="7"/>
        <v>9.999999999997242E-4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input_settle_594100!A$2</f>
        <v>594100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IFERROR(VLOOKUP(B153,input_settle_594100!L:R,7,FALSE),VLOOKUP(tables_settle_594100!C153,input_settle_594100!A:H,8,FALSE))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input_settle_594100!A$2</f>
        <v>594100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IFERROR(VLOOKUP(B154,input_settle_594100!L:R,7,FALSE),VLOOKUP(tables_settle_594100!C154,input_settle_594100!A:H,8,FALSE))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input_settle_594100!A$2</f>
        <v>594100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IFERROR(VLOOKUP(B155,input_settle_594100!L:R,7,FALSE),VLOOKUP(tables_settle_594100!C155,input_settle_594100!A:H,8,FALSE))</f>
        <v>1742019.23077</v>
      </c>
      <c r="P155" s="46">
        <f t="shared" ca="1" si="7"/>
        <v>1.1972640761302542E-2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input_settle_594100!A$2</f>
        <v>594100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IFERROR(VLOOKUP(B156,input_settle_594100!L:R,7,FALSE),VLOOKUP(tables_settle_594100!C156,input_settle_594100!A:H,8,FALSE))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input_settle_594100!A$2</f>
        <v>594100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IFERROR(VLOOKUP(B157,input_settle_594100!L:R,7,FALSE),VLOOKUP(tables_settle_594100!C157,input_settle_594100!A:H,8,FALSE))</f>
        <v>145500</v>
      </c>
      <c r="P157" s="46">
        <f t="shared" ca="1" si="7"/>
        <v>9.999999999997242E-4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input_settle_594100!A$2</f>
        <v>594100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IFERROR(VLOOKUP(B158,input_settle_594100!L:R,7,FALSE),VLOOKUP(tables_settle_594100!C158,input_settle_594100!A:H,8,FALSE))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input_settle_594100!A$2</f>
        <v>594100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IFERROR(VLOOKUP(B159,input_settle_594100!L:R,7,FALSE),VLOOKUP(tables_settle_594100!C159,input_settle_594100!A:H,8,FALSE))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input_settle_594100!A$2</f>
        <v>594100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IFERROR(VLOOKUP(B160,input_settle_594100!L:R,7,FALSE),VLOOKUP(tables_settle_594100!C160,input_settle_594100!A:H,8,FALSE))</f>
        <v>1742019.23077</v>
      </c>
      <c r="P160" s="46">
        <f t="shared" ca="1" si="7"/>
        <v>1.1972640761302542E-2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input_settle_594100!A$2</f>
        <v>594100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IFERROR(VLOOKUP(B161,input_settle_594100!L:R,7,FALSE),VLOOKUP(tables_settle_594100!C161,input_settle_594100!A:H,8,FALSE))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input_settle_594100!A$2</f>
        <v>594100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IFERROR(VLOOKUP(B162,input_settle_594100!L:R,7,FALSE),VLOOKUP(tables_settle_594100!C162,input_settle_594100!A:H,8,FALSE))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input_settle_594100!A$2</f>
        <v>594100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IFERROR(VLOOKUP(B163,input_settle_594100!L:R,7,FALSE),VLOOKUP(tables_settle_594100!C163,input_settle_594100!A:H,8,FALSE))</f>
        <v>1742019.23077</v>
      </c>
      <c r="P163" s="46">
        <f t="shared" ca="1" si="7"/>
        <v>1.1972640761302542E-2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input_settle_594100!A$2</f>
        <v>594100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IFERROR(VLOOKUP(B164,input_settle_594100!L:R,7,FALSE),VLOOKUP(tables_settle_594100!C164,input_settle_594100!A:H,8,FALSE))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input_settle_594100!A$2</f>
        <v>594100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IFERROR(VLOOKUP(B165,input_settle_594100!L:R,7,FALSE),VLOOKUP(tables_settle_594100!C165,input_settle_594100!A:H,8,FALSE))</f>
        <v>145500</v>
      </c>
      <c r="P165" s="46">
        <f t="shared" ca="1" si="7"/>
        <v>9.999999999997242E-4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input_settle_594100!A$2</f>
        <v>594100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IFERROR(VLOOKUP(B166,input_settle_594100!L:R,7,FALSE),VLOOKUP(tables_settle_594100!C166,input_settle_594100!A:H,8,FALSE))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input_settle_594100!A$2</f>
        <v>594100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IFERROR(VLOOKUP(B167,input_settle_594100!L:R,7,FALSE),VLOOKUP(tables_settle_594100!C167,input_settle_594100!A:H,8,FALSE))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input_settle_594100!A$2</f>
        <v>594100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IFERROR(VLOOKUP(B168,input_settle_594100!L:R,7,FALSE),VLOOKUP(tables_settle_594100!C168,input_settle_594100!A:H,8,FALSE))</f>
        <v>1742019.23077</v>
      </c>
      <c r="P168" s="46">
        <f t="shared" ca="1" si="7"/>
        <v>1.1972640761302542E-2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input_settle_594100!A$2</f>
        <v>594100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IFERROR(VLOOKUP(B169,input_settle_594100!L:R,7,FALSE),VLOOKUP(tables_settle_594100!C169,input_settle_594100!A:H,8,FALSE))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input_settle_594100!A$2</f>
        <v>594100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IFERROR(VLOOKUP(B170,input_settle_594100!L:R,7,FALSE),VLOOKUP(tables_settle_594100!C170,input_settle_594100!A:H,8,FALSE))</f>
        <v>145500</v>
      </c>
      <c r="P170" s="46">
        <f t="shared" ca="1" si="7"/>
        <v>9.999999999997242E-4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input_settle_594100!A$2</f>
        <v>594100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IFERROR(VLOOKUP(B171,input_settle_594100!L:R,7,FALSE),VLOOKUP(tables_settle_594100!C171,input_settle_594100!A:H,8,FALSE))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input_settle_594100!A$2</f>
        <v>594100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IFERROR(VLOOKUP(B172,input_settle_594100!L:R,7,FALSE),VLOOKUP(tables_settle_594100!C172,input_settle_594100!A:H,8,FALSE))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input_settle_594100!A$2</f>
        <v>594100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IFERROR(VLOOKUP(B173,input_settle_594100!L:R,7,FALSE),VLOOKUP(tables_settle_594100!C173,input_settle_594100!A:H,8,FALSE))</f>
        <v>1742019.23077</v>
      </c>
      <c r="P173" s="46">
        <f t="shared" ca="1" si="7"/>
        <v>1.1972640761302542E-2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input_settle_594100!A$2</f>
        <v>594100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IFERROR(VLOOKUP(B174,input_settle_594100!L:R,7,FALSE),VLOOKUP(tables_settle_594100!C174,input_settle_594100!A:H,8,FALSE))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input_settle_594100!A$2</f>
        <v>594100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IFERROR(VLOOKUP(B175,input_settle_594100!L:R,7,FALSE),VLOOKUP(tables_settle_594100!C175,input_settle_594100!A:H,8,FALSE))</f>
        <v>145500</v>
      </c>
      <c r="P175" s="46">
        <f t="shared" ca="1" si="7"/>
        <v>9.999999999997242E-4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input_settle_594100!A$2</f>
        <v>594100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IFERROR(VLOOKUP(B176,input_settle_594100!L:R,7,FALSE),VLOOKUP(tables_settle_594100!C176,input_settle_594100!A:H,8,FALSE))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input_settle_594100!A$2</f>
        <v>594100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IFERROR(VLOOKUP(B177,input_settle_594100!L:R,7,FALSE),VLOOKUP(tables_settle_594100!C177,input_settle_594100!A:H,8,FALSE))</f>
        <v>145500</v>
      </c>
      <c r="P177" s="46">
        <f t="shared" ca="1" si="7"/>
        <v>9.999999999997242E-4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input_settle_594100!A$2</f>
        <v>594100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IFERROR(VLOOKUP(B178,input_settle_594100!L:R,7,FALSE),VLOOKUP(tables_settle_594100!C178,input_settle_594100!A:H,8,FALSE))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input_settle_594100!A$2</f>
        <v>594100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IFERROR(VLOOKUP(B179,input_settle_594100!L:R,7,FALSE),VLOOKUP(tables_settle_594100!C179,input_settle_594100!A:H,8,FALSE))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input_settle_594100!A$2</f>
        <v>594100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IFERROR(VLOOKUP(B180,input_settle_594100!L:R,7,FALSE),VLOOKUP(tables_settle_594100!C180,input_settle_594100!A:H,8,FALSE))</f>
        <v>1742019.23077</v>
      </c>
      <c r="P180" s="46">
        <f t="shared" ca="1" si="7"/>
        <v>1.1972640761302542E-2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input_settle_594100!A$2</f>
        <v>594100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IFERROR(VLOOKUP(B181,input_settle_594100!L:R,7,FALSE),VLOOKUP(tables_settle_594100!C181,input_settle_594100!A:H,8,FALSE))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input_settle_594100!A$2</f>
        <v>594100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IFERROR(VLOOKUP(B182,input_settle_594100!L:R,7,FALSE),VLOOKUP(tables_settle_594100!C182,input_settle_594100!A:H,8,FALSE))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input_settle_594100!A$2</f>
        <v>594100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IFERROR(VLOOKUP(B183,input_settle_594100!L:R,7,FALSE),VLOOKUP(tables_settle_594100!C183,input_settle_594100!A:H,8,FALSE))</f>
        <v>1742019.23077</v>
      </c>
      <c r="P183" s="46">
        <f t="shared" ca="1" si="7"/>
        <v>1.1972640761302542E-2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input_settle_594100!A$2</f>
        <v>594100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IFERROR(VLOOKUP(B184,input_settle_594100!L:R,7,FALSE),VLOOKUP(tables_settle_594100!C184,input_settle_594100!A:H,8,FALSE))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input_settle_594100!A$2</f>
        <v>594100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IFERROR(VLOOKUP(B185,input_settle_594100!L:R,7,FALSE),VLOOKUP(tables_settle_594100!C185,input_settle_594100!A:H,8,FALSE))</f>
        <v>145500</v>
      </c>
      <c r="P185" s="46">
        <f t="shared" ca="1" si="7"/>
        <v>9.999999999997242E-4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input_settle_594100!A$2</f>
        <v>594100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IFERROR(VLOOKUP(B186,input_settle_594100!L:R,7,FALSE),VLOOKUP(tables_settle_594100!C186,input_settle_594100!A:H,8,FALSE))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input_settle_594100!A$2</f>
        <v>594100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IFERROR(VLOOKUP(B187,input_settle_594100!L:R,7,FALSE),VLOOKUP(tables_settle_594100!C187,input_settle_594100!A:H,8,FALSE))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input_settle_594100!A$2</f>
        <v>594100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IFERROR(VLOOKUP(B188,input_settle_594100!L:R,7,FALSE),VLOOKUP(tables_settle_594100!C188,input_settle_594100!A:H,8,FALSE))</f>
        <v>1742019.23077</v>
      </c>
      <c r="P188" s="46">
        <f t="shared" ca="1" si="7"/>
        <v>1.1972640761302542E-2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input_settle_594100!A$2</f>
        <v>594100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IFERROR(VLOOKUP(B189,input_settle_594100!L:R,7,FALSE),VLOOKUP(tables_settle_594100!C189,input_settle_594100!A:H,8,FALSE))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input_settle_594100!A$2</f>
        <v>594100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IFERROR(VLOOKUP(B190,input_settle_594100!L:R,7,FALSE),VLOOKUP(tables_settle_594100!C190,input_settle_594100!A:H,8,FALSE))</f>
        <v>145500</v>
      </c>
      <c r="P190" s="46">
        <f t="shared" ca="1" si="7"/>
        <v>9.999999999997242E-4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input_settle_594100!A$2</f>
        <v>594100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IFERROR(VLOOKUP(B191,input_settle_594100!L:R,7,FALSE),VLOOKUP(tables_settle_594100!C191,input_settle_594100!A:H,8,FALSE))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input_settle_594100!A$2</f>
        <v>594100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IFERROR(VLOOKUP(B192,input_settle_594100!L:R,7,FALSE),VLOOKUP(tables_settle_594100!C192,input_settle_594100!A:H,8,FALSE))</f>
        <v>145500</v>
      </c>
      <c r="P192" s="46">
        <f t="shared" ca="1" si="7"/>
        <v>9.999999999997242E-4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input_settle_594100!A$2</f>
        <v>594100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IFERROR(VLOOKUP(B193,input_settle_594100!L:R,7,FALSE),VLOOKUP(tables_settle_594100!C193,input_settle_594100!A:H,8,FALSE))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input_settle_594100!A$2</f>
        <v>594100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IFERROR(VLOOKUP(B194,input_settle_594100!L:R,7,FALSE),VLOOKUP(tables_settle_594100!C194,input_settle_594100!A:H,8,FALSE))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input_settle_594100!A$2</f>
        <v>594100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IFERROR(VLOOKUP(B195,input_settle_594100!L:R,7,FALSE),VLOOKUP(tables_settle_594100!C195,input_settle_594100!A:H,8,FALSE))</f>
        <v>1742019.23077</v>
      </c>
      <c r="P195" s="46">
        <f t="shared" ca="1" si="10"/>
        <v>1.1972640761302542E-2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input_settle_594100!A$2</f>
        <v>594100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IFERROR(VLOOKUP(B196,input_settle_594100!L:R,7,FALSE),VLOOKUP(tables_settle_594100!C196,input_settle_594100!A:H,8,FALSE))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input_settle_594100!A$2</f>
        <v>594100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IFERROR(VLOOKUP(B197,input_settle_594100!L:R,7,FALSE),VLOOKUP(tables_settle_594100!C197,input_settle_594100!A:H,8,FALSE))</f>
        <v>145500</v>
      </c>
      <c r="P197" s="46">
        <f t="shared" ca="1" si="10"/>
        <v>9.999999999997242E-4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input_settle_594100!A$2</f>
        <v>594100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IFERROR(VLOOKUP(B198,input_settle_594100!L:R,7,FALSE),VLOOKUP(tables_settle_594100!C198,input_settle_594100!A:H,8,FALSE))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input_settle_594100!A$2</f>
        <v>594100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IFERROR(VLOOKUP(B199,input_settle_594100!L:R,7,FALSE),VLOOKUP(tables_settle_594100!C199,input_settle_594100!A:H,8,FALSE))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input_settle_594100!A$2</f>
        <v>594100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IFERROR(VLOOKUP(B200,input_settle_594100!L:R,7,FALSE),VLOOKUP(tables_settle_594100!C200,input_settle_594100!A:H,8,FALSE))</f>
        <v>1742019.23077</v>
      </c>
      <c r="P200" s="46">
        <f t="shared" ca="1" si="10"/>
        <v>1.1972640761302542E-2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input_settle_594100!A$2</f>
        <v>594100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IFERROR(VLOOKUP(B201,input_settle_594100!L:R,7,FALSE),VLOOKUP(tables_settle_594100!C201,input_settle_594100!A:H,8,FALSE))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input_settle_594100!A$2</f>
        <v>594100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IFERROR(VLOOKUP(B202,input_settle_594100!L:R,7,FALSE),VLOOKUP(tables_settle_594100!C202,input_settle_594100!A:H,8,FALSE))</f>
        <v>145500</v>
      </c>
      <c r="P202" s="46">
        <f t="shared" ca="1" si="10"/>
        <v>9.999999999997242E-4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input_settle_594100!A$2</f>
        <v>594100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IFERROR(VLOOKUP(B203,input_settle_594100!L:R,7,FALSE),VLOOKUP(tables_settle_594100!C203,input_settle_594100!A:H,8,FALSE))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input_settle_594100!A$2</f>
        <v>594100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IFERROR(VLOOKUP(B204,input_settle_594100!L:R,7,FALSE),VLOOKUP(tables_settle_594100!C204,input_settle_594100!A:H,8,FALSE))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input_settle_594100!A$2</f>
        <v>594100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IFERROR(VLOOKUP(B205,input_settle_594100!L:R,7,FALSE),VLOOKUP(tables_settle_594100!C205,input_settle_594100!A:H,8,FALSE))</f>
        <v>1742019.23077</v>
      </c>
      <c r="P205" s="46">
        <f t="shared" ca="1" si="10"/>
        <v>1.1972640761302542E-2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input_settle_594100!A$2</f>
        <v>594100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IFERROR(VLOOKUP(B206,input_settle_594100!L:R,7,FALSE),VLOOKUP(tables_settle_594100!C206,input_settle_594100!A:H,8,FALSE))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input_settle_594100!A$2</f>
        <v>594100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IFERROR(VLOOKUP(B207,input_settle_594100!L:R,7,FALSE),VLOOKUP(tables_settle_594100!C207,input_settle_594100!A:H,8,FALSE))</f>
        <v>145500</v>
      </c>
      <c r="P207" s="46">
        <f t="shared" ca="1" si="10"/>
        <v>9.999999999997242E-4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input_settle_594100!A$2</f>
        <v>594100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IFERROR(VLOOKUP(B208,input_settle_594100!L:R,7,FALSE),VLOOKUP(tables_settle_594100!C208,input_settle_594100!A:H,8,FALSE))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input_settle_594100!A$2</f>
        <v>594100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IFERROR(VLOOKUP(B209,input_settle_594100!L:R,7,FALSE),VLOOKUP(tables_settle_594100!C209,input_settle_594100!A:H,8,FALSE))</f>
        <v>145500</v>
      </c>
      <c r="P209" s="46">
        <f t="shared" ca="1" si="10"/>
        <v>9.999999999997242E-4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input_settle_594100!A$2</f>
        <v>594100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IFERROR(VLOOKUP(B210,input_settle_594100!L:R,7,FALSE),VLOOKUP(tables_settle_594100!C210,input_settle_594100!A:H,8,FALSE))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input_settle_594100!A$2</f>
        <v>594100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IFERROR(VLOOKUP(B211,input_settle_594100!L:R,7,FALSE),VLOOKUP(tables_settle_594100!C211,input_settle_594100!A:H,8,FALSE))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input_settle_594100!A$2</f>
        <v>594100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IFERROR(VLOOKUP(B212,input_settle_594100!L:R,7,FALSE),VLOOKUP(tables_settle_594100!C212,input_settle_594100!A:H,8,FALSE))</f>
        <v>1742019.23077</v>
      </c>
      <c r="P212" s="46">
        <f t="shared" ca="1" si="10"/>
        <v>1.1972640761302542E-2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input_settle_594100!A$2</f>
        <v>594100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IFERROR(VLOOKUP(B213,input_settle_594100!L:R,7,FALSE),VLOOKUP(tables_settle_594100!C213,input_settle_594100!A:H,8,FALSE))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input_settle_594100!A$2</f>
        <v>594100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IFERROR(VLOOKUP(B214,input_settle_594100!L:R,7,FALSE),VLOOKUP(tables_settle_594100!C214,input_settle_594100!A:H,8,FALSE))</f>
        <v>145500</v>
      </c>
      <c r="P214" s="46">
        <f t="shared" ca="1" si="10"/>
        <v>9.999999999997242E-4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input_settle_594100!A$2</f>
        <v>594100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IFERROR(VLOOKUP(B215,input_settle_594100!L:R,7,FALSE),VLOOKUP(tables_settle_594100!C215,input_settle_594100!A:H,8,FALSE))</f>
        <v>1372500</v>
      </c>
      <c r="P215" s="46">
        <f t="shared" ca="1" si="10"/>
        <v>9.4329896907190489E-3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input_settle_594100!A$2</f>
        <v>594100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IFERROR(VLOOKUP(B216,input_settle_594100!L:R,7,FALSE),VLOOKUP(tables_settle_594100!C216,input_settle_594100!A:H,8,FALSE))</f>
        <v>1372500</v>
      </c>
      <c r="P216" s="46">
        <f t="shared" ca="1" si="10"/>
        <v>9.4329896907190489E-3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input_settle_594100!A$2</f>
        <v>594100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IFERROR(VLOOKUP(B217,input_settle_594100!L:R,7,FALSE),VLOOKUP(tables_settle_594100!C217,input_settle_594100!A:H,8,FALSE))</f>
        <v>1372500</v>
      </c>
      <c r="P217" s="46">
        <f t="shared" ca="1" si="10"/>
        <v>9.4329896907190489E-3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input_settle_594100!A$2</f>
        <v>594100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IFERROR(VLOOKUP(B218,input_settle_594100!L:R,7,FALSE),VLOOKUP(tables_settle_594100!C218,input_settle_594100!A:H,8,FALSE))</f>
        <v>1372500</v>
      </c>
      <c r="P218" s="46">
        <f t="shared" ca="1" si="10"/>
        <v>9.4329896907190489E-3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input_settle_594100!A$2</f>
        <v>594100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IFERROR(VLOOKUP(B219,input_settle_594100!L:R,7,FALSE),VLOOKUP(tables_settle_594100!C219,input_settle_594100!A:H,8,FALSE))</f>
        <v>1372500</v>
      </c>
      <c r="P219" s="46">
        <f t="shared" ca="1" si="10"/>
        <v>9.4329896907190489E-3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input_settle_594100!A$2</f>
        <v>594100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IFERROR(VLOOKUP(B220,input_settle_594100!L:R,7,FALSE),VLOOKUP(tables_settle_594100!C220,input_settle_594100!A:H,8,FALSE))</f>
        <v>1372500</v>
      </c>
      <c r="P220" s="46">
        <f t="shared" ca="1" si="10"/>
        <v>9.4329896907190489E-3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input_settle_594100!A$2</f>
        <v>594100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IFERROR(VLOOKUP(B221,input_settle_594100!L:R,7,FALSE),VLOOKUP(tables_settle_594100!C221,input_settle_594100!A:H,8,FALSE))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input_settle_594100!A$2</f>
        <v>594100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IFERROR(VLOOKUP(B222,input_settle_594100!L:R,7,FALSE),VLOOKUP(tables_settle_594100!C222,input_settle_594100!A:H,8,FALSE))</f>
        <v>145500</v>
      </c>
      <c r="P222" s="46">
        <f t="shared" ca="1" si="10"/>
        <v>9.999999999997242E-4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input_settle_594100!A$2</f>
        <v>594100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IFERROR(VLOOKUP(B223,input_settle_594100!L:R,7,FALSE),VLOOKUP(tables_settle_594100!C223,input_settle_594100!A:H,8,FALSE))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input_settle_594100!A$2</f>
        <v>594100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IFERROR(VLOOKUP(B224,input_settle_594100!L:R,7,FALSE),VLOOKUP(tables_settle_594100!C224,input_settle_594100!A:H,8,FALSE))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input_settle_594100!A$2</f>
        <v>594100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IFERROR(VLOOKUP(B225,input_settle_594100!L:R,7,FALSE),VLOOKUP(tables_settle_594100!C225,input_settle_594100!A:H,8,FALSE))</f>
        <v>1742019.23077</v>
      </c>
      <c r="P225" s="46">
        <f t="shared" ca="1" si="10"/>
        <v>1.1972640761302542E-2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input_settle_594100!A$2</f>
        <v>594100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IFERROR(VLOOKUP(B226,input_settle_594100!L:R,7,FALSE),VLOOKUP(tables_settle_594100!C226,input_settle_594100!A:H,8,FALSE))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input_settle_594100!A$2</f>
        <v>594100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IFERROR(VLOOKUP(B227,input_settle_594100!L:R,7,FALSE),VLOOKUP(tables_settle_594100!C227,input_settle_594100!A:H,8,FALSE))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input_settle_594100!A$2</f>
        <v>594100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IFERROR(VLOOKUP(B228,input_settle_594100!L:R,7,FALSE),VLOOKUP(tables_settle_594100!C228,input_settle_594100!A:H,8,FALSE))</f>
        <v>1742019.23077</v>
      </c>
      <c r="P228" s="46">
        <f t="shared" ca="1" si="10"/>
        <v>1.1972640761302542E-2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input_settle_594100!A$2</f>
        <v>594100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IFERROR(VLOOKUP(B229,input_settle_594100!L:R,7,FALSE),VLOOKUP(tables_settle_594100!C229,input_settle_594100!A:H,8,FALSE))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input_settle_594100!A$2</f>
        <v>594100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IFERROR(VLOOKUP(B230,input_settle_594100!L:R,7,FALSE),VLOOKUP(tables_settle_594100!C230,input_settle_594100!A:H,8,FALSE))</f>
        <v>145500</v>
      </c>
      <c r="P230" s="46">
        <f t="shared" ca="1" si="10"/>
        <v>9.999999999997242E-4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input_settle_594100!A$2</f>
        <v>594100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IFERROR(VLOOKUP(B231,input_settle_594100!L:R,7,FALSE),VLOOKUP(tables_settle_594100!C231,input_settle_594100!A:H,8,FALSE))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input_settle_594100!A$2</f>
        <v>594100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IFERROR(VLOOKUP(B232,input_settle_594100!L:R,7,FALSE),VLOOKUP(tables_settle_594100!C232,input_settle_594100!A:H,8,FALSE))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input_settle_594100!A$2</f>
        <v>594100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IFERROR(VLOOKUP(B233,input_settle_594100!L:R,7,FALSE),VLOOKUP(tables_settle_594100!C233,input_settle_594100!A:H,8,FALSE))</f>
        <v>1742019.23077</v>
      </c>
      <c r="P233" s="46">
        <f t="shared" ca="1" si="10"/>
        <v>1.1972640761302542E-2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input_settle_594100!A$2</f>
        <v>594100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IFERROR(VLOOKUP(B234,input_settle_594100!L:R,7,FALSE),VLOOKUP(tables_settle_594100!C234,input_settle_594100!A:H,8,FALSE))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input_settle_594100!A$2</f>
        <v>594100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IFERROR(VLOOKUP(B235,input_settle_594100!L:R,7,FALSE),VLOOKUP(tables_settle_594100!C235,input_settle_594100!A:H,8,FALSE))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input_settle_594100!A$2</f>
        <v>594100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IFERROR(VLOOKUP(B236,input_settle_594100!L:R,7,FALSE),VLOOKUP(tables_settle_594100!C236,input_settle_594100!A:H,8,FALSE))</f>
        <v>1742019.23077</v>
      </c>
      <c r="P236" s="46">
        <f t="shared" ca="1" si="10"/>
        <v>1.1972640761302542E-2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input_settle_594100!A$2</f>
        <v>594100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IFERROR(VLOOKUP(B237,input_settle_594100!L:R,7,FALSE),VLOOKUP(tables_settle_594100!C237,input_settle_594100!A:H,8,FALSE))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input_settle_594100!A$2</f>
        <v>594100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IFERROR(VLOOKUP(B238,input_settle_594100!L:R,7,FALSE),VLOOKUP(tables_settle_594100!C238,input_settle_594100!A:H,8,FALSE))</f>
        <v>145500</v>
      </c>
      <c r="P238" s="46">
        <f t="shared" ca="1" si="10"/>
        <v>9.999999999997242E-4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input_settle_594100!A$2</f>
        <v>594100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IFERROR(VLOOKUP(B239,input_settle_594100!L:R,7,FALSE),VLOOKUP(tables_settle_594100!C239,input_settle_594100!A:H,8,FALSE))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input_settle_594100!A$2</f>
        <v>594100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IFERROR(VLOOKUP(B240,input_settle_594100!L:R,7,FALSE),VLOOKUP(tables_settle_594100!C240,input_settle_594100!A:H,8,FALSE))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input_settle_594100!A$2</f>
        <v>594100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IFERROR(VLOOKUP(B241,input_settle_594100!L:R,7,FALSE),VLOOKUP(tables_settle_594100!C241,input_settle_594100!A:H,8,FALSE))</f>
        <v>1742019.23077</v>
      </c>
      <c r="P241" s="46">
        <f t="shared" ca="1" si="10"/>
        <v>1.1972640761302542E-2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input_settle_594100!A$2</f>
        <v>594100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IFERROR(VLOOKUP(B242,input_settle_594100!L:R,7,FALSE),VLOOKUP(tables_settle_594100!C242,input_settle_594100!A:H,8,FALSE))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input_settle_594100!A$2</f>
        <v>594100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IFERROR(VLOOKUP(B243,input_settle_594100!L:R,7,FALSE),VLOOKUP(tables_settle_594100!C243,input_settle_594100!A:H,8,FALSE))</f>
        <v>145500</v>
      </c>
      <c r="P243" s="46">
        <f t="shared" ca="1" si="10"/>
        <v>9.999999999997242E-4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input_settle_594100!A$2</f>
        <v>594100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IFERROR(VLOOKUP(B244,input_settle_594100!L:R,7,FALSE),VLOOKUP(tables_settle_594100!C244,input_settle_594100!A:H,8,FALSE))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input_settle_594100!A$2</f>
        <v>594100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IFERROR(VLOOKUP(B245,input_settle_594100!L:R,7,FALSE),VLOOKUP(tables_settle_594100!C245,input_settle_594100!A:H,8,FALSE))</f>
        <v>145500</v>
      </c>
      <c r="P245" s="46">
        <f t="shared" ca="1" si="10"/>
        <v>9.999999999997242E-4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input_settle_594100!A$2</f>
        <v>594100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IFERROR(VLOOKUP(B246,input_settle_594100!L:R,7,FALSE),VLOOKUP(tables_settle_594100!C246,input_settle_594100!A:H,8,FALSE))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input_settle_594100!A$2</f>
        <v>594100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IFERROR(VLOOKUP(B247,input_settle_594100!L:R,7,FALSE),VLOOKUP(tables_settle_594100!C247,input_settle_594100!A:H,8,FALSE))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input_settle_594100!A$2</f>
        <v>594100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IFERROR(VLOOKUP(B248,input_settle_594100!L:R,7,FALSE),VLOOKUP(tables_settle_594100!C248,input_settle_594100!A:H,8,FALSE))</f>
        <v>1742019.23077</v>
      </c>
      <c r="P248" s="46">
        <f t="shared" ca="1" si="10"/>
        <v>1.1972640761302542E-2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input_settle_594100!A$2</f>
        <v>594100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IFERROR(VLOOKUP(B249,input_settle_594100!L:R,7,FALSE),VLOOKUP(tables_settle_594100!C249,input_settle_594100!A:H,8,FALSE))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input_settle_594100!A$2</f>
        <v>594100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IFERROR(VLOOKUP(B250,input_settle_594100!L:R,7,FALSE),VLOOKUP(tables_settle_594100!C250,input_settle_594100!A:H,8,FALSE))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input_settle_594100!A$2</f>
        <v>594100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IFERROR(VLOOKUP(B251,input_settle_594100!L:R,7,FALSE),VLOOKUP(tables_settle_594100!C251,input_settle_594100!A:H,8,FALSE))</f>
        <v>1742019.23077</v>
      </c>
      <c r="P251" s="46">
        <f t="shared" ca="1" si="10"/>
        <v>1.1972640761302542E-2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input_settle_594100!A$2</f>
        <v>594100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IFERROR(VLOOKUP(B252,input_settle_594100!L:R,7,FALSE),VLOOKUP(tables_settle_594100!C252,input_settle_594100!A:H,8,FALSE))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input_settle_594100!A$2</f>
        <v>594100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IFERROR(VLOOKUP(B253,input_settle_594100!L:R,7,FALSE),VLOOKUP(tables_settle_594100!C253,input_settle_594100!A:H,8,FALSE))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input_settle_594100!A$2</f>
        <v>594100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IFERROR(VLOOKUP(B254,input_settle_594100!L:R,7,FALSE),VLOOKUP(tables_settle_594100!C254,input_settle_594100!A:H,8,FALSE))</f>
        <v>1742019.23077</v>
      </c>
      <c r="P254" s="46">
        <f t="shared" ca="1" si="10"/>
        <v>1.1972640761302542E-2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input_settle_594100!A$2</f>
        <v>594100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IFERROR(VLOOKUP(B255,input_settle_594100!L:R,7,FALSE),VLOOKUP(tables_settle_594100!C255,input_settle_594100!A:H,8,FALSE))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input_settle_594100!A$2</f>
        <v>594100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IFERROR(VLOOKUP(B256,input_settle_594100!L:R,7,FALSE),VLOOKUP(tables_settle_594100!C256,input_settle_594100!A:H,8,FALSE))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input_settle_594100!A$2</f>
        <v>594100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IFERROR(VLOOKUP(B257,input_settle_594100!L:R,7,FALSE),VLOOKUP(tables_settle_594100!C257,input_settle_594100!A:H,8,FALSE))</f>
        <v>1742019.23077</v>
      </c>
      <c r="P257" s="46">
        <f t="shared" ca="1" si="10"/>
        <v>1.1972640761302542E-2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input_settle_594100!A$2</f>
        <v>594100</v>
      </c>
      <c r="B258" s="9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IFERROR(VLOOKUP(B258,input_settle_594100!L:R,7,FALSE),VLOOKUP(tables_settle_594100!C258,input_settle_594100!A:H,8,FALSE))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input_settle_594100!A$2</f>
        <v>594100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IFERROR(VLOOKUP(B259,input_settle_594100!L:R,7,FALSE),VLOOKUP(tables_settle_594100!C259,input_settle_594100!A:H,8,FALSE))</f>
        <v>145500</v>
      </c>
      <c r="P259" s="46">
        <f t="shared" ca="1" si="13"/>
        <v>9.999999999997242E-4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input_settle_594100!A$2</f>
        <v>594100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IFERROR(VLOOKUP(B260,input_settle_594100!L:R,7,FALSE),VLOOKUP(tables_settle_594100!C260,input_settle_594100!A:H,8,FALSE))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input_settle_594100!A$2</f>
        <v>594100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IFERROR(VLOOKUP(B261,input_settle_594100!L:R,7,FALSE),VLOOKUP(tables_settle_594100!C261,input_settle_594100!A:H,8,FALSE))</f>
        <v>145500</v>
      </c>
      <c r="P261" s="46">
        <f t="shared" ca="1" si="13"/>
        <v>9.999999999997242E-4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input_settle_594100!A$2</f>
        <v>594100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IFERROR(VLOOKUP(B262,input_settle_594100!L:R,7,FALSE),VLOOKUP(tables_settle_594100!C262,input_settle_594100!A:H,8,FALSE))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input_settle_594100!A$2</f>
        <v>594100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IFERROR(VLOOKUP(B263,input_settle_594100!L:R,7,FALSE),VLOOKUP(tables_settle_594100!C263,input_settle_594100!A:H,8,FALSE))</f>
        <v>1372500</v>
      </c>
      <c r="P263" s="46">
        <f t="shared" ca="1" si="13"/>
        <v>9.4329896907190489E-3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input_settle_594100!A$2</f>
        <v>594100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IFERROR(VLOOKUP(B264,input_settle_594100!L:R,7,FALSE),VLOOKUP(tables_settle_594100!C264,input_settle_594100!A:H,8,FALSE))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input_settle_594100!A$2</f>
        <v>594100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IFERROR(VLOOKUP(B265,input_settle_594100!L:R,7,FALSE),VLOOKUP(tables_settle_594100!C265,input_settle_594100!A:H,8,FALSE))</f>
        <v>1372500</v>
      </c>
      <c r="P265" s="46">
        <f t="shared" ca="1" si="13"/>
        <v>9.4329896907190489E-3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input_settle_594100!A$2</f>
        <v>594100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IFERROR(VLOOKUP(B266,input_settle_594100!L:R,7,FALSE),VLOOKUP(tables_settle_594100!C266,input_settle_594100!A:H,8,FALSE))</f>
        <v>145500</v>
      </c>
      <c r="P266" s="46">
        <f t="shared" ca="1" si="13"/>
        <v>9.999999999997242E-4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input_settle_594100!A$2</f>
        <v>594100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IFERROR(VLOOKUP(B267,input_settle_594100!L:R,7,FALSE),VLOOKUP(tables_settle_594100!C267,input_settle_594100!A:H,8,FALSE))</f>
        <v>145500</v>
      </c>
      <c r="P267" s="46">
        <f t="shared" ca="1" si="13"/>
        <v>9.999999999997242E-4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input_settle_594100!A$2</f>
        <v>594100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IFERROR(VLOOKUP(B268,input_settle_594100!L:R,7,FALSE),VLOOKUP(tables_settle_594100!C268,input_settle_594100!A:H,8,FALSE))</f>
        <v>145500</v>
      </c>
      <c r="P268" s="46">
        <f t="shared" ca="1" si="13"/>
        <v>9.999999999997242E-4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input_settle_594100!A$2</f>
        <v>594100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IFERROR(VLOOKUP(B269,input_settle_594100!L:R,7,FALSE),VLOOKUP(tables_settle_594100!C269,input_settle_594100!A:H,8,FALSE))</f>
        <v>145500</v>
      </c>
      <c r="P269" s="46">
        <f t="shared" ca="1" si="13"/>
        <v>9.999999999997242E-4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input_settle_594100!A$2</f>
        <v>594100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IFERROR(VLOOKUP(B270,input_settle_594100!L:R,7,FALSE),VLOOKUP(tables_settle_594100!C270,input_settle_594100!A:H,8,FALSE))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input_settle_594100!A$2</f>
        <v>594100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IFERROR(VLOOKUP(B271,input_settle_594100!L:R,7,FALSE),VLOOKUP(tables_settle_594100!C271,input_settle_594100!A:H,8,FALSE))</f>
        <v>1372500</v>
      </c>
      <c r="P271" s="46">
        <f t="shared" ca="1" si="13"/>
        <v>9.4329896907190489E-3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input_settle_594100!A$2</f>
        <v>594100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IFERROR(VLOOKUP(B272,input_settle_594100!L:R,7,FALSE),VLOOKUP(tables_settle_594100!C272,input_settle_594100!A:H,8,FALSE))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input_settle_594100!A$2</f>
        <v>594100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IFERROR(VLOOKUP(B273,input_settle_594100!L:R,7,FALSE),VLOOKUP(tables_settle_594100!C273,input_settle_594100!A:H,8,FALSE))</f>
        <v>1372500</v>
      </c>
      <c r="P273" s="46">
        <f t="shared" ca="1" si="13"/>
        <v>9.4329896907190489E-3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input_settle_594100!A$2</f>
        <v>594100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IFERROR(VLOOKUP(B274,input_settle_594100!L:R,7,FALSE),VLOOKUP(tables_settle_594100!C274,input_settle_594100!A:H,8,FALSE))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input_settle_594100!A$2</f>
        <v>594100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IFERROR(VLOOKUP(B275,input_settle_594100!L:R,7,FALSE),VLOOKUP(tables_settle_594100!C275,input_settle_594100!A:H,8,FALSE))</f>
        <v>145500</v>
      </c>
      <c r="P275" s="46">
        <f t="shared" ca="1" si="13"/>
        <v>9.999999999997242E-4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input_settle_594100!A$2</f>
        <v>594100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IFERROR(VLOOKUP(B276,input_settle_594100!L:R,7,FALSE),VLOOKUP(tables_settle_594100!C276,input_settle_594100!A:H,8,FALSE))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input_settle_594100!A$2</f>
        <v>594100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IFERROR(VLOOKUP(B277,input_settle_594100!L:R,7,FALSE),VLOOKUP(tables_settle_594100!C277,input_settle_594100!A:H,8,FALSE))</f>
        <v>145500</v>
      </c>
      <c r="P277" s="46">
        <f t="shared" ca="1" si="13"/>
        <v>9.999999999997242E-4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input_settle_594100!A$2</f>
        <v>594100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IFERROR(VLOOKUP(B278,input_settle_594100!L:R,7,FALSE),VLOOKUP(tables_settle_594100!C278,input_settle_594100!A:H,8,FALSE))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input_settle_594100!A$2</f>
        <v>594100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IFERROR(VLOOKUP(B279,input_settle_594100!L:R,7,FALSE),VLOOKUP(tables_settle_594100!C279,input_settle_594100!A:H,8,FALSE))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input_settle_594100!A$2</f>
        <v>594100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IFERROR(VLOOKUP(B280,input_settle_594100!L:R,7,FALSE),VLOOKUP(tables_settle_594100!C280,input_settle_594100!A:H,8,FALSE))</f>
        <v>1742019.23077</v>
      </c>
      <c r="P280" s="46">
        <f t="shared" ca="1" si="13"/>
        <v>1.1972640761302542E-2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input_settle_594100!A$2</f>
        <v>594100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IFERROR(VLOOKUP(B281,input_settle_594100!L:R,7,FALSE),VLOOKUP(tables_settle_594100!C281,input_settle_594100!A:H,8,FALSE))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input_settle_594100!A$2</f>
        <v>594100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IFERROR(VLOOKUP(B282,input_settle_594100!L:R,7,FALSE),VLOOKUP(tables_settle_594100!C282,input_settle_594100!A:H,8,FALSE))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input_settle_594100!A$2</f>
        <v>594100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IFERROR(VLOOKUP(B283,input_settle_594100!L:R,7,FALSE),VLOOKUP(tables_settle_594100!C283,input_settle_594100!A:H,8,FALSE))</f>
        <v>1742019.23077</v>
      </c>
      <c r="P283" s="46">
        <f t="shared" ca="1" si="13"/>
        <v>1.1972640761302542E-2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input_settle_594100!A$2</f>
        <v>594100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IFERROR(VLOOKUP(B284,input_settle_594100!L:R,7,FALSE),VLOOKUP(tables_settle_594100!C284,input_settle_594100!A:H,8,FALSE))</f>
        <v>145500</v>
      </c>
      <c r="P284" s="46">
        <f t="shared" ca="1" si="13"/>
        <v>9.999999999997242E-4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input_settle_594100!A$2</f>
        <v>594100</v>
      </c>
      <c r="B285" s="100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IFERROR(VLOOKUP(B285,input_settle_594100!L:R,7,FALSE),VLOOKUP(tables_settle_594100!C285,input_settle_594100!A:H,8,FALSE))</f>
        <v>145500</v>
      </c>
      <c r="P285" s="46">
        <f t="shared" ca="1" si="13"/>
        <v>9.999999999997242E-4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input_settle_594100!A$2</f>
        <v>594100</v>
      </c>
      <c r="B286" s="100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IFERROR(VLOOKUP(B286,input_settle_594100!L:R,7,FALSE),VLOOKUP(tables_settle_594100!C286,input_settle_594100!A:H,8,FALSE))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input_settle_594100!A$2</f>
        <v>594100</v>
      </c>
      <c r="B287" s="100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IFERROR(VLOOKUP(B287,input_settle_594100!L:R,7,FALSE),VLOOKUP(tables_settle_594100!C287,input_settle_594100!A:H,8,FALSE))</f>
        <v>1372500</v>
      </c>
      <c r="P287" s="46">
        <f t="shared" ca="1" si="13"/>
        <v>9.4329896907190489E-3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input_settle_594100!A$2</f>
        <v>594100</v>
      </c>
      <c r="B288" s="100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IFERROR(VLOOKUP(B288,input_settle_594100!L:R,7,FALSE),VLOOKUP(tables_settle_594100!C288,input_settle_594100!A:H,8,FALSE))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input_settle_594100!A$2</f>
        <v>594100</v>
      </c>
      <c r="B289" s="100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IFERROR(VLOOKUP(B289,input_settle_594100!L:R,7,FALSE),VLOOKUP(tables_settle_594100!C289,input_settle_594100!A:H,8,FALSE))</f>
        <v>1372500</v>
      </c>
      <c r="P289" s="46">
        <f t="shared" ca="1" si="13"/>
        <v>9.4329896907190489E-3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input_settle_594100!A$2</f>
        <v>594100</v>
      </c>
      <c r="B290" s="100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IFERROR(VLOOKUP(B290,input_settle_594100!L:R,7,FALSE),VLOOKUP(tables_settle_594100!C290,input_settle_594100!A:H,8,FALSE))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input_settle_594100!A$2</f>
        <v>594100</v>
      </c>
      <c r="B291" s="100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IFERROR(VLOOKUP(B291,input_settle_594100!L:R,7,FALSE),VLOOKUP(tables_settle_594100!C291,input_settle_594100!A:H,8,FALSE))</f>
        <v>1372500</v>
      </c>
      <c r="P291" s="46">
        <f t="shared" ca="1" si="13"/>
        <v>9.4329896907190489E-3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input_settle_594100!A$2</f>
        <v>594100</v>
      </c>
      <c r="B292" s="100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IFERROR(VLOOKUP(B292,input_settle_594100!L:R,7,FALSE),VLOOKUP(tables_settle_594100!C292,input_settle_594100!A:H,8,FALSE))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input_settle_594100!A$2</f>
        <v>594100</v>
      </c>
      <c r="B293" s="100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IFERROR(VLOOKUP(B293,input_settle_594100!L:R,7,FALSE),VLOOKUP(tables_settle_594100!C293,input_settle_594100!A:H,8,FALSE))</f>
        <v>1372500</v>
      </c>
      <c r="P293" s="46">
        <f t="shared" ca="1" si="13"/>
        <v>9.4329896907190489E-3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input_settle_594100!A$2</f>
        <v>594100</v>
      </c>
      <c r="B294" s="100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IFERROR(VLOOKUP(B294,input_settle_594100!L:R,7,FALSE),VLOOKUP(tables_settle_594100!C294,input_settle_594100!A:H,8,FALSE))</f>
        <v>145500</v>
      </c>
      <c r="P294" s="46">
        <f t="shared" ca="1" si="13"/>
        <v>9.999999999997242E-4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input_settle_594100!A$2</f>
        <v>594100</v>
      </c>
      <c r="B295" s="100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IFERROR(VLOOKUP(B295,input_settle_594100!L:R,7,FALSE),VLOOKUP(tables_settle_594100!C295,input_settle_594100!A:H,8,FALSE))</f>
        <v>145500</v>
      </c>
      <c r="P295" s="46">
        <f t="shared" ca="1" si="13"/>
        <v>9.999999999997242E-4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input_settle_594100!A$2</f>
        <v>594100</v>
      </c>
      <c r="B296" s="100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IFERROR(VLOOKUP(B296,input_settle_594100!L:R,7,FALSE),VLOOKUP(tables_settle_594100!C296,input_settle_594100!A:H,8,FALSE))</f>
        <v>145500</v>
      </c>
      <c r="P296" s="46">
        <f t="shared" ca="1" si="13"/>
        <v>9.999999999997242E-4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input_settle_594100!A$2</f>
        <v>594100</v>
      </c>
      <c r="B297" s="100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IFERROR(VLOOKUP(B297,input_settle_594100!L:R,7,FALSE),VLOOKUP(tables_settle_594100!C297,input_settle_594100!A:H,8,FALSE))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input_settle_594100!A$2</f>
        <v>594100</v>
      </c>
      <c r="B298" s="100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IFERROR(VLOOKUP(B298,input_settle_594100!L:R,7,FALSE),VLOOKUP(tables_settle_594100!C298,input_settle_594100!A:H,8,FALSE))</f>
        <v>1372500</v>
      </c>
      <c r="P298" s="46">
        <f t="shared" ca="1" si="13"/>
        <v>9.4329896907190489E-3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input_settle_594100!A$2</f>
        <v>594100</v>
      </c>
      <c r="B299" s="100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IFERROR(VLOOKUP(B299,input_settle_594100!L:R,7,FALSE),VLOOKUP(tables_settle_594100!C299,input_settle_594100!A:H,8,FALSE))</f>
        <v>145500</v>
      </c>
      <c r="P299" s="46">
        <f t="shared" ca="1" si="13"/>
        <v>9.999999999997242E-4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input_settle_594100!A$2</f>
        <v>594100</v>
      </c>
      <c r="B300" s="100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IFERROR(VLOOKUP(B300,input_settle_594100!L:R,7,FALSE),VLOOKUP(tables_settle_594100!C300,input_settle_594100!A:H,8,FALSE))</f>
        <v>145500</v>
      </c>
      <c r="P300" s="46">
        <f t="shared" ca="1" si="13"/>
        <v>9.999999999997242E-4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input_settle_594100!A$2</f>
        <v>594100</v>
      </c>
      <c r="B301" s="100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IFERROR(VLOOKUP(B301,input_settle_594100!L:R,7,FALSE),VLOOKUP(tables_settle_594100!C301,input_settle_594100!A:H,8,FALSE))</f>
        <v>145500</v>
      </c>
      <c r="P301" s="46">
        <f t="shared" ca="1" si="13"/>
        <v>9.999999999997242E-4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input_settle_594100!A$2</f>
        <v>594100</v>
      </c>
      <c r="B302" s="100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IFERROR(VLOOKUP(B302,input_settle_594100!L:R,7,FALSE),VLOOKUP(tables_settle_594100!C302,input_settle_594100!A:H,8,FALSE))</f>
        <v>145500</v>
      </c>
      <c r="P302" s="46">
        <f t="shared" ca="1" si="13"/>
        <v>9.999999999997242E-4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input_settle_594100!A$2</f>
        <v>594100</v>
      </c>
      <c r="B303" s="100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IFERROR(VLOOKUP(B303,input_settle_594100!L:R,7,FALSE),VLOOKUP(tables_settle_594100!C303,input_settle_594100!A:H,8,FALSE))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input_settle_594100!A$2</f>
        <v>594100</v>
      </c>
      <c r="B304" s="100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IFERROR(VLOOKUP(B304,input_settle_594100!L:R,7,FALSE),VLOOKUP(tables_settle_594100!C304,input_settle_594100!A:H,8,FALSE))</f>
        <v>1372500</v>
      </c>
      <c r="P304" s="46">
        <f t="shared" ca="1" si="13"/>
        <v>9.4329896907190489E-3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input_settle_594100!A$2</f>
        <v>594100</v>
      </c>
      <c r="B305" s="100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IFERROR(VLOOKUP(B305,input_settle_594100!L:R,7,FALSE),VLOOKUP(tables_settle_594100!C305,input_settle_594100!A:H,8,FALSE))</f>
        <v>145500</v>
      </c>
      <c r="P305" s="46">
        <f t="shared" ca="1" si="13"/>
        <v>9.999999999997242E-4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input_settle_594100!A$2</f>
        <v>594100</v>
      </c>
      <c r="B306" s="100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IFERROR(VLOOKUP(B306,input_settle_594100!L:R,7,FALSE),VLOOKUP(tables_settle_594100!C306,input_settle_594100!A:H,8,FALSE))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input_settle_594100!A$2</f>
        <v>594100</v>
      </c>
      <c r="B307" s="100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IFERROR(VLOOKUP(B307,input_settle_594100!L:R,7,FALSE),VLOOKUP(tables_settle_594100!C307,input_settle_594100!A:H,8,FALSE))</f>
        <v>1372500</v>
      </c>
      <c r="P307" s="46">
        <f t="shared" ca="1" si="13"/>
        <v>9.4329896907190489E-3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input_settle_594100!A$2</f>
        <v>594100</v>
      </c>
      <c r="B308" s="100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IFERROR(VLOOKUP(B308,input_settle_594100!L:R,7,FALSE),VLOOKUP(tables_settle_594100!C308,input_settle_594100!A:H,8,FALSE))</f>
        <v>145500</v>
      </c>
      <c r="P308" s="46">
        <f t="shared" ca="1" si="13"/>
        <v>9.999999999997242E-4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input_settle_594100!A$2</f>
        <v>594100</v>
      </c>
      <c r="B309" s="100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IFERROR(VLOOKUP(B309,input_settle_594100!L:R,7,FALSE),VLOOKUP(tables_settle_594100!C309,input_settle_594100!A:H,8,FALSE))</f>
        <v>145500</v>
      </c>
      <c r="P309" s="46">
        <f t="shared" ca="1" si="13"/>
        <v>9.999999999997242E-4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input_settle_594100!A$2</f>
        <v>594100</v>
      </c>
      <c r="B310" s="100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IFERROR(VLOOKUP(B310,input_settle_594100!L:R,7,FALSE),VLOOKUP(tables_settle_594100!C310,input_settle_594100!A:H,8,FALSE))</f>
        <v>145500</v>
      </c>
      <c r="P310" s="46">
        <f t="shared" ca="1" si="13"/>
        <v>9.999999999997242E-4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input_settle_594100!A$2</f>
        <v>594100</v>
      </c>
      <c r="B311" s="100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IFERROR(VLOOKUP(B311,input_settle_594100!L:R,7,FALSE),VLOOKUP(tables_settle_594100!C311,input_settle_594100!A:H,8,FALSE))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input_settle_594100!A$2</f>
        <v>594100</v>
      </c>
      <c r="B312" s="100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IFERROR(VLOOKUP(B312,input_settle_594100!L:R,7,FALSE),VLOOKUP(tables_settle_594100!C312,input_settle_594100!A:H,8,FALSE))</f>
        <v>1372500</v>
      </c>
      <c r="P312" s="46">
        <f t="shared" ca="1" si="13"/>
        <v>9.4329896907190489E-3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input_settle_594100!A$2</f>
        <v>594100</v>
      </c>
      <c r="B313" s="100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IFERROR(VLOOKUP(B313,input_settle_594100!L:R,7,FALSE),VLOOKUP(tables_settle_594100!C313,input_settle_594100!A:H,8,FALSE))</f>
        <v>145500</v>
      </c>
      <c r="P313" s="46">
        <f t="shared" ca="1" si="13"/>
        <v>9.999999999997242E-4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input_settle_594100!A$2</f>
        <v>594100</v>
      </c>
      <c r="B314" s="100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IFERROR(VLOOKUP(B314,input_settle_594100!L:R,7,FALSE),VLOOKUP(tables_settle_594100!C314,input_settle_594100!A:H,8,FALSE))</f>
        <v>145500</v>
      </c>
      <c r="P314" s="46">
        <f t="shared" ca="1" si="13"/>
        <v>9.999999999997242E-4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input_settle_594100!A$2</f>
        <v>594100</v>
      </c>
      <c r="B315" s="100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IFERROR(VLOOKUP(B315,input_settle_594100!L:R,7,FALSE),VLOOKUP(tables_settle_594100!C315,input_settle_594100!A:H,8,FALSE))</f>
        <v>145500</v>
      </c>
      <c r="P315" s="46">
        <f t="shared" ca="1" si="13"/>
        <v>9.999999999997242E-4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input_settle_594100!A$2</f>
        <v>594100</v>
      </c>
      <c r="B316" s="100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IFERROR(VLOOKUP(B316,input_settle_594100!L:R,7,FALSE),VLOOKUP(tables_settle_594100!C316,input_settle_594100!A:H,8,FALSE))</f>
        <v>145500</v>
      </c>
      <c r="P316" s="46">
        <f t="shared" ca="1" si="13"/>
        <v>9.999999999997242E-4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input_settle_594100!A$2</f>
        <v>594100</v>
      </c>
      <c r="B317" s="100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IFERROR(VLOOKUP(B317,input_settle_594100!L:R,7,FALSE),VLOOKUP(tables_settle_594100!C317,input_settle_594100!A:H,8,FALSE))</f>
        <v>145500</v>
      </c>
      <c r="P317" s="46">
        <f t="shared" ca="1" si="13"/>
        <v>9.999999999997242E-4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input_settle_594100!A$2</f>
        <v>594100</v>
      </c>
      <c r="B318" s="100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IFERROR(VLOOKUP(B318,input_settle_594100!L:R,7,FALSE),VLOOKUP(tables_settle_594100!C318,input_settle_594100!A:H,8,FALSE))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input_settle_594100!A$2</f>
        <v>594100</v>
      </c>
      <c r="B319" s="100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IFERROR(VLOOKUP(B319,input_settle_594100!L:R,7,FALSE),VLOOKUP(tables_settle_594100!C319,input_settle_594100!A:H,8,FALSE))</f>
        <v>1372500</v>
      </c>
      <c r="P319" s="46">
        <f t="shared" ca="1" si="13"/>
        <v>9.4329896907190489E-3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input_settle_594100!A$2</f>
        <v>594100</v>
      </c>
      <c r="B320" s="100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IFERROR(VLOOKUP(B320,input_settle_594100!L:R,7,FALSE),VLOOKUP(tables_settle_594100!C320,input_settle_594100!A:H,8,FALSE))</f>
        <v>145500</v>
      </c>
      <c r="P320" s="46">
        <f t="shared" ca="1" si="13"/>
        <v>9.999999999997242E-4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input_settle_594100!A$2</f>
        <v>594100</v>
      </c>
      <c r="B321" s="100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IFERROR(VLOOKUP(B321,input_settle_594100!L:R,7,FALSE),VLOOKUP(tables_settle_594100!C321,input_settle_594100!A:H,8,FALSE))</f>
        <v>145500</v>
      </c>
      <c r="P321" s="46">
        <f t="shared" ca="1" si="13"/>
        <v>9.999999999997242E-4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input_settle_594100!A$2</f>
        <v>594100</v>
      </c>
      <c r="B322" s="100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IFERROR(VLOOKUP(B322,input_settle_594100!L:R,7,FALSE),VLOOKUP(tables_settle_594100!C322,input_settle_594100!A:H,8,FALSE))</f>
        <v>145500</v>
      </c>
      <c r="P322" s="46">
        <f t="shared" ref="P322:P346" ca="1" si="16">O322/SUM(O:O)</f>
        <v>9.999999999997242E-4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input_settle_594100!A$2</f>
        <v>594100</v>
      </c>
      <c r="B323" s="100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IFERROR(VLOOKUP(B323,input_settle_594100!L:R,7,FALSE),VLOOKUP(tables_settle_594100!C323,input_settle_594100!A:H,8,FALSE))</f>
        <v>145500</v>
      </c>
      <c r="P323" s="46">
        <f t="shared" ca="1" si="16"/>
        <v>9.999999999997242E-4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input_settle_594100!A$2</f>
        <v>594100</v>
      </c>
      <c r="B324" s="100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IFERROR(VLOOKUP(B324,input_settle_594100!L:R,7,FALSE),VLOOKUP(tables_settle_594100!C324,input_settle_594100!A:H,8,FALSE))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input_settle_594100!A$2</f>
        <v>594100</v>
      </c>
      <c r="B325" s="100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IFERROR(VLOOKUP(B325,input_settle_594100!L:R,7,FALSE),VLOOKUP(tables_settle_594100!C325,input_settle_594100!A:H,8,FALSE))</f>
        <v>1372500</v>
      </c>
      <c r="P325" s="46">
        <f t="shared" ca="1" si="16"/>
        <v>9.4329896907190489E-3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input_settle_594100!A$2</f>
        <v>594100</v>
      </c>
      <c r="B326" s="100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IFERROR(VLOOKUP(B326,input_settle_594100!L:R,7,FALSE),VLOOKUP(tables_settle_594100!C326,input_settle_594100!A:H,8,FALSE))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input_settle_594100!A$2</f>
        <v>594100</v>
      </c>
      <c r="B327" s="100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IFERROR(VLOOKUP(B327,input_settle_594100!L:R,7,FALSE),VLOOKUP(tables_settle_594100!C327,input_settle_594100!A:H,8,FALSE))</f>
        <v>1372500</v>
      </c>
      <c r="P327" s="46">
        <f t="shared" ca="1" si="16"/>
        <v>9.4329896907190489E-3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input_settle_594100!A$2</f>
        <v>594100</v>
      </c>
      <c r="B328" s="100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IFERROR(VLOOKUP(B328,input_settle_594100!L:R,7,FALSE),VLOOKUP(tables_settle_594100!C328,input_settle_594100!A:H,8,FALSE))</f>
        <v>145500</v>
      </c>
      <c r="P328" s="46">
        <f t="shared" ca="1" si="16"/>
        <v>9.999999999997242E-4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input_settle_594100!A$2</f>
        <v>594100</v>
      </c>
      <c r="B329" s="100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IFERROR(VLOOKUP(B329,input_settle_594100!L:R,7,FALSE),VLOOKUP(tables_settle_594100!C329,input_settle_594100!A:H,8,FALSE))</f>
        <v>145500</v>
      </c>
      <c r="P329" s="46">
        <f t="shared" ca="1" si="16"/>
        <v>9.999999999997242E-4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input_settle_594100!A$2</f>
        <v>594100</v>
      </c>
      <c r="B330" s="100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IFERROR(VLOOKUP(B330,input_settle_594100!L:R,7,FALSE),VLOOKUP(tables_settle_594100!C330,input_settle_594100!A:H,8,FALSE))</f>
        <v>145500</v>
      </c>
      <c r="P330" s="46">
        <f t="shared" ca="1" si="16"/>
        <v>9.999999999997242E-4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input_settle_594100!A$2</f>
        <v>594100</v>
      </c>
      <c r="B331" s="98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IFERROR(VLOOKUP(B331,input_settle_594100!L:R,7,FALSE),VLOOKUP(tables_settle_594100!C331,input_settle_594100!A:H,8,FALSE))</f>
        <v>145500</v>
      </c>
      <c r="P331" s="46">
        <f t="shared" ca="1" si="16"/>
        <v>9.999999999997242E-4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input_settle_594100!A$2</f>
        <v>594100</v>
      </c>
      <c r="B332" s="98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IFERROR(VLOOKUP(B332,input_settle_594100!L:R,7,FALSE),VLOOKUP(tables_settle_594100!C332,input_settle_594100!A:H,8,FALSE))</f>
        <v>145500</v>
      </c>
      <c r="P332" s="46">
        <f t="shared" ca="1" si="16"/>
        <v>9.999999999997242E-4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input_settle_594100!A$2</f>
        <v>594100</v>
      </c>
      <c r="B333" s="98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IFERROR(VLOOKUP(B333,input_settle_594100!L:R,7,FALSE),VLOOKUP(tables_settle_594100!C333,input_settle_594100!A:H,8,FALSE))</f>
        <v>145500</v>
      </c>
      <c r="P333" s="46">
        <f t="shared" ca="1" si="16"/>
        <v>9.999999999997242E-4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input_settle_594100!A$2</f>
        <v>594100</v>
      </c>
      <c r="B334" s="99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IFERROR(VLOOKUP(B334,input_settle_594100!L:R,7,FALSE),VLOOKUP(tables_settle_594100!C334,input_settle_594100!A:H,8,FALSE))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input_settle_594100!A$2</f>
        <v>594100</v>
      </c>
      <c r="B335" s="98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IFERROR(VLOOKUP(B335,input_settle_594100!L:R,7,FALSE),VLOOKUP(tables_settle_594100!C335,input_settle_594100!A:H,8,FALSE))</f>
        <v>1372500</v>
      </c>
      <c r="P335" s="46">
        <f t="shared" ca="1" si="16"/>
        <v>9.4329896907190489E-3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input_settle_594100!A$2</f>
        <v>594100</v>
      </c>
      <c r="B336" s="100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IFERROR(VLOOKUP(B336,input_settle_594100!L:R,7,FALSE),VLOOKUP(tables_settle_594100!C336,input_settle_594100!A:H,8,FALSE))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input_settle_594100!A$2</f>
        <v>594100</v>
      </c>
      <c r="B337" s="100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IFERROR(VLOOKUP(B337,input_settle_594100!L:R,7,FALSE),VLOOKUP(tables_settle_594100!C337,input_settle_594100!A:H,8,FALSE))</f>
        <v>1372500</v>
      </c>
      <c r="P337" s="46">
        <f t="shared" ca="1" si="16"/>
        <v>9.4329896907190489E-3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input_settle_594100!A$2</f>
        <v>594100</v>
      </c>
      <c r="B338" s="100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IFERROR(VLOOKUP(B338,input_settle_594100!L:R,7,FALSE),VLOOKUP(tables_settle_594100!C338,input_settle_594100!A:H,8,FALSE))</f>
        <v>145500</v>
      </c>
      <c r="P338" s="46">
        <f t="shared" ca="1" si="16"/>
        <v>9.999999999997242E-4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input_settle_594100!A$2</f>
        <v>594100</v>
      </c>
      <c r="B339" s="100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IFERROR(VLOOKUP(B339,input_settle_594100!L:R,7,FALSE),VLOOKUP(tables_settle_594100!C339,input_settle_594100!A:H,8,FALSE))</f>
        <v>145500</v>
      </c>
      <c r="P339" s="46">
        <f t="shared" ca="1" si="16"/>
        <v>9.999999999997242E-4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input_settle_594100!A$2</f>
        <v>594100</v>
      </c>
      <c r="B340" s="100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IFERROR(VLOOKUP(B340,input_settle_594100!L:R,7,FALSE),VLOOKUP(tables_settle_594100!C340,input_settle_594100!A:H,8,FALSE))</f>
        <v>145500</v>
      </c>
      <c r="P340" s="46">
        <f t="shared" ca="1" si="16"/>
        <v>9.999999999997242E-4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input_settle_594100!A$2</f>
        <v>594100</v>
      </c>
      <c r="B341" s="100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IFERROR(VLOOKUP(B341,input_settle_594100!L:R,7,FALSE),VLOOKUP(tables_settle_594100!C341,input_settle_594100!A:H,8,FALSE))</f>
        <v>145500</v>
      </c>
      <c r="P341" s="46">
        <f t="shared" ca="1" si="16"/>
        <v>9.999999999997242E-4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input_settle_594100!A$2</f>
        <v>594100</v>
      </c>
      <c r="B342" s="100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IFERROR(VLOOKUP(B342,input_settle_594100!L:R,7,FALSE),VLOOKUP(tables_settle_594100!C342,input_settle_594100!A:H,8,FALSE))</f>
        <v>145500</v>
      </c>
      <c r="P342" s="46">
        <f t="shared" ca="1" si="16"/>
        <v>9.999999999997242E-4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input_settle_594100!A$2</f>
        <v>594100</v>
      </c>
      <c r="B343" s="100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IFERROR(VLOOKUP(B343,input_settle_594100!L:R,7,FALSE),VLOOKUP(tables_settle_594100!C343,input_settle_594100!A:H,8,FALSE))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input_settle_594100!A$2</f>
        <v>594100</v>
      </c>
      <c r="B344" s="100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IFERROR(VLOOKUP(B344,input_settle_594100!L:R,7,FALSE),VLOOKUP(tables_settle_594100!C344,input_settle_594100!A:H,8,FALSE))</f>
        <v>1372500</v>
      </c>
      <c r="P344" s="46">
        <f t="shared" ca="1" si="16"/>
        <v>9.4329896907190489E-3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input_settle_594100!A$2</f>
        <v>594100</v>
      </c>
      <c r="B345" s="100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IFERROR(VLOOKUP(B345,input_settle_594100!L:R,7,FALSE),VLOOKUP(tables_settle_594100!C345,input_settle_594100!A:H,8,FALSE))</f>
        <v>145500</v>
      </c>
      <c r="P345" s="46">
        <f t="shared" ca="1" si="16"/>
        <v>9.999999999997242E-4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input_settle_594100!A$2</f>
        <v>594100</v>
      </c>
      <c r="B346" s="100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IFERROR(VLOOKUP(B346,input_settle_594100!L:R,7,FALSE),VLOOKUP(tables_settle_594100!C346,input_settle_594100!A:H,8,FALSE))</f>
        <v>145500</v>
      </c>
      <c r="P346" s="46">
        <f t="shared" ca="1" si="16"/>
        <v>9.999999999997242E-4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input_settle_594100!A$2</f>
        <v>594100</v>
      </c>
      <c r="B347" s="100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IFERROR(VLOOKUP(B347,input_settle_594100!L:R,7,FALSE),VLOOKUP(tables_settle_594100!C347,input_settle_594100!A:H,8,FALSE))</f>
        <v>145500</v>
      </c>
      <c r="P347" s="46">
        <f ca="1">O347/SUM(O:O)</f>
        <v>9.999999999997242E-4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input_settle_594100!A$2</f>
        <v>594100</v>
      </c>
      <c r="B348" s="100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IFERROR(VLOOKUP(B348,input_settle_594100!L:R,7,FALSE),VLOOKUP(tables_settle_594100!C348,input_settle_594100!A:H,8,FALSE))</f>
        <v>145500</v>
      </c>
      <c r="P348" s="46">
        <f t="shared" ref="P348:P357" ca="1" si="20">O348/SUM(O:O)</f>
        <v>9.999999999997242E-4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input_settle_594100!A$2</f>
        <v>594100</v>
      </c>
      <c r="B349" s="100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IFERROR(VLOOKUP(B349,input_settle_594100!L:R,7,FALSE),VLOOKUP(tables_settle_594100!C349,input_settle_594100!A:H,8,FALSE))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input_settle_594100!A$2</f>
        <v>594100</v>
      </c>
      <c r="B350" s="100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IFERROR(VLOOKUP(B350,input_settle_594100!L:R,7,FALSE),VLOOKUP(tables_settle_594100!C350,input_settle_594100!A:H,8,FALSE))</f>
        <v>1372500</v>
      </c>
      <c r="P350" s="46">
        <f t="shared" ca="1" si="20"/>
        <v>9.4329896907190489E-3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input_settle_594100!A$2</f>
        <v>594100</v>
      </c>
      <c r="B351" s="100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IFERROR(VLOOKUP(B351,input_settle_594100!L:R,7,FALSE),VLOOKUP(tables_settle_594100!C351,input_settle_594100!A:H,8,FALSE))</f>
        <v>145500</v>
      </c>
      <c r="P351" s="46">
        <f t="shared" ca="1" si="20"/>
        <v>9.999999999997242E-4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input_settle_594100!A$2</f>
        <v>594100</v>
      </c>
      <c r="B352" s="100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IFERROR(VLOOKUP(B352,input_settle_594100!L:R,7,FALSE),VLOOKUP(tables_settle_594100!C352,input_settle_594100!A:H,8,FALSE))</f>
        <v>145500</v>
      </c>
      <c r="P352" s="46">
        <f t="shared" ca="1" si="20"/>
        <v>9.999999999997242E-4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input_settle_594100!A$2</f>
        <v>594100</v>
      </c>
      <c r="B353" s="100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IFERROR(VLOOKUP(B353,input_settle_594100!L:R,7,FALSE),VLOOKUP(tables_settle_594100!C353,input_settle_594100!A:H,8,FALSE))</f>
        <v>145500</v>
      </c>
      <c r="P353" s="46">
        <f t="shared" ca="1" si="20"/>
        <v>9.999999999997242E-4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input_settle_594100!A$2</f>
        <v>594100</v>
      </c>
      <c r="B354" s="100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IFERROR(VLOOKUP(B354,input_settle_594100!L:R,7,FALSE),VLOOKUP(tables_settle_594100!C354,input_settle_594100!A:H,8,FALSE))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input_settle_594100!A$2</f>
        <v>594100</v>
      </c>
      <c r="B355" s="100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IFERROR(VLOOKUP(B355,input_settle_594100!L:R,7,FALSE),VLOOKUP(tables_settle_594100!C355,input_settle_594100!A:H,8,FALSE))</f>
        <v>1372500</v>
      </c>
      <c r="P355" s="46">
        <f t="shared" ca="1" si="20"/>
        <v>9.4329896907190489E-3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input_settle_594100!A$2</f>
        <v>594100</v>
      </c>
      <c r="B356" s="101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IFERROR(VLOOKUP(B356,input_settle_594100!L:R,7,FALSE),VLOOKUP(tables_settle_594100!C356,input_settle_594100!A:H,8,FALSE))</f>
        <v>0</v>
      </c>
      <c r="P356" s="46">
        <f t="shared" ca="1" si="20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input_settle_594100!A$2</f>
        <v>594100</v>
      </c>
      <c r="B357" s="101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IFERROR(VLOOKUP(B357,input_settle_594100!L:R,7,FALSE),VLOOKUP(tables_settle_594100!C357,input_settle_594100!A:H,8,FALSE))</f>
        <v>1372500</v>
      </c>
      <c r="P357" s="46">
        <f t="shared" ca="1" si="20"/>
        <v>9.4329896907190489E-3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input_settle_594100!A$2</f>
        <v>594100</v>
      </c>
      <c r="B358" s="101">
        <v>1383</v>
      </c>
      <c r="C358" s="7" t="str">
        <f t="shared" ref="C358" si="21">D358&amp;J358&amp;E358&amp;F358&amp;G358</f>
        <v>PremiumSS5R5only</v>
      </c>
      <c r="D358" s="7" t="str">
        <f t="shared" ref="D358" si="2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IFERROR(VLOOKUP(B358,input_settle_594100!L:R,7,FALSE),VLOOKUP(tables_settle_594100!C358,input_settle_594100!A:H,8,FALSE))</f>
        <v>145500</v>
      </c>
      <c r="P358" s="46">
        <f t="shared" ref="P358" ca="1" si="23">O358/SUM(O:O)</f>
        <v>9.999999999997242E-4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input_settle_594100!A$2</f>
        <v>594100</v>
      </c>
      <c r="B359" s="101">
        <v>1385</v>
      </c>
      <c r="C359" s="7" t="str">
        <f t="shared" ref="C359:C362" si="24">D359&amp;J359&amp;E359&amp;F359&amp;G359</f>
        <v>PremiumSS5R5only</v>
      </c>
      <c r="D359" s="7" t="str">
        <f t="shared" ref="D359:D362" si="2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IFERROR(VLOOKUP(B359,input_settle_594100!L:R,7,FALSE),VLOOKUP(tables_settle_594100!C359,input_settle_594100!A:H,8,FALSE))</f>
        <v>145500</v>
      </c>
      <c r="P359" s="46">
        <f t="shared" ref="P359:P362" ca="1" si="26">O359/SUM(O:O)</f>
        <v>9.999999999997242E-4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input_settle_594100!A$2</f>
        <v>594100</v>
      </c>
      <c r="B360" s="101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IFERROR(VLOOKUP(B360,input_settle_594100!L:R,7,FALSE),VLOOKUP(tables_settle_594100!C360,input_settle_594100!A:H,8,FALSE))</f>
        <v>145500</v>
      </c>
      <c r="P360" s="46">
        <f t="shared" ca="1" si="26"/>
        <v>9.999999999997242E-4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input_settle_594100!A$2</f>
        <v>594100</v>
      </c>
      <c r="B361" s="5">
        <v>488</v>
      </c>
      <c r="C361" s="7" t="str">
        <f t="shared" si="24"/>
        <v>PremiumSSS5R3less</v>
      </c>
      <c r="D361" s="7" t="str">
        <f t="shared" si="2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直観の異論 ヘンペル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男性</v>
      </c>
      <c r="O361" s="45">
        <f ca="1">IFERROR(VLOOKUP(B361,input_settle_594100!L:R,7,FALSE),VLOOKUP(tables_settle_594100!C361,input_settle_594100!A:H,8,FALSE))</f>
        <v>727500</v>
      </c>
      <c r="P361" s="46">
        <f t="shared" ca="1" si="26"/>
        <v>4.9999999999986219E-3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input_settle_594100!A$2</f>
        <v>594100</v>
      </c>
      <c r="B362" s="5">
        <v>762</v>
      </c>
      <c r="C362" s="7" t="str">
        <f t="shared" si="24"/>
        <v>PremiumSSS5R3less</v>
      </c>
      <c r="D362" s="7" t="str">
        <f t="shared" si="2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フィボナッチ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blue</v>
      </c>
      <c r="L362" s="7" t="str">
        <f>VLOOKUP(B362,[1]characters!$A:$K,11,FALSE)</f>
        <v>balance</v>
      </c>
      <c r="M362" s="7" t="str">
        <f>VLOOKUP(B362,[1]characters!$A:$M,13,FALSE)</f>
        <v>human</v>
      </c>
      <c r="N362" s="7" t="str">
        <f>VLOOKUP(B362,[1]characters!$A:$G,7,FALSE)</f>
        <v>男性</v>
      </c>
      <c r="O362" s="45">
        <f ca="1">IFERROR(VLOOKUP(B362,input_settle_594100!L:R,7,FALSE),VLOOKUP(tables_settle_594100!C362,input_settle_594100!A:H,8,FALSE))</f>
        <v>727500</v>
      </c>
      <c r="P362" s="46">
        <f t="shared" ca="1" si="26"/>
        <v>4.9999999999986219E-3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3" sqref="A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594105</v>
      </c>
      <c r="B2" s="97" t="str">
        <f>A2&amp;1</f>
        <v>5941051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input_594010</vt:lpstr>
      <vt:lpstr>tables_594010</vt:lpstr>
      <vt:lpstr>input_594100</vt:lpstr>
      <vt:lpstr>tables_594100</vt:lpstr>
      <vt:lpstr>input_settle_594100</vt:lpstr>
      <vt:lpstr>tables_settle_594100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2017-05-08T08:15:36Z</dcterms:modified>
</cp:coreProperties>
</file>