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1120" yWindow="920" windowWidth="10820" windowHeight="156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6" l="1"/>
  <c r="C12" i="16"/>
  <c r="C11" i="16"/>
  <c r="C10" i="16"/>
  <c r="C9" i="16"/>
  <c r="C8" i="16"/>
  <c r="C7" i="16"/>
  <c r="C6" i="16"/>
  <c r="C5" i="16"/>
  <c r="C4" i="16"/>
  <c r="C3" i="16"/>
  <c r="G2" i="2"/>
  <c r="A2" i="2"/>
  <c r="G3" i="2"/>
  <c r="A3" i="2"/>
  <c r="G4" i="2"/>
  <c r="A4" i="2"/>
  <c r="V5" i="1"/>
  <c r="I2" i="21"/>
  <c r="G2" i="21"/>
  <c r="F2" i="21"/>
  <c r="D2" i="21"/>
  <c r="C2" i="21"/>
  <c r="G6" i="21"/>
  <c r="F6" i="21"/>
  <c r="D6" i="21"/>
  <c r="C6" i="21"/>
  <c r="G5" i="21"/>
  <c r="F5" i="21"/>
  <c r="D5" i="21"/>
  <c r="C5" i="21"/>
  <c r="G4" i="21"/>
  <c r="F4" i="21"/>
  <c r="D4" i="21"/>
  <c r="C4" i="21"/>
  <c r="I3" i="21"/>
  <c r="G3" i="21"/>
  <c r="F3" i="21"/>
  <c r="D3" i="21"/>
  <c r="C3" i="21"/>
  <c r="X2" i="1"/>
  <c r="G16" i="10"/>
  <c r="J16" i="10"/>
  <c r="I16" i="10"/>
  <c r="K16" i="10"/>
  <c r="H16" i="10"/>
  <c r="L16" i="10"/>
  <c r="G2" i="10"/>
  <c r="J2" i="10"/>
  <c r="I2" i="10"/>
  <c r="K2" i="10"/>
  <c r="H2" i="10"/>
  <c r="L2" i="10"/>
  <c r="G3" i="10"/>
  <c r="J3" i="10"/>
  <c r="I3" i="10"/>
  <c r="K3" i="10"/>
  <c r="H3" i="10"/>
  <c r="L3" i="10"/>
  <c r="G4" i="10"/>
  <c r="J4" i="10"/>
  <c r="I4" i="10"/>
  <c r="K4" i="10"/>
  <c r="H4" i="10"/>
  <c r="L4" i="10"/>
  <c r="G5" i="10"/>
  <c r="J5" i="10"/>
  <c r="I5" i="10"/>
  <c r="K5" i="10"/>
  <c r="H5" i="10"/>
  <c r="L5" i="10"/>
  <c r="G6" i="10"/>
  <c r="J6" i="10"/>
  <c r="I6" i="10"/>
  <c r="K6" i="10"/>
  <c r="H6" i="10"/>
  <c r="L6" i="10"/>
  <c r="G7" i="10"/>
  <c r="J7" i="10"/>
  <c r="I7" i="10"/>
  <c r="K7" i="10"/>
  <c r="H7" i="10"/>
  <c r="L7" i="10"/>
  <c r="G8" i="10"/>
  <c r="J8" i="10"/>
  <c r="I8" i="10"/>
  <c r="K8" i="10"/>
  <c r="H8" i="10"/>
  <c r="L8" i="10"/>
  <c r="G9" i="10"/>
  <c r="J9" i="10"/>
  <c r="I9" i="10"/>
  <c r="K9" i="10"/>
  <c r="H9" i="10"/>
  <c r="L9" i="10"/>
  <c r="X3" i="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2" i="11"/>
  <c r="J3" i="11"/>
  <c r="J4" i="11"/>
  <c r="J5" i="11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V10" i="10"/>
  <c r="X10" i="10"/>
  <c r="W10" i="10"/>
  <c r="U10" i="10"/>
  <c r="G10" i="10"/>
  <c r="I10" i="10"/>
  <c r="K10" i="10"/>
  <c r="J10" i="10"/>
  <c r="H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D6" i="9"/>
  <c r="E6" i="9"/>
  <c r="D7" i="9"/>
  <c r="E7" i="9"/>
  <c r="D8" i="9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G2" i="9"/>
  <c r="H2" i="9"/>
  <c r="I2" i="9"/>
  <c r="J2" i="9"/>
  <c r="K2" i="9"/>
  <c r="L2" i="9"/>
  <c r="M2" i="9"/>
  <c r="N2" i="9"/>
  <c r="O2" i="9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D2" i="9"/>
  <c r="E2" i="9"/>
  <c r="D3" i="9"/>
  <c r="E3" i="9"/>
  <c r="D4" i="9"/>
  <c r="E4" i="9"/>
  <c r="D5" i="9"/>
  <c r="E5" i="9"/>
  <c r="A5" i="9"/>
  <c r="A4" i="9"/>
  <c r="A3" i="9"/>
  <c r="A2" i="9"/>
  <c r="AD3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H2" i="1"/>
  <c r="J2" i="1"/>
  <c r="I2" i="1"/>
  <c r="D2" i="1"/>
  <c r="F2" i="1"/>
  <c r="E2" i="1"/>
  <c r="A2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AC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AC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B4" i="2"/>
  <c r="C6" i="18"/>
  <c r="D6" i="18"/>
  <c r="C5" i="18"/>
  <c r="D5" i="18"/>
  <c r="C4" i="18"/>
  <c r="D4" i="18"/>
  <c r="C3" i="18"/>
  <c r="D3" i="18"/>
  <c r="C2" i="18"/>
  <c r="D2" i="18"/>
  <c r="N3" i="22"/>
  <c r="N2" i="22"/>
  <c r="H3" i="2"/>
  <c r="E3" i="2"/>
  <c r="D3" i="2"/>
  <c r="B3" i="2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<sst xmlns="http://schemas.openxmlformats.org/spreadsheetml/2006/main" count="647" uniqueCount="355">
  <si>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</si>
  <si>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</si>
  <si>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</si>
  <si>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</si>
  <si>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</si>
  <si>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</si>
  <si>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</si>
  <si>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</si>
  <si>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</si>
  <si>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</si>
  <si>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</si>
  <si>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</si>
  <si>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</si>
  <si>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</si>
  <si>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</si>
  <si>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</si>
  <si>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</si>
  <si>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</si>
  <si>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</si>
  <si>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</si>
  <si>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</si>
  <si>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</si>
  <si>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</si>
  <si>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</si>
  <si>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</si>
  <si>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</si>
  <si>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</si>
  <si>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</si>
  <si>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</si>
  <si>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</si>
  <si>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</si>
  <si>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</si>
  <si>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</si>
  <si>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</si>
  <si>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</si>
  <si>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</si>
  <si>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</si>
  <si>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</si>
  <si>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</si>
  <si>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</si>
  <si>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</si>
  <si>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</si>
  <si>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</si>
  <si>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</si>
  <si>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</si>
  <si>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</si>
  <si>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</si>
  <si>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</si>
  <si>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</si>
  <si>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</si>
  <si>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</si>
  <si>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</si>
  <si>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</si>
  <si>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</si>
  <si>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</si>
  <si>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</si>
  <si>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</si>
  <si>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</si>
  <si>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</si>
  <si>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</si>
  <si>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</si>
  <si>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</si>
  <si>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</si>
  <si>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</si>
  <si>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</si>
  <si>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</si>
  <si>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</si>
  <si>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</si>
  <si>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</si>
  <si>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</si>
  <si>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</si>
  <si>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</si>
  <si>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</si>
  <si>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</si>
  <si>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</si>
  <si>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</si>
  <si>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</si>
  <si>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</si>
  <si>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</si>
  <si>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</si>
  <si>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</si>
  <si>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</si>
  <si>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</si>
  <si>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</si>
  <si>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</si>
  <si>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</si>
  <si>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</si>
  <si>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</si>
  <si>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</si>
  <si>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</si>
  <si>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</si>
  <si>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</si>
  <si>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</si>
  <si>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</si>
  <si>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</si>
  <si>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</si>
  <si>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</si>
  <si>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</si>
  <si>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</si>
  <si>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</si>
  <si>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</si>
  <si>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</si>
  <si>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</si>
  <si>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</si>
  <si>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</si>
  <si>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</si>
  <si>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</si>
  <si>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</si>
  <si>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</si>
  <si>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</si>
  <si>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</si>
  <si>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</si>
  <si>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</si>
  <si>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</si>
  <si>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</si>
  <si>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</si>
  <si>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</si>
  <si>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</si>
  <si>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</si>
  <si>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</si>
  <si>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</si>
  <si>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</si>
  <si>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</si>
  <si>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</si>
  <si>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</si>
  <si>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</si>
  <si>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</si>
  <si>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</si>
  <si>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</si>
  <si>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</si>
  <si>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</si>
  <si>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</si>
  <si>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</si>
  <si>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</si>
  <si>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</si>
  <si>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</si>
  <si>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</si>
  <si>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</si>
  <si>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</si>
  <si>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</si>
  <si>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</si>
  <si>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</si>
  <si>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</si>
  <si>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</si>
  <si>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</si>
  <si>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</si>
  <si>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</si>
  <si>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</si>
  <si>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</si>
  <si>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</si>
  <si>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</si>
  <si>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</si>
  <si>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</si>
  <si>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</si>
  <si>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</si>
  <si>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</si>
  <si>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</si>
  <si>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</si>
  <si>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</si>
  <si>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</si>
  <si>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</si>
  <si>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</si>
  <si>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</si>
  <si>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</si>
  <si>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</si>
  <si>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</si>
  <si>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</si>
  <si>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</si>
  <si>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</si>
  <si>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</si>
  <si>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</si>
  <si>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</si>
  <si>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</si>
  <si>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</si>
  <si>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</si>
  <si>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</si>
  <si>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</si>
  <si>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</si>
  <si>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</si>
  <si>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</si>
  <si>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</si>
  <si>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</si>
  <si>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</si>
  <si>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</si>
  <si>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</si>
  <si>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</si>
  <si>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</si>
  <si>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</si>
  <si>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</si>
  <si>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</si>
  <si>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</si>
  <si>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</si>
  <si>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</si>
  <si>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</si>
  <si>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</si>
  <si>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</si>
  <si>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</si>
  <si>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</si>
  <si>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</si>
  <si>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</si>
  <si>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</si>
  <si>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</si>
  <si>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</si>
  <si>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</si>
  <si>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</si>
  <si>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</si>
  <si>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</si>
  <si>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</si>
  <si>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</si>
  <si>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</si>
  <si>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</si>
  <si>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</si>
  <si>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</si>
  <si>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</si>
  <si>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</si>
  <si>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</si>
  <si>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</si>
  <si>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</si>
  <si>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</si>
  <si>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</si>
  <si>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</si>
  <si>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</si>
  <si>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</si>
  <si>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</si>
  <si>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</si>
  <si>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</si>
  <si>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</si>
  <si>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</si>
  <si>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</si>
  <si>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</si>
  <si>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</si>
  <si>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</si>
  <si>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</si>
  <si>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</si>
  <si>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</si>
  <si>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</si>
  <si>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</si>
  <si>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</si>
  <si>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</si>
  <si>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</si>
  <si>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</si>
  <si>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</si>
  <si>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</si>
  <si>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</si>
  <si>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</si>
  <si>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</si>
  <si>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</si>
  <si>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</si>
  <si>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フロア１：先制攻撃でコスト29以上＆ヒューマン以外キラー全体攻撃（１体につき９９９９９ダメージ）
　　　　　先制攻撃でコスト25以下＆ヒューマン以外キラー全体攻撃（１体につき９９９９９ダメージ）
　　　　　：４ターンプレイヤーユニの攻撃力激烈ダウン。黄属性キラー２回連続攻撃（黄だったら１００００）
　　　　　：４ターン敵ユニの防御力激烈アップ。暗闇２ターン。
フロア２：先制攻撃　敵ユニの防御力激烈アップ。
　　　　　：５ターンプレイヤーユニの攻撃力激烈ダウン。攻撃力アップ。
　　　　　：５ターン敵ユニの防御力激烈アップ。緑属性キラー２回連続攻撃（緑だったら１００００）。</t>
    <phoneticPr fontId="2"/>
  </si>
  <si>
    <t>old</t>
  </si>
  <si>
    <t>singleonly</t>
    <phoneticPr fontId="5"/>
  </si>
  <si>
    <t>clear</t>
    <phoneticPr fontId="5"/>
  </si>
  <si>
    <t>bit</t>
    <phoneticPr fontId="5"/>
  </si>
  <si>
    <t>unit</t>
    <phoneticPr fontId="5"/>
  </si>
  <si>
    <t>unit</t>
    <phoneticPr fontId="5"/>
  </si>
  <si>
    <t>unit</t>
    <phoneticPr fontId="5"/>
  </si>
  <si>
    <t>unit</t>
    <phoneticPr fontId="5"/>
  </si>
  <si>
    <t>ボナンザの声が聞こえる…</t>
    <phoneticPr fontId="5"/>
  </si>
  <si>
    <t>3ターン赤パネル無効+2回連続攻撃</t>
    <phoneticPr fontId="5"/>
  </si>
  <si>
    <t>あそぼ！</t>
    <phoneticPr fontId="5"/>
  </si>
  <si>
    <t>6ターン確率で青時限式ダメージパネルをドロップ
+単体攻撃</t>
    <phoneticPr fontId="5"/>
  </si>
  <si>
    <t>その的、ちょっと持ってて</t>
    <phoneticPr fontId="5"/>
  </si>
  <si>
    <t>3ターン青パネル無効+2回連続攻撃</t>
    <phoneticPr fontId="5"/>
  </si>
  <si>
    <t>標的　ロックオン</t>
    <phoneticPr fontId="5"/>
  </si>
  <si>
    <t>封じてやるぜ</t>
    <phoneticPr fontId="5"/>
  </si>
  <si>
    <t>青属性に30ターンスキルバインド
+黄属性に大ダメージの全体攻撃</t>
    <phoneticPr fontId="5"/>
  </si>
  <si>
    <t>先制攻撃　ガエル　無表示 / 1.4秒表示</t>
    <phoneticPr fontId="5"/>
  </si>
  <si>
    <t>カミナリ叩き</t>
    <phoneticPr fontId="5"/>
  </si>
  <si>
    <t>黄属性に大ダメージの全体攻撃</t>
    <phoneticPr fontId="5"/>
  </si>
  <si>
    <t>ガエル　1.0秒表示 / 1.4秒表示　　（黄０．５５、以外０．２９）</t>
    <phoneticPr fontId="5"/>
  </si>
  <si>
    <t>大咆哮</t>
    <phoneticPr fontId="5"/>
  </si>
  <si>
    <t>ガエル　1.0秒表示 / 1.4秒表示　　（０．４で１回攻撃後、２ダウン）</t>
    <phoneticPr fontId="5"/>
  </si>
  <si>
    <t>ブルースイング　野生の力</t>
    <phoneticPr fontId="5"/>
  </si>
  <si>
    <t>青パネルを吸収して全体攻撃
+緑属性ユニットのスキルゲージ上昇</t>
    <phoneticPr fontId="5"/>
  </si>
  <si>
    <t>ガエル　1.0秒表示 / 1.4秒表示　　（青パネ１個につき５０ダメ）　（緑　２上昇）</t>
    <phoneticPr fontId="5"/>
  </si>
  <si>
    <t>そのカード、交換</t>
    <phoneticPr fontId="5"/>
  </si>
  <si>
    <t>赤パネルをハートパネルに変換
+ハートパネルをプロテクト</t>
    <phoneticPr fontId="5"/>
  </si>
  <si>
    <t>シルベ　1.0秒表示 / 1.4秒表示</t>
    <phoneticPr fontId="5"/>
  </si>
  <si>
    <t>時限式ベット</t>
    <phoneticPr fontId="5"/>
  </si>
  <si>
    <t>黄時限式ダメージパネルを4個生成</t>
    <phoneticPr fontId="5"/>
  </si>
  <si>
    <t>シルベ　1.0秒表示 / 1.4秒表示　　（黄　②〜④が４個　ダメ０．２）</t>
    <phoneticPr fontId="5"/>
  </si>
  <si>
    <t>見えたっ！</t>
    <phoneticPr fontId="5"/>
  </si>
  <si>
    <t>赤属性に大ダメージの全体攻撃</t>
    <phoneticPr fontId="5"/>
  </si>
  <si>
    <t>シルベ　1.0秒表示 / 1.4秒表示　　（赤１．２、以外０．５）</t>
    <phoneticPr fontId="5"/>
  </si>
  <si>
    <t>ボナンザの声が聞こえる…</t>
    <phoneticPr fontId="5"/>
  </si>
  <si>
    <t>スキルバインド耐性</t>
    <phoneticPr fontId="5"/>
  </si>
  <si>
    <t>スキルバインド耐性</t>
    <phoneticPr fontId="5"/>
  </si>
  <si>
    <t>先制攻撃　ミカド　無表示 / 1.4秒表示</t>
    <phoneticPr fontId="5"/>
  </si>
  <si>
    <t>スリープ耐性</t>
    <phoneticPr fontId="5"/>
  </si>
  <si>
    <t>先制攻撃　ゴーテ　無表示 / 1.4秒表示</t>
    <phoneticPr fontId="5"/>
  </si>
  <si>
    <t>ひれ伏すのだ</t>
    <phoneticPr fontId="5"/>
  </si>
  <si>
    <t>ミカド　　1.0秒表示 / 1.4秒表示　　　（０．３３で２回攻撃後、２ダウン）</t>
    <phoneticPr fontId="5"/>
  </si>
  <si>
    <t>怨霊封殺　魂解放！</t>
    <phoneticPr fontId="5"/>
  </si>
  <si>
    <t>ミカド　　1.0秒表示 / 1.4秒表示　　（青赤パネ１個につき５０ダメ）（黄　２上昇）</t>
    <phoneticPr fontId="5"/>
  </si>
  <si>
    <t>ゴーテ　1.0秒表示 / 1.4秒表示　　（アニマル１．２、以外０．２）</t>
    <phoneticPr fontId="5"/>
  </si>
  <si>
    <t>落ちてみる？</t>
    <phoneticPr fontId="5"/>
  </si>
  <si>
    <t>ゴーテ　1.0秒表示 / 1.4秒表示　　（緑０．６、以外０．２５）</t>
    <phoneticPr fontId="5"/>
  </si>
  <si>
    <t>ブルー・マイン</t>
    <phoneticPr fontId="5"/>
  </si>
  <si>
    <t>青時限式ダメージパネルを6個生成</t>
    <phoneticPr fontId="5"/>
  </si>
  <si>
    <t>ゴーテ　1.0秒表示 / 1.4秒表示　　（青　②〜④が５個　ダメ０．２５）</t>
    <phoneticPr fontId="5"/>
  </si>
  <si>
    <t>null</t>
    <phoneticPr fontId="5"/>
  </si>
  <si>
    <t>ガエル　無表示 / 1.4秒表示</t>
    <phoneticPr fontId="5"/>
  </si>
  <si>
    <t>ガエル　1.0秒表示 / 1.4秒表示　　（青パネ１個につき５００ダメ）　（緑　２上昇）</t>
    <phoneticPr fontId="5"/>
  </si>
  <si>
    <t>ミカド　　1.0秒表示 / 1.4秒表示　　（青赤パネ１個につき５５０ダメ）（黄　２上昇）</t>
    <phoneticPr fontId="5"/>
  </si>
  <si>
    <t>ガエルは黄属性に大ダメージの
攻撃を行います
黄属性だけのパーティ編成だと
厳しいかもしれません</t>
    <phoneticPr fontId="5"/>
  </si>
  <si>
    <t>ガエルは確率で
タップ回数減少スキルを行います
タップ回数上昇スキルが有効です</t>
    <phoneticPr fontId="5"/>
  </si>
  <si>
    <t>NULL</t>
    <phoneticPr fontId="5"/>
  </si>
  <si>
    <t>この階層のエネミーは
時限式ダメージパネルを多用します
対処しきれない場合は
変換スキルなどで対応しましょう</t>
    <phoneticPr fontId="5"/>
  </si>
  <si>
    <t>ハジケてもしーらない</t>
    <phoneticPr fontId="5"/>
  </si>
  <si>
    <t>赤・青パネルを吸収して全体攻撃
+緑属性ユニットのスキルゲージ上昇</t>
    <phoneticPr fontId="5"/>
  </si>
  <si>
    <t>種族マシンに大ダメージの全体攻撃</t>
    <phoneticPr fontId="5"/>
  </si>
  <si>
    <t>お呼びじゃないの</t>
    <phoneticPr fontId="5"/>
  </si>
  <si>
    <t>全体攻撃</t>
    <phoneticPr fontId="5"/>
  </si>
  <si>
    <t>ミカドは確率で
タップ回数減少スキルを行います
タップ回数上昇スキルが有効です</t>
    <phoneticPr fontId="5"/>
  </si>
  <si>
    <t>3ターンの間タップ回数DOWN
+2回連続攻撃</t>
    <phoneticPr fontId="5"/>
  </si>
  <si>
    <t>6ターン確率で赤時限式ダメージパネルをドロップ
+単体攻撃</t>
    <phoneticPr fontId="5"/>
  </si>
  <si>
    <t>3ターンの間タップ回数DOWN
+単体攻撃</t>
    <phoneticPr fontId="5"/>
  </si>
  <si>
    <t>ゴーテルは
種族マシンのユニットに
大ダメージの攻撃を行います
パーティ編成に気をつけましょう</t>
    <phoneticPr fontId="5"/>
  </si>
  <si>
    <t>怨霊封殺　魂解放！</t>
    <phoneticPr fontId="5"/>
  </si>
  <si>
    <t>赤属性に大ダメージの全体攻撃</t>
    <phoneticPr fontId="5"/>
  </si>
  <si>
    <t>ハ・カ・イ・セ・ヨ…</t>
    <phoneticPr fontId="5"/>
  </si>
  <si>
    <t>stage_hints_data_c_</t>
    <phoneticPr fontId="5"/>
  </si>
  <si>
    <t>[effect:rush, count:2, val:0.42],[effect:dis_panel, target:block_blue, turn:3, animation:enemy_dis_blue],[effect:enemy_message, val1:1.4, val2:2]</t>
    <phoneticPr fontId="5"/>
  </si>
  <si>
    <t>[effect:rush, count:1, val:0.66],[effect:drop_block, block_type:time_bomb, block_color:block_blue, color:block_blue, val:0.2, rate:0.28, turn:6, animation:time_bomb_influence04],[effect:enemy_message, val1:1.4, val2:2.3]</t>
    <phoneticPr fontId="5"/>
  </si>
  <si>
    <t>[effect:rush, count:2, val:0.42],[effect:dis_panel, target:block_red, turn:3, animation:enemy_dis_red],[effect:enemy_message, val1:1.4, val2:2]</t>
    <phoneticPr fontId="5"/>
  </si>
  <si>
    <t>[effect:rush, count:1, val:0.66],[effect:drop_block, block_type:time_bomb, block_color:block_red, color:block_red, val:0.2, rate:0.28, turn:6, animation:time_bomb_influence04],[effect:enemy_message, val1:1.4, val2:2.3]</t>
    <phoneticPr fontId="5"/>
  </si>
  <si>
    <t>ja</t>
    <phoneticPr fontId="5"/>
  </si>
  <si>
    <t>[effect:force_change_block, new_block:block_heart, target:block_red, count:0, val:0, animation:change_block],[effect:enemy_message, val1:1.4, val2:2.2],[effect:panel_freeze, target:block_heart, count:-1]</t>
    <phoneticPr fontId="5"/>
  </si>
  <si>
    <t>[effect:force_change_block, new_block:time_bomb, target:block_all, ignore01:color_break, ignore02:crash, ignore03:crack_bomb, ignore04:time_bomb, color:block_yellow, count:4, val:0.27, min_time_count:2, max_time_count:4, animation:change_block],[effect:enemy_message, val1:1.4, val2:1.9]</t>
    <phoneticPr fontId="5"/>
  </si>
  <si>
    <t>[effect:tolerance, target:enemy_all, turn:-1, count:-1, tolerance_effect:hungup, animation:enemy_tolerance],[effect:enemy_message, val1:1.4, val2:1.8]</t>
    <phoneticPr fontId="5"/>
  </si>
  <si>
    <t>[effect:tolerance, target:enemy_all, turn:-1, count:-1, tolerance_effect:sleep, animation:enemy_tolerance],[effect:enemy_message, val1:1.4, val2:1.8]</t>
    <phoneticPr fontId="5"/>
  </si>
  <si>
    <t>[effect:rush, count:2, val:0.38],[effect:degrade_unit, target:unit_all, turn:3, status:action, val:2, calc:mul, animation:enemy_tap_down],[effect:enemy_message, val1:1.4, val2:2.1]</t>
    <phoneticPr fontId="5"/>
  </si>
  <si>
    <t>[effect:rush, count:1, val:0.7],[effect:degrade_unit, target:unit_all, turn:3, status:action, val:2, calc:mul, animation:enemy_tap_down],[effect:enemy_message, val1:1.4, val2:2.1]</t>
    <phoneticPr fontId="5"/>
  </si>
  <si>
    <t>[effect:damage_anti_tribe, target:unit_all, tribe:machine, val1:1.25, val2:0.25],[effect:enemy_message, val1:1.4, val2:1.9]</t>
    <phoneticPr fontId="5"/>
  </si>
  <si>
    <t>[effect:force_change_block, new_block:time_bomb, target:block_all, ignore01:color_break, ignore02:crash, ignore03:crack_bomb, ignore04:time_bomb, color:block_blue, count:6, val:0.39, min_time_count:2, max_time_count:4, animation:change_block],[effect:enemy_message, val1:1.4, val2:1.9]</t>
    <phoneticPr fontId="5"/>
  </si>
  <si>
    <t>[effect:spread, val:0.31],[effect:enemy_message, val1:1.4, val2:1.6]</t>
    <phoneticPr fontId="5"/>
  </si>
  <si>
    <t>青属性に6ターンスキルバインド+
黄属性に大ダメージの全体攻撃</t>
    <phoneticPr fontId="5"/>
  </si>
  <si>
    <t>3ターンの間タップ回数DOWN+
単体攻撃</t>
    <phoneticPr fontId="5"/>
  </si>
  <si>
    <t>赤パネルをハートパネルに変換+
ハートパネルをプロテクト</t>
    <phoneticPr fontId="5"/>
  </si>
  <si>
    <t>3ターンの間タップ回数DOWN+
2回連続攻撃</t>
    <phoneticPr fontId="5"/>
  </si>
  <si>
    <t>赤・青パネルを吸収して全体攻撃+
緑属性ユニットのスキルゲージ1上昇</t>
    <phoneticPr fontId="5"/>
  </si>
  <si>
    <t>[effect:damage_anti_color, target:unit_all, color:yellow, val1:0.6, val2:0.3],[effect:hungup, target:unit_blue, turn:6, rate:1, animation:hungup04],[effect:enemy_message, val1:1.4, val2:2.4]</t>
    <phoneticPr fontId="5"/>
  </si>
  <si>
    <t>[effect:damage_anti_color, target:unit_all, color:red, val1:0.69, val2:0.26],[effect:enemy_message, val1:1.4, val2:1.8]</t>
    <phoneticPr fontId="5"/>
  </si>
  <si>
    <t>[effect:damage_anti_color, target:unit_all, color:yellow, val1:0.6, val2:0.3],[effect:enemy_message, val1:1.4, val2:1.8]</t>
    <phoneticPr fontId="5"/>
  </si>
  <si>
    <t>カミナリ殺し・封</t>
    <phoneticPr fontId="5"/>
  </si>
  <si>
    <t>カミナリ殺し</t>
    <phoneticPr fontId="5"/>
  </si>
  <si>
    <t>青パネルを吸収して青属性の全体攻撃+
緑属性ユニットのスキルゲージ1上昇</t>
    <phoneticPr fontId="5"/>
  </si>
  <si>
    <t>[effect:break_attack_fix, target:unit_all, val:95, lowest_val:500, count:-1, color:blue, block01:block_blue],[effect:sp_boost, target:unit_green, val:1, animation:sp_boost_one02],[effect:enemy_message, val1:1.4, val2:2.6]</t>
    <phoneticPr fontId="5"/>
  </si>
  <si>
    <t>ひれ伏せ！</t>
    <phoneticPr fontId="5"/>
  </si>
  <si>
    <t>[effect:break_attack_fix, target:unit_all, val:180, lowest_val:300, count:-1, color:yellow, block01:block_blue, block02:block_red],[effect:sp_boost, target:unit_green, val:1, animation:sp_boost_one02],[effect:enemy_message, val1:1.4, val2:2.5]</t>
    <phoneticPr fontId="5"/>
  </si>
  <si>
    <t>青の時限式ダメージパネルを6個生成</t>
    <phoneticPr fontId="5"/>
  </si>
  <si>
    <t>黄の時限式ダメージパネルを4個生成</t>
    <phoneticPr fontId="5"/>
  </si>
  <si>
    <t>6ターン確率で赤の時限式ダメージ
パネルをドロップ+単体攻撃</t>
    <phoneticPr fontId="5"/>
  </si>
  <si>
    <t>6ターン確率で青の時限式ダメージ
パネルをドロップ+単体攻撃</t>
    <phoneticPr fontId="5"/>
  </si>
  <si>
    <t>13301_4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</si>
</sst>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1" fillId="0" borderId="0" xfId="0" applyFont="1" applyFill="1" applyAlignment="1">
      <alignment vertical="center" wrapText="1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6b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13300_3-1</v>
          </cell>
        </row>
        <row r="3">
          <cell r="A3" t="str">
            <v>13300_3-2</v>
          </cell>
        </row>
        <row r="4">
          <cell r="A4" t="str">
            <v>13300_3-3</v>
          </cell>
        </row>
      </sheetData>
      <sheetData sheetId="2" refreshError="1"/>
      <sheetData sheetId="3" refreshError="1"/>
      <sheetData sheetId="4" refreshError="1"/>
      <sheetData sheetId="5">
        <row r="8">
          <cell r="S8" t="str">
            <v>- / -</v>
          </cell>
        </row>
        <row r="9">
          <cell r="S9" t="str">
            <v>- / -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stage_hints_complete"/>
      <sheetName val="bugbonuses"/>
      <sheetName val="stage_hints_failure"/>
      <sheetName val="stage_bonuses"/>
    </sheetNames>
    <sheetDataSet>
      <sheetData sheetId="0" refreshError="1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13300_6-1</v>
          </cell>
        </row>
        <row r="3">
          <cell r="A3" t="str">
            <v>13300_6-2</v>
          </cell>
        </row>
        <row r="4">
          <cell r="A4" t="str">
            <v>13300_6-3</v>
          </cell>
        </row>
      </sheetData>
      <sheetData sheetId="2" refreshError="1"/>
      <sheetData sheetId="3" refreshError="1"/>
      <sheetData sheetId="4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13300501</v>
          </cell>
        </row>
        <row r="3">
          <cell r="B3">
            <v>13300501</v>
          </cell>
        </row>
        <row r="4">
          <cell r="B4">
            <v>13300501</v>
          </cell>
        </row>
        <row r="5">
          <cell r="B5">
            <v>13300502</v>
          </cell>
        </row>
        <row r="6">
          <cell r="B6">
            <v>13300502</v>
          </cell>
        </row>
        <row r="7">
          <cell r="B7">
            <v>13300502</v>
          </cell>
        </row>
        <row r="8">
          <cell r="B8">
            <v>13300503</v>
          </cell>
        </row>
        <row r="9">
          <cell r="B9">
            <v>13300503</v>
          </cell>
        </row>
        <row r="10">
          <cell r="B10">
            <v>13300503</v>
          </cell>
        </row>
        <row r="11">
          <cell r="B11">
            <v>13300503</v>
          </cell>
        </row>
        <row r="12">
          <cell r="B12">
            <v>13300503</v>
          </cell>
        </row>
        <row r="13">
          <cell r="B13">
            <v>13300504</v>
          </cell>
        </row>
        <row r="14">
          <cell r="B14">
            <v>13300504</v>
          </cell>
        </row>
        <row r="15">
          <cell r="B15">
            <v>13300504</v>
          </cell>
        </row>
        <row r="16">
          <cell r="B16">
            <v>13300504</v>
          </cell>
        </row>
        <row r="17">
          <cell r="B17">
            <v>13300504</v>
          </cell>
        </row>
        <row r="18">
          <cell r="B18">
            <v>13300505</v>
          </cell>
        </row>
        <row r="19">
          <cell r="B19">
            <v>13300505</v>
          </cell>
        </row>
        <row r="20">
          <cell r="B20">
            <v>13300505</v>
          </cell>
        </row>
        <row r="21">
          <cell r="B21">
            <v>13300506</v>
          </cell>
        </row>
        <row r="22">
          <cell r="B22">
            <v>13300506</v>
          </cell>
        </row>
        <row r="23">
          <cell r="B23">
            <v>13300506</v>
          </cell>
        </row>
        <row r="24">
          <cell r="B24">
            <v>13300507</v>
          </cell>
        </row>
        <row r="25">
          <cell r="B25">
            <v>13300507</v>
          </cell>
        </row>
        <row r="26">
          <cell r="B26">
            <v>13300507</v>
          </cell>
        </row>
        <row r="27">
          <cell r="B27">
            <v>13300508</v>
          </cell>
        </row>
        <row r="28">
          <cell r="B28">
            <v>13300508</v>
          </cell>
        </row>
        <row r="29">
          <cell r="B29">
            <v>13300509</v>
          </cell>
        </row>
        <row r="30">
          <cell r="B30">
            <v>13300509</v>
          </cell>
        </row>
        <row r="31">
          <cell r="B31">
            <v>13300510</v>
          </cell>
        </row>
        <row r="32">
          <cell r="B32">
            <v>13300510</v>
          </cell>
        </row>
        <row r="33">
          <cell r="B33">
            <v>13300505</v>
          </cell>
        </row>
        <row r="34">
          <cell r="B34">
            <v>13300505</v>
          </cell>
        </row>
        <row r="35">
          <cell r="B35">
            <v>13300506</v>
          </cell>
        </row>
        <row r="36">
          <cell r="B36">
            <v>13300506</v>
          </cell>
        </row>
        <row r="37">
          <cell r="B37">
            <v>13300507</v>
          </cell>
        </row>
        <row r="38">
          <cell r="B38">
            <v>13300507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40" zoomScaleNormal="140" zoomScalePageLayoutView="140" workbookViewId="0">
      <selection activeCell="F16" sqref="F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249</v>
      </c>
      <c r="B2" s="55" t="s">
        <v>105</v>
      </c>
      <c r="C2" s="61" t="s">
        <v>354</v>
      </c>
      <c r="D2" s="55" t="s">
        <v>106</v>
      </c>
      <c r="E2" s="54" t="str">
        <f>B2&amp;C2&amp;D2</f>
        <v>floors_13301_4.tmp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249</v>
      </c>
      <c r="B3" s="55" t="s">
        <v>108</v>
      </c>
      <c r="C3" s="61" t="str">
        <f t="shared" ref="C3:C13" si="0">C$2</f>
        <v>13301_4</v>
      </c>
      <c r="D3" s="55" t="s">
        <v>106</v>
      </c>
      <c r="E3" s="54" t="str">
        <f>B3&amp;C3&amp;D3</f>
        <v>enemy_habitats_13301_4.tmp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176</v>
      </c>
    </row>
    <row r="4" spans="1:30" x14ac:dyDescent="0.15">
      <c r="A4" s="59" t="s">
        <v>249</v>
      </c>
      <c r="B4" s="55" t="s">
        <v>110</v>
      </c>
      <c r="C4" s="61" t="str">
        <f t="shared" si="0"/>
        <v>13301_4</v>
      </c>
      <c r="D4" s="55" t="s">
        <v>106</v>
      </c>
      <c r="E4" s="54" t="str">
        <f>B4&amp;C4&amp;D4</f>
        <v>enemy_habitat_S_13301_4.tmp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249</v>
      </c>
      <c r="B5" s="55" t="s">
        <v>112</v>
      </c>
      <c r="C5" s="61" t="str">
        <f t="shared" si="0"/>
        <v>13301_4</v>
      </c>
      <c r="D5" s="55" t="s">
        <v>106</v>
      </c>
      <c r="E5" s="54" t="str">
        <f>B5&amp;C5&amp;D5</f>
        <v>enemy_skill_sets_13301_4.tmp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249</v>
      </c>
      <c r="B6" s="55" t="s">
        <v>114</v>
      </c>
      <c r="C6" s="61" t="str">
        <f t="shared" si="0"/>
        <v>13301_4</v>
      </c>
      <c r="D6" s="55" t="s">
        <v>115</v>
      </c>
      <c r="E6" s="54" t="str">
        <f t="shared" ref="E6:E10" si="1">B6&amp;C6&amp;D6</f>
        <v>enemy_skills_tmp_13301_4.tmp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249</v>
      </c>
      <c r="B7" s="55" t="s">
        <v>116</v>
      </c>
      <c r="C7" s="61" t="str">
        <f t="shared" si="0"/>
        <v>13301_4</v>
      </c>
      <c r="D7" s="55" t="s">
        <v>106</v>
      </c>
      <c r="E7" s="54" t="str">
        <f>B7&amp;C7&amp;D7</f>
        <v>enemy_skills_i18n_13301_4.tmp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249</v>
      </c>
      <c r="B8" s="55" t="s">
        <v>118</v>
      </c>
      <c r="C8" s="61" t="str">
        <f t="shared" si="0"/>
        <v>13301_4</v>
      </c>
      <c r="D8" s="55" t="s">
        <v>119</v>
      </c>
      <c r="E8" s="54" t="str">
        <f t="shared" si="1"/>
        <v>enemy_skill_triggers_13301_4.tmp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249</v>
      </c>
      <c r="B9" s="66" t="s">
        <v>175</v>
      </c>
      <c r="C9" s="61" t="str">
        <f t="shared" si="0"/>
        <v>13301_4</v>
      </c>
      <c r="D9" s="66" t="s">
        <v>169</v>
      </c>
      <c r="E9" s="67" t="str">
        <f t="shared" si="1"/>
        <v>stage_bug_bonuses_13301_4.tmp</v>
      </c>
      <c r="F9" s="66" t="s">
        <v>170</v>
      </c>
      <c r="G9" s="63" t="s">
        <v>149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185</v>
      </c>
      <c r="B10" s="66" t="s">
        <v>321</v>
      </c>
      <c r="C10" s="61" t="str">
        <f t="shared" si="0"/>
        <v>13301_4</v>
      </c>
      <c r="D10" s="66" t="s">
        <v>178</v>
      </c>
      <c r="E10" s="67" t="str">
        <f t="shared" si="1"/>
        <v>stage_hints_data_c_13301_4.tmp</v>
      </c>
      <c r="F10" s="66" t="s">
        <v>205</v>
      </c>
      <c r="G10" s="71" t="s">
        <v>179</v>
      </c>
      <c r="H10" s="71" t="s">
        <v>171</v>
      </c>
      <c r="I10" s="72" t="s">
        <v>180</v>
      </c>
      <c r="J10" s="65" t="s">
        <v>181</v>
      </c>
      <c r="K10" s="65" t="s">
        <v>182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59" t="s">
        <v>249</v>
      </c>
      <c r="B11" s="66" t="s">
        <v>198</v>
      </c>
      <c r="C11" s="61" t="str">
        <f t="shared" si="0"/>
        <v>13301_4</v>
      </c>
      <c r="D11" s="66" t="s">
        <v>169</v>
      </c>
      <c r="E11" s="67" t="str">
        <f t="shared" ref="E11:E13" si="2">B11&amp;C11&amp;D11</f>
        <v>stage_hints_data_f_13301_4.tmp</v>
      </c>
      <c r="F11" s="66" t="s">
        <v>206</v>
      </c>
      <c r="G11" s="71" t="s">
        <v>179</v>
      </c>
      <c r="H11" s="71" t="s">
        <v>171</v>
      </c>
      <c r="I11" s="72" t="s">
        <v>180</v>
      </c>
      <c r="J11" s="65" t="s">
        <v>181</v>
      </c>
      <c r="K11" s="65" t="s">
        <v>182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59" t="s">
        <v>249</v>
      </c>
      <c r="B12" s="66" t="s">
        <v>199</v>
      </c>
      <c r="C12" s="61" t="str">
        <f t="shared" si="0"/>
        <v>13301_4</v>
      </c>
      <c r="D12" s="66" t="s">
        <v>169</v>
      </c>
      <c r="E12" s="67" t="str">
        <f t="shared" si="2"/>
        <v>stage_hints_i18n_13301_4.tmp</v>
      </c>
      <c r="F12" s="66" t="s">
        <v>207</v>
      </c>
      <c r="G12" s="72" t="s">
        <v>200</v>
      </c>
      <c r="H12" s="90" t="s">
        <v>201</v>
      </c>
      <c r="I12" s="71" t="s">
        <v>202</v>
      </c>
      <c r="J12" s="98" t="s">
        <v>203</v>
      </c>
      <c r="K12" s="65" t="s">
        <v>204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59" t="s">
        <v>249</v>
      </c>
      <c r="B13" s="66" t="s">
        <v>245</v>
      </c>
      <c r="C13" s="61" t="str">
        <f t="shared" si="0"/>
        <v>13301_4</v>
      </c>
      <c r="D13" s="66" t="s">
        <v>226</v>
      </c>
      <c r="E13" s="67" t="str">
        <f t="shared" si="2"/>
        <v>stage_bonuses_13301_4.tmp</v>
      </c>
      <c r="F13" s="66" t="s">
        <v>225</v>
      </c>
      <c r="G13" s="71" t="s">
        <v>227</v>
      </c>
      <c r="H13" s="71" t="s">
        <v>228</v>
      </c>
      <c r="I13" s="71" t="s">
        <v>229</v>
      </c>
      <c r="J13" s="71" t="s">
        <v>230</v>
      </c>
      <c r="K13" s="71" t="s">
        <v>231</v>
      </c>
      <c r="L13" s="71" t="s">
        <v>232</v>
      </c>
      <c r="M13" s="71" t="s">
        <v>233</v>
      </c>
      <c r="N13" s="71" t="s">
        <v>234</v>
      </c>
      <c r="O13" s="71" t="s">
        <v>235</v>
      </c>
      <c r="P13" s="71" t="s">
        <v>236</v>
      </c>
      <c r="Q13" s="71" t="s">
        <v>237</v>
      </c>
      <c r="R13" s="71" t="s">
        <v>238</v>
      </c>
      <c r="S13" s="71" t="s">
        <v>239</v>
      </c>
      <c r="T13" s="71" t="s">
        <v>240</v>
      </c>
      <c r="U13" s="71" t="s">
        <v>241</v>
      </c>
      <c r="V13" s="71" t="s">
        <v>242</v>
      </c>
      <c r="W13" s="71" t="s">
        <v>243</v>
      </c>
      <c r="X13" s="71" t="s">
        <v>244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zoomScale="110" zoomScaleNormal="110" zoomScalePageLayoutView="110" workbookViewId="0">
      <pane ySplit="1" topLeftCell="A2" activePane="bottomLeft" state="frozen"/>
      <selection activeCell="V2" sqref="V2:X34"/>
      <selection pane="bottomLeft" activeCell="C5" sqref="C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13301_4-1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4</v>
      </c>
      <c r="G2" s="22" t="str">
        <f>C2&amp;"_"&amp;F2</f>
        <v>13301_4</v>
      </c>
      <c r="H2" s="15" t="str">
        <f ca="1">VLOOKUP($G2,OFFSET([2]stages!$A$1,0,0,COUNTA([2]stages!$A:$A),MATCH(H$1,[2]stages!$2:$2,0)-MATCH($G$1,[2]stages!$2:$2,0)+1),MATCH(H$1,[2]stages!$2:$2,0)-MATCH($G$1,[2]stages!$2:$2,0)+1,FALSE)</f>
        <v>4階 コスト制限なし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13301_4-2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4</v>
      </c>
      <c r="G3" s="22" t="str">
        <f>C3&amp;"_"&amp;F3</f>
        <v>13301_4</v>
      </c>
      <c r="H3" s="15" t="str">
        <f ca="1">VLOOKUP($G3,OFFSET([2]stages!$A$1,0,0,COUNTA([2]stages!$A:$A),MATCH(H$1,[2]stages!$2:$2,0)-MATCH($G$1,[2]stages!$2:$2,0)+1),MATCH(H$1,[2]stages!$2:$2,0)-MATCH($G$1,[2]stages!$2:$2,0)+1,FALSE)</f>
        <v>4階 コスト制限なし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13301_4-3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4</v>
      </c>
      <c r="G4" s="22" t="str">
        <f>C4&amp;"_"&amp;F4</f>
        <v>13301_4</v>
      </c>
      <c r="H4" s="15" t="str">
        <f ca="1">VLOOKUP($G4,OFFSET([2]stages!$A$1,0,0,COUNTA([2]stages!$A:$A),MATCH(H$1,[2]stages!$2:$2,0)-MATCH($G$1,[2]stages!$2:$2,0)+1),MATCH(H$1,[2]stages!$2:$2,0)-MATCH($G$1,[2]stages!$2:$2,0)+1,FALSE)</f>
        <v>4階 コスト制限なし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zoomScale="120" zoomScaleNormal="120" zoomScalePageLayoutView="120" workbookViewId="0">
      <pane xSplit="17" ySplit="1" topLeftCell="W2" activePane="bottomRight" state="frozen"/>
      <selection pane="topRight" activeCell="N1" sqref="N1"/>
      <selection pane="bottomLeft" activeCell="A2" sqref="A2"/>
      <selection pane="bottomRight" activeCell="X11" sqref="X11"/>
    </sheetView>
  </sheetViews>
  <sheetFormatPr baseColWidth="12" defaultColWidth="13" defaultRowHeight="21" customHeight="1" outlineLevelCol="1" x14ac:dyDescent="0.15"/>
  <cols>
    <col min="1" max="1" width="18.33203125" style="19" customWidth="1"/>
    <col min="2" max="2" width="9.5" style="3" customWidth="1"/>
    <col min="3" max="3" width="8.33203125" style="3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6.33203125" style="3" customWidth="1" collapsed="1"/>
    <col min="8" max="10" width="12.33203125" style="3" hidden="1" customWidth="1" outlineLevel="1"/>
    <col min="11" max="11" width="3.83203125" style="3" customWidth="1"/>
    <col min="12" max="12" width="13.5" style="9" bestFit="1" customWidth="1"/>
    <col min="13" max="13" width="20.6640625" style="3" customWidth="1" outlineLevel="1"/>
    <col min="14" max="14" width="8.6640625" style="3" customWidth="1" outlineLevel="1"/>
    <col min="15" max="15" width="12" style="3" customWidth="1" outlineLevel="1"/>
    <col min="16" max="16" width="12.1640625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9" t="s">
        <v>246</v>
      </c>
      <c r="U1" s="24" t="s">
        <v>50</v>
      </c>
      <c r="V1" s="99" t="s">
        <v>247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13301_4-1/456&lt;lv1&gt;s2</v>
      </c>
      <c r="B2" s="21">
        <v>13301</v>
      </c>
      <c r="C2" s="105">
        <v>4</v>
      </c>
      <c r="D2" s="15" t="str">
        <f t="shared" ref="D2:D7" si="1">B2&amp;"_"&amp;C2</f>
        <v>13301_4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4階 コスト制限なし</v>
      </c>
      <c r="G2" s="105">
        <v>1</v>
      </c>
      <c r="H2" s="15" t="str">
        <f t="shared" ref="H2:H7" si="2">B2&amp;"_"&amp;C2&amp;"-"&amp;G2</f>
        <v>13301_4-1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>
        <v>1</v>
      </c>
      <c r="L2" s="108">
        <v>456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射絶 ユヅル</v>
      </c>
      <c r="N2" s="17" t="str">
        <f ca="1">VLOOKUP($L2,OFFSET([4]enemies!$A$1,0,0,COUNTA([4]enemies!$A:$A),MATCH(N$1,[4]enemies!$1:$1,0)-MATCH($L$1,[4]enemies!$1:$1,0)+1),MATCH(N$1,[4]enemies!$1:$1,0)-MATCH($L$1,[4]enemies!$1:$1,0)+1,FALSE)</f>
        <v>blue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Drop2N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30</v>
      </c>
      <c r="R2" s="5">
        <v>1</v>
      </c>
      <c r="S2" s="23">
        <v>29</v>
      </c>
      <c r="T2" s="100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79750</v>
      </c>
      <c r="U2" s="23">
        <v>10</v>
      </c>
      <c r="V2" s="100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2210</v>
      </c>
      <c r="W2" s="5">
        <v>0</v>
      </c>
      <c r="X2" s="4" t="e">
        <f ca="1">VLOOKUP($Y2,OFFSET([6]enemy_skill_sets!$B$1,0,0,COUNTA([6]enemy_skill_sets!$B:$B),MATCH(M$1,[6]enemy_skill_sets!$1:$1,0)-MATCH($Y$1,[6]enemy_skill_sets!$1:$1,0)+2),MATCH(M$1,[6]enemy_skill_sets!$1:$1,0)-MATCH($Y$1,[6]enemy_skill_sets!$1:$1,0)+2,FALSE)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2" s="60">
        <v>13301285</v>
      </c>
      <c r="Z2" s="6">
        <v>1</v>
      </c>
      <c r="AA2" s="6">
        <v>100</v>
      </c>
      <c r="AB2" s="6">
        <v>2</v>
      </c>
      <c r="AC2" s="17">
        <v>2</v>
      </c>
      <c r="AD2" s="106">
        <f t="shared" ref="AD2:AD7" si="3">L2</f>
        <v>456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射絶 ユヅル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4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Drop2N</v>
      </c>
      <c r="AH2" s="107">
        <v>1</v>
      </c>
      <c r="AI2" s="106">
        <f t="shared" ref="AI2:AI7" ca="1" si="4">AF2</f>
        <v>4</v>
      </c>
      <c r="AJ2" s="8">
        <v>0</v>
      </c>
      <c r="AK2" s="107">
        <v>0</v>
      </c>
      <c r="AL2" s="107">
        <v>0</v>
      </c>
      <c r="AM2" s="107">
        <v>0</v>
      </c>
      <c r="AN2" s="107">
        <v>0</v>
      </c>
      <c r="AO2" s="107">
        <v>1</v>
      </c>
      <c r="AP2" s="68">
        <v>1</v>
      </c>
    </row>
    <row r="3" spans="1:42" ht="21" customHeight="1" x14ac:dyDescent="0.15">
      <c r="A3" s="16" t="str">
        <f t="shared" si="0"/>
        <v>13301_4-1/422&lt;lv1&gt;s2</v>
      </c>
      <c r="B3" s="21">
        <v>13301</v>
      </c>
      <c r="C3" s="105">
        <v>4</v>
      </c>
      <c r="D3" s="15" t="str">
        <f t="shared" si="1"/>
        <v>13301_4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4階 コスト制限なし</v>
      </c>
      <c r="G3" s="105">
        <v>1</v>
      </c>
      <c r="H3" s="15" t="str">
        <f t="shared" si="2"/>
        <v>13301_4-1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>
        <v>2</v>
      </c>
      <c r="L3" s="108">
        <v>422</v>
      </c>
      <c r="M3" s="17" t="str">
        <f ca="1">VLOOKUP($L3,OFFSET([4]enemies!$A$1,0,0,COUNTA([4]enemies!$A:$A),MATCH(M$1,[4]enemies!$1:$1,0)-MATCH($L$1,[4]enemies!$1:$1,0)+1),MATCH(M$1,[4]enemies!$1:$1,0)-MATCH($L$1,[4]enemies!$1:$1,0)+1,FALSE)</f>
        <v>シュガフル</v>
      </c>
      <c r="N3" s="17" t="str">
        <f ca="1">VLOOKUP($L3,OFFSET([4]enemies!$A$1,0,0,COUNTA([4]enemies!$A:$A),MATCH(N$1,[4]enemies!$1:$1,0)-MATCH($L$1,[4]enemies!$1:$1,0)+1),MATCH(N$1,[4]enemies!$1:$1,0)-MATCH($L$1,[4]enemies!$1:$1,0)+1,FALSE)</f>
        <v>blue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Drop2N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30</v>
      </c>
      <c r="R3" s="5">
        <v>1</v>
      </c>
      <c r="S3" s="23">
        <v>20</v>
      </c>
      <c r="T3" s="100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79900</v>
      </c>
      <c r="U3" s="23">
        <v>9</v>
      </c>
      <c r="V3" s="100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2385</v>
      </c>
      <c r="W3" s="5">
        <v>0</v>
      </c>
      <c r="X3" s="4" t="e">
        <f ca="1">VLOOKUP($Y3,OFFSET([6]enemy_skill_sets!$B$1,0,0,COUNTA([6]enemy_skill_sets!$B:$B),MATCH(M$1,[6]enemy_skill_sets!$1:$1,0)-MATCH($Y$1,[6]enemy_skill_sets!$1:$1,0)+2),MATCH(M$1,[6]enemy_skill_sets!$1:$1,0)-MATCH($Y$1,[6]enemy_skill_sets!$1:$1,0)+2,FALSE)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3" s="60">
        <v>13301286</v>
      </c>
      <c r="Z3" s="6">
        <v>1</v>
      </c>
      <c r="AA3" s="6">
        <v>100</v>
      </c>
      <c r="AB3" s="6">
        <v>1</v>
      </c>
      <c r="AC3" s="17">
        <v>2</v>
      </c>
      <c r="AD3" s="106">
        <f t="shared" si="3"/>
        <v>422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シュガフル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4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Drop2N</v>
      </c>
      <c r="AH3" s="107">
        <v>1</v>
      </c>
      <c r="AI3" s="106">
        <f t="shared" ca="1" si="4"/>
        <v>4</v>
      </c>
      <c r="AJ3" s="8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1</v>
      </c>
      <c r="AP3" s="68">
        <v>1</v>
      </c>
    </row>
    <row r="4" spans="1:42" ht="21" customHeight="1" x14ac:dyDescent="0.15">
      <c r="A4" s="16" t="str">
        <f t="shared" ca="1" si="0"/>
        <v>13301_4-2/274&lt;lv1&gt;s2</v>
      </c>
      <c r="B4" s="21">
        <v>13301</v>
      </c>
      <c r="C4" s="105">
        <v>4</v>
      </c>
      <c r="D4" s="15" t="str">
        <f t="shared" si="1"/>
        <v>13301_4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4階 コスト制限なし</v>
      </c>
      <c r="G4" s="105">
        <v>2</v>
      </c>
      <c r="H4" s="15" t="str">
        <f t="shared" si="2"/>
        <v>13301_4-2</v>
      </c>
      <c r="I4" s="4" t="e">
        <f ca="1">VLOOKUP($H4,OFFSET([6]floors!$A$1,0,0,COUNTA([6]floors!$A:$A),MATCH(I$1,[6]floors!$1:$1,0)-MATCH($H$1,[6]floors!$1:$1,0)+1),MATCH(I$1,[6]floors!$1:$1,0)-MATCH($H$1,[6]floors!$1:$1,0)+1,FALSE)</f>
        <v>#VALUE!</v>
      </c>
      <c r="J4" s="4" t="e">
        <f ca="1">VLOOKUP($H4,OFFSET([6]floors!$A$1,0,0,COUNTA([6]floors!$A:$A),MATCH(J$1,[6]floors!$1:$1,0)-MATCH($H$1,[6]floors!$1:$1,0)+1),MATCH(J$1,[6]floors!$1:$1,0)-MATCH($H$1,[6]floors!$1:$1,0)+1,FALSE)</f>
        <v>#VALUE!</v>
      </c>
      <c r="K4" s="36">
        <v>1</v>
      </c>
      <c r="L4" s="105">
        <v>274</v>
      </c>
      <c r="M4" s="17" t="str">
        <f ca="1">VLOOKUP($L4,OFFSET([4]enemies!$A$1,0,0,COUNTA([4]enemies!$A:$A),MATCH(M$1,[4]enemies!$1:$1,0)-MATCH($L$1,[4]enemies!$1:$1,0)+1),MATCH(M$1,[4]enemies!$1:$1,0)-MATCH($L$1,[4]enemies!$1:$1,0)+1,FALSE)</f>
        <v>砕棒のガエル</v>
      </c>
      <c r="N4" s="17" t="str">
        <f ca="1">VLOOKUP($L4,OFFSET([4]enemies!$A$1,0,0,COUNTA([4]enemies!$A:$A),MATCH(N$1,[4]enemies!$1:$1,0)-MATCH($L$1,[4]enemies!$1:$1,0)+1),MATCH(N$1,[4]enemies!$1:$1,0)-MATCH($L$1,[4]enemies!$1:$1,0)+1,FALSE)</f>
        <v>yellow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Drop2N</v>
      </c>
      <c r="P4" s="17" t="str">
        <f ca="1">VLOOKUP($L4,OFFSET([4]enemies!$A$1,0,0,COUNTA([4]enemies!$A:$A),MATCH(P$1,[4]enemies!$1:$1,0)-MATCH($L$1,[4]enemies!$1:$1,0)+1),MATCH(P$1,[4]enemies!$1:$1,0)-MATCH($L$1,[4]enemies!$1:$1,0)+1,FALSE)</f>
        <v>human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1</v>
      </c>
      <c r="S4" s="23">
        <v>30</v>
      </c>
      <c r="T4" s="100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89820</v>
      </c>
      <c r="U4" s="23">
        <v>11</v>
      </c>
      <c r="V4" s="100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3707</v>
      </c>
      <c r="W4" s="5">
        <v>0</v>
      </c>
      <c r="X4" s="4" t="e">
        <f ca="1">VLOOKUP($Y4,OFFSET([6]enemy_skill_sets!$B$1,0,0,COUNTA([6]enemy_skill_sets!$B:$B),MATCH(M$1,[6]enemy_skill_sets!$1:$1,0)-MATCH($Y$1,[6]enemy_skill_sets!$1:$1,0)+2),MATCH(M$1,[6]enemy_skill_sets!$1:$1,0)-MATCH($Y$1,[6]enemy_skill_sets!$1:$1,0)+2,FALSE)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4" s="45">
        <v>13301300</v>
      </c>
      <c r="Z4" s="6">
        <v>1</v>
      </c>
      <c r="AA4" s="6">
        <v>100</v>
      </c>
      <c r="AB4" s="6">
        <v>2</v>
      </c>
      <c r="AC4" s="17">
        <f ca="1">VLOOKUP($L4,OFFSET([4]enemies!$A$1,0,0,COUNTA([4]enemies!$A:$A),MATCH(AC$1,[4]enemies!$1:$1,0)-MATCH($L$1,[4]enemies!$1:$1,0)+1),MATCH(AC$1,[4]enemies!$1:$1,0)-MATCH($L$1,[4]enemies!$1:$1,0)+1,FALSE)</f>
        <v>2</v>
      </c>
      <c r="AD4" s="106">
        <f t="shared" si="3"/>
        <v>274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砕棒のガエル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Drop2N</v>
      </c>
      <c r="AH4" s="107">
        <v>1</v>
      </c>
      <c r="AI4" s="106">
        <f t="shared" ca="1" si="4"/>
        <v>4</v>
      </c>
      <c r="AJ4" s="8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1</v>
      </c>
      <c r="AP4" s="68">
        <v>1</v>
      </c>
    </row>
    <row r="5" spans="1:42" ht="21" customHeight="1" x14ac:dyDescent="0.15">
      <c r="A5" s="16" t="str">
        <f t="shared" si="0"/>
        <v>13301_4-2/272&lt;lv1&gt;s2</v>
      </c>
      <c r="B5" s="21">
        <v>13301</v>
      </c>
      <c r="C5" s="105">
        <v>4</v>
      </c>
      <c r="D5" s="15" t="str">
        <f t="shared" si="1"/>
        <v>13301_4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4階 コスト制限なし</v>
      </c>
      <c r="G5" s="105">
        <v>2</v>
      </c>
      <c r="H5" s="15" t="str">
        <f t="shared" si="2"/>
        <v>13301_4-2</v>
      </c>
      <c r="I5" s="4" t="e">
        <f ca="1">VLOOKUP($H5,OFFSET([6]floors!$A$1,0,0,COUNTA([6]floors!$A:$A),MATCH(I$1,[6]floors!$1:$1,0)-MATCH($H$1,[6]floors!$1:$1,0)+1),MATCH(I$1,[6]floors!$1:$1,0)-MATCH($H$1,[6]floors!$1:$1,0)+1,FALSE)</f>
        <v>#VALUE!</v>
      </c>
      <c r="J5" s="4" t="e">
        <f ca="1">VLOOKUP($H5,OFFSET([6]floors!$A$1,0,0,COUNTA([6]floors!$A:$A),MATCH(J$1,[6]floors!$1:$1,0)-MATCH($H$1,[6]floors!$1:$1,0)+1),MATCH(J$1,[6]floors!$1:$1,0)-MATCH($H$1,[6]floors!$1:$1,0)+1,FALSE)</f>
        <v>#VALUE!</v>
      </c>
      <c r="K5" s="36">
        <v>2</v>
      </c>
      <c r="L5" s="108">
        <v>272</v>
      </c>
      <c r="M5" s="17" t="str">
        <f ca="1">VLOOKUP($L5,OFFSET([4]enemies!$A$1,0,0,COUNTA([4]enemies!$A:$A),MATCH(M$1,[4]enemies!$1:$1,0)-MATCH($L$1,[4]enemies!$1:$1,0)+1),MATCH(M$1,[4]enemies!$1:$1,0)-MATCH($L$1,[4]enemies!$1:$1,0)+1,FALSE)</f>
        <v>魔札のシルベール</v>
      </c>
      <c r="N5" s="17" t="str">
        <f ca="1">VLOOKUP($L5,OFFSET([4]enemies!$A$1,0,0,COUNTA([4]enemies!$A:$A),MATCH(N$1,[4]enemies!$1:$1,0)-MATCH($L$1,[4]enemies!$1:$1,0)+1),MATCH(N$1,[4]enemies!$1:$1,0)-MATCH($L$1,[4]enemies!$1:$1,0)+1,FALSE)</f>
        <v>blue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Drop2N</v>
      </c>
      <c r="P5" s="17" t="str">
        <f ca="1">VLOOKUP($L5,OFFSET([4]enemies!$A$1,0,0,COUNTA([4]enemies!$A:$A),MATCH(P$1,[4]enemies!$1:$1,0)-MATCH($L$1,[4]enemies!$1:$1,0)+1),MATCH(P$1,[4]enemies!$1:$1,0)-MATCH($L$1,[4]enemies!$1:$1,0)+1,FALSE)</f>
        <v>human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1</v>
      </c>
      <c r="S5" s="23">
        <v>35</v>
      </c>
      <c r="T5" s="100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96250</v>
      </c>
      <c r="U5" s="23">
        <v>18</v>
      </c>
      <c r="V5" s="100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3978</v>
      </c>
      <c r="W5" s="5">
        <v>0</v>
      </c>
      <c r="X5" s="4" t="e">
        <f ca="1">VLOOKUP($Y5,OFFSET([6]enemy_skill_sets!$B$1,0,0,COUNTA([6]enemy_skill_sets!$B:$B),MATCH(M$1,[6]enemy_skill_sets!$1:$1,0)-MATCH($Y$1,[6]enemy_skill_sets!$1:$1,0)+2),MATCH(M$1,[6]enemy_skill_sets!$1:$1,0)-MATCH($Y$1,[6]enemy_skill_sets!$1:$1,0)+2,FALSE)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5" s="45">
        <v>13301301</v>
      </c>
      <c r="Z5" s="6">
        <v>1</v>
      </c>
      <c r="AA5" s="6">
        <v>100</v>
      </c>
      <c r="AB5" s="6">
        <v>1</v>
      </c>
      <c r="AC5" s="17">
        <v>2</v>
      </c>
      <c r="AD5" s="106">
        <f t="shared" si="3"/>
        <v>272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魔札のシルベール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Drop2N</v>
      </c>
      <c r="AH5" s="107">
        <v>1</v>
      </c>
      <c r="AI5" s="106">
        <f t="shared" ca="1" si="4"/>
        <v>4</v>
      </c>
      <c r="AJ5" s="8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1</v>
      </c>
      <c r="AP5" s="68">
        <v>1</v>
      </c>
    </row>
    <row r="6" spans="1:42" ht="21" customHeight="1" x14ac:dyDescent="0.15">
      <c r="A6" s="16" t="str">
        <f t="shared" ca="1" si="0"/>
        <v>13301_4-3/288&lt;lv1&gt;s2</v>
      </c>
      <c r="B6" s="21">
        <v>13301</v>
      </c>
      <c r="C6" s="105">
        <v>4</v>
      </c>
      <c r="D6" s="15" t="str">
        <f t="shared" si="1"/>
        <v>13301_4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4階 コスト制限なし</v>
      </c>
      <c r="G6" s="105">
        <v>3</v>
      </c>
      <c r="H6" s="15" t="str">
        <f t="shared" si="2"/>
        <v>13301_4-3</v>
      </c>
      <c r="I6" s="4" t="e">
        <f ca="1">VLOOKUP($H6,OFFSET([6]floors!$A$1,0,0,COUNTA([6]floors!$A:$A),MATCH(I$1,[6]floors!$1:$1,0)-MATCH($H$1,[6]floors!$1:$1,0)+1),MATCH(I$1,[6]floors!$1:$1,0)-MATCH($H$1,[6]floors!$1:$1,0)+1,FALSE)</f>
        <v>#VALUE!</v>
      </c>
      <c r="J6" s="4" t="e">
        <f ca="1">VLOOKUP($H6,OFFSET([6]floors!$A$1,0,0,COUNTA([6]floors!$A:$A),MATCH(J$1,[6]floors!$1:$1,0)-MATCH($H$1,[6]floors!$1:$1,0)+1),MATCH(J$1,[6]floors!$1:$1,0)-MATCH($H$1,[6]floors!$1:$1,0)+1,FALSE)</f>
        <v>#VALUE!</v>
      </c>
      <c r="K6" s="36">
        <v>1</v>
      </c>
      <c r="L6" s="108">
        <v>288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ミカド</v>
      </c>
      <c r="N6" s="17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Drop2N</v>
      </c>
      <c r="P6" s="17" t="str">
        <f ca="1">VLOOKUP($L6,OFFSET([4]enemies!$A$1,0,0,COUNTA([4]enemies!$A:$A),MATCH(P$1,[4]enemies!$1:$1,0)-MATCH($L$1,[4]enemies!$1:$1,0)+1),MATCH(P$1,[4]enemies!$1:$1,0)-MATCH($L$1,[4]enemies!$1:$1,0)+1,FALSE)</f>
        <v>human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1</v>
      </c>
      <c r="S6" s="23">
        <v>38</v>
      </c>
      <c r="T6" s="100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113772</v>
      </c>
      <c r="U6" s="23">
        <v>15</v>
      </c>
      <c r="V6" s="100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3795</v>
      </c>
      <c r="W6" s="5">
        <v>0</v>
      </c>
      <c r="X6" s="4" t="e">
        <f ca="1">VLOOKUP($Y6,OFFSET([6]enemy_skill_sets!$B$1,0,0,COUNTA([6]enemy_skill_sets!$B:$B),MATCH(M$1,[6]enemy_skill_sets!$1:$1,0)-MATCH($Y$1,[6]enemy_skill_sets!$1:$1,0)+2),MATCH(M$1,[6]enemy_skill_sets!$1:$1,0)-MATCH($Y$1,[6]enemy_skill_sets!$1:$1,0)+2,FALSE)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6" s="45">
        <v>13301302</v>
      </c>
      <c r="Z6" s="6">
        <v>1</v>
      </c>
      <c r="AA6" s="6">
        <v>100</v>
      </c>
      <c r="AB6" s="6">
        <v>2</v>
      </c>
      <c r="AC6" s="17">
        <f ca="1">VLOOKUP($L6,OFFSET([4]enemies!$A$1,0,0,COUNTA([4]enemies!$A:$A),MATCH(AC$1,[4]enemies!$1:$1,0)-MATCH($L$1,[4]enemies!$1:$1,0)+1),MATCH(AC$1,[4]enemies!$1:$1,0)-MATCH($L$1,[4]enemies!$1:$1,0)+1,FALSE)</f>
        <v>2</v>
      </c>
      <c r="AD6" s="106">
        <f t="shared" si="3"/>
        <v>288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ミカド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Drop2N</v>
      </c>
      <c r="AH6" s="107">
        <v>1</v>
      </c>
      <c r="AI6" s="106">
        <f t="shared" ca="1" si="4"/>
        <v>4</v>
      </c>
      <c r="AJ6" s="8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1</v>
      </c>
      <c r="AP6" s="68">
        <v>1</v>
      </c>
    </row>
    <row r="7" spans="1:42" ht="21" customHeight="1" x14ac:dyDescent="0.15">
      <c r="A7" s="16" t="str">
        <f t="shared" si="0"/>
        <v>13301_4-3/506&lt;lv1&gt;s2</v>
      </c>
      <c r="B7" s="21">
        <v>13301</v>
      </c>
      <c r="C7" s="105">
        <v>4</v>
      </c>
      <c r="D7" s="15" t="str">
        <f t="shared" si="1"/>
        <v>13301_4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4階 コスト制限なし</v>
      </c>
      <c r="G7" s="105">
        <v>3</v>
      </c>
      <c r="H7" s="15" t="str">
        <f t="shared" si="2"/>
        <v>13301_4-3</v>
      </c>
      <c r="I7" s="4" t="e">
        <f ca="1">VLOOKUP($H7,OFFSET([6]floors!$A$1,0,0,COUNTA([6]floors!$A:$A),MATCH(I$1,[6]floors!$1:$1,0)-MATCH($H$1,[6]floors!$1:$1,0)+1),MATCH(I$1,[6]floors!$1:$1,0)-MATCH($H$1,[6]floors!$1:$1,0)+1,FALSE)</f>
        <v>#VALUE!</v>
      </c>
      <c r="J7" s="4" t="e">
        <f ca="1">VLOOKUP($H7,OFFSET([6]floors!$A$1,0,0,COUNTA([6]floors!$A:$A),MATCH(J$1,[6]floors!$1:$1,0)-MATCH($H$1,[6]floors!$1:$1,0)+1),MATCH(J$1,[6]floors!$1:$1,0)-MATCH($H$1,[6]floors!$1:$1,0)+1,FALSE)</f>
        <v>#VALUE!</v>
      </c>
      <c r="K7" s="36">
        <v>2</v>
      </c>
      <c r="L7" s="105">
        <v>506</v>
      </c>
      <c r="M7" s="17" t="str">
        <f ca="1">VLOOKUP($L7,OFFSET([4]enemies!$A$1,0,0,COUNTA([4]enemies!$A:$A),MATCH(M$1,[4]enemies!$1:$1,0)-MATCH($L$1,[4]enemies!$1:$1,0)+1),MATCH(M$1,[4]enemies!$1:$1,0)-MATCH($L$1,[4]enemies!$1:$1,0)+1,FALSE)</f>
        <v>ゴーテル</v>
      </c>
      <c r="N7" s="17" t="str">
        <f ca="1">VLOOKUP($L7,OFFSET([4]enemies!$A$1,0,0,COUNTA([4]enemies!$A:$A),MATCH(N$1,[4]enemies!$1:$1,0)-MATCH($L$1,[4]enemies!$1:$1,0)+1),MATCH(N$1,[4]enemies!$1:$1,0)-MATCH($L$1,[4]enemies!$1:$1,0)+1,FALSE)</f>
        <v>blue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Drop2N</v>
      </c>
      <c r="P7" s="17" t="str">
        <f ca="1">VLOOKUP($L7,OFFSET([4]enemies!$A$1,0,0,COUNTA([4]enemies!$A:$A),MATCH(P$1,[4]enemies!$1:$1,0)-MATCH($L$1,[4]enemies!$1:$1,0)+1),MATCH(P$1,[4]enemies!$1:$1,0)-MATCH($L$1,[4]enemies!$1:$1,0)+1,FALSE)</f>
        <v>human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1</v>
      </c>
      <c r="S7" s="23">
        <v>28</v>
      </c>
      <c r="T7" s="100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85540</v>
      </c>
      <c r="U7" s="23">
        <v>13</v>
      </c>
      <c r="V7" s="100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4251</v>
      </c>
      <c r="W7" s="5">
        <v>0</v>
      </c>
      <c r="X7" s="4" t="e">
        <f ca="1">VLOOKUP($Y7,OFFSET([6]enemy_skill_sets!$B$1,0,0,COUNTA([6]enemy_skill_sets!$B:$B),MATCH(M$1,[6]enemy_skill_sets!$1:$1,0)-MATCH($Y$1,[6]enemy_skill_sets!$1:$1,0)+2),MATCH(M$1,[6]enemy_skill_sets!$1:$1,0)-MATCH($Y$1,[6]enemy_skill_sets!$1:$1,0)+2,FALSE)</f>
        <v>#VALUE!</v>
      </c>
      <c r="Y7" s="45">
        <v>13301303</v>
      </c>
      <c r="Z7" s="6">
        <v>1</v>
      </c>
      <c r="AA7" s="6">
        <v>100</v>
      </c>
      <c r="AB7" s="6">
        <v>1</v>
      </c>
      <c r="AC7" s="17">
        <v>2</v>
      </c>
      <c r="AD7" s="106">
        <f t="shared" si="3"/>
        <v>506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ゴーテル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Drop2N</v>
      </c>
      <c r="AH7" s="107">
        <v>1</v>
      </c>
      <c r="AI7" s="106">
        <f t="shared" ca="1" si="4"/>
        <v>4</v>
      </c>
      <c r="AJ7" s="8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1</v>
      </c>
      <c r="AP7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M10" sqref="M10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9" t="s">
        <v>246</v>
      </c>
      <c r="V1" s="24" t="s">
        <v>50</v>
      </c>
      <c r="W1" s="99" t="s">
        <v>247</v>
      </c>
      <c r="X1" s="24" t="s">
        <v>52</v>
      </c>
      <c r="Y1" s="26" t="s">
        <v>128</v>
      </c>
      <c r="Z1" s="27" t="s">
        <v>127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9"/>
  <sheetViews>
    <sheetView showGridLines="0" tabSelected="1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E7" sqref="E7"/>
    </sheetView>
  </sheetViews>
  <sheetFormatPr baseColWidth="12" defaultColWidth="12.83203125" defaultRowHeight="21" customHeight="1" outlineLevelCol="1" x14ac:dyDescent="0.15"/>
  <cols>
    <col min="1" max="1" width="15.1640625" style="37" customWidth="1"/>
    <col min="2" max="2" width="9.5" style="47" bestFit="1" customWidth="1"/>
    <col min="3" max="3" width="9.6640625" style="47" customWidth="1"/>
    <col min="4" max="4" width="7.1640625" style="47" customWidth="1" outlineLevel="1"/>
    <col min="5" max="5" width="6.83203125" style="47" customWidth="1" outlineLevel="1"/>
    <col min="6" max="6" width="10.33203125" style="47" customWidth="1"/>
    <col min="7" max="7" width="16.33203125" style="47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5" si="0">B2&amp;"_"&amp;C2</f>
        <v>13301285_13301242</v>
      </c>
      <c r="B2" s="45">
        <v>13301285</v>
      </c>
      <c r="C2" s="45">
        <v>13301242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標的　ロックオン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3ターン青パネル無効+2回連続攻撃</v>
      </c>
      <c r="F2" s="45">
        <v>13301242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5"/>
      <c r="Q2" s="45"/>
      <c r="R2" s="45"/>
    </row>
    <row r="3" spans="1:18" ht="21" customHeight="1" x14ac:dyDescent="0.15">
      <c r="A3" s="37" t="str">
        <f t="shared" si="0"/>
        <v>13301285_13301243</v>
      </c>
      <c r="B3" s="45">
        <v>13301285</v>
      </c>
      <c r="C3" s="45">
        <v>13301243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その的、ちょっと持ってて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6ターン確率で青の時限式ダメージ_x000D_パネルをドロップ+単体攻撃</v>
      </c>
      <c r="F3" s="45">
        <v>13301243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5"/>
      <c r="Q3" s="45"/>
      <c r="R3" s="45"/>
    </row>
    <row r="4" spans="1:18" ht="21" customHeight="1" x14ac:dyDescent="0.15">
      <c r="A4" s="37" t="str">
        <f t="shared" si="0"/>
        <v>13301286_13301244</v>
      </c>
      <c r="B4" s="45">
        <v>13301286</v>
      </c>
      <c r="C4" s="45">
        <v>13301244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あそぼ！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3ターン赤パネル無効+2回連続攻撃</v>
      </c>
      <c r="F4" s="45">
        <v>13301244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5"/>
      <c r="Q4" s="45"/>
      <c r="R4" s="45"/>
    </row>
    <row r="5" spans="1:18" ht="21" customHeight="1" x14ac:dyDescent="0.15">
      <c r="A5" s="37" t="str">
        <f t="shared" si="0"/>
        <v>13301286_13301245</v>
      </c>
      <c r="B5" s="45">
        <v>13301286</v>
      </c>
      <c r="C5" s="45">
        <v>13301245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ハジケてもしーらない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6ターン確率で赤の時限式ダメージ_x000D_パネルをドロップ+単体攻撃</v>
      </c>
      <c r="F5" s="45">
        <v>13301245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5"/>
      <c r="Q5" s="45"/>
      <c r="R5" s="45"/>
    </row>
    <row r="6" spans="1:18" ht="21" customHeight="1" x14ac:dyDescent="0.15">
      <c r="A6" s="37" t="str">
        <f>B6&amp;"_"&amp;C6</f>
        <v>13301300_13301342</v>
      </c>
      <c r="B6" s="45">
        <v>13301300</v>
      </c>
      <c r="C6" s="45">
        <v>13301342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カミナリ殺し・封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青属性に6ターンスキルバインド+_x000D_黄属性に大ダメージの全体攻撃</v>
      </c>
      <c r="F6" s="45">
        <v>13301342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>B7&amp;"_"&amp;C7</f>
        <v>13301300_13301344</v>
      </c>
      <c r="B7" s="45">
        <v>13301300</v>
      </c>
      <c r="C7" s="45">
        <v>13301344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カミナリ殺し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黄属性に大ダメージの全体攻撃</v>
      </c>
      <c r="F7" s="45">
        <v>13301344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5"/>
      <c r="Q7" s="45"/>
      <c r="R7" s="45"/>
    </row>
    <row r="8" spans="1:18" ht="21" customHeight="1" x14ac:dyDescent="0.15">
      <c r="A8" s="37" t="str">
        <f t="shared" ref="A8" si="1">B8&amp;"_"&amp;C8</f>
        <v>13301300_13301345</v>
      </c>
      <c r="B8" s="45">
        <v>13301300</v>
      </c>
      <c r="C8" s="45">
        <v>13301345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大咆哮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3ターンの間タップ回数DOWN+_x000D_単体攻撃</v>
      </c>
      <c r="F8" s="45">
        <v>13301345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" s="45"/>
      <c r="Q8" s="45"/>
      <c r="R8" s="45"/>
    </row>
    <row r="9" spans="1:18" ht="21" customHeight="1" x14ac:dyDescent="0.15">
      <c r="A9" s="37" t="str">
        <f>B9&amp;"_"&amp;C9</f>
        <v>13301300_13301346</v>
      </c>
      <c r="B9" s="45">
        <v>13301300</v>
      </c>
      <c r="C9" s="45">
        <v>13301346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ブルースイング　野生の力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青パネルを吸収して青属性の全体攻撃+_x000D_緑属性ユニットのスキルゲージ1上昇</v>
      </c>
      <c r="F9" s="45">
        <v>13301346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9" s="45"/>
      <c r="Q9" s="45"/>
      <c r="R9" s="45"/>
    </row>
    <row r="10" spans="1:18" ht="21" customHeight="1" x14ac:dyDescent="0.15">
      <c r="A10" s="37" t="str">
        <f t="shared" ref="A10" si="2">B10&amp;"_"&amp;C10</f>
        <v>13301301_13301347</v>
      </c>
      <c r="B10" s="45">
        <v>13301301</v>
      </c>
      <c r="C10" s="45">
        <v>13301347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そのカード、交換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赤パネルをハートパネルに変換+_x000D_ハートパネルをプロテクト</v>
      </c>
      <c r="F10" s="45">
        <v>13301347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45"/>
      <c r="Q10" s="45"/>
      <c r="R10" s="45"/>
    </row>
    <row r="11" spans="1:18" ht="21" customHeight="1" x14ac:dyDescent="0.15">
      <c r="A11" s="37" t="str">
        <f>B11&amp;"_"&amp;C11</f>
        <v>13301301_13301348</v>
      </c>
      <c r="B11" s="45">
        <v>13301301</v>
      </c>
      <c r="C11" s="45">
        <v>13301348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時限式ベット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黄の時限式ダメージパネルを4個生成</v>
      </c>
      <c r="F11" s="45">
        <v>13301348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45"/>
      <c r="Q11" s="45"/>
      <c r="R11" s="45"/>
    </row>
    <row r="12" spans="1:18" ht="21" customHeight="1" x14ac:dyDescent="0.15">
      <c r="A12" s="37" t="str">
        <f t="shared" ref="A12" si="3">B12&amp;"_"&amp;C12</f>
        <v>13301301_13301349</v>
      </c>
      <c r="B12" s="45">
        <v>13301301</v>
      </c>
      <c r="C12" s="45">
        <v>13301349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見えたっ！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12" s="45">
        <v>13301349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2" s="45"/>
      <c r="Q12" s="45"/>
      <c r="R12" s="45"/>
    </row>
    <row r="13" spans="1:18" ht="21" customHeight="1" x14ac:dyDescent="0.15">
      <c r="A13" s="37" t="str">
        <f>B13&amp;"_"&amp;C13</f>
        <v>13301302_13301350</v>
      </c>
      <c r="B13" s="45">
        <v>13301302</v>
      </c>
      <c r="C13" s="45">
        <v>13301350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スキルバインド耐性</v>
      </c>
      <c r="F13" s="45">
        <v>13301350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6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ref="A14" si="4">B14&amp;"_"&amp;C14</f>
        <v>13301303_13301351</v>
      </c>
      <c r="B14" s="45">
        <v>13301303</v>
      </c>
      <c r="C14" s="45">
        <v>13301351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ハ・カ・イ・セ・ヨ…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スリープ耐性</v>
      </c>
      <c r="F14" s="45">
        <v>13301351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>B15&amp;"_"&amp;C15</f>
        <v>13301302_13301352</v>
      </c>
      <c r="B15" s="45">
        <v>13301302</v>
      </c>
      <c r="C15" s="45">
        <v>13301352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ひれ伏せ！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3ターンの間タップ回数DOWN+_x000D_2回連続攻撃</v>
      </c>
      <c r="F15" s="45">
        <v>13301352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43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43</v>
      </c>
      <c r="P15" s="45"/>
      <c r="Q15" s="45"/>
      <c r="R15" s="45"/>
    </row>
    <row r="16" spans="1:18" ht="21" customHeight="1" x14ac:dyDescent="0.15">
      <c r="A16" s="37" t="str">
        <f t="shared" ref="A16" si="5">B16&amp;"_"&amp;C16</f>
        <v>13301302_13301353</v>
      </c>
      <c r="B16" s="45">
        <v>13301302</v>
      </c>
      <c r="C16" s="45">
        <v>13301353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怨霊封殺　魂解放！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赤・青パネルを吸収して全体攻撃+_x000D_緑属性ユニットのスキルゲージ1上昇</v>
      </c>
      <c r="F16" s="45">
        <v>13301353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57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6" s="46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57</v>
      </c>
      <c r="P16" s="45"/>
      <c r="Q16" s="45"/>
      <c r="R16" s="45"/>
    </row>
    <row r="17" spans="1:18" ht="21" customHeight="1" x14ac:dyDescent="0.15">
      <c r="A17" s="37" t="str">
        <f>B17&amp;"_"&amp;C17</f>
        <v>13301303_13301354</v>
      </c>
      <c r="B17" s="45">
        <v>13301303</v>
      </c>
      <c r="C17" s="45">
        <v>13301354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お呼びじゃないの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種族マシンに大ダメージの全体攻撃</v>
      </c>
      <c r="F17" s="45">
        <v>13301354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7" s="46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7" s="45"/>
      <c r="Q17" s="45"/>
      <c r="R17" s="45"/>
    </row>
    <row r="18" spans="1:18" ht="21" customHeight="1" x14ac:dyDescent="0.15">
      <c r="A18" s="37" t="str">
        <f t="shared" ref="A18" si="6">B18&amp;"_"&amp;C18</f>
        <v>13301303_13301355</v>
      </c>
      <c r="B18" s="45">
        <v>13301303</v>
      </c>
      <c r="C18" s="45">
        <v>13301355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落ちてみる？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8" s="45">
        <v>13301355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23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23</v>
      </c>
      <c r="P18" s="45"/>
      <c r="Q18" s="45"/>
      <c r="R18" s="45"/>
    </row>
    <row r="19" spans="1:18" ht="21" customHeight="1" x14ac:dyDescent="0.15">
      <c r="A19" s="37" t="str">
        <f>B19&amp;"_"&amp;C19</f>
        <v>13301303_13301356</v>
      </c>
      <c r="B19" s="45">
        <v>13301303</v>
      </c>
      <c r="C19" s="45">
        <v>13301356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ブルー・マイン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青の時限式ダメージパネルを6個生成</v>
      </c>
      <c r="F19" s="45">
        <v>13301356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47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47</v>
      </c>
      <c r="P19" s="45"/>
      <c r="Q19" s="45"/>
      <c r="R19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BF72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:A19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6" style="47" customWidth="1"/>
    <col min="3" max="3" width="9.83203125" style="47" customWidth="1"/>
    <col min="4" max="4" width="3.83203125" style="47" customWidth="1"/>
    <col min="5" max="5" width="30.33203125" style="47" bestFit="1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0.1640625" style="47" customWidth="1" collapsed="1"/>
    <col min="13" max="18" width="23.6640625" style="47" hidden="1" customWidth="1" outlineLevel="1"/>
    <col min="19" max="19" width="8.1640625" style="47" customWidth="1" collapsed="1"/>
    <col min="20" max="24" width="23.6640625" style="47" hidden="1" customWidth="1" outlineLevel="1"/>
    <col min="25" max="25" width="5.83203125" style="47" customWidth="1" collapsed="1"/>
    <col min="26" max="26" width="7.5" style="47" customWidth="1"/>
    <col min="27" max="27" width="6.33203125" style="47" customWidth="1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131</v>
      </c>
      <c r="H1" s="39" t="s">
        <v>137</v>
      </c>
      <c r="I1" s="39" t="s">
        <v>139</v>
      </c>
      <c r="J1" s="39" t="s">
        <v>138</v>
      </c>
      <c r="K1" s="39" t="s">
        <v>140</v>
      </c>
      <c r="L1" s="39" t="s">
        <v>132</v>
      </c>
      <c r="M1" s="39" t="s">
        <v>130</v>
      </c>
      <c r="N1" s="39" t="s">
        <v>133</v>
      </c>
      <c r="O1" s="39" t="s">
        <v>141</v>
      </c>
      <c r="P1" s="39" t="s">
        <v>142</v>
      </c>
      <c r="Q1" s="39" t="s">
        <v>143</v>
      </c>
      <c r="R1" s="39" t="s">
        <v>144</v>
      </c>
      <c r="S1" s="39" t="s">
        <v>134</v>
      </c>
      <c r="T1" s="39" t="s">
        <v>135</v>
      </c>
      <c r="U1" s="39" t="s">
        <v>145</v>
      </c>
      <c r="V1" s="39" t="s">
        <v>146</v>
      </c>
      <c r="W1" s="39" t="s">
        <v>147</v>
      </c>
      <c r="X1" s="39" t="s">
        <v>148</v>
      </c>
      <c r="Y1" s="39" t="s">
        <v>136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13301242</v>
      </c>
      <c r="B2" s="45" t="s">
        <v>322</v>
      </c>
      <c r="C2" s="48">
        <v>3</v>
      </c>
      <c r="D2" s="48" t="s">
        <v>126</v>
      </c>
      <c r="E2" s="49" t="s">
        <v>263</v>
      </c>
      <c r="F2" s="49" t="s">
        <v>262</v>
      </c>
      <c r="G2" s="62" t="str">
        <f>IFERROR(LEFT(B2,FIND("],",B2)),B2)</f>
        <v>[effect:rush, count:2, val:0.42]</v>
      </c>
      <c r="H2" s="62">
        <f>FIND("effect:",G2)+7</f>
        <v>9</v>
      </c>
      <c r="I2" s="62">
        <f>IFERROR(FIND(",",G2),LEN(G2))</f>
        <v>13</v>
      </c>
      <c r="J2" s="62" t="e">
        <f>FIND("target:",G2)+7</f>
        <v>#VALUE!</v>
      </c>
      <c r="K2" s="62">
        <f>FIND(",",G2,I2+1)</f>
        <v>22</v>
      </c>
      <c r="L2" s="62" t="str">
        <f>IFERROR(VLOOKUP(MID(G2,J2,K2-J2),[7]skilldef!$C:$D,2,FALSE),"-") &amp; " / " &amp; IFERROR(VLOOKUP(MID(G2,H2,I2-H2),[7]skilldef!$A:$B,2,FALSE),"-")</f>
        <v>- / 連続攻撃</v>
      </c>
      <c r="M2" s="62" t="str">
        <f>IFERROR(RIGHT(B2,LEN(B2)-FIND("],",B2)-1),"none")</f>
        <v>[effect:dis_panel, target:block_blue, turn:3, animation:enemy_dis_blue],[effect:enemy_message, val1:1.4, val2:2]</v>
      </c>
      <c r="N2" s="46" t="str">
        <f>IFERROR(LEFT(M2,FIND("],",M2)+[3]enemy_skills!#REF!),M2)</f>
        <v>[effect:dis_panel, target:block_blue, turn:3, animation:enemy_dis_blue],[effect:enemy_message, val1:1.4, val2:2]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37</v>
      </c>
      <c r="S2" s="62" t="str">
        <f>IFERROR(VLOOKUP(MID(N2,Q2,R2-Q2),[7]skilldef!$C:$D,2,FALSE),"-") &amp; " / " &amp; IFERROR(VLOOKUP(MID(N2,O2,P2-O2),[7]skilldef!$A:$B,2,FALSE),"-")</f>
        <v>青パネルを / ディスパネル</v>
      </c>
      <c r="T2" s="46" t="str">
        <f>IFERROR(RIGHT(M2,LEN(M2)-FIND("],",M2)-1),"none")</f>
        <v>[effect:enemy_message, val1:1.4, val2:2]</v>
      </c>
      <c r="U2" s="62">
        <f>FIND("effect:",T2)+7</f>
        <v>9</v>
      </c>
      <c r="V2" s="62">
        <f>IFERROR(FIND(",",T2),LEN(T2))</f>
        <v>22</v>
      </c>
      <c r="W2" s="62" t="e">
        <f>FIND("target:",T2)+7</f>
        <v>#VALUE!</v>
      </c>
      <c r="X2" s="62">
        <f>FIND(",",T2,V2+1)</f>
        <v>32</v>
      </c>
      <c r="Y2" s="62" t="str">
        <f>IFERROR(VLOOKUP(MID(T2,W2,X2-W2),[7]skilldef!$C:$D,2,FALSE),"-") &amp; " / " &amp; IFERROR(VLOOKUP(MID(T2,U2,V2-U2),[7]skilldef!$A:$B,2,FALSE),"-")</f>
        <v>- / -</v>
      </c>
      <c r="Z2" s="48"/>
      <c r="AA2" s="50"/>
      <c r="AB2" s="48"/>
    </row>
    <row r="3" spans="1:28" ht="40" customHeight="1" x14ac:dyDescent="0.15">
      <c r="A3" s="45">
        <v>13301243</v>
      </c>
      <c r="B3" s="45" t="s">
        <v>323</v>
      </c>
      <c r="C3" s="48">
        <v>3</v>
      </c>
      <c r="D3" s="48" t="s">
        <v>126</v>
      </c>
      <c r="E3" s="49" t="s">
        <v>261</v>
      </c>
      <c r="F3" s="49" t="s">
        <v>353</v>
      </c>
      <c r="G3" s="62" t="str">
        <f>IFERROR(LEFT(B3,FIND("],",B3)),B3)</f>
        <v>[effect:rush, count:1, val:0.66]</v>
      </c>
      <c r="H3" s="62">
        <f>FIND("effect:",G3)+7</f>
        <v>9</v>
      </c>
      <c r="I3" s="62">
        <f>IFERROR(FIND(",",G3),LEN(G3))</f>
        <v>13</v>
      </c>
      <c r="J3" s="62" t="e">
        <f>FIND("target:",G3)+7</f>
        <v>#VALUE!</v>
      </c>
      <c r="K3" s="62">
        <f>FIND(",",G3,I3+1)</f>
        <v>22</v>
      </c>
      <c r="L3" s="62" t="str">
        <f>IFERROR(VLOOKUP(MID(G3,J3,K3-J3),[7]skilldef!$C:$D,2,FALSE),"-") &amp; " / " &amp; IFERROR(VLOOKUP(MID(G3,H3,I3-H3),[7]skilldef!$A:$B,2,FALSE),"-")</f>
        <v>- / 連続攻撃</v>
      </c>
      <c r="M3" s="62" t="str">
        <f>IFERROR(RIGHT(B3,LEN(B3)-FIND("],",B3)-1),"none")</f>
        <v>[effect:drop_block, block_type:time_bomb, block_color:block_blue, color:block_blue, val:0.2, rate:0.28, turn:6, animation:time_bomb_influence04],[effect:enemy_message, val1:1.4, val2:2.3]</v>
      </c>
      <c r="N3" s="46" t="str">
        <f>IFERROR(LEFT(M3,FIND("],",M3)+[3]enemy_skills!#REF!),M3)</f>
        <v>[effect:drop_block, block_type:time_bomb, block_color:block_blue, color:block_blue, val:0.2, rate:0.28, turn:6, animation:time_bomb_influence04],[effect:enemy_message, val1:1.4, val2:2.3]</v>
      </c>
      <c r="O3" s="62">
        <f>FIND("effect:",N3)+7</f>
        <v>9</v>
      </c>
      <c r="P3" s="62">
        <f>IFERROR(FIND(",",N3),LEN(N3))</f>
        <v>19</v>
      </c>
      <c r="Q3" s="62" t="e">
        <f>FIND("target:",N3)+7</f>
        <v>#VALUE!</v>
      </c>
      <c r="R3" s="62">
        <f>FIND(",",N3,P3+1)</f>
        <v>41</v>
      </c>
      <c r="S3" s="62" t="str">
        <f>IFERROR(VLOOKUP(MID(N3,Q3,R3-Q3),[7]skilldef!$C:$D,2,FALSE),"-") &amp; " / " &amp; IFERROR(VLOOKUP(MID(N3,O3,P3-O3),[7]skilldef!$A:$B,2,FALSE),"-")</f>
        <v>- / 特定ブロックの割合ドロップ</v>
      </c>
      <c r="T3" s="46" t="str">
        <f>IFERROR(RIGHT(M3,LEN(M3)-FIND("],",M3)-1),"none")</f>
        <v>[effect:enemy_message, val1:1.4, val2:2.3]</v>
      </c>
      <c r="U3" s="62">
        <f>FIND("effect:",T3)+7</f>
        <v>9</v>
      </c>
      <c r="V3" s="62">
        <f>IFERROR(FIND(",",T3),LEN(T3))</f>
        <v>22</v>
      </c>
      <c r="W3" s="62" t="e">
        <f>FIND("target:",T3)+7</f>
        <v>#VALUE!</v>
      </c>
      <c r="X3" s="62">
        <f>FIND(",",T3,V3+1)</f>
        <v>32</v>
      </c>
      <c r="Y3" s="62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</row>
    <row r="4" spans="1:28" ht="21" customHeight="1" x14ac:dyDescent="0.15">
      <c r="A4" s="45">
        <v>13301244</v>
      </c>
      <c r="B4" s="45" t="s">
        <v>324</v>
      </c>
      <c r="C4" s="48">
        <v>3</v>
      </c>
      <c r="D4" s="48" t="s">
        <v>126</v>
      </c>
      <c r="E4" s="49" t="s">
        <v>259</v>
      </c>
      <c r="F4" s="49" t="s">
        <v>258</v>
      </c>
      <c r="G4" s="62" t="str">
        <f>IFERROR(LEFT(B4,FIND("],",B4)),B4)</f>
        <v>[effect:rush, count:2, val:0.42]</v>
      </c>
      <c r="H4" s="62">
        <f>FIND("effect:",G4)+7</f>
        <v>9</v>
      </c>
      <c r="I4" s="62">
        <f>IFERROR(FIND(",",G4),LEN(G4))</f>
        <v>13</v>
      </c>
      <c r="J4" s="62" t="e">
        <f>FIND("target:",G4)+7</f>
        <v>#VALUE!</v>
      </c>
      <c r="K4" s="62">
        <f>FIND(",",G4,I4+1)</f>
        <v>22</v>
      </c>
      <c r="L4" s="62" t="str">
        <f>IFERROR(VLOOKUP(MID(G4,J4,K4-J4),[7]skilldef!$C:$D,2,FALSE),"-") &amp; " / " &amp; IFERROR(VLOOKUP(MID(G4,H4,I4-H4),[7]skilldef!$A:$B,2,FALSE),"-")</f>
        <v>- / 連続攻撃</v>
      </c>
      <c r="M4" s="62" t="str">
        <f>IFERROR(RIGHT(B4,LEN(B4)-FIND("],",B4)-1),"none")</f>
        <v>[effect:dis_panel, target:block_red, turn:3, animation:enemy_dis_red],[effect:enemy_message, val1:1.4, val2:2]</v>
      </c>
      <c r="N4" s="46" t="str">
        <f>IFERROR(LEFT(M4,FIND("],",M4)+[3]enemy_skills!S8),M4)</f>
        <v>[effect:dis_panel, target:block_red, turn:3, animation:enemy_dis_red],[effect:enemy_message, val1:1.4, val2:2]</v>
      </c>
      <c r="O4" s="62">
        <f>FIND("effect:",N4)+7</f>
        <v>9</v>
      </c>
      <c r="P4" s="62">
        <f>IFERROR(FIND(",",N4),LEN(N4))</f>
        <v>18</v>
      </c>
      <c r="Q4" s="62">
        <f>FIND("target:",N4)+7</f>
        <v>27</v>
      </c>
      <c r="R4" s="62">
        <f>FIND(",",N4,P4+1)</f>
        <v>36</v>
      </c>
      <c r="S4" s="62" t="str">
        <f>IFERROR(VLOOKUP(MID(N4,Q4,R4-Q4),[7]skilldef!$C:$D,2,FALSE),"-") &amp; " / " &amp; IFERROR(VLOOKUP(MID(N4,O4,P4-O4),[7]skilldef!$A:$B,2,FALSE),"-")</f>
        <v>赤パネルを / ディスパネル</v>
      </c>
      <c r="T4" s="46" t="str">
        <f>IFERROR(RIGHT(M4,LEN(M4)-FIND("],",M4)-1),"none")</f>
        <v>[effect:enemy_message, val1:1.4, val2:2]</v>
      </c>
      <c r="U4" s="62">
        <f>FIND("effect:",T4)+7</f>
        <v>9</v>
      </c>
      <c r="V4" s="62">
        <f>IFERROR(FIND(",",T4),LEN(T4))</f>
        <v>22</v>
      </c>
      <c r="W4" s="62" t="e">
        <f>FIND("target:",T4)+7</f>
        <v>#VALUE!</v>
      </c>
      <c r="X4" s="62">
        <f>FIND(",",T4,V4+1)</f>
        <v>32</v>
      </c>
      <c r="Y4" s="62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</row>
    <row r="5" spans="1:28" ht="47" customHeight="1" x14ac:dyDescent="0.15">
      <c r="A5" s="45">
        <v>13301245</v>
      </c>
      <c r="B5" s="45" t="s">
        <v>325</v>
      </c>
      <c r="C5" s="48">
        <v>3</v>
      </c>
      <c r="D5" s="48" t="s">
        <v>126</v>
      </c>
      <c r="E5" s="49" t="s">
        <v>308</v>
      </c>
      <c r="F5" s="49" t="s">
        <v>352</v>
      </c>
      <c r="G5" s="62" t="str">
        <f>IFERROR(LEFT(B5,FIND("],",B5)),B5)</f>
        <v>[effect:rush, count:1, val:0.66]</v>
      </c>
      <c r="H5" s="62">
        <f>FIND("effect:",G5)+7</f>
        <v>9</v>
      </c>
      <c r="I5" s="62">
        <f>IFERROR(FIND(",",G5),LEN(G5))</f>
        <v>13</v>
      </c>
      <c r="J5" s="62" t="e">
        <f>FIND("target:",G5)+7</f>
        <v>#VALUE!</v>
      </c>
      <c r="K5" s="62">
        <f>FIND(",",G5,I5+1)</f>
        <v>22</v>
      </c>
      <c r="L5" s="62" t="str">
        <f>IFERROR(VLOOKUP(MID(G5,J5,K5-J5),[7]skilldef!$C:$D,2,FALSE),"-") &amp; " / " &amp; IFERROR(VLOOKUP(MID(G5,H5,I5-H5),[7]skilldef!$A:$B,2,FALSE),"-")</f>
        <v>- / 連続攻撃</v>
      </c>
      <c r="M5" s="62" t="str">
        <f>IFERROR(RIGHT(B5,LEN(B5)-FIND("],",B5)-1),"none")</f>
        <v>[effect:drop_block, block_type:time_bomb, block_color:block_red, color:block_red, val:0.2, rate:0.28, turn:6, animation:time_bomb_influence04],[effect:enemy_message, val1:1.4, val2:2.3]</v>
      </c>
      <c r="N5" s="46" t="str">
        <f>IFERROR(LEFT(M5,FIND("],",M5)+[3]enemy_skills!S9),M5)</f>
        <v>[effect:drop_block, block_type:time_bomb, block_color:block_red, color:block_red, val:0.2, rate:0.28, turn:6, animation:time_bomb_influence04],[effect:enemy_message, val1:1.4, val2:2.3]</v>
      </c>
      <c r="O5" s="62">
        <f>FIND("effect:",N5)+7</f>
        <v>9</v>
      </c>
      <c r="P5" s="62">
        <f>IFERROR(FIND(",",N5),LEN(N5))</f>
        <v>19</v>
      </c>
      <c r="Q5" s="62" t="e">
        <f>FIND("target:",N5)+7</f>
        <v>#VALUE!</v>
      </c>
      <c r="R5" s="62">
        <f>FIND(",",N5,P5+1)</f>
        <v>41</v>
      </c>
      <c r="S5" s="62" t="str">
        <f>IFERROR(VLOOKUP(MID(N5,Q5,R5-Q5),[7]skilldef!$C:$D,2,FALSE),"-") &amp; " / " &amp; IFERROR(VLOOKUP(MID(N5,O5,P5-O5),[7]skilldef!$A:$B,2,FALSE),"-")</f>
        <v>- / 特定ブロックの割合ドロップ</v>
      </c>
      <c r="T5" s="46" t="str">
        <f>IFERROR(RIGHT(M5,LEN(M5)-FIND("],",M5)-1),"none")</f>
        <v>[effect:enemy_message, val1:1.4, val2:2.3]</v>
      </c>
      <c r="U5" s="62">
        <f>FIND("effect:",T5)+7</f>
        <v>9</v>
      </c>
      <c r="V5" s="62">
        <f>IFERROR(FIND(",",T5),LEN(T5))</f>
        <v>22</v>
      </c>
      <c r="W5" s="62" t="e">
        <f>FIND("target:",T5)+7</f>
        <v>#VALUE!</v>
      </c>
      <c r="X5" s="62">
        <f>FIND(",",T5,V5+1)</f>
        <v>32</v>
      </c>
      <c r="Y5" s="62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</row>
    <row r="6" spans="1:28" ht="61" customHeight="1" x14ac:dyDescent="0.15">
      <c r="A6" s="45">
        <v>13301342</v>
      </c>
      <c r="B6" s="45" t="s">
        <v>341</v>
      </c>
      <c r="C6" s="48">
        <v>3</v>
      </c>
      <c r="D6" s="48" t="s">
        <v>126</v>
      </c>
      <c r="E6" s="49" t="s">
        <v>344</v>
      </c>
      <c r="F6" s="49" t="s">
        <v>336</v>
      </c>
      <c r="G6" s="62" t="str">
        <f t="shared" ref="G6:G19" si="0">IFERROR(LEFT(B6,FIND("],",B6)),B6)</f>
        <v>[effect:damage_anti_color, target:unit_all, color:yellow, val1:0.6, val2:0.3]</v>
      </c>
      <c r="H6" s="62">
        <f t="shared" ref="H6:H19" si="1">FIND("effect:",G6)+7</f>
        <v>9</v>
      </c>
      <c r="I6" s="62">
        <f t="shared" ref="I6:I19" si="2">IFERROR(FIND(",",G6),LEN(G6))</f>
        <v>26</v>
      </c>
      <c r="J6" s="62">
        <f t="shared" ref="J6:J19" si="3">FIND("target:",G6)+7</f>
        <v>35</v>
      </c>
      <c r="K6" s="62">
        <f t="shared" ref="K6:K19" si="4">FIND(",",G6,I6+1)</f>
        <v>43</v>
      </c>
      <c r="L6" s="62" t="str">
        <f>IFERROR(VLOOKUP(MID(G6,J6,K6-J6),[7]skilldef!$C:$D,2,FALSE),"-") &amp; " / " &amp; IFERROR(VLOOKUP(MID(G6,H6,I6-H6),[7]skilldef!$A:$B,2,FALSE),"-")</f>
        <v>味方全体に / 属性キラー</v>
      </c>
      <c r="M6" s="62" t="str">
        <f t="shared" ref="M6:M19" si="5">IFERROR(RIGHT(B6,LEN(B6)-FIND("],",B6)-1),"none")</f>
        <v>[effect:hungup, target:unit_blue, turn:6, rate:1, animation:hungup04],[effect:enemy_message, val1:1.4, val2:2.4]</v>
      </c>
      <c r="N6" s="46" t="str">
        <f>IFERROR(LEFT(M6,FIND("],",M6)+S17),M6)</f>
        <v>[effect:hungup, target:unit_blue, turn:6, rate:1, animation:hungup04],[effect:enemy_message, val1:1.4, val2:2.4]</v>
      </c>
      <c r="O6" s="62">
        <f t="shared" ref="O6:O19" si="6">FIND("effect:",N6)+7</f>
        <v>9</v>
      </c>
      <c r="P6" s="62">
        <f t="shared" ref="P6:P19" si="7">IFERROR(FIND(",",N6),LEN(N6))</f>
        <v>15</v>
      </c>
      <c r="Q6" s="62">
        <f t="shared" ref="Q6:Q19" si="8">FIND("target:",N6)+7</f>
        <v>24</v>
      </c>
      <c r="R6" s="62">
        <f t="shared" ref="R6:R19" si="9">FIND(",",N6,P6+1)</f>
        <v>33</v>
      </c>
      <c r="S6" s="62" t="str">
        <f>IFERROR(VLOOKUP(MID(N6,Q6,R6-Q6),[7]skilldef!$C:$D,2,FALSE),"-") &amp; " / " &amp; IFERROR(VLOOKUP(MID(N6,O6,P6-O6),[7]skilldef!$A:$B,2,FALSE),"-")</f>
        <v>青の味方に / ハングアップ</v>
      </c>
      <c r="T6" s="46" t="str">
        <f t="shared" ref="T6:T19" si="10">IFERROR(RIGHT(M6,LEN(M6)-FIND("],",M6)-1),"none")</f>
        <v>[effect:enemy_message, val1:1.4, val2:2.4]</v>
      </c>
      <c r="U6" s="62">
        <f t="shared" ref="U6:U19" si="11">FIND("effect:",T6)+7</f>
        <v>9</v>
      </c>
      <c r="V6" s="62">
        <f t="shared" ref="V6:V19" si="12">IFERROR(FIND(",",T6),LEN(T6))</f>
        <v>22</v>
      </c>
      <c r="W6" s="62" t="e">
        <f t="shared" ref="W6:W19" si="13">FIND("target:",T6)+7</f>
        <v>#VALUE!</v>
      </c>
      <c r="X6" s="62">
        <f t="shared" ref="X6:X19" si="14">FIND(",",T6,V6+1)</f>
        <v>32</v>
      </c>
      <c r="Y6" s="62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 t="s">
        <v>266</v>
      </c>
    </row>
    <row r="7" spans="1:28" ht="21" customHeight="1" x14ac:dyDescent="0.15">
      <c r="A7" s="45">
        <v>13301344</v>
      </c>
      <c r="B7" s="45" t="s">
        <v>343</v>
      </c>
      <c r="C7" s="48">
        <v>3</v>
      </c>
      <c r="D7" s="48" t="s">
        <v>126</v>
      </c>
      <c r="E7" s="49" t="s">
        <v>345</v>
      </c>
      <c r="F7" s="49" t="s">
        <v>268</v>
      </c>
      <c r="G7" s="62" t="str">
        <f t="shared" si="0"/>
        <v>[effect:damage_anti_color, target:unit_all, color:yellow, val1:0.6, val2:0.3]</v>
      </c>
      <c r="H7" s="62">
        <f t="shared" si="1"/>
        <v>9</v>
      </c>
      <c r="I7" s="62">
        <f t="shared" si="2"/>
        <v>26</v>
      </c>
      <c r="J7" s="62">
        <f t="shared" si="3"/>
        <v>35</v>
      </c>
      <c r="K7" s="62">
        <f t="shared" si="4"/>
        <v>43</v>
      </c>
      <c r="L7" s="62" t="str">
        <f>IFERROR(VLOOKUP(MID(G7,J7,K7-J7),[7]skilldef!$C:$D,2,FALSE),"-") &amp; " / " &amp; IFERROR(VLOOKUP(MID(G7,H7,I7-H7),[7]skilldef!$A:$B,2,FALSE),"-")</f>
        <v>味方全体に / 属性キラー</v>
      </c>
      <c r="M7" s="62" t="str">
        <f t="shared" si="5"/>
        <v>[effect:enemy_message, val1:1.4, val2:1.8]</v>
      </c>
      <c r="N7" s="46" t="str">
        <f>IFERROR(LEFT(M7,FIND("],",M7)+S19),M7)</f>
        <v>[effect:enemy_message, val1:1.4, val2:1.8]</v>
      </c>
      <c r="O7" s="62">
        <f t="shared" si="6"/>
        <v>9</v>
      </c>
      <c r="P7" s="62">
        <f t="shared" si="7"/>
        <v>22</v>
      </c>
      <c r="Q7" s="62" t="e">
        <f t="shared" si="8"/>
        <v>#VALUE!</v>
      </c>
      <c r="R7" s="62">
        <f t="shared" si="9"/>
        <v>32</v>
      </c>
      <c r="S7" s="62" t="str">
        <f>IFERROR(VLOOKUP(MID(N7,Q7,R7-Q7),[7]skilldef!$C:$D,2,FALSE),"-") &amp; " / " &amp; IFERROR(VLOOKUP(MID(N7,O7,P7-O7),[7]skilldef!$A:$B,2,FALSE),"-")</f>
        <v>- / -</v>
      </c>
      <c r="T7" s="46" t="str">
        <f t="shared" si="10"/>
        <v>none</v>
      </c>
      <c r="U7" s="62" t="e">
        <f t="shared" si="11"/>
        <v>#VALUE!</v>
      </c>
      <c r="V7" s="62">
        <f t="shared" si="12"/>
        <v>4</v>
      </c>
      <c r="W7" s="62" t="e">
        <f t="shared" si="13"/>
        <v>#VALUE!</v>
      </c>
      <c r="X7" s="62" t="e">
        <f t="shared" si="14"/>
        <v>#VALUE!</v>
      </c>
      <c r="Y7" s="62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 t="s">
        <v>269</v>
      </c>
    </row>
    <row r="8" spans="1:28" ht="36" customHeight="1" x14ac:dyDescent="0.15">
      <c r="A8" s="45">
        <v>13301345</v>
      </c>
      <c r="B8" s="45" t="s">
        <v>332</v>
      </c>
      <c r="C8" s="48">
        <v>3</v>
      </c>
      <c r="D8" s="48" t="s">
        <v>126</v>
      </c>
      <c r="E8" s="49" t="s">
        <v>270</v>
      </c>
      <c r="F8" s="49" t="s">
        <v>337</v>
      </c>
      <c r="G8" s="62" t="str">
        <f t="shared" si="0"/>
        <v>[effect:rush, count:1, val:0.7]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IFERROR(VLOOKUP(MID(G8,J8,K8-J8),[7]skilldef!$C:$D,2,FALSE),"-") &amp; " / " &amp; IFERROR(VLOOKUP(MID(G8,H8,I8-H8),[7]skilldef!$A:$B,2,FALSE),"-")</f>
        <v>- / 連続攻撃</v>
      </c>
      <c r="M8" s="62" t="str">
        <f t="shared" si="5"/>
        <v>[effect:degrade_unit, target:unit_all, turn:3, status:action, val:2, calc:mul, animation:enemy_tap_down],[effect:enemy_message, val1:1.4, val2:2.1]</v>
      </c>
      <c r="N8" s="46" t="str">
        <f>IFERROR(LEFT(M8,FIND("],",M8)+S16),M8)</f>
        <v>[effect:degrade_unit, target:unit_all, turn:3, status:action, val:2, calc:mul, animation:enemy_tap_down],[effect:enemy_message, val1:1.4, val2:2.1]</v>
      </c>
      <c r="O8" s="62">
        <f t="shared" si="6"/>
        <v>9</v>
      </c>
      <c r="P8" s="62">
        <f t="shared" si="7"/>
        <v>21</v>
      </c>
      <c r="Q8" s="62">
        <f t="shared" si="8"/>
        <v>30</v>
      </c>
      <c r="R8" s="62">
        <f t="shared" si="9"/>
        <v>38</v>
      </c>
      <c r="S8" s="62" t="str">
        <f>IFERROR(VLOOKUP(MID(N8,Q8,R8-Q8),[7]skilldef!$C:$D,2,FALSE),"-") &amp; " / " &amp; IFERROR(VLOOKUP(MID(N8,O8,P8-O8),[7]skilldef!$A:$B,2,FALSE),"-")</f>
        <v>味方全体に / ステータスDOWN</v>
      </c>
      <c r="T8" s="46" t="str">
        <f t="shared" si="10"/>
        <v>[effect:enemy_message, val1:1.4, val2:2.1]</v>
      </c>
      <c r="U8" s="62">
        <f t="shared" si="11"/>
        <v>9</v>
      </c>
      <c r="V8" s="62">
        <f t="shared" si="12"/>
        <v>22</v>
      </c>
      <c r="W8" s="62" t="e">
        <f t="shared" si="13"/>
        <v>#VALUE!</v>
      </c>
      <c r="X8" s="62">
        <f t="shared" si="14"/>
        <v>32</v>
      </c>
      <c r="Y8" s="62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 t="s">
        <v>271</v>
      </c>
    </row>
    <row r="9" spans="1:28" ht="43" customHeight="1" x14ac:dyDescent="0.15">
      <c r="A9" s="45">
        <v>13301346</v>
      </c>
      <c r="B9" s="45" t="s">
        <v>347</v>
      </c>
      <c r="C9" s="48">
        <v>3</v>
      </c>
      <c r="D9" s="48" t="s">
        <v>326</v>
      </c>
      <c r="E9" s="49" t="s">
        <v>272</v>
      </c>
      <c r="F9" s="49" t="s">
        <v>346</v>
      </c>
      <c r="G9" s="62" t="str">
        <f t="shared" si="0"/>
        <v>[effect:break_attack_fix, target:unit_all, val:95, lowest_val:500, count:-1, color:blue, block01:block_blue]</v>
      </c>
      <c r="H9" s="62">
        <f t="shared" si="1"/>
        <v>9</v>
      </c>
      <c r="I9" s="62">
        <f t="shared" si="2"/>
        <v>25</v>
      </c>
      <c r="J9" s="62">
        <f t="shared" si="3"/>
        <v>34</v>
      </c>
      <c r="K9" s="62">
        <f t="shared" si="4"/>
        <v>42</v>
      </c>
      <c r="L9" s="62" t="str">
        <f>IFERROR(VLOOKUP(MID(G9,J9,K9-J9),[7]skilldef!$C:$D,2,FALSE),"-") &amp; " / " &amp; IFERROR(VLOOKUP(MID(G9,H9,I9-H9),[7]skilldef!$A:$B,2,FALSE),"-")</f>
        <v>味方全体に / -</v>
      </c>
      <c r="M9" s="62" t="str">
        <f t="shared" si="5"/>
        <v>[effect:sp_boost, target:unit_green, val:1, animation:sp_boost_one02],[effect:enemy_message, val1:1.4, val2:2.6]</v>
      </c>
      <c r="N9" s="46" t="str">
        <f>IFERROR(LEFT(M9,FIND("],",M9)+#REF!),M9)</f>
        <v>[effect:sp_boost, target:unit_green, val:1, animation:sp_boost_one02],[effect:enemy_message, val1:1.4, val2:2.6]</v>
      </c>
      <c r="O9" s="62">
        <f t="shared" si="6"/>
        <v>9</v>
      </c>
      <c r="P9" s="62">
        <f t="shared" si="7"/>
        <v>17</v>
      </c>
      <c r="Q9" s="62">
        <f t="shared" si="8"/>
        <v>26</v>
      </c>
      <c r="R9" s="62">
        <f t="shared" si="9"/>
        <v>36</v>
      </c>
      <c r="S9" s="62" t="str">
        <f>IFERROR(VLOOKUP(MID(N9,Q9,R9-Q9),[7]skilldef!$C:$D,2,FALSE),"-") &amp; " / " &amp; IFERROR(VLOOKUP(MID(N9,O9,P9-O9),[7]skilldef!$A:$B,2,FALSE),"-")</f>
        <v>緑の味方に / -</v>
      </c>
      <c r="T9" s="46" t="str">
        <f t="shared" si="10"/>
        <v>[effect:enemy_message, val1:1.4, val2:2.6]</v>
      </c>
      <c r="U9" s="62">
        <f t="shared" si="11"/>
        <v>9</v>
      </c>
      <c r="V9" s="62">
        <f t="shared" si="12"/>
        <v>22</v>
      </c>
      <c r="W9" s="62" t="e">
        <f t="shared" si="13"/>
        <v>#VALUE!</v>
      </c>
      <c r="X9" s="62">
        <f t="shared" si="14"/>
        <v>32</v>
      </c>
      <c r="Y9" s="62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 t="s">
        <v>274</v>
      </c>
    </row>
    <row r="10" spans="1:28" ht="34" customHeight="1" x14ac:dyDescent="0.15">
      <c r="A10" s="45">
        <v>13301347</v>
      </c>
      <c r="B10" s="45" t="s">
        <v>327</v>
      </c>
      <c r="C10" s="48">
        <v>3</v>
      </c>
      <c r="D10" s="48" t="s">
        <v>126</v>
      </c>
      <c r="E10" s="49" t="s">
        <v>275</v>
      </c>
      <c r="F10" s="49" t="s">
        <v>338</v>
      </c>
      <c r="G10" s="62" t="str">
        <f t="shared" si="0"/>
        <v>[effect:force_change_block, new_block:block_heart, target:block_red, count:0, val:0, animation:change_block]</v>
      </c>
      <c r="H10" s="62">
        <f t="shared" si="1"/>
        <v>9</v>
      </c>
      <c r="I10" s="62">
        <f t="shared" si="2"/>
        <v>27</v>
      </c>
      <c r="J10" s="62">
        <f t="shared" si="3"/>
        <v>59</v>
      </c>
      <c r="K10" s="62">
        <f t="shared" si="4"/>
        <v>50</v>
      </c>
      <c r="L10" s="62"/>
      <c r="M10" s="62" t="str">
        <f t="shared" si="5"/>
        <v>[effect:enemy_message, val1:1.4, val2:2.2],[effect:panel_freeze, target:block_heart, count:-1]</v>
      </c>
      <c r="N10" s="46"/>
      <c r="O10" s="62"/>
      <c r="P10" s="62"/>
      <c r="Q10" s="62"/>
      <c r="R10" s="62"/>
      <c r="S10" s="62"/>
      <c r="T10" s="46" t="str">
        <f t="shared" si="10"/>
        <v>[effect:panel_freeze, target:block_heart, count:-1]</v>
      </c>
      <c r="U10" s="62">
        <f t="shared" si="11"/>
        <v>9</v>
      </c>
      <c r="V10" s="62">
        <f t="shared" si="12"/>
        <v>21</v>
      </c>
      <c r="W10" s="62">
        <f t="shared" si="13"/>
        <v>30</v>
      </c>
      <c r="X10" s="62">
        <f t="shared" si="14"/>
        <v>41</v>
      </c>
      <c r="Y10" s="62"/>
      <c r="Z10" s="48"/>
      <c r="AA10" s="50"/>
      <c r="AB10" s="48" t="s">
        <v>277</v>
      </c>
    </row>
    <row r="11" spans="1:28" ht="21" customHeight="1" x14ac:dyDescent="0.15">
      <c r="A11" s="45">
        <v>13301348</v>
      </c>
      <c r="B11" s="45" t="s">
        <v>328</v>
      </c>
      <c r="C11" s="48">
        <v>3</v>
      </c>
      <c r="D11" s="48" t="s">
        <v>126</v>
      </c>
      <c r="E11" s="49" t="s">
        <v>278</v>
      </c>
      <c r="F11" s="49" t="s">
        <v>351</v>
      </c>
      <c r="G11" s="62" t="str">
        <f t="shared" si="0"/>
        <v>[effect:force_change_block, new_block:time_bomb, target:block_all, ignore01:color_break, ignore02:crash, ignore03:crack_bomb, ignore04:time_bomb, color:block_yellow, count:4, val:0.27, min_time_count:2, max_time_count:4, animation:change_block]</v>
      </c>
      <c r="H11" s="62">
        <f t="shared" si="1"/>
        <v>9</v>
      </c>
      <c r="I11" s="62">
        <f t="shared" si="2"/>
        <v>27</v>
      </c>
      <c r="J11" s="62">
        <f t="shared" si="3"/>
        <v>57</v>
      </c>
      <c r="K11" s="62">
        <f t="shared" si="4"/>
        <v>48</v>
      </c>
      <c r="L11" s="62" t="str">
        <f>IFERROR(VLOOKUP(MID(G11,J11,K11-J11),[7]skilldef!$C:$D,2,FALSE),"-") &amp; " / " &amp; IFERROR(VLOOKUP(MID(G11,H11,I11-H11),[7]skilldef!$A:$B,2,FALSE),"-")</f>
        <v>- / -</v>
      </c>
      <c r="M11" s="62" t="str">
        <f t="shared" si="5"/>
        <v>[effect:enemy_message, val1:1.4, val2:1.9]</v>
      </c>
      <c r="N11" s="46" t="str">
        <f>IFERROR(LEFT(M11,FIND("],",M11)+#REF!),M11)</f>
        <v>[effect:enemy_message, val1:1.4, val2:1.9]</v>
      </c>
      <c r="O11" s="62">
        <f t="shared" ref="O11:O18" si="15">FIND("effect:",N11)+7</f>
        <v>9</v>
      </c>
      <c r="P11" s="62">
        <f t="shared" ref="P11:P18" si="16">IFERROR(FIND(",",N11),LEN(N11))</f>
        <v>22</v>
      </c>
      <c r="Q11" s="62" t="e">
        <f t="shared" ref="Q11:Q18" si="17">FIND("target:",N11)+7</f>
        <v>#VALUE!</v>
      </c>
      <c r="R11" s="62">
        <f t="shared" ref="R11:R18" si="18">FIND(",",N11,P11+1)</f>
        <v>32</v>
      </c>
      <c r="S11" s="62" t="str">
        <f>IFERROR(VLOOKUP(MID(N11,Q11,R11-Q11),[7]skilldef!$C:$D,2,FALSE),"-") &amp; " / " &amp; IFERROR(VLOOKUP(MID(N11,O11,P11-O11),[7]skilldef!$A:$B,2,FALSE),"-")</f>
        <v>- / -</v>
      </c>
      <c r="T11" s="46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 t="s">
        <v>280</v>
      </c>
    </row>
    <row r="12" spans="1:28" ht="21" customHeight="1" x14ac:dyDescent="0.15">
      <c r="A12" s="45">
        <v>13301349</v>
      </c>
      <c r="B12" s="45" t="s">
        <v>342</v>
      </c>
      <c r="C12" s="48">
        <v>3</v>
      </c>
      <c r="D12" s="48" t="s">
        <v>126</v>
      </c>
      <c r="E12" s="49" t="s">
        <v>281</v>
      </c>
      <c r="F12" s="49" t="s">
        <v>319</v>
      </c>
      <c r="G12" s="62" t="str">
        <f t="shared" si="0"/>
        <v>[effect:damage_anti_color, target:unit_all, color:red, val1:0.69, val2:0.26]</v>
      </c>
      <c r="H12" s="62">
        <f t="shared" si="1"/>
        <v>9</v>
      </c>
      <c r="I12" s="62">
        <f t="shared" si="2"/>
        <v>26</v>
      </c>
      <c r="J12" s="62">
        <f t="shared" si="3"/>
        <v>35</v>
      </c>
      <c r="K12" s="62">
        <f t="shared" si="4"/>
        <v>43</v>
      </c>
      <c r="L12" s="62" t="str">
        <f>IFERROR(VLOOKUP(MID(G12,J12,K12-J12),[7]skilldef!$C:$D,2,FALSE),"-") &amp; " / " &amp; IFERROR(VLOOKUP(MID(G12,H12,I12-H12),[7]skilldef!$A:$B,2,FALSE),"-")</f>
        <v>味方全体に / 属性キラー</v>
      </c>
      <c r="M12" s="62" t="str">
        <f t="shared" si="5"/>
        <v>[effect:enemy_message, val1:1.4, val2:1.8]</v>
      </c>
      <c r="N12" s="46" t="str">
        <f>IFERROR(LEFT(M12,FIND("],",M12)+S15),M12)</f>
        <v>[effect:enemy_message, val1:1.4, val2:1.8]</v>
      </c>
      <c r="O12" s="62">
        <f t="shared" si="15"/>
        <v>9</v>
      </c>
      <c r="P12" s="62">
        <f t="shared" si="16"/>
        <v>22</v>
      </c>
      <c r="Q12" s="62" t="e">
        <f t="shared" si="17"/>
        <v>#VALUE!</v>
      </c>
      <c r="R12" s="62">
        <f t="shared" si="18"/>
        <v>32</v>
      </c>
      <c r="S12" s="62" t="str">
        <f>IFERROR(VLOOKUP(MID(N12,Q12,R12-Q12),[7]skilldef!$C:$D,2,FALSE),"-") &amp; " / " &amp; IFERROR(VLOOKUP(MID(N12,O12,P12-O12),[7]skilldef!$A:$B,2,FALSE),"-")</f>
        <v>- / -</v>
      </c>
      <c r="T12" s="46" t="str">
        <f t="shared" si="10"/>
        <v>none</v>
      </c>
      <c r="U12" s="62" t="e">
        <f t="shared" si="11"/>
        <v>#VALUE!</v>
      </c>
      <c r="V12" s="62">
        <f t="shared" si="12"/>
        <v>4</v>
      </c>
      <c r="W12" s="62" t="e">
        <f t="shared" si="13"/>
        <v>#VALUE!</v>
      </c>
      <c r="X12" s="62" t="e">
        <f t="shared" si="14"/>
        <v>#VALUE!</v>
      </c>
      <c r="Y12" s="62" t="str">
        <f>IFERROR(VLOOKUP(MID(T12,W12,X12-W12),[7]skilldef!$C:$D,2,FALSE),"-") &amp; " / " &amp; IFERROR(VLOOKUP(MID(T12,U12,V12-U12),[7]skilldef!$A:$B,2,FALSE),"-")</f>
        <v>- / -</v>
      </c>
      <c r="Z12" s="48"/>
      <c r="AA12" s="50"/>
      <c r="AB12" s="48" t="s">
        <v>283</v>
      </c>
    </row>
    <row r="13" spans="1:28" ht="21" customHeight="1" x14ac:dyDescent="0.15">
      <c r="A13" s="45">
        <v>13301350</v>
      </c>
      <c r="B13" s="45" t="s">
        <v>329</v>
      </c>
      <c r="C13" s="48">
        <v>3</v>
      </c>
      <c r="D13" s="48" t="s">
        <v>126</v>
      </c>
      <c r="E13" s="49" t="s">
        <v>284</v>
      </c>
      <c r="F13" s="49" t="s">
        <v>286</v>
      </c>
      <c r="G13" s="62" t="str">
        <f t="shared" si="0"/>
        <v>[effect:tolerance, target:enemy_all, turn:-1, count:-1, tolerance_effect:hungup, animation:enemy_tolerance]</v>
      </c>
      <c r="H13" s="62">
        <f t="shared" si="1"/>
        <v>9</v>
      </c>
      <c r="I13" s="62">
        <f t="shared" si="2"/>
        <v>18</v>
      </c>
      <c r="J13" s="62">
        <f t="shared" si="3"/>
        <v>27</v>
      </c>
      <c r="K13" s="62">
        <f t="shared" si="4"/>
        <v>36</v>
      </c>
      <c r="L13" s="62" t="str">
        <f>IFERROR(VLOOKUP(MID(G13,J13,K13-J13),[7]skilldef!$C:$D,2,FALSE),"-") &amp; " / " &amp; IFERROR(VLOOKUP(MID(G13,H13,I13-H13),[7]skilldef!$A:$B,2,FALSE),"-")</f>
        <v>敵全体に / 状態異常耐性</v>
      </c>
      <c r="M13" s="62" t="str">
        <f t="shared" si="5"/>
        <v>[effect:enemy_message, val1:1.4, val2:1.8]</v>
      </c>
      <c r="N13" s="46" t="str">
        <f>IFERROR(LEFT(M13,FIND("],",M13)+#REF!),M13)</f>
        <v>[effect:enemy_message, val1:1.4, val2:1.8]</v>
      </c>
      <c r="O13" s="62">
        <f t="shared" si="15"/>
        <v>9</v>
      </c>
      <c r="P13" s="62">
        <f t="shared" si="16"/>
        <v>22</v>
      </c>
      <c r="Q13" s="62" t="e">
        <f t="shared" si="17"/>
        <v>#VALUE!</v>
      </c>
      <c r="R13" s="62">
        <f t="shared" si="18"/>
        <v>32</v>
      </c>
      <c r="S13" s="62" t="str">
        <f>IFERROR(VLOOKUP(MID(N13,Q13,R13-Q13),[7]skilldef!$C:$D,2,FALSE),"-") &amp; " / " &amp; IFERROR(VLOOKUP(MID(N13,O13,P13-O13),[7]skilldef!$A:$B,2,FALSE),"-")</f>
        <v>- / -</v>
      </c>
      <c r="T13" s="46" t="str">
        <f t="shared" si="10"/>
        <v>none</v>
      </c>
      <c r="U13" s="62" t="e">
        <f t="shared" si="11"/>
        <v>#VALUE!</v>
      </c>
      <c r="V13" s="62">
        <f t="shared" si="12"/>
        <v>4</v>
      </c>
      <c r="W13" s="62" t="e">
        <f t="shared" si="13"/>
        <v>#VALUE!</v>
      </c>
      <c r="X13" s="62" t="e">
        <f t="shared" si="14"/>
        <v>#VALUE!</v>
      </c>
      <c r="Y13" s="62" t="str">
        <f>IFERROR(VLOOKUP(MID(T13,W13,X13-W13),[7]skilldef!$C:$D,2,FALSE),"-") &amp; " / " &amp; IFERROR(VLOOKUP(MID(T13,U13,V13-U13),[7]skilldef!$A:$B,2,FALSE),"-")</f>
        <v>- / -</v>
      </c>
      <c r="Z13" s="48"/>
      <c r="AA13" s="50"/>
      <c r="AB13" s="48" t="s">
        <v>287</v>
      </c>
    </row>
    <row r="14" spans="1:28" ht="21" customHeight="1" x14ac:dyDescent="0.15">
      <c r="A14" s="45">
        <v>13301351</v>
      </c>
      <c r="B14" s="45" t="s">
        <v>330</v>
      </c>
      <c r="C14" s="48">
        <v>3</v>
      </c>
      <c r="D14" s="48" t="s">
        <v>126</v>
      </c>
      <c r="E14" s="49" t="s">
        <v>320</v>
      </c>
      <c r="F14" s="49" t="s">
        <v>288</v>
      </c>
      <c r="G14" s="62" t="str">
        <f t="shared" si="0"/>
        <v>[effect:tolerance, target:enemy_all, turn:-1, count:-1, tolerance_effect:sleep, animation:enemy_tolerance]</v>
      </c>
      <c r="H14" s="62">
        <f t="shared" si="1"/>
        <v>9</v>
      </c>
      <c r="I14" s="62">
        <f t="shared" si="2"/>
        <v>18</v>
      </c>
      <c r="J14" s="62">
        <f t="shared" si="3"/>
        <v>27</v>
      </c>
      <c r="K14" s="62">
        <f t="shared" si="4"/>
        <v>36</v>
      </c>
      <c r="L14" s="62" t="str">
        <f>IFERROR(VLOOKUP(MID(G14,J14,K14-J14),[7]skilldef!$C:$D,2,FALSE),"-") &amp; " / " &amp; IFERROR(VLOOKUP(MID(G14,H14,I14-H14),[7]skilldef!$A:$B,2,FALSE),"-")</f>
        <v>敵全体に / 状態異常耐性</v>
      </c>
      <c r="M14" s="62" t="str">
        <f t="shared" si="5"/>
        <v>[effect:enemy_message, val1:1.4, val2:1.8]</v>
      </c>
      <c r="N14" s="46" t="str">
        <f>IFERROR(LEFT(M14,FIND("],",M14)+#REF!),M14)</f>
        <v>[effect:enemy_message, val1:1.4, val2:1.8]</v>
      </c>
      <c r="O14" s="62">
        <f t="shared" si="15"/>
        <v>9</v>
      </c>
      <c r="P14" s="62">
        <f t="shared" si="16"/>
        <v>22</v>
      </c>
      <c r="Q14" s="62" t="e">
        <f t="shared" si="17"/>
        <v>#VALUE!</v>
      </c>
      <c r="R14" s="62">
        <f t="shared" si="18"/>
        <v>32</v>
      </c>
      <c r="S14" s="62" t="str">
        <f>IFERROR(VLOOKUP(MID(N14,Q14,R14-Q14),[7]skilldef!$C:$D,2,FALSE),"-") &amp; " / " &amp; IFERROR(VLOOKUP(MID(N14,O14,P14-O14),[7]skilldef!$A:$B,2,FALSE),"-")</f>
        <v>- / -</v>
      </c>
      <c r="T14" s="46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 t="s">
        <v>289</v>
      </c>
    </row>
    <row r="15" spans="1:28" ht="33" customHeight="1" x14ac:dyDescent="0.15">
      <c r="A15" s="45">
        <v>13301352</v>
      </c>
      <c r="B15" s="45" t="s">
        <v>331</v>
      </c>
      <c r="C15" s="48">
        <v>3</v>
      </c>
      <c r="D15" s="48" t="s">
        <v>126</v>
      </c>
      <c r="E15" s="49" t="s">
        <v>348</v>
      </c>
      <c r="F15" s="49" t="s">
        <v>339</v>
      </c>
      <c r="G15" s="62" t="str">
        <f t="shared" si="0"/>
        <v>[effect:rush, count:2, val:0.38]</v>
      </c>
      <c r="H15" s="62">
        <f t="shared" si="1"/>
        <v>9</v>
      </c>
      <c r="I15" s="62">
        <f t="shared" si="2"/>
        <v>13</v>
      </c>
      <c r="J15" s="62" t="e">
        <f t="shared" si="3"/>
        <v>#VALUE!</v>
      </c>
      <c r="K15" s="62">
        <f t="shared" si="4"/>
        <v>22</v>
      </c>
      <c r="L15" s="62" t="str">
        <f>IFERROR(VLOOKUP(MID(G15,J15,K15-J15),[7]skilldef!$C:$D,2,FALSE),"-") &amp; " / " &amp; IFERROR(VLOOKUP(MID(G15,H15,I15-H15),[7]skilldef!$A:$B,2,FALSE),"-")</f>
        <v>- / 連続攻撃</v>
      </c>
      <c r="M15" s="62" t="str">
        <f t="shared" si="5"/>
        <v>[effect:degrade_unit, target:unit_all, turn:3, status:action, val:2, calc:mul, animation:enemy_tap_down],[effect:enemy_message, val1:1.4, val2:2.1]</v>
      </c>
      <c r="N15" s="46" t="str">
        <f>IFERROR(LEFT(M15,FIND("],",M15)+#REF!),M15)</f>
        <v>[effect:degrade_unit, target:unit_all, turn:3, status:action, val:2, calc:mul, animation:enemy_tap_down],[effect:enemy_message, val1:1.4, val2:2.1]</v>
      </c>
      <c r="O15" s="62">
        <f t="shared" si="15"/>
        <v>9</v>
      </c>
      <c r="P15" s="62">
        <f t="shared" si="16"/>
        <v>21</v>
      </c>
      <c r="Q15" s="62">
        <f t="shared" si="17"/>
        <v>30</v>
      </c>
      <c r="R15" s="62">
        <f t="shared" si="18"/>
        <v>38</v>
      </c>
      <c r="S15" s="62" t="str">
        <f>IFERROR(VLOOKUP(MID(N15,Q15,R15-Q15),[7]skilldef!$C:$D,2,FALSE),"-") &amp; " / " &amp; IFERROR(VLOOKUP(MID(N15,O15,P15-O15),[7]skilldef!$A:$B,2,FALSE),"-")</f>
        <v>味方全体に / ステータスDOWN</v>
      </c>
      <c r="T15" s="46" t="str">
        <f t="shared" si="10"/>
        <v>[effect:enemy_message, val1:1.4, val2:2.1]</v>
      </c>
      <c r="U15" s="62">
        <f t="shared" si="11"/>
        <v>9</v>
      </c>
      <c r="V15" s="62">
        <f t="shared" si="12"/>
        <v>22</v>
      </c>
      <c r="W15" s="62" t="e">
        <f t="shared" si="13"/>
        <v>#VALUE!</v>
      </c>
      <c r="X15" s="62">
        <f t="shared" si="14"/>
        <v>32</v>
      </c>
      <c r="Y15" s="62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 t="s">
        <v>291</v>
      </c>
    </row>
    <row r="16" spans="1:28" ht="36" customHeight="1" x14ac:dyDescent="0.15">
      <c r="A16" s="45">
        <v>13301353</v>
      </c>
      <c r="B16" s="45" t="s">
        <v>349</v>
      </c>
      <c r="C16" s="48">
        <v>3</v>
      </c>
      <c r="D16" s="48" t="s">
        <v>126</v>
      </c>
      <c r="E16" s="49" t="s">
        <v>318</v>
      </c>
      <c r="F16" s="49" t="s">
        <v>340</v>
      </c>
      <c r="G16" s="62" t="str">
        <f t="shared" si="0"/>
        <v>[effect:break_attack_fix, target:unit_all, val:180, lowest_val:300, count:-1, color:yellow, block01:block_blue, block02:block_red]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42</v>
      </c>
      <c r="L16" s="62" t="str">
        <f>IFERROR(VLOOKUP(MID(G16,J16,K16-J16),[7]skilldef!$C:$D,2,FALSE),"-") &amp; " / " &amp; IFERROR(VLOOKUP(MID(G16,H16,I16-H16),[7]skilldef!$A:$B,2,FALSE),"-")</f>
        <v>味方全体に / -</v>
      </c>
      <c r="M16" s="62" t="str">
        <f t="shared" si="5"/>
        <v>[effect:sp_boost, target:unit_green, val:1, animation:sp_boost_one02],[effect:enemy_message, val1:1.4, val2:2.5]</v>
      </c>
      <c r="N16" s="46" t="str">
        <f>IFERROR(LEFT(M16,FIND("],",M16)+#REF!),M16)</f>
        <v>[effect:sp_boost, target:unit_green, val:1, animation:sp_boost_one02],[effect:enemy_message, val1:1.4, val2:2.5]</v>
      </c>
      <c r="O16" s="62">
        <f t="shared" si="15"/>
        <v>9</v>
      </c>
      <c r="P16" s="62">
        <f t="shared" si="16"/>
        <v>17</v>
      </c>
      <c r="Q16" s="62">
        <f t="shared" si="17"/>
        <v>26</v>
      </c>
      <c r="R16" s="62">
        <f t="shared" si="18"/>
        <v>36</v>
      </c>
      <c r="S16" s="62" t="str">
        <f>IFERROR(VLOOKUP(MID(N16,Q16,R16-Q16),[7]skilldef!$C:$D,2,FALSE),"-") &amp; " / " &amp; IFERROR(VLOOKUP(MID(N16,O16,P16-O16),[7]skilldef!$A:$B,2,FALSE),"-")</f>
        <v>緑の味方に / -</v>
      </c>
      <c r="T16" s="46" t="str">
        <f t="shared" si="10"/>
        <v>[effect:enemy_message, val1:1.4, val2:2.5]</v>
      </c>
      <c r="U16" s="62">
        <f t="shared" si="11"/>
        <v>9</v>
      </c>
      <c r="V16" s="62">
        <f t="shared" si="12"/>
        <v>22</v>
      </c>
      <c r="W16" s="62" t="e">
        <f t="shared" si="13"/>
        <v>#VALUE!</v>
      </c>
      <c r="X16" s="62">
        <f t="shared" si="14"/>
        <v>32</v>
      </c>
      <c r="Y16" s="62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 t="s">
        <v>293</v>
      </c>
    </row>
    <row r="17" spans="1:28" ht="21" customHeight="1" x14ac:dyDescent="0.15">
      <c r="A17" s="45">
        <v>13301354</v>
      </c>
      <c r="B17" s="45" t="s">
        <v>333</v>
      </c>
      <c r="C17" s="48">
        <v>3</v>
      </c>
      <c r="D17" s="48" t="s">
        <v>126</v>
      </c>
      <c r="E17" s="49" t="s">
        <v>311</v>
      </c>
      <c r="F17" s="49" t="s">
        <v>310</v>
      </c>
      <c r="G17" s="62" t="str">
        <f t="shared" si="0"/>
        <v>[effect:damage_anti_tribe, target:unit_all, tribe:machine, val1:1.25, val2:0.25]</v>
      </c>
      <c r="H17" s="62">
        <f t="shared" si="1"/>
        <v>9</v>
      </c>
      <c r="I17" s="62">
        <f t="shared" si="2"/>
        <v>26</v>
      </c>
      <c r="J17" s="62">
        <f t="shared" si="3"/>
        <v>35</v>
      </c>
      <c r="K17" s="62">
        <f t="shared" si="4"/>
        <v>43</v>
      </c>
      <c r="L17" s="62" t="str">
        <f>IFERROR(VLOOKUP(MID(G17,J17,K17-J17),[7]skilldef!$C:$D,2,FALSE),"-") &amp; " / " &amp; IFERROR(VLOOKUP(MID(G17,H17,I17-H17),[7]skilldef!$A:$B,2,FALSE),"-")</f>
        <v>味方全体に / 種族キラー</v>
      </c>
      <c r="M17" s="62" t="str">
        <f t="shared" si="5"/>
        <v>[effect:enemy_message, val1:1.4, val2:1.9]</v>
      </c>
      <c r="N17" s="46" t="str">
        <f>IFERROR(LEFT(M17,FIND("],",M17)+#REF!),M17)</f>
        <v>[effect:enemy_message, val1:1.4, val2:1.9]</v>
      </c>
      <c r="O17" s="62">
        <f t="shared" si="15"/>
        <v>9</v>
      </c>
      <c r="P17" s="62">
        <f t="shared" si="16"/>
        <v>22</v>
      </c>
      <c r="Q17" s="62" t="e">
        <f t="shared" si="17"/>
        <v>#VALUE!</v>
      </c>
      <c r="R17" s="62">
        <f t="shared" si="18"/>
        <v>32</v>
      </c>
      <c r="S17" s="62" t="str">
        <f>IFERROR(VLOOKUP(MID(N17,Q17,R17-Q17),[7]skilldef!$C:$D,2,FALSE),"-") &amp; " / " &amp; IFERROR(VLOOKUP(MID(N17,O17,P17-O17),[7]skilldef!$A:$B,2,FALSE),"-")</f>
        <v>- / -</v>
      </c>
      <c r="T17" s="46" t="str">
        <f t="shared" si="10"/>
        <v>none</v>
      </c>
      <c r="U17" s="62" t="e">
        <f t="shared" si="11"/>
        <v>#VALUE!</v>
      </c>
      <c r="V17" s="62">
        <f t="shared" si="12"/>
        <v>4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 t="s">
        <v>294</v>
      </c>
    </row>
    <row r="18" spans="1:28" ht="21" customHeight="1" x14ac:dyDescent="0.15">
      <c r="A18" s="45">
        <v>13301355</v>
      </c>
      <c r="B18" s="45" t="s">
        <v>335</v>
      </c>
      <c r="C18" s="48">
        <v>3</v>
      </c>
      <c r="D18" s="48" t="s">
        <v>126</v>
      </c>
      <c r="E18" s="49" t="s">
        <v>295</v>
      </c>
      <c r="F18" s="49" t="s">
        <v>312</v>
      </c>
      <c r="G18" s="62" t="str">
        <f t="shared" si="0"/>
        <v>[effect:spread, val:0.31]</v>
      </c>
      <c r="H18" s="62">
        <f t="shared" si="1"/>
        <v>9</v>
      </c>
      <c r="I18" s="62">
        <f t="shared" si="2"/>
        <v>15</v>
      </c>
      <c r="J18" s="62" t="e">
        <f t="shared" si="3"/>
        <v>#VALUE!</v>
      </c>
      <c r="K18" s="62" t="e">
        <f t="shared" si="4"/>
        <v>#VALUE!</v>
      </c>
      <c r="L18" s="62" t="str">
        <f>IFERROR(VLOOKUP(MID(G18,J18,K18-J18),[7]skilldef!$C:$D,2,FALSE),"-") &amp; " / " &amp; IFERROR(VLOOKUP(MID(G18,H18,I18-H18),[7]skilldef!$A:$B,2,FALSE),"-")</f>
        <v>- / 全体攻撃</v>
      </c>
      <c r="M18" s="62" t="str">
        <f t="shared" si="5"/>
        <v>[effect:enemy_message, val1:1.4, val2:1.6]</v>
      </c>
      <c r="N18" s="46" t="str">
        <f>IFERROR(LEFT(M18,FIND("],",M18)+#REF!),M18)</f>
        <v>[effect:enemy_message, val1:1.4, val2:1.6]</v>
      </c>
      <c r="O18" s="62">
        <f t="shared" si="15"/>
        <v>9</v>
      </c>
      <c r="P18" s="62">
        <f t="shared" si="16"/>
        <v>22</v>
      </c>
      <c r="Q18" s="62" t="e">
        <f t="shared" si="17"/>
        <v>#VALUE!</v>
      </c>
      <c r="R18" s="62">
        <f t="shared" si="18"/>
        <v>32</v>
      </c>
      <c r="S18" s="62" t="str">
        <f>IFERROR(VLOOKUP(MID(N18,Q18,R18-Q18),[7]skilldef!$C:$D,2,FALSE),"-") &amp; " / " &amp; IFERROR(VLOOKUP(MID(N18,O18,P18-O18),[7]skilldef!$A:$B,2,FALSE),"-")</f>
        <v>- / -</v>
      </c>
      <c r="T18" s="46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 t="s">
        <v>296</v>
      </c>
    </row>
    <row r="19" spans="1:28" ht="38" customHeight="1" x14ac:dyDescent="0.15">
      <c r="A19" s="45">
        <v>13301356</v>
      </c>
      <c r="B19" s="45" t="s">
        <v>334</v>
      </c>
      <c r="C19" s="48">
        <v>3</v>
      </c>
      <c r="D19" s="48" t="s">
        <v>126</v>
      </c>
      <c r="E19" s="49" t="s">
        <v>297</v>
      </c>
      <c r="F19" s="49" t="s">
        <v>350</v>
      </c>
      <c r="G19" s="62" t="str">
        <f t="shared" si="0"/>
        <v>[effect:force_change_block, new_block:time_bomb, target:block_all, ignore01:color_break, ignore02:crash, ignore03:crack_bomb, ignore04:time_bomb, color:block_blue, count:6, val:0.39, min_time_count:2, max_time_count:4, animation:change_block]</v>
      </c>
      <c r="H19" s="62">
        <f t="shared" si="1"/>
        <v>9</v>
      </c>
      <c r="I19" s="62">
        <f t="shared" si="2"/>
        <v>27</v>
      </c>
      <c r="J19" s="62">
        <f t="shared" si="3"/>
        <v>57</v>
      </c>
      <c r="K19" s="62">
        <f t="shared" si="4"/>
        <v>48</v>
      </c>
      <c r="L19" s="62" t="str">
        <f>IFERROR(VLOOKUP(MID(G19,J19,K19-J19),[7]skilldef!$C:$D,2,FALSE),"-") &amp; " / " &amp; IFERROR(VLOOKUP(MID(G19,H19,I19-H19),[7]skilldef!$A:$B,2,FALSE),"-")</f>
        <v>- / -</v>
      </c>
      <c r="M19" s="62" t="str">
        <f t="shared" si="5"/>
        <v>[effect:enemy_message, val1:1.4, val2:1.9]</v>
      </c>
      <c r="N19" s="46" t="str">
        <f>IFERROR(LEFT(M19,FIND("],",M19)+#REF!),M19)</f>
        <v>[effect:enemy_message, val1:1.4, val2:1.9]</v>
      </c>
      <c r="O19" s="62">
        <f t="shared" si="6"/>
        <v>9</v>
      </c>
      <c r="P19" s="62">
        <f t="shared" si="7"/>
        <v>22</v>
      </c>
      <c r="Q19" s="62" t="e">
        <f t="shared" si="8"/>
        <v>#VALUE!</v>
      </c>
      <c r="R19" s="62">
        <f t="shared" si="9"/>
        <v>32</v>
      </c>
      <c r="S19" s="62" t="str">
        <f>IFERROR(VLOOKUP(MID(N19,Q19,R19-Q19),[7]skilldef!$C:$D,2,FALSE),"-") &amp; " / " &amp; IFERROR(VLOOKUP(MID(N19,O19,P19-O19),[7]skilldef!$A:$B,2,FALSE),"-")</f>
        <v>- / -</v>
      </c>
      <c r="T19" s="46" t="str">
        <f t="shared" si="10"/>
        <v>none</v>
      </c>
      <c r="U19" s="62" t="e">
        <f t="shared" si="11"/>
        <v>#VALUE!</v>
      </c>
      <c r="V19" s="62">
        <f t="shared" si="12"/>
        <v>4</v>
      </c>
      <c r="W19" s="62" t="e">
        <f t="shared" si="13"/>
        <v>#VALUE!</v>
      </c>
      <c r="X19" s="62" t="e">
        <f t="shared" si="14"/>
        <v>#VALUE!</v>
      </c>
      <c r="Y19" s="62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 t="s">
        <v>299</v>
      </c>
    </row>
    <row r="72" spans="58:58" ht="21" customHeight="1" x14ac:dyDescent="0.15">
      <c r="BF72" s="102" t="s">
        <v>248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19"/>
  <sheetViews>
    <sheetView showGridLines="0" zoomScale="120" zoomScaleNormal="120" zoomScalePageLayoutView="120" workbookViewId="0">
      <pane ySplit="1" topLeftCell="A2" activePane="bottomLeft" state="frozenSplit"/>
      <selection pane="bottomLeft" activeCell="E20" sqref="E20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13.83203125" style="43" bestFit="1" customWidth="1"/>
    <col min="13" max="13" width="34.83203125" style="43" bestFit="1" customWidth="1"/>
    <col min="14" max="16384" width="12.83203125" style="43"/>
  </cols>
  <sheetData>
    <row r="1" spans="1:14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4" ht="21" customHeight="1" x14ac:dyDescent="0.15">
      <c r="A2" s="45">
        <v>13301242</v>
      </c>
      <c r="B2" s="45">
        <v>0</v>
      </c>
      <c r="C2" s="45">
        <v>3</v>
      </c>
      <c r="D2" s="45">
        <v>50</v>
      </c>
      <c r="E2" s="45" t="s">
        <v>300</v>
      </c>
      <c r="F2" s="45" t="s">
        <v>300</v>
      </c>
      <c r="G2" s="45" t="s">
        <v>300</v>
      </c>
      <c r="H2" s="45" t="s">
        <v>300</v>
      </c>
      <c r="I2" s="45" t="s">
        <v>300</v>
      </c>
      <c r="J2" s="46">
        <f>D2</f>
        <v>50</v>
      </c>
      <c r="L2" s="49" t="s">
        <v>263</v>
      </c>
      <c r="M2" s="49" t="s">
        <v>262</v>
      </c>
    </row>
    <row r="3" spans="1:14" ht="28" x14ac:dyDescent="0.15">
      <c r="A3" s="45">
        <v>13301243</v>
      </c>
      <c r="B3" s="45">
        <v>0</v>
      </c>
      <c r="C3" s="45">
        <v>3</v>
      </c>
      <c r="D3" s="45">
        <v>50</v>
      </c>
      <c r="E3" s="45" t="s">
        <v>300</v>
      </c>
      <c r="F3" s="45" t="s">
        <v>300</v>
      </c>
      <c r="G3" s="45" t="s">
        <v>300</v>
      </c>
      <c r="H3" s="45" t="s">
        <v>300</v>
      </c>
      <c r="I3" s="45" t="s">
        <v>300</v>
      </c>
      <c r="J3" s="46">
        <f>D3</f>
        <v>50</v>
      </c>
      <c r="L3" s="49" t="s">
        <v>261</v>
      </c>
      <c r="M3" s="49" t="s">
        <v>260</v>
      </c>
    </row>
    <row r="4" spans="1:14" ht="21" customHeight="1" x14ac:dyDescent="0.15">
      <c r="A4" s="45">
        <v>13301244</v>
      </c>
      <c r="B4" s="45">
        <v>0</v>
      </c>
      <c r="C4" s="45">
        <v>3</v>
      </c>
      <c r="D4" s="45">
        <v>50</v>
      </c>
      <c r="E4" s="45" t="s">
        <v>300</v>
      </c>
      <c r="F4" s="45" t="s">
        <v>300</v>
      </c>
      <c r="G4" s="45" t="s">
        <v>300</v>
      </c>
      <c r="H4" s="45" t="s">
        <v>300</v>
      </c>
      <c r="I4" s="45" t="s">
        <v>300</v>
      </c>
      <c r="J4" s="46">
        <f>D4</f>
        <v>50</v>
      </c>
      <c r="L4" s="49" t="s">
        <v>259</v>
      </c>
      <c r="M4" s="49" t="s">
        <v>258</v>
      </c>
    </row>
    <row r="5" spans="1:14" ht="28" x14ac:dyDescent="0.15">
      <c r="A5" s="45">
        <v>13301245</v>
      </c>
      <c r="B5" s="45">
        <v>0</v>
      </c>
      <c r="C5" s="45">
        <v>3</v>
      </c>
      <c r="D5" s="45">
        <v>50</v>
      </c>
      <c r="E5" s="45" t="s">
        <v>300</v>
      </c>
      <c r="F5" s="45" t="s">
        <v>300</v>
      </c>
      <c r="G5" s="45" t="s">
        <v>300</v>
      </c>
      <c r="H5" s="45" t="s">
        <v>300</v>
      </c>
      <c r="I5" s="45" t="s">
        <v>300</v>
      </c>
      <c r="J5" s="46">
        <f>D5</f>
        <v>50</v>
      </c>
      <c r="L5" s="49" t="s">
        <v>308</v>
      </c>
      <c r="M5" s="49" t="s">
        <v>315</v>
      </c>
    </row>
    <row r="6" spans="1:14" ht="28" x14ac:dyDescent="0.15">
      <c r="A6" s="45">
        <v>13301342</v>
      </c>
      <c r="B6" s="45">
        <v>0</v>
      </c>
      <c r="C6" s="45">
        <v>4</v>
      </c>
      <c r="D6" s="45">
        <v>100</v>
      </c>
      <c r="E6" s="45" t="s">
        <v>300</v>
      </c>
      <c r="F6" s="45" t="s">
        <v>300</v>
      </c>
      <c r="G6" s="45">
        <v>1</v>
      </c>
      <c r="H6" s="45" t="s">
        <v>300</v>
      </c>
      <c r="I6" s="45" t="s">
        <v>300</v>
      </c>
      <c r="J6" s="46">
        <f t="shared" ref="J6:J19" si="0">D6</f>
        <v>100</v>
      </c>
      <c r="L6" s="49" t="s">
        <v>264</v>
      </c>
      <c r="M6" s="49" t="s">
        <v>265</v>
      </c>
      <c r="N6" s="48" t="s">
        <v>301</v>
      </c>
    </row>
    <row r="7" spans="1:14" ht="21" customHeight="1" x14ac:dyDescent="0.15">
      <c r="A7" s="45">
        <v>13301344</v>
      </c>
      <c r="B7" s="45">
        <v>0</v>
      </c>
      <c r="C7" s="45">
        <v>3</v>
      </c>
      <c r="D7" s="45">
        <v>25</v>
      </c>
      <c r="E7" s="45" t="s">
        <v>300</v>
      </c>
      <c r="F7" s="45" t="s">
        <v>300</v>
      </c>
      <c r="G7" s="45" t="s">
        <v>300</v>
      </c>
      <c r="H7" s="45" t="s">
        <v>300</v>
      </c>
      <c r="I7" s="45" t="s">
        <v>300</v>
      </c>
      <c r="J7" s="46">
        <f t="shared" si="0"/>
        <v>25</v>
      </c>
      <c r="L7" s="49" t="s">
        <v>267</v>
      </c>
      <c r="M7" s="49" t="s">
        <v>268</v>
      </c>
      <c r="N7" s="48" t="s">
        <v>269</v>
      </c>
    </row>
    <row r="8" spans="1:14" ht="28" x14ac:dyDescent="0.15">
      <c r="A8" s="45">
        <v>13301345</v>
      </c>
      <c r="B8" s="45">
        <v>0</v>
      </c>
      <c r="C8" s="45">
        <v>3</v>
      </c>
      <c r="D8" s="45">
        <v>35</v>
      </c>
      <c r="E8" s="45" t="s">
        <v>300</v>
      </c>
      <c r="F8" s="45" t="s">
        <v>300</v>
      </c>
      <c r="G8" s="45" t="s">
        <v>300</v>
      </c>
      <c r="H8" s="45" t="s">
        <v>300</v>
      </c>
      <c r="I8" s="45" t="s">
        <v>300</v>
      </c>
      <c r="J8" s="46">
        <f t="shared" si="0"/>
        <v>35</v>
      </c>
      <c r="L8" s="49" t="s">
        <v>270</v>
      </c>
      <c r="M8" s="49" t="s">
        <v>316</v>
      </c>
      <c r="N8" s="48" t="s">
        <v>271</v>
      </c>
    </row>
    <row r="9" spans="1:14" ht="28" x14ac:dyDescent="0.15">
      <c r="A9" s="45">
        <v>13301346</v>
      </c>
      <c r="B9" s="45">
        <v>0</v>
      </c>
      <c r="C9" s="45">
        <v>3</v>
      </c>
      <c r="D9" s="45">
        <v>65</v>
      </c>
      <c r="E9" s="45" t="s">
        <v>300</v>
      </c>
      <c r="F9" s="45" t="s">
        <v>300</v>
      </c>
      <c r="G9" s="45">
        <v>2</v>
      </c>
      <c r="H9" s="45" t="s">
        <v>300</v>
      </c>
      <c r="I9" s="45" t="s">
        <v>300</v>
      </c>
      <c r="J9" s="46">
        <f t="shared" si="0"/>
        <v>65</v>
      </c>
      <c r="L9" s="49" t="s">
        <v>272</v>
      </c>
      <c r="M9" s="49" t="s">
        <v>273</v>
      </c>
      <c r="N9" s="48" t="s">
        <v>302</v>
      </c>
    </row>
    <row r="10" spans="1:14" ht="28" x14ac:dyDescent="0.15">
      <c r="A10" s="45">
        <v>13301347</v>
      </c>
      <c r="B10" s="45">
        <v>0</v>
      </c>
      <c r="C10" s="45">
        <v>3</v>
      </c>
      <c r="D10" s="45">
        <v>35</v>
      </c>
      <c r="E10" s="45" t="s">
        <v>300</v>
      </c>
      <c r="F10" s="45" t="s">
        <v>300</v>
      </c>
      <c r="G10" s="45" t="s">
        <v>300</v>
      </c>
      <c r="H10" s="45" t="s">
        <v>300</v>
      </c>
      <c r="I10" s="45" t="s">
        <v>300</v>
      </c>
      <c r="J10" s="46">
        <f t="shared" si="0"/>
        <v>35</v>
      </c>
      <c r="L10" s="49" t="s">
        <v>275</v>
      </c>
      <c r="M10" s="49" t="s">
        <v>276</v>
      </c>
      <c r="N10" s="48" t="s">
        <v>277</v>
      </c>
    </row>
    <row r="11" spans="1:14" ht="21" customHeight="1" x14ac:dyDescent="0.15">
      <c r="A11" s="45">
        <v>13301348</v>
      </c>
      <c r="B11" s="45">
        <v>0</v>
      </c>
      <c r="C11" s="45">
        <v>3</v>
      </c>
      <c r="D11" s="45">
        <v>40</v>
      </c>
      <c r="E11" s="45" t="s">
        <v>300</v>
      </c>
      <c r="F11" s="45" t="s">
        <v>300</v>
      </c>
      <c r="G11" s="45" t="s">
        <v>300</v>
      </c>
      <c r="H11" s="45" t="s">
        <v>300</v>
      </c>
      <c r="I11" s="45" t="s">
        <v>300</v>
      </c>
      <c r="J11" s="46">
        <f t="shared" si="0"/>
        <v>40</v>
      </c>
      <c r="L11" s="49" t="s">
        <v>278</v>
      </c>
      <c r="M11" s="49" t="s">
        <v>279</v>
      </c>
      <c r="N11" s="48" t="s">
        <v>280</v>
      </c>
    </row>
    <row r="12" spans="1:14" ht="21" customHeight="1" x14ac:dyDescent="0.15">
      <c r="A12" s="45">
        <v>13301349</v>
      </c>
      <c r="B12" s="45">
        <v>0</v>
      </c>
      <c r="C12" s="45">
        <v>3</v>
      </c>
      <c r="D12" s="45">
        <v>25</v>
      </c>
      <c r="E12" s="45" t="s">
        <v>300</v>
      </c>
      <c r="F12" s="45" t="s">
        <v>300</v>
      </c>
      <c r="G12" s="45" t="s">
        <v>300</v>
      </c>
      <c r="H12" s="45" t="s">
        <v>300</v>
      </c>
      <c r="I12" s="45" t="s">
        <v>300</v>
      </c>
      <c r="J12" s="46">
        <f t="shared" si="0"/>
        <v>25</v>
      </c>
      <c r="L12" s="49" t="s">
        <v>281</v>
      </c>
      <c r="M12" s="49" t="s">
        <v>282</v>
      </c>
      <c r="N12" s="48" t="s">
        <v>283</v>
      </c>
    </row>
    <row r="13" spans="1:14" ht="21" customHeight="1" x14ac:dyDescent="0.15">
      <c r="A13" s="45">
        <v>13301350</v>
      </c>
      <c r="B13" s="45">
        <v>1</v>
      </c>
      <c r="C13" s="45" t="s">
        <v>300</v>
      </c>
      <c r="D13" s="45">
        <v>100</v>
      </c>
      <c r="E13" s="45" t="s">
        <v>300</v>
      </c>
      <c r="F13" s="45" t="s">
        <v>300</v>
      </c>
      <c r="G13" s="45">
        <v>1</v>
      </c>
      <c r="H13" s="45" t="s">
        <v>300</v>
      </c>
      <c r="I13" s="45" t="s">
        <v>300</v>
      </c>
      <c r="J13" s="46">
        <f t="shared" si="0"/>
        <v>100</v>
      </c>
      <c r="L13" s="49" t="s">
        <v>257</v>
      </c>
      <c r="M13" s="49" t="s">
        <v>285</v>
      </c>
      <c r="N13" s="48" t="s">
        <v>287</v>
      </c>
    </row>
    <row r="14" spans="1:14" ht="21" customHeight="1" x14ac:dyDescent="0.15">
      <c r="A14" s="45">
        <v>13301351</v>
      </c>
      <c r="B14" s="45">
        <v>1</v>
      </c>
      <c r="C14" s="45" t="s">
        <v>300</v>
      </c>
      <c r="D14" s="45">
        <v>100</v>
      </c>
      <c r="E14" s="45" t="s">
        <v>300</v>
      </c>
      <c r="F14" s="45" t="s">
        <v>300</v>
      </c>
      <c r="G14" s="45">
        <v>1</v>
      </c>
      <c r="H14" s="45" t="s">
        <v>300</v>
      </c>
      <c r="I14" s="45" t="s">
        <v>300</v>
      </c>
      <c r="J14" s="46">
        <f t="shared" si="0"/>
        <v>100</v>
      </c>
      <c r="L14" s="49" t="s">
        <v>257</v>
      </c>
      <c r="M14" s="49" t="s">
        <v>288</v>
      </c>
      <c r="N14" s="48" t="s">
        <v>289</v>
      </c>
    </row>
    <row r="15" spans="1:14" ht="28" x14ac:dyDescent="0.15">
      <c r="A15" s="45">
        <v>13301352</v>
      </c>
      <c r="B15" s="45">
        <v>0</v>
      </c>
      <c r="C15" s="45">
        <v>3</v>
      </c>
      <c r="D15" s="45">
        <v>43</v>
      </c>
      <c r="E15" s="45" t="s">
        <v>300</v>
      </c>
      <c r="F15" s="45" t="s">
        <v>300</v>
      </c>
      <c r="G15" s="45" t="s">
        <v>300</v>
      </c>
      <c r="H15" s="45" t="s">
        <v>300</v>
      </c>
      <c r="I15" s="45" t="s">
        <v>300</v>
      </c>
      <c r="J15" s="46">
        <f t="shared" si="0"/>
        <v>43</v>
      </c>
      <c r="L15" s="49" t="s">
        <v>290</v>
      </c>
      <c r="M15" s="49" t="s">
        <v>314</v>
      </c>
      <c r="N15" s="48" t="s">
        <v>291</v>
      </c>
    </row>
    <row r="16" spans="1:14" ht="28" x14ac:dyDescent="0.15">
      <c r="A16" s="45">
        <v>13301353</v>
      </c>
      <c r="B16" s="45">
        <v>0</v>
      </c>
      <c r="C16" s="45">
        <v>3</v>
      </c>
      <c r="D16" s="45">
        <v>57</v>
      </c>
      <c r="E16" s="45" t="s">
        <v>300</v>
      </c>
      <c r="F16" s="45" t="s">
        <v>300</v>
      </c>
      <c r="G16" s="45">
        <v>3</v>
      </c>
      <c r="H16" s="45" t="s">
        <v>300</v>
      </c>
      <c r="I16" s="45" t="s">
        <v>300</v>
      </c>
      <c r="J16" s="46">
        <f t="shared" si="0"/>
        <v>57</v>
      </c>
      <c r="L16" s="49" t="s">
        <v>292</v>
      </c>
      <c r="M16" s="49" t="s">
        <v>309</v>
      </c>
      <c r="N16" s="48" t="s">
        <v>303</v>
      </c>
    </row>
    <row r="17" spans="1:14" ht="21" customHeight="1" x14ac:dyDescent="0.15">
      <c r="A17" s="45">
        <v>13301354</v>
      </c>
      <c r="B17" s="45">
        <v>0</v>
      </c>
      <c r="C17" s="45">
        <v>3</v>
      </c>
      <c r="D17" s="45">
        <v>30</v>
      </c>
      <c r="E17" s="45" t="s">
        <v>300</v>
      </c>
      <c r="F17" s="45" t="s">
        <v>300</v>
      </c>
      <c r="G17" s="45">
        <v>2</v>
      </c>
      <c r="H17" s="45" t="s">
        <v>300</v>
      </c>
      <c r="I17" s="45" t="s">
        <v>300</v>
      </c>
      <c r="J17" s="46">
        <f t="shared" si="0"/>
        <v>30</v>
      </c>
      <c r="L17" s="49" t="s">
        <v>311</v>
      </c>
      <c r="M17" s="49" t="s">
        <v>310</v>
      </c>
      <c r="N17" s="48" t="s">
        <v>294</v>
      </c>
    </row>
    <row r="18" spans="1:14" ht="21" customHeight="1" x14ac:dyDescent="0.15">
      <c r="A18" s="45">
        <v>13301355</v>
      </c>
      <c r="B18" s="45">
        <v>0</v>
      </c>
      <c r="C18" s="45">
        <v>3</v>
      </c>
      <c r="D18" s="45">
        <v>23</v>
      </c>
      <c r="E18" s="45" t="s">
        <v>300</v>
      </c>
      <c r="F18" s="45" t="s">
        <v>300</v>
      </c>
      <c r="G18" s="45">
        <v>3</v>
      </c>
      <c r="H18" s="45" t="s">
        <v>300</v>
      </c>
      <c r="I18" s="45" t="s">
        <v>300</v>
      </c>
      <c r="J18" s="46">
        <f t="shared" si="0"/>
        <v>23</v>
      </c>
      <c r="L18" s="49" t="s">
        <v>295</v>
      </c>
      <c r="M18" s="49" t="s">
        <v>312</v>
      </c>
      <c r="N18" s="48" t="s">
        <v>296</v>
      </c>
    </row>
    <row r="19" spans="1:14" ht="21" customHeight="1" x14ac:dyDescent="0.15">
      <c r="A19" s="45">
        <v>13301356</v>
      </c>
      <c r="B19" s="45">
        <v>0</v>
      </c>
      <c r="C19" s="45">
        <v>3</v>
      </c>
      <c r="D19" s="45">
        <v>47</v>
      </c>
      <c r="E19" s="45" t="s">
        <v>300</v>
      </c>
      <c r="F19" s="45" t="s">
        <v>300</v>
      </c>
      <c r="G19" s="45" t="s">
        <v>300</v>
      </c>
      <c r="H19" s="45" t="s">
        <v>300</v>
      </c>
      <c r="I19" s="45" t="s">
        <v>300</v>
      </c>
      <c r="J19" s="46">
        <f t="shared" si="0"/>
        <v>47</v>
      </c>
      <c r="L19" s="49" t="s">
        <v>297</v>
      </c>
      <c r="M19" s="49" t="s">
        <v>298</v>
      </c>
      <c r="N19" s="48" t="s">
        <v>299</v>
      </c>
    </row>
  </sheetData>
  <autoFilter ref="A1:G1"/>
  <phoneticPr fontId="5"/>
  <conditionalFormatting sqref="K2">
    <cfRule type="duplicateValues" dxfId="18" priority="20"/>
  </conditionalFormatting>
  <conditionalFormatting sqref="K3">
    <cfRule type="duplicateValues" dxfId="17" priority="19"/>
  </conditionalFormatting>
  <conditionalFormatting sqref="K4">
    <cfRule type="duplicateValues" dxfId="16" priority="18"/>
  </conditionalFormatting>
  <conditionalFormatting sqref="K20:K1048576 K1">
    <cfRule type="duplicateValues" dxfId="15" priority="35"/>
  </conditionalFormatting>
  <conditionalFormatting sqref="K6">
    <cfRule type="duplicateValues" dxfId="14" priority="14"/>
  </conditionalFormatting>
  <conditionalFormatting sqref="K7">
    <cfRule type="duplicateValues" dxfId="13" priority="13"/>
  </conditionalFormatting>
  <conditionalFormatting sqref="K8">
    <cfRule type="duplicateValues" dxfId="12" priority="12"/>
  </conditionalFormatting>
  <conditionalFormatting sqref="K9">
    <cfRule type="duplicateValues" dxfId="11" priority="11"/>
  </conditionalFormatting>
  <conditionalFormatting sqref="K10">
    <cfRule type="duplicateValues" dxfId="10" priority="10"/>
  </conditionalFormatting>
  <conditionalFormatting sqref="K11">
    <cfRule type="duplicateValues" dxfId="9" priority="9"/>
  </conditionalFormatting>
  <conditionalFormatting sqref="K12">
    <cfRule type="duplicateValues" dxfId="8" priority="8"/>
  </conditionalFormatting>
  <conditionalFormatting sqref="K13">
    <cfRule type="duplicateValues" dxfId="7" priority="7"/>
  </conditionalFormatting>
  <conditionalFormatting sqref="K14">
    <cfRule type="duplicateValues" dxfId="6" priority="6"/>
  </conditionalFormatting>
  <conditionalFormatting sqref="K15">
    <cfRule type="duplicateValues" dxfId="5" priority="5"/>
  </conditionalFormatting>
  <conditionalFormatting sqref="K16">
    <cfRule type="duplicateValues" dxfId="4" priority="4"/>
  </conditionalFormatting>
  <conditionalFormatting sqref="K17">
    <cfRule type="duplicateValues" dxfId="3" priority="3"/>
  </conditionalFormatting>
  <conditionalFormatting sqref="K18">
    <cfRule type="duplicateValues" dxfId="2" priority="2"/>
  </conditionalFormatting>
  <conditionalFormatting sqref="K19">
    <cfRule type="duplicateValues" dxfId="1" priority="1"/>
  </conditionalFormatting>
  <conditionalFormatting sqref="K5">
    <cfRule type="duplicateValues" dxfId="0" priority="3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6"/>
  <sheetViews>
    <sheetView workbookViewId="0">
      <selection activeCell="A12" sqref="A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5">
        <v>13301</v>
      </c>
      <c r="B2" s="55">
        <v>4</v>
      </c>
      <c r="C2" s="69" t="str">
        <f>A2&amp; "_"&amp;B2</f>
        <v>13301_4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222</v>
      </c>
      <c r="G2" s="55">
        <v>122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100</v>
      </c>
      <c r="Q2" s="55" t="s">
        <v>167</v>
      </c>
      <c r="R2" s="55" t="s">
        <v>168</v>
      </c>
    </row>
    <row r="3" spans="1:18" x14ac:dyDescent="0.15">
      <c r="A3" s="55">
        <v>13301</v>
      </c>
      <c r="B3" s="55">
        <v>4</v>
      </c>
      <c r="C3" s="69" t="str">
        <f t="shared" ref="C3:C6" si="0">A3&amp; "_"&amp;B3</f>
        <v>13301_4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253</v>
      </c>
      <c r="G3" s="55">
        <v>608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120</v>
      </c>
      <c r="Q3" s="55" t="s">
        <v>167</v>
      </c>
      <c r="R3" s="55" t="s">
        <v>168</v>
      </c>
    </row>
    <row r="4" spans="1:18" x14ac:dyDescent="0.15">
      <c r="A4" s="55">
        <v>13301</v>
      </c>
      <c r="B4" s="55">
        <v>4</v>
      </c>
      <c r="C4" s="69" t="str">
        <f t="shared" si="0"/>
        <v>13301_4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254</v>
      </c>
      <c r="G4" s="55">
        <v>125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</v>
      </c>
      <c r="Q4" s="55" t="s">
        <v>167</v>
      </c>
      <c r="R4" s="55" t="s">
        <v>168</v>
      </c>
    </row>
    <row r="5" spans="1:18" x14ac:dyDescent="0.15">
      <c r="A5" s="55">
        <v>13301</v>
      </c>
      <c r="B5" s="55">
        <v>4</v>
      </c>
      <c r="C5" s="69" t="str">
        <f t="shared" si="0"/>
        <v>13301_4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255</v>
      </c>
      <c r="G5" s="55">
        <v>338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500</v>
      </c>
      <c r="Q5" s="55" t="s">
        <v>167</v>
      </c>
      <c r="R5" s="55" t="s">
        <v>168</v>
      </c>
    </row>
    <row r="6" spans="1:18" x14ac:dyDescent="0.15">
      <c r="A6" s="55">
        <v>13301</v>
      </c>
      <c r="B6" s="55">
        <v>4</v>
      </c>
      <c r="C6" s="69" t="str">
        <f t="shared" si="0"/>
        <v>13301_4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256</v>
      </c>
      <c r="G6" s="55">
        <v>339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260</v>
      </c>
      <c r="Q6" s="55" t="s">
        <v>167</v>
      </c>
      <c r="R6" s="55" t="s">
        <v>168</v>
      </c>
    </row>
  </sheetData>
  <phoneticPr fontId="5"/>
  <dataValidations count="1">
    <dataValidation type="list" allowBlank="1" showInputMessage="1" showErrorMessage="1" sqref="F2:F6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J5" sqref="J5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8" t="s">
        <v>193</v>
      </c>
      <c r="J1" s="77" t="s">
        <v>125</v>
      </c>
      <c r="K1" s="76" t="s">
        <v>184</v>
      </c>
      <c r="L1" s="89" t="s">
        <v>183</v>
      </c>
      <c r="M1" s="78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I7" sqref="I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1" t="s">
        <v>149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6" t="s">
        <v>192</v>
      </c>
      <c r="J1" s="88" t="s">
        <v>193</v>
      </c>
      <c r="K1" s="77" t="s">
        <v>125</v>
      </c>
      <c r="L1" s="76" t="s">
        <v>184</v>
      </c>
      <c r="M1" s="89" t="s">
        <v>183</v>
      </c>
      <c r="N1" s="78" t="s">
        <v>194</v>
      </c>
    </row>
    <row r="2" spans="1:14" ht="70" x14ac:dyDescent="0.15">
      <c r="A2" s="79" t="s">
        <v>195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7">
        <f>ROW()-1</f>
        <v>1</v>
      </c>
      <c r="J2" s="103">
        <v>13301352</v>
      </c>
      <c r="K2" s="82" t="s">
        <v>126</v>
      </c>
      <c r="L2" s="84" t="s">
        <v>196</v>
      </c>
      <c r="M2" s="104" t="s">
        <v>307</v>
      </c>
      <c r="N2" s="55" t="s">
        <v>306</v>
      </c>
    </row>
    <row r="3" spans="1:14" ht="70" x14ac:dyDescent="0.15">
      <c r="A3" s="79" t="s">
        <v>195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4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2</v>
      </c>
      <c r="I3" s="87">
        <f>ROW()-1</f>
        <v>2</v>
      </c>
      <c r="J3" s="103">
        <v>13301381</v>
      </c>
      <c r="K3" s="82" t="s">
        <v>126</v>
      </c>
      <c r="L3" s="84" t="s">
        <v>196</v>
      </c>
      <c r="M3" s="104" t="s">
        <v>304</v>
      </c>
      <c r="N3" s="55" t="s">
        <v>197</v>
      </c>
    </row>
    <row r="4" spans="1:14" ht="56" x14ac:dyDescent="0.15">
      <c r="A4" s="79" t="s">
        <v>195</v>
      </c>
      <c r="B4" s="80">
        <v>13301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4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4階 コスト制限なし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2</v>
      </c>
      <c r="I4" s="87">
        <v>3</v>
      </c>
      <c r="J4" s="103">
        <v>13301382</v>
      </c>
      <c r="K4" s="82" t="s">
        <v>126</v>
      </c>
      <c r="L4" s="84" t="s">
        <v>196</v>
      </c>
      <c r="M4" s="104" t="s">
        <v>305</v>
      </c>
      <c r="N4" s="55" t="s">
        <v>197</v>
      </c>
    </row>
    <row r="5" spans="1:14" ht="70" x14ac:dyDescent="0.15">
      <c r="A5" s="79" t="s">
        <v>195</v>
      </c>
      <c r="B5" s="80">
        <v>13301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4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4階 コスト制限なし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3</v>
      </c>
      <c r="I5" s="87">
        <v>4</v>
      </c>
      <c r="J5" s="103">
        <v>13301383</v>
      </c>
      <c r="K5" s="82" t="s">
        <v>126</v>
      </c>
      <c r="L5" s="84" t="s">
        <v>196</v>
      </c>
      <c r="M5" s="104" t="s">
        <v>317</v>
      </c>
      <c r="N5" s="55" t="s">
        <v>197</v>
      </c>
    </row>
    <row r="6" spans="1:14" ht="56" x14ac:dyDescent="0.15">
      <c r="A6" s="79" t="s">
        <v>195</v>
      </c>
      <c r="B6" s="80">
        <v>13301</v>
      </c>
      <c r="C6" s="81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1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2">
        <v>4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4階 コスト制限なし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3">
        <v>3</v>
      </c>
      <c r="I6" s="87">
        <v>5</v>
      </c>
      <c r="J6" s="103">
        <v>13301384</v>
      </c>
      <c r="K6" s="82" t="s">
        <v>126</v>
      </c>
      <c r="L6" s="84" t="s">
        <v>196</v>
      </c>
      <c r="M6" s="104" t="s">
        <v>313</v>
      </c>
      <c r="N6" s="55" t="s">
        <v>197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C9" sqref="C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208</v>
      </c>
      <c r="B1" s="92" t="s">
        <v>209</v>
      </c>
      <c r="C1" s="75" t="s">
        <v>210</v>
      </c>
      <c r="D1" s="75" t="s">
        <v>33</v>
      </c>
      <c r="E1" s="92" t="s">
        <v>211</v>
      </c>
      <c r="F1" s="75" t="s">
        <v>212</v>
      </c>
      <c r="G1" s="75" t="s">
        <v>33</v>
      </c>
      <c r="H1" s="92" t="s">
        <v>213</v>
      </c>
      <c r="I1" s="92" t="s">
        <v>214</v>
      </c>
      <c r="J1" s="92" t="s">
        <v>215</v>
      </c>
      <c r="K1" s="71" t="s">
        <v>216</v>
      </c>
      <c r="L1" s="71" t="s">
        <v>217</v>
      </c>
      <c r="M1" s="71" t="s">
        <v>155</v>
      </c>
      <c r="N1" s="75" t="s">
        <v>16</v>
      </c>
      <c r="O1" s="71" t="s">
        <v>218</v>
      </c>
      <c r="P1" s="71" t="s">
        <v>56</v>
      </c>
      <c r="Q1" s="71" t="s">
        <v>219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220</v>
      </c>
      <c r="X1" s="71" t="s">
        <v>221</v>
      </c>
    </row>
    <row r="2" spans="1:24" x14ac:dyDescent="0.15">
      <c r="A2" s="93" t="str">
        <f>B2&amp;"_"&amp;E2&amp;"_"&amp;H2&amp;"_"&amp;I2&amp;"_"&amp;J2</f>
        <v>13301_4_singleonly_clear_1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4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4階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250</v>
      </c>
      <c r="I2" s="82" t="s">
        <v>251</v>
      </c>
      <c r="J2" s="82">
        <v>1</v>
      </c>
      <c r="K2" s="82">
        <v>750</v>
      </c>
      <c r="L2" s="82" t="s">
        <v>252</v>
      </c>
      <c r="M2" s="82">
        <v>12000</v>
      </c>
      <c r="N2" s="94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2" t="s">
        <v>88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223</v>
      </c>
      <c r="X2" s="96" t="s">
        <v>224</v>
      </c>
    </row>
    <row r="3" spans="1:24" x14ac:dyDescent="0.15">
      <c r="A3" s="93" t="str">
        <f>B3&amp;"_"&amp;E3&amp;"_"&amp;H3&amp;"_"&amp;I3&amp;"_"&amp;J3</f>
        <v>13301_4_singleonly_clear_2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4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4階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250</v>
      </c>
      <c r="I3" s="82" t="s">
        <v>251</v>
      </c>
      <c r="J3" s="82">
        <v>2</v>
      </c>
      <c r="K3" s="82">
        <v>250</v>
      </c>
      <c r="L3" s="82" t="s">
        <v>252</v>
      </c>
      <c r="M3" s="82">
        <v>48000</v>
      </c>
      <c r="N3" s="94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2" t="s">
        <v>88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223</v>
      </c>
      <c r="X3" s="96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2016-11-12T00:46:06Z</dcterms:modified>
</cp:coreProperties>
</file>