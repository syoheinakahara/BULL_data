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060" yWindow="460" windowWidth="27740" windowHeight="1610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Q2" i="23" l="1"/>
  <c r="F9" i="57"/>
  <c r="E9" i="57"/>
  <c r="B9" i="57"/>
  <c r="F8" i="57"/>
  <c r="E8" i="57"/>
  <c r="B8" i="57"/>
  <c r="J33" i="3"/>
  <c r="H33" i="3"/>
  <c r="C33" i="3"/>
  <c r="F33" i="3"/>
  <c r="E33" i="3"/>
  <c r="D33" i="3"/>
  <c r="A33" i="3"/>
  <c r="J32" i="3"/>
  <c r="H32" i="3"/>
  <c r="C32" i="3"/>
  <c r="F32" i="3"/>
  <c r="E32" i="3"/>
  <c r="D32" i="3"/>
  <c r="A32" i="3"/>
  <c r="J31" i="3"/>
  <c r="H31" i="3"/>
  <c r="C31" i="3"/>
  <c r="F31" i="3"/>
  <c r="E31" i="3"/>
  <c r="D31" i="3"/>
  <c r="A31" i="3"/>
  <c r="J30" i="3"/>
  <c r="H30" i="3"/>
  <c r="C30" i="3"/>
  <c r="F30" i="3"/>
  <c r="E30" i="3"/>
  <c r="D30" i="3"/>
  <c r="A30" i="3"/>
  <c r="J29" i="3"/>
  <c r="H29" i="3"/>
  <c r="C29" i="3"/>
  <c r="F29" i="3"/>
  <c r="E29" i="3"/>
  <c r="D29" i="3"/>
  <c r="A29" i="3"/>
  <c r="J28" i="3"/>
  <c r="H28" i="3"/>
  <c r="C28" i="3"/>
  <c r="F28" i="3"/>
  <c r="E28" i="3"/>
  <c r="D28" i="3"/>
  <c r="A28" i="3"/>
  <c r="J27" i="3"/>
  <c r="H27" i="3"/>
  <c r="C27" i="3"/>
  <c r="F27" i="3"/>
  <c r="E27" i="3"/>
  <c r="D27" i="3"/>
  <c r="A27" i="3"/>
  <c r="J26" i="3"/>
  <c r="H26" i="3"/>
  <c r="C26" i="3"/>
  <c r="F26" i="3"/>
  <c r="E26" i="3"/>
  <c r="D26" i="3"/>
  <c r="A26" i="3"/>
  <c r="G13" i="58"/>
  <c r="U13" i="58"/>
  <c r="S8" i="58"/>
  <c r="S11" i="58"/>
  <c r="S13" i="58"/>
  <c r="T13" i="58"/>
  <c r="R13" i="58"/>
  <c r="P13" i="58"/>
  <c r="O13" i="58"/>
  <c r="N13" i="58"/>
  <c r="M13" i="58"/>
  <c r="L13" i="58"/>
  <c r="J13" i="58"/>
  <c r="K13" i="58"/>
  <c r="I13" i="58"/>
  <c r="H13" i="58"/>
  <c r="F13" i="58"/>
  <c r="E13" i="58"/>
  <c r="D13" i="58"/>
  <c r="C13" i="58"/>
  <c r="B13" i="58"/>
  <c r="G12" i="58"/>
  <c r="U12" i="58"/>
  <c r="S10" i="58"/>
  <c r="S12" i="58"/>
  <c r="T12" i="58"/>
  <c r="R12" i="58"/>
  <c r="P12" i="58"/>
  <c r="O12" i="58"/>
  <c r="N12" i="58"/>
  <c r="M12" i="58"/>
  <c r="L12" i="58"/>
  <c r="J12" i="58"/>
  <c r="K12" i="58"/>
  <c r="I12" i="58"/>
  <c r="H12" i="58"/>
  <c r="F12" i="58"/>
  <c r="E12" i="58"/>
  <c r="D12" i="58"/>
  <c r="C12" i="58"/>
  <c r="B12" i="58"/>
  <c r="G11" i="58"/>
  <c r="U11" i="58"/>
  <c r="T11" i="58"/>
  <c r="R11" i="58"/>
  <c r="P11" i="58"/>
  <c r="O11" i="58"/>
  <c r="N11" i="58"/>
  <c r="M11" i="58"/>
  <c r="L11" i="58"/>
  <c r="J11" i="58"/>
  <c r="K11" i="58"/>
  <c r="I11" i="58"/>
  <c r="H11" i="58"/>
  <c r="F11" i="58"/>
  <c r="E11" i="58"/>
  <c r="D11" i="58"/>
  <c r="C11" i="58"/>
  <c r="B11" i="58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H5" i="53"/>
  <c r="G5" i="53"/>
  <c r="E5" i="53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8" i="13"/>
  <c r="N5" i="23"/>
  <c r="F5" i="23"/>
  <c r="E5" i="23"/>
  <c r="D5" i="23"/>
  <c r="C5" i="23"/>
  <c r="B5" i="23"/>
  <c r="H3" i="23"/>
  <c r="BR3" i="23"/>
  <c r="H4" i="23"/>
  <c r="BR4" i="23"/>
  <c r="H2" i="23"/>
  <c r="BR2" i="23"/>
  <c r="G10" i="13"/>
  <c r="AR2" i="23"/>
  <c r="G4" i="53"/>
  <c r="G3" i="53"/>
  <c r="E3" i="52"/>
  <c r="AX4" i="23"/>
  <c r="F7" i="57"/>
  <c r="E7" i="57"/>
  <c r="B7" i="57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G10" i="58"/>
  <c r="U10" i="58"/>
  <c r="T10" i="58"/>
  <c r="R10" i="58"/>
  <c r="P10" i="58"/>
  <c r="O10" i="58"/>
  <c r="N10" i="58"/>
  <c r="M10" i="58"/>
  <c r="L10" i="58"/>
  <c r="J10" i="58"/>
  <c r="K10" i="58"/>
  <c r="I10" i="58"/>
  <c r="H10" i="58"/>
  <c r="F10" i="58"/>
  <c r="E10" i="58"/>
  <c r="D10" i="58"/>
  <c r="C10" i="58"/>
  <c r="B10" i="58"/>
  <c r="G9" i="58"/>
  <c r="U9" i="58"/>
  <c r="S9" i="58"/>
  <c r="T9" i="58"/>
  <c r="R9" i="58"/>
  <c r="P9" i="58"/>
  <c r="O9" i="58"/>
  <c r="N9" i="58"/>
  <c r="M9" i="58"/>
  <c r="L9" i="58"/>
  <c r="J9" i="58"/>
  <c r="K9" i="58"/>
  <c r="I9" i="58"/>
  <c r="H9" i="58"/>
  <c r="F9" i="58"/>
  <c r="E9" i="58"/>
  <c r="D9" i="58"/>
  <c r="C9" i="58"/>
  <c r="B9" i="58"/>
  <c r="G8" i="58"/>
  <c r="U8" i="58"/>
  <c r="T8" i="58"/>
  <c r="R8" i="58"/>
  <c r="P8" i="58"/>
  <c r="O8" i="58"/>
  <c r="N8" i="58"/>
  <c r="M8" i="58"/>
  <c r="L8" i="58"/>
  <c r="J8" i="58"/>
  <c r="K8" i="58"/>
  <c r="I8" i="58"/>
  <c r="H8" i="58"/>
  <c r="F8" i="58"/>
  <c r="E8" i="58"/>
  <c r="D8" i="58"/>
  <c r="C8" i="58"/>
  <c r="B8" i="58"/>
  <c r="F6" i="57"/>
  <c r="E6" i="57"/>
  <c r="B6" i="57"/>
  <c r="H24" i="3"/>
  <c r="H25" i="3"/>
  <c r="H23" i="3"/>
  <c r="J25" i="3"/>
  <c r="C25" i="3"/>
  <c r="F25" i="3"/>
  <c r="E25" i="3"/>
  <c r="D25" i="3"/>
  <c r="A25" i="3"/>
  <c r="J24" i="3"/>
  <c r="C24" i="3"/>
  <c r="F24" i="3"/>
  <c r="E24" i="3"/>
  <c r="D24" i="3"/>
  <c r="A24" i="3"/>
  <c r="J23" i="3"/>
  <c r="C23" i="3"/>
  <c r="F23" i="3"/>
  <c r="E23" i="3"/>
  <c r="D23" i="3"/>
  <c r="A23" i="3"/>
  <c r="J22" i="3"/>
  <c r="H22" i="3"/>
  <c r="C22" i="3"/>
  <c r="F22" i="3"/>
  <c r="E22" i="3"/>
  <c r="D22" i="3"/>
  <c r="A22" i="3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H4" i="53"/>
  <c r="E4" i="53"/>
  <c r="K3" i="52"/>
  <c r="J3" i="52"/>
  <c r="H3" i="52"/>
  <c r="G4" i="23"/>
  <c r="BC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G7" i="58"/>
  <c r="U7" i="58"/>
  <c r="S3" i="58"/>
  <c r="S7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S2" i="58"/>
  <c r="S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A10" i="3"/>
  <c r="C10" i="3"/>
  <c r="D10" i="3"/>
  <c r="E10" i="3"/>
  <c r="F10" i="3"/>
  <c r="H10" i="3"/>
  <c r="J10" i="3"/>
  <c r="J7" i="3"/>
  <c r="H7" i="3"/>
  <c r="C7" i="3"/>
  <c r="F7" i="3"/>
  <c r="E7" i="3"/>
  <c r="D7" i="3"/>
  <c r="A7" i="3"/>
  <c r="E11" i="54"/>
  <c r="D11" i="54"/>
  <c r="B11" i="54"/>
  <c r="E3" i="54"/>
  <c r="D3" i="54"/>
  <c r="B3" i="54"/>
  <c r="A11" i="3"/>
  <c r="C11" i="3"/>
  <c r="D11" i="3"/>
  <c r="E11" i="3"/>
  <c r="F11" i="3"/>
  <c r="H11" i="3"/>
  <c r="J11" i="3"/>
  <c r="C12" i="3"/>
  <c r="D12" i="3"/>
  <c r="C13" i="3"/>
  <c r="D13" i="3"/>
  <c r="J14" i="3"/>
  <c r="H14" i="3"/>
  <c r="C14" i="3"/>
  <c r="F14" i="3"/>
  <c r="E14" i="3"/>
  <c r="D14" i="3"/>
  <c r="A14" i="3"/>
  <c r="J13" i="3"/>
  <c r="H13" i="3"/>
  <c r="F13" i="3"/>
  <c r="E13" i="3"/>
  <c r="A13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AR3" i="23"/>
  <c r="AV3" i="23"/>
  <c r="G2" i="23"/>
  <c r="BC2" i="23"/>
  <c r="BD2" i="23"/>
  <c r="Q2" i="23"/>
  <c r="S2" i="23"/>
  <c r="W2" i="23"/>
  <c r="AA2" i="23"/>
  <c r="I2" i="23"/>
  <c r="J2" i="23"/>
  <c r="BK2" i="23"/>
  <c r="T2" i="23"/>
  <c r="AB2" i="23"/>
  <c r="K2" i="23"/>
  <c r="BL2" i="23"/>
  <c r="F5" i="57"/>
  <c r="E5" i="57"/>
  <c r="B5" i="57"/>
  <c r="F4" i="57"/>
  <c r="E4" i="57"/>
  <c r="B4" i="57"/>
  <c r="G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U3" i="23"/>
  <c r="AS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N3" i="23"/>
  <c r="F3" i="23"/>
  <c r="E3" i="23"/>
  <c r="D3" i="23"/>
  <c r="C3" i="23"/>
  <c r="B3" i="23"/>
  <c r="V2" i="23"/>
  <c r="AD2" i="23"/>
  <c r="M2" i="23"/>
  <c r="BN2" i="23"/>
  <c r="U2" i="23"/>
  <c r="AC2" i="23"/>
  <c r="L2" i="23"/>
  <c r="BM2" i="23"/>
  <c r="BE2" i="23"/>
  <c r="BJ2" i="23"/>
  <c r="BI2" i="23"/>
  <c r="BH2" i="23"/>
  <c r="BG2" i="23"/>
  <c r="BF2" i="23"/>
  <c r="AX2" i="23"/>
  <c r="AW2" i="23"/>
  <c r="AV2" i="23"/>
  <c r="AU2" i="23"/>
  <c r="AS2" i="23"/>
  <c r="AN2" i="23"/>
  <c r="AM2" i="23"/>
  <c r="AL2" i="23"/>
  <c r="AK2" i="23"/>
  <c r="AI2" i="23"/>
  <c r="AH2" i="23"/>
  <c r="AF2" i="23"/>
  <c r="Y2" i="23"/>
  <c r="Z2" i="23"/>
  <c r="X2" i="23"/>
  <c r="R2" i="23"/>
  <c r="P2" i="23"/>
  <c r="O2" i="23"/>
  <c r="N2" i="23"/>
  <c r="F2" i="23"/>
  <c r="E2" i="23"/>
  <c r="D2" i="23"/>
  <c r="C2" i="23"/>
  <c r="B2" i="23"/>
  <c r="F3" i="57"/>
  <c r="E3" i="57"/>
  <c r="B3" i="57"/>
  <c r="B5" i="58"/>
  <c r="B3" i="58"/>
  <c r="B4" i="58"/>
  <c r="B2" i="58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P3" i="58"/>
  <c r="P2" i="58"/>
  <c r="E10" i="54"/>
  <c r="E9" i="54"/>
  <c r="E8" i="54"/>
  <c r="E7" i="54"/>
  <c r="E6" i="54"/>
  <c r="E5" i="54"/>
  <c r="E4" i="54"/>
  <c r="E2" i="54"/>
  <c r="D10" i="54"/>
  <c r="B10" i="54"/>
  <c r="D9" i="54"/>
  <c r="B9" i="54"/>
  <c r="D6" i="54"/>
  <c r="B6" i="54"/>
  <c r="D5" i="54"/>
  <c r="B5" i="54"/>
  <c r="D4" i="54"/>
  <c r="D7" i="54"/>
  <c r="D8" i="54"/>
  <c r="B8" i="54"/>
  <c r="B4" i="54"/>
  <c r="G2" i="53"/>
  <c r="H2" i="53"/>
  <c r="J12" i="3"/>
  <c r="H12" i="3"/>
  <c r="F12" i="3"/>
  <c r="E12" i="3"/>
  <c r="A12" i="3"/>
  <c r="J4" i="3"/>
  <c r="H4" i="3"/>
  <c r="C4" i="3"/>
  <c r="F4" i="3"/>
  <c r="E4" i="3"/>
  <c r="D4" i="3"/>
  <c r="A4" i="3"/>
  <c r="J3" i="3"/>
  <c r="H3" i="3"/>
  <c r="C3" i="3"/>
  <c r="F3" i="3"/>
  <c r="E3" i="3"/>
  <c r="D3" i="3"/>
  <c r="A3" i="3"/>
  <c r="G3" i="58"/>
  <c r="U3" i="58"/>
  <c r="T3" i="58"/>
  <c r="R3" i="58"/>
  <c r="O3" i="58"/>
  <c r="N3" i="58"/>
  <c r="M3" i="58"/>
  <c r="L3" i="58"/>
  <c r="J3" i="58"/>
  <c r="K3" i="58"/>
  <c r="I3" i="58"/>
  <c r="H3" i="58"/>
  <c r="F3" i="58"/>
  <c r="E3" i="58"/>
  <c r="D3" i="58"/>
  <c r="C3" i="58"/>
  <c r="H3" i="53"/>
  <c r="E3" i="53"/>
  <c r="K2" i="52"/>
  <c r="J2" i="52"/>
  <c r="H2" i="52"/>
  <c r="E2" i="52"/>
  <c r="G9" i="13"/>
  <c r="C3" i="49"/>
  <c r="E3" i="49"/>
  <c r="C4" i="49"/>
  <c r="C5" i="49"/>
  <c r="E5" i="49"/>
  <c r="C2" i="3"/>
  <c r="J2" i="3"/>
  <c r="H2" i="3"/>
  <c r="F2" i="3"/>
  <c r="E2" i="3"/>
  <c r="D2" i="3"/>
  <c r="G2" i="58"/>
  <c r="U2" i="58"/>
  <c r="R2" i="58"/>
  <c r="O2" i="58"/>
  <c r="N2" i="58"/>
  <c r="M2" i="58"/>
  <c r="L2" i="58"/>
  <c r="J2" i="58"/>
  <c r="K2" i="58"/>
  <c r="I2" i="58"/>
  <c r="H2" i="58"/>
  <c r="F2" i="58"/>
  <c r="E2" i="58"/>
  <c r="D2" i="58"/>
  <c r="C2" i="58"/>
  <c r="F2" i="57"/>
  <c r="E2" i="57"/>
  <c r="B2" i="57"/>
  <c r="C6" i="49"/>
  <c r="C7" i="49"/>
  <c r="C8" i="49"/>
  <c r="C9" i="49"/>
  <c r="C10" i="49"/>
  <c r="C11" i="49"/>
  <c r="C12" i="49"/>
  <c r="C13" i="49"/>
  <c r="C14" i="49"/>
  <c r="C15" i="49"/>
  <c r="E15" i="49"/>
  <c r="E14" i="49"/>
  <c r="E13" i="49"/>
  <c r="G11" i="13"/>
  <c r="G4" i="13"/>
  <c r="G3" i="13"/>
  <c r="G2" i="1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D2" i="54"/>
  <c r="B7" i="54"/>
  <c r="B2" i="54"/>
  <c r="E2" i="53"/>
  <c r="E10" i="49"/>
  <c r="E9" i="49"/>
  <c r="E8" i="49"/>
  <c r="E7" i="49"/>
  <c r="E11" i="49"/>
  <c r="E12" i="49"/>
  <c r="E4" i="49"/>
  <c r="E6" i="49"/>
  <c r="E2" i="49"/>
  <c r="T2" i="58"/>
</calcChain>
</file>

<file path=xl/sharedStrings.xml><?xml version="1.0" encoding="utf-8"?>
<sst xmlns="http://schemas.openxmlformats.org/spreadsheetml/2006/main" count="973" uniqueCount="385">
  <si>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</si>
  <si>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</si>
  <si>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</si>
  <si>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</si>
  <si>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</si>
  <si>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</si>
  <si>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</si>
  <si>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</si>
  <si>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</si>
  <si>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</si>
  <si>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</si>
  <si>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</si>
  <si>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</si>
  <si>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</si>
  <si>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</si>
  <si>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</si>
  <si>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</si>
  <si>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</si>
  <si>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</si>
  <si>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</si>
  <si>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</si>
  <si>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</si>
  <si>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</si>
  <si>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</si>
  <si>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</si>
  <si>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</si>
  <si>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</si>
  <si>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</si>
  <si>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</si>
  <si>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</si>
  <si>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</si>
  <si>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</si>
  <si>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</si>
  <si>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</si>
  <si>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</si>
  <si>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</si>
  <si>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</si>
  <si>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</si>
  <si>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</si>
  <si>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</si>
  <si>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</si>
  <si>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</si>
  <si>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</si>
  <si>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</si>
  <si>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</si>
  <si>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</si>
  <si>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</si>
  <si>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</si>
  <si>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</si>
  <si>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</si>
  <si>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</si>
  <si>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</si>
  <si>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</si>
  <si>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</si>
  <si>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</si>
  <si>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</si>
  <si>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</si>
  <si>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</si>
  <si>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</si>
  <si>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</si>
  <si>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</si>
  <si>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</si>
  <si>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</si>
  <si>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</si>
  <si>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</si>
  <si>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</si>
  <si>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</si>
  <si>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</si>
  <si>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</si>
  <si>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</si>
  <si>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</si>
  <si>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</si>
  <si>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</si>
  <si>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</si>
  <si>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</si>
  <si>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</si>
  <si>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</si>
  <si>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</si>
  <si>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</si>
  <si>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</si>
  <si>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</si>
  <si>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</si>
  <si>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</si>
  <si>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</si>
  <si>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</si>
  <si>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</si>
  <si>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</si>
  <si>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</si>
  <si>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</si>
  <si>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</si>
  <si>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</si>
  <si>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</si>
  <si>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</si>
  <si>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</si>
  <si>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</si>
  <si>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</si>
  <si>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</si>
  <si>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</si>
  <si>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</si>
  <si>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</si>
  <si>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</si>
  <si>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</si>
  <si>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</si>
  <si>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</si>
  <si>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</si>
  <si>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</si>
  <si>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</si>
  <si>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</si>
  <si>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</si>
  <si>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</si>
  <si>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</si>
  <si>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</si>
  <si>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</si>
  <si>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</si>
  <si>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</si>
  <si>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</si>
  <si>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</si>
  <si>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</si>
  <si>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</si>
  <si>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</si>
  <si>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</si>
  <si>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</si>
  <si>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</si>
  <si>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</si>
  <si>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</si>
  <si>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</si>
  <si>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</si>
  <si>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</si>
  <si>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</si>
  <si>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</si>
  <si>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</si>
  <si>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</si>
  <si>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</si>
  <si>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</si>
  <si>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</si>
  <si>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</si>
  <si>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</si>
  <si>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</si>
  <si>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</si>
  <si>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</si>
  <si>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</si>
  <si>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</si>
  <si>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</si>
  <si>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</si>
  <si>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</si>
  <si>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</si>
  <si>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</si>
  <si>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</si>
  <si>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</si>
  <si>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</si>
  <si>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</si>
  <si>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</si>
  <si>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</si>
  <si>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</si>
  <si>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</si>
  <si>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</si>
  <si>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</si>
  <si>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</si>
  <si>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</si>
  <si>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</si>
  <si>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</si>
  <si>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</si>
  <si>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</si>
  <si>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</si>
  <si>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</si>
  <si>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</si>
  <si>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</si>
  <si>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</si>
  <si>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</si>
  <si>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</si>
  <si>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</si>
  <si>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</si>
  <si>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</si>
  <si>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</si>
  <si>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</si>
  <si>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</si>
  <si>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</si>
  <si>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</si>
  <si>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</si>
  <si>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</si>
  <si>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</si>
  <si>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</si>
  <si>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</si>
  <si>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</si>
  <si>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</si>
  <si>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</si>
  <si>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</si>
  <si>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</si>
  <si>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</si>
  <si>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</si>
  <si>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</si>
  <si>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</si>
  <si>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</si>
  <si>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</si>
  <si>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</si>
  <si>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</si>
  <si>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</si>
  <si>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</si>
  <si>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</si>
  <si>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</si>
  <si>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</si>
  <si>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</si>
  <si>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</si>
  <si>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</si>
  <si>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</si>
  <si>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</si>
  <si>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</si>
  <si>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</si>
  <si>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</si>
  <si>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</si>
  <si>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</si>
  <si>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</si>
  <si>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</si>
  <si>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</si>
  <si>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</si>
  <si>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</si>
  <si>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</si>
  <si>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</si>
  <si>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</si>
  <si>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</si>
  <si>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</si>
  <si>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</si>
  <si>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</si>
  <si>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</si>
  <si>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</si>
  <si>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</si>
  <si>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</si>
  <si>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</si>
  <si>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</si>
  <si>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</si>
  <si>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</si>
  <si>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</si>
  <si>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</si>
  <si>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</si>
  <si>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</si>
  <si>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</si>
  <si>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</si>
  <si>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</si>
  <si>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</si>
  <si>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</si>
  <si>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</si>
  <si>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</si>
  <si>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</si>
  <si>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</si>
  <si>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</si>
  <si>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</si>
  <si>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</si>
  <si>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</si>
  <si>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</si>
  <si>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</si>
  <si>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</si>
  <si>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</si>
  <si>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</si>
  <si>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</si>
  <si>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</si>
  <si>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</si>
  <si>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</si>
  <si>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</si>
  <si>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</si>
  <si>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</si>
  <si>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</si>
  <si>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</si>
  <si>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</si>
  <si>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</si>
  <si>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</si>
  <si>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</si>
  <si>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</si>
  <si>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</si>
  <si>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</si>
  <si>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</si>
  <si>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</si>
  <si>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</si>
  <si>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</si>
  <si>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</si>
  <si>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</si>
  <si>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1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</si>
  <si>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</si>
  <si>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</si>
  <si>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</si>
  <si>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</si>
  <si>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</si>
  <si>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</si>
  <si>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</si>
  <si>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</si>
  <si>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</si>
  <si>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</si>
  <si>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</si>
  <si>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</si>
  <si>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</si>
  <si>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</si>
  <si>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</si>
  <si>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</si>
  <si>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</si>
  <si>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</si>
  <si>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</si>
  <si>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</si>
  <si>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</si>
  <si>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</si>
  <si>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</si>
  <si>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</si>
  <si>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</si>
  <si>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</si>
  <si>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</si>
  <si>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</si>
  <si>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</si>
  <si>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</si>
  <si>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</si>
  <si>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</si>
  <si>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</si>
  <si>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</si>
  <si>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</si>
  <si>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</si>
  <si>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</si>
  <si>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</si>
  <si>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</si>
  <si>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</si>
  <si>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old</t>
  </si>
  <si>
    <t>giza</t>
  </si>
  <si>
    <t>bug</t>
    <phoneticPr fontId="22"/>
  </si>
  <si>
    <t>1体に超大ダメージ
+HP大回復</t>
    <phoneticPr fontId="22"/>
  </si>
  <si>
    <t>1体に超大ダメージ</t>
    <phoneticPr fontId="22"/>
  </si>
  <si>
    <t>[effect:damage, target:enemy_one, color:yellow, val:2.5, animation:damage_one_yellow04]</t>
    <phoneticPr fontId="22"/>
  </si>
  <si>
    <t>effect_param</t>
    <phoneticPr fontId="9"/>
  </si>
  <si>
    <t>awekening_SP</t>
    <phoneticPr fontId="22"/>
  </si>
  <si>
    <t>[effect:force_change_block, new_block:crack_bomb, target:block_green, color:block_yellow, count:0, val:12, animation:change_block],[effect:drop_block, block_type:crash, color:block_all, val:8, rate:0.23, turn:1, animation:crash_influence04]</t>
    <phoneticPr fontId="22"/>
  </si>
  <si>
    <t>億雷皆電・パルスドライヴァー</t>
    <phoneticPr fontId="22"/>
  </si>
  <si>
    <t>極源論・マテマティクス・コア</t>
    <phoneticPr fontId="22"/>
  </si>
  <si>
    <t>雷連覇・エレクトフィニッシュ</t>
    <phoneticPr fontId="22"/>
  </si>
  <si>
    <t>すべての形状…立ち上がれ！</t>
    <phoneticPr fontId="22"/>
  </si>
  <si>
    <t>キミにわかる？</t>
    <phoneticPr fontId="22"/>
  </si>
  <si>
    <t>レッスン！！</t>
    <phoneticPr fontId="22"/>
  </si>
  <si>
    <t>まとめてやっちゃうよ！</t>
    <phoneticPr fontId="22"/>
  </si>
  <si>
    <t>真髄ってやつだね！</t>
    <phoneticPr fontId="22"/>
  </si>
  <si>
    <t>回転数MAX！</t>
    <phoneticPr fontId="22"/>
  </si>
  <si>
    <t>電力最大！</t>
    <phoneticPr fontId="22"/>
  </si>
  <si>
    <t>分解しちゃうぞー！</t>
    <phoneticPr fontId="22"/>
  </si>
  <si>
    <t>kumo</t>
  </si>
  <si>
    <t>ゲームセットの時間！</t>
    <phoneticPr fontId="22"/>
  </si>
  <si>
    <t>これで一掃しちゃうぞっ！</t>
    <phoneticPr fontId="22"/>
  </si>
  <si>
    <t>緑パネルを黄ボムパネルに変換+1ターンの間確率で先頭ユニットのCパネルをドロップ</t>
    <phoneticPr fontId="22"/>
  </si>
  <si>
    <t>[effect:heal_ratio, val:0.3, animation:heal02],[effect:damage, target:enemy_one, color:blue, val:2.0, animation:damage_one_blue04]</t>
    <phoneticPr fontId="22"/>
  </si>
  <si>
    <t>翠械のラストテーゼ</t>
    <phoneticPr fontId="22"/>
  </si>
  <si>
    <t>エニグマ・エクスティンク</t>
    <phoneticPr fontId="22"/>
  </si>
  <si>
    <t>全暗号解読完了…いきます…</t>
    <phoneticPr fontId="22"/>
  </si>
  <si>
    <t>対象を処理します…</t>
    <phoneticPr fontId="22"/>
  </si>
  <si>
    <t>実行します…</t>
  </si>
  <si>
    <t>デコード…</t>
  </si>
  <si>
    <t>実行処理完了です…</t>
  </si>
  <si>
    <t>[effect:change_panel_ratio, turn:2, block_type:yellow, val:0],[effect:change_panel_ratio, turn:2, block_type:heal, val:0],[effect:force_change_block, new_block:crack_bomb, target:block_red, color:block_heart, count:0, val:12, animation:change_block],[effect:force_change_block, new_block:crack_bomb, target:block_blue, color:block_heart, count:0, val:12, animation:change_block],[effect:enhance_unit, target:unit_all, turn:2, status:action, val:1, calc:add, animation:enhance_unit_one_action01],[effect:break_enchance_unit, target:unit_all, val:24, lowest_val:960, count :-1, status:defense, turn:2, block01:block_yellow, calc:add, animation:enhance_unit_all_defense02]</t>
    <phoneticPr fontId="22"/>
  </si>
  <si>
    <t>[effect:damage_hp, target:enemy_one, color:green, val:0.85, animation:damage_one_green04],[effect:heal_ratio, val:0.3, animation:heal02]</t>
    <phoneticPr fontId="22"/>
  </si>
  <si>
    <t>自分のHPの最大値に比例して単体に特大ダメージ
+HP大回復</t>
    <phoneticPr fontId="22"/>
  </si>
  <si>
    <t>青・赤パネルをハートボム変換+2ターンタップ数を1増やし、黄パネルを吸収して防御力UP+ハート・黄パネルが出現しない</t>
    <phoneticPr fontId="22"/>
  </si>
  <si>
    <t>skip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</si>
  <si>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</si>
  <si>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</si>
  <si>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</si>
  <si>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</si>
  <si>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</si>
  <si>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</si>
  <si>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</si>
  <si>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</si>
  <si>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</si>
  <si>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</si>
  <si>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</si>
  <si>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</si>
  <si>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</si>
  <si>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</si>
  <si>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</si>
  <si>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</si>
  <si>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</si>
  <si>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</si>
  <si>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</si>
  <si>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</si>
  <si>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</si>
  <si>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sell_ghosts</t>
    <phoneticPr fontId="22"/>
  </si>
  <si>
    <t>[effect:damage, target:enemy_one, color:red, val:2.5, animation:damage_one_red04]</t>
    <phoneticPr fontId="22"/>
  </si>
  <si>
    <t>緋猫のウェイヴファンクション</t>
    <phoneticPr fontId="22"/>
  </si>
  <si>
    <t>シアニド・ネゲントロピー</t>
    <phoneticPr fontId="22"/>
  </si>
  <si>
    <t>交差する世界…始まるよ</t>
  </si>
  <si>
    <t>君の答えはどうかな？</t>
  </si>
  <si>
    <t>どっちだろうね</t>
  </si>
  <si>
    <t>死んでるのかな？</t>
  </si>
  <si>
    <t>生きてると思う？</t>
  </si>
  <si>
    <t>緑パネルを赤パネルに変換+2ターン全ユニットのCパネル生成短縮(効果激烈)し、1ターン緑パネルの出現率大DOWN</t>
    <rPh sb="51" eb="52">
      <t>ダイ</t>
    </rPh>
    <phoneticPr fontId="22"/>
  </si>
  <si>
    <t>[effect:force_change_block, new_block:block_red, target:block_green, count:0, val:0, animation:change_block],[effect:crash_condition, target:unit_all, turn:2, val:-12, animation:crash_panel_reduce04],[effect:change_panel_ratio, turn:1, block_type:green, val:0.05, animation:block_incidence04]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</si>
</sst>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0" borderId="4" xfId="0" applyFont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0" borderId="4" xfId="0" applyFont="1" applyFill="1" applyBorder="1"/>
    <xf numFmtId="0" fontId="13" fillId="0" borderId="0" xfId="0" applyFont="1" applyAlignment="1">
      <alignment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46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1600</v>
          </cell>
          <cell r="B124" t="str">
            <v>ja</v>
          </cell>
          <cell r="C124" t="str">
            <v>攻撃力・回復力UP</v>
          </cell>
          <cell r="D124" t="str">
            <v>自身の攻撃力と回復力をUP</v>
          </cell>
        </row>
        <row r="125">
          <cell r="A125">
            <v>1700</v>
          </cell>
          <cell r="B125" t="str">
            <v>ja</v>
          </cell>
          <cell r="C125" t="str">
            <v>パネルブレイク20 回復</v>
          </cell>
          <cell r="D125" t="str">
            <v>自身が先頭の時、1ターンの間に合計20個以上パネルを破壊した場合ににHPを2000回復</v>
          </cell>
        </row>
        <row r="126">
          <cell r="A126">
            <v>119402</v>
          </cell>
          <cell r="B126" t="str">
            <v>ja</v>
          </cell>
          <cell r="C126" t="str">
            <v>ハロウィンナイトパニック！ 威力UP</v>
          </cell>
          <cell r="D126" t="str">
            <v>ハロウィンナイトパニック！内で自身の全ての攻撃の威力を究極UP</v>
          </cell>
        </row>
        <row r="127">
          <cell r="A127">
            <v>803</v>
          </cell>
          <cell r="B127" t="str">
            <v>ja</v>
          </cell>
          <cell r="C127" t="str">
            <v>パネルブレイク30 防御力UP</v>
          </cell>
          <cell r="D127" t="str">
            <v>自身が先頭の時、1ターンの間に合計30個以上パネルを破壊した場合に防御力UP</v>
          </cell>
        </row>
        <row r="128">
          <cell r="A128">
            <v>804</v>
          </cell>
          <cell r="B128" t="str">
            <v>ja</v>
          </cell>
          <cell r="C128" t="str">
            <v>パネルブレイク30 防御力大UP</v>
          </cell>
          <cell r="D128" t="str">
            <v>自身が先頭の時、1ターンの間に合計30個以上パネルを破壊した場合に防御力大UP</v>
          </cell>
        </row>
        <row r="129">
          <cell r="A129">
            <v>805</v>
          </cell>
          <cell r="B129" t="str">
            <v>ja</v>
          </cell>
          <cell r="C129" t="str">
            <v>パネルブレイク30 防御力特大UP</v>
          </cell>
          <cell r="D129" t="str">
            <v>自身が先頭の時、1ターンの間に合計30個以上パネルを破壊した場合に防御力特大UP</v>
          </cell>
        </row>
        <row r="130">
          <cell r="A130">
            <v>806</v>
          </cell>
          <cell r="B130" t="str">
            <v>ja</v>
          </cell>
          <cell r="C130" t="str">
            <v>ボムブレイク10 防御力UP</v>
          </cell>
          <cell r="D130" t="str">
            <v>自身または味方が1ターンの間に合計10個以上ボムパネルを破壊した場合に防御力UP</v>
          </cell>
        </row>
        <row r="131">
          <cell r="A131">
            <v>807</v>
          </cell>
          <cell r="B131" t="str">
            <v>ja</v>
          </cell>
          <cell r="C131" t="str">
            <v>パネル18 破壊フィーバーゲージ上昇</v>
          </cell>
          <cell r="D131" t="str">
            <v>自身が先頭の時、1ターンの間に合計18個以上パネルを破壊した場合にフィーバーゲージ上昇</v>
          </cell>
        </row>
        <row r="132">
          <cell r="A132">
            <v>808</v>
          </cell>
          <cell r="B132" t="str">
            <v>ja</v>
          </cell>
          <cell r="C132" t="str">
            <v>パネルブレイク40 防御力UP</v>
          </cell>
          <cell r="D132" t="str">
            <v>自身が先頭の時、1ターンの間に合計40個以上パネルを破壊した場合に青属性ユニットの防御力を400UP</v>
          </cell>
        </row>
        <row r="133">
          <cell r="A133">
            <v>809</v>
          </cell>
          <cell r="B133" t="str">
            <v>ja</v>
          </cell>
          <cell r="C133" t="str">
            <v>パネルブレイク40 攻撃力UP</v>
          </cell>
          <cell r="D133" t="str">
            <v>自身が先頭の時、1ターンの間に合計40個以上パネルを破壊した場合に攻撃力UP</v>
          </cell>
        </row>
        <row r="134">
          <cell r="A134">
            <v>810</v>
          </cell>
          <cell r="B134" t="str">
            <v>ja</v>
          </cell>
          <cell r="C134" t="str">
            <v>パネルブレイク40 攻撃力小UP</v>
          </cell>
          <cell r="D134" t="str">
            <v>自身が先頭の時、1ターンの間に合計40個以上パネルを破壊した場合に攻撃力小UP</v>
          </cell>
        </row>
        <row r="135">
          <cell r="A135">
            <v>811</v>
          </cell>
          <cell r="B135" t="str">
            <v>ja</v>
          </cell>
          <cell r="C135" t="str">
            <v>パネルブレイク30 攻撃力小UP</v>
          </cell>
          <cell r="D135" t="str">
            <v>自身が先頭の時、1ターンの間に合計30個以上パネルを破壊した場合に攻撃力小UP</v>
          </cell>
        </row>
        <row r="136">
          <cell r="A136">
            <v>812</v>
          </cell>
          <cell r="B136" t="str">
            <v>ja</v>
          </cell>
          <cell r="C136" t="str">
            <v>パネルブレイク40 HP小回復</v>
          </cell>
          <cell r="D136" t="str">
            <v>自身が先頭の時、1ターンの間に合計40個以上パネルを破壊した場合にターン終了時HP小回復</v>
          </cell>
        </row>
        <row r="137">
          <cell r="A137">
            <v>813</v>
          </cell>
          <cell r="B137" t="str">
            <v>ja</v>
          </cell>
          <cell r="C137" t="str">
            <v>パネルブレイク100 攻撃力UP</v>
          </cell>
          <cell r="D137" t="str">
            <v>自身が先頭の時、1ターンの間に合計100個以上パネルを破壊した場合に攻撃力2140UP</v>
          </cell>
        </row>
        <row r="138">
          <cell r="A138">
            <v>814</v>
          </cell>
          <cell r="B138" t="str">
            <v>ja</v>
          </cell>
          <cell r="C138" t="str">
            <v>パネルブレイク50 タップ回数UP</v>
          </cell>
          <cell r="D138" t="str">
            <v>自身が先頭の時、1ターンの間に合計50個以上パネルを破壊した場合にタップ回数1UP</v>
          </cell>
        </row>
        <row r="139">
          <cell r="A139">
            <v>815</v>
          </cell>
          <cell r="B139" t="str">
            <v>ja</v>
          </cell>
          <cell r="C139" t="str">
            <v>パネルブレイク50 HP回復</v>
          </cell>
          <cell r="D139" t="str">
            <v>自身が先頭の時、1ターンの間に合計50個以上パネルを破壊した場合にターン終了時HP回復</v>
          </cell>
        </row>
        <row r="140">
          <cell r="A140">
            <v>900</v>
          </cell>
          <cell r="B140" t="str">
            <v>ja</v>
          </cell>
          <cell r="C140" t="str">
            <v>チェイン12 攻撃力UP</v>
          </cell>
          <cell r="D140" t="str">
            <v>自身が先頭の時、1タップで12個以上パネルを繋げた場合に攻撃力UP</v>
          </cell>
        </row>
        <row r="141">
          <cell r="A141">
            <v>901</v>
          </cell>
          <cell r="B141" t="str">
            <v>ja</v>
          </cell>
          <cell r="C141" t="str">
            <v>チェイン12 回復力UP</v>
          </cell>
          <cell r="D141" t="str">
            <v>自身が先頭の時、1タップで12個以上パネルを繋げた場合に回復力UP</v>
          </cell>
        </row>
        <row r="142">
          <cell r="A142">
            <v>902</v>
          </cell>
          <cell r="B142" t="str">
            <v>ja</v>
          </cell>
          <cell r="C142" t="str">
            <v>チェイン12 タップ回数UP</v>
          </cell>
          <cell r="D142" t="str">
            <v>自身が先頭の時、1タップで12個以上パネルを繋げた場合にタップ回数を1回増やす</v>
          </cell>
        </row>
        <row r="143">
          <cell r="A143">
            <v>903</v>
          </cell>
          <cell r="B143" t="str">
            <v>ja</v>
          </cell>
          <cell r="C143" t="str">
            <v>チェイン18 スキルゲージUP</v>
          </cell>
          <cell r="D143" t="str">
            <v>自身が先頭の時、1タップで18個以上パネルを繋げた場合に自身のスキルゲージを1増やす(1ターンに1度だけ発動)</v>
          </cell>
        </row>
        <row r="144">
          <cell r="A144">
            <v>904</v>
          </cell>
          <cell r="B144" t="str">
            <v>ja</v>
          </cell>
          <cell r="C144" t="str">
            <v>チェイン17 回復力UP</v>
          </cell>
          <cell r="D144" t="str">
            <v>自身が先頭の時、1タップで17個以上パネルを繋げた場合に自身の回復力を2017UP</v>
          </cell>
        </row>
        <row r="145">
          <cell r="A145">
            <v>905</v>
          </cell>
          <cell r="B145" t="str">
            <v>ja</v>
          </cell>
          <cell r="C145" t="str">
            <v>チェイン12 攻撃力小UP</v>
          </cell>
          <cell r="D145" t="str">
            <v>自身が先頭の時、1タップで12個以上パネルを繋げた場合に攻撃力小UP</v>
          </cell>
        </row>
        <row r="146">
          <cell r="A146">
            <v>906</v>
          </cell>
          <cell r="B146" t="str">
            <v>ja</v>
          </cell>
          <cell r="C146" t="str">
            <v>チェイン14 回復力小UP</v>
          </cell>
          <cell r="D146" t="str">
            <v>自身が先頭の時、1タップで14個以上パネルを繋げた場合に回復力小UP</v>
          </cell>
        </row>
        <row r="147">
          <cell r="A147">
            <v>907</v>
          </cell>
          <cell r="B147" t="str">
            <v>ja</v>
          </cell>
          <cell r="C147" t="str">
            <v>チェイン14 攻撃力UP</v>
          </cell>
          <cell r="D147" t="str">
            <v>自身が先頭の時、1タップで14個以上パネルを繋げた場合に攻撃力UP</v>
          </cell>
        </row>
        <row r="148">
          <cell r="A148">
            <v>908</v>
          </cell>
          <cell r="B148" t="str">
            <v>ja</v>
          </cell>
          <cell r="C148" t="str">
            <v>チェイン16 黄属性防御力UP</v>
          </cell>
          <cell r="D148" t="str">
            <v>自身が先頭の時、1タップで16個以上パネルを繋げた場合に黄属性ユニットの防御力UP</v>
          </cell>
        </row>
        <row r="149">
          <cell r="A149">
            <v>1100</v>
          </cell>
          <cell r="B149" t="str">
            <v>ja</v>
          </cell>
          <cell r="C149" t="str">
            <v>Cパネル生成短縮</v>
          </cell>
          <cell r="D149" t="str">
            <v>自身が先頭の時、Cパネル生成に必要なチェイン数を1短縮する</v>
          </cell>
        </row>
        <row r="150">
          <cell r="A150">
            <v>1101</v>
          </cell>
          <cell r="B150" t="str">
            <v>ja</v>
          </cell>
          <cell r="C150" t="str">
            <v>Cパネル生成短縮(大)</v>
          </cell>
          <cell r="D150" t="str">
            <v>自身が先頭の時、Cパネル生成に必要なチェイン数を2短縮する</v>
          </cell>
        </row>
        <row r="151">
          <cell r="A151">
            <v>1200</v>
          </cell>
          <cell r="B151" t="str">
            <v>ja</v>
          </cell>
          <cell r="C151" t="str">
            <v>フィーバー攻撃UP</v>
          </cell>
          <cell r="D151" t="str">
            <v>自身が先頭の時、フィーバー発動時に緑属性の攻撃力と回復力UP</v>
          </cell>
        </row>
        <row r="152">
          <cell r="A152">
            <v>1300</v>
          </cell>
          <cell r="B152" t="str">
            <v>ja</v>
          </cell>
          <cell r="C152" t="str">
            <v>チェイン12 HP回復</v>
          </cell>
          <cell r="D152" t="str">
            <v>自身が先頭の時、1タップで12個以上パネルを繋げた場合にHPを2000回復(1ターンに1度だけ発動)</v>
          </cell>
        </row>
        <row r="153">
          <cell r="A153">
            <v>1400</v>
          </cell>
          <cell r="B153" t="str">
            <v>ja</v>
          </cell>
          <cell r="C153" t="str">
            <v>カウンター威力UP</v>
          </cell>
          <cell r="D153" t="str">
            <v>4ターン毎に自身のカウンタースキルの威力が1ターンの間UP</v>
          </cell>
        </row>
        <row r="154">
          <cell r="A154">
            <v>1500</v>
          </cell>
          <cell r="B154" t="str">
            <v>ja</v>
          </cell>
          <cell r="C154" t="str">
            <v>バリア15000</v>
          </cell>
          <cell r="D154" t="str">
            <v>戦闘開始時に、自身への直接ダメージを15000まで防ぐバリアを一度だけ展開(バリアは破壊されると復活しない)</v>
          </cell>
        </row>
        <row r="155">
          <cell r="A155">
            <v>1501</v>
          </cell>
          <cell r="B155" t="str">
            <v>ja</v>
          </cell>
          <cell r="C155" t="str">
            <v>バリア</v>
          </cell>
          <cell r="D155" t="str">
            <v>戦闘開始時に、ダメージを25000まで防ぐバリアを一度だけ展開</v>
          </cell>
        </row>
        <row r="156">
          <cell r="A156">
            <v>1502</v>
          </cell>
          <cell r="B156" t="str">
            <v>ja</v>
          </cell>
          <cell r="C156" t="str">
            <v>バリア</v>
          </cell>
          <cell r="D156" t="str">
            <v>戦闘開始時に、ダメージを50000まで防ぐバリアを一度だけ展開</v>
          </cell>
        </row>
        <row r="157">
          <cell r="A157">
            <v>1503</v>
          </cell>
          <cell r="B157" t="str">
            <v>ja</v>
          </cell>
          <cell r="C157" t="str">
            <v>バリア8000</v>
          </cell>
          <cell r="D157" t="str">
            <v>戦闘開始時に、自身への直接ダメージを8000まで防ぐバリアを一度だけ展開(バリアは破壊されると復活しない)</v>
          </cell>
        </row>
        <row r="158">
          <cell r="A158">
            <v>1504</v>
          </cell>
          <cell r="B158" t="str">
            <v>ja</v>
          </cell>
          <cell r="C158" t="str">
            <v>バリア10000</v>
          </cell>
          <cell r="D158" t="str">
            <v>戦闘開始時に、自身への直接ダメージを10000まで防ぐバリアを一度だけ展開(バリアは破壊されると復活しない)</v>
          </cell>
        </row>
        <row r="159">
          <cell r="A159">
            <v>1505</v>
          </cell>
          <cell r="B159" t="str">
            <v>ja</v>
          </cell>
          <cell r="C159" t="str">
            <v>バリア3939</v>
          </cell>
          <cell r="D159" t="str">
            <v>戦闘開始時に、自身への直接ダメージを3939まで防ぐバリアを一度だけ展開(バリアは破壊されると復活しない)</v>
          </cell>
        </row>
        <row r="160">
          <cell r="A160">
            <v>1600</v>
          </cell>
          <cell r="B160" t="str">
            <v>ja</v>
          </cell>
          <cell r="C160" t="str">
            <v>攻撃力・回復力UP</v>
          </cell>
          <cell r="D160" t="str">
            <v>自身の攻撃力と回復力をUP</v>
          </cell>
        </row>
        <row r="161">
          <cell r="A161">
            <v>1700</v>
          </cell>
          <cell r="B161" t="str">
            <v>ja</v>
          </cell>
          <cell r="C161" t="str">
            <v>パネルブレイク30 ターンHP小回復</v>
          </cell>
          <cell r="D161" t="str">
            <v>自身が先頭の時、1ターンの間に合計30個以上パネルを破壊した場合に1ターン HP小回復</v>
          </cell>
        </row>
        <row r="162">
          <cell r="A162">
            <v>1800</v>
          </cell>
          <cell r="B162" t="str">
            <v>ja</v>
          </cell>
          <cell r="C162" t="str">
            <v>フィーバー強化</v>
          </cell>
          <cell r="D162" t="str">
            <v>フィーバー時自身の攻撃力、回復力を特大UP</v>
          </cell>
        </row>
        <row r="163">
          <cell r="A163">
            <v>1900</v>
          </cell>
          <cell r="B163" t="str">
            <v>ja</v>
          </cell>
          <cell r="C163" t="str">
            <v>ハート出現率UP</v>
          </cell>
          <cell r="D163" t="str">
            <v>自身が先頭の時、ハートパネルの出現率UP</v>
          </cell>
        </row>
        <row r="164">
          <cell r="A164">
            <v>2000</v>
          </cell>
          <cell r="B164" t="str">
            <v>ja</v>
          </cell>
          <cell r="C164" t="str">
            <v>赤パネル出現率UP</v>
          </cell>
          <cell r="D164" t="str">
            <v>自身が先頭の時、赤パネルの出現率UP</v>
          </cell>
        </row>
        <row r="165">
          <cell r="A165">
            <v>2100</v>
          </cell>
          <cell r="B165" t="str">
            <v>ja</v>
          </cell>
          <cell r="C165" t="str">
            <v>緑パネル出現率UP</v>
          </cell>
          <cell r="D165" t="str">
            <v>自身が先頭の時、緑パネルの出現率UP</v>
          </cell>
        </row>
        <row r="166">
          <cell r="A166">
            <v>2200</v>
          </cell>
          <cell r="B166" t="str">
            <v>ja</v>
          </cell>
          <cell r="C166" t="str">
            <v>青パネル出現率UP</v>
          </cell>
          <cell r="D166" t="str">
            <v>自身が先頭の時、青パネルの出現率UP</v>
          </cell>
        </row>
        <row r="167">
          <cell r="A167">
            <v>2300</v>
          </cell>
          <cell r="B167" t="str">
            <v>ja</v>
          </cell>
          <cell r="C167" t="str">
            <v>黄パネル出現率UP</v>
          </cell>
          <cell r="D167" t="str">
            <v>自身が先頭の時、黄パネルの出現率UP</v>
          </cell>
        </row>
        <row r="168">
          <cell r="A168">
            <v>2400</v>
          </cell>
          <cell r="B168" t="str">
            <v>ja</v>
          </cell>
          <cell r="C168" t="str">
            <v>ハートボムパネルドロップ</v>
          </cell>
          <cell r="D168" t="str">
            <v>自身が先頭の時、ハートパネルを確率でハートボムパネルに変換しドロップ</v>
          </cell>
        </row>
        <row r="169">
          <cell r="A169">
            <v>2401</v>
          </cell>
          <cell r="B169" t="str">
            <v>ja</v>
          </cell>
          <cell r="C169" t="str">
            <v>赤ボムパネルドロップ</v>
          </cell>
          <cell r="D169" t="str">
            <v>自身が先頭の時、赤パネルを低確率で赤ボムパネルに変換しドロップ</v>
          </cell>
        </row>
        <row r="170">
          <cell r="A170">
            <v>2402</v>
          </cell>
          <cell r="B170" t="str">
            <v>ja</v>
          </cell>
          <cell r="C170" t="str">
            <v>緑ボムパネルドロップ</v>
          </cell>
          <cell r="D170" t="str">
            <v>自身が先頭の時、緑パネルを低確率で緑ボムパネルに変換しドロップ</v>
          </cell>
        </row>
        <row r="171">
          <cell r="A171">
            <v>2403</v>
          </cell>
          <cell r="B171" t="str">
            <v>ja</v>
          </cell>
          <cell r="C171" t="str">
            <v>青ボムパネルドロップ</v>
          </cell>
          <cell r="D171" t="str">
            <v>自身が先頭の時、青パネルを確率で青ボムパネルに変換しドロップ</v>
          </cell>
        </row>
        <row r="172">
          <cell r="A172">
            <v>2500</v>
          </cell>
          <cell r="B172" t="str">
            <v>ja</v>
          </cell>
          <cell r="C172" t="str">
            <v>青パネルドロップ</v>
          </cell>
          <cell r="D172" t="str">
            <v>自身が先頭の時、緑パネルを確率で青パネルに変換しドロップ</v>
          </cell>
        </row>
        <row r="173">
          <cell r="A173">
            <v>2501</v>
          </cell>
          <cell r="B173" t="str">
            <v>ja</v>
          </cell>
          <cell r="C173" t="str">
            <v>黄パネルドロップ</v>
          </cell>
          <cell r="D173" t="str">
            <v>自身が先頭の時、青パネルを確率で黄パネルに変換しドロップ</v>
          </cell>
        </row>
        <row r="174">
          <cell r="A174">
            <v>2502</v>
          </cell>
          <cell r="B174" t="str">
            <v>ja</v>
          </cell>
          <cell r="C174" t="str">
            <v>赤パネルドロップ</v>
          </cell>
          <cell r="D174" t="str">
            <v>自身が先頭の時、黄パネルを確率で赤パネルに変換しドロップ</v>
          </cell>
        </row>
        <row r="175">
          <cell r="A175">
            <v>2503</v>
          </cell>
          <cell r="B175" t="str">
            <v>ja</v>
          </cell>
          <cell r="C175" t="str">
            <v>黄パネルドロップ</v>
          </cell>
          <cell r="D175" t="str">
            <v>自身が先頭の時、赤パネルを確率で黄パネルに変換しドロップ</v>
          </cell>
        </row>
        <row r="176">
          <cell r="A176">
            <v>2504</v>
          </cell>
          <cell r="B176" t="str">
            <v>ja</v>
          </cell>
          <cell r="C176" t="str">
            <v>SCパネルドロップ</v>
          </cell>
          <cell r="D176" t="str">
            <v>自身が先頭の時、緑パネルを確率でSCパネルに変換しドロップ</v>
          </cell>
        </row>
        <row r="177">
          <cell r="A177">
            <v>2505</v>
          </cell>
          <cell r="B177" t="str">
            <v>ja</v>
          </cell>
          <cell r="C177" t="str">
            <v>緑ボムパネル(大)ドロップ</v>
          </cell>
          <cell r="D177" t="str">
            <v>自身が先頭の時、低確率で緑ボムパネル(大)をドロップ</v>
          </cell>
        </row>
        <row r="178">
          <cell r="A178">
            <v>2506</v>
          </cell>
          <cell r="B178" t="str">
            <v>ja</v>
          </cell>
          <cell r="C178" t="str">
            <v>ハートボムパネル(大)ドロップ</v>
          </cell>
          <cell r="D178" t="str">
            <v>自身が先頭の時、低確率でハートボムパネル(大)をドロップ</v>
          </cell>
        </row>
        <row r="179">
          <cell r="A179">
            <v>2507</v>
          </cell>
          <cell r="B179" t="str">
            <v>ja</v>
          </cell>
          <cell r="C179" t="str">
            <v>Cパネルドロップ</v>
          </cell>
          <cell r="D179" t="str">
            <v>自身が先頭の時、低確率でCパネルをドロップ</v>
          </cell>
        </row>
        <row r="180">
          <cell r="A180">
            <v>2600</v>
          </cell>
          <cell r="B180" t="str">
            <v>ja</v>
          </cell>
          <cell r="C180" t="str">
            <v>回復力400UP</v>
          </cell>
          <cell r="D180" t="str">
            <v>自身の回復力を400UP</v>
          </cell>
        </row>
        <row r="181">
          <cell r="A181">
            <v>2601</v>
          </cell>
          <cell r="B181" t="str">
            <v>ja</v>
          </cell>
          <cell r="C181" t="str">
            <v>回復力300UP</v>
          </cell>
          <cell r="D181" t="str">
            <v>自身の回復力を300UP</v>
          </cell>
        </row>
        <row r="182">
          <cell r="A182">
            <v>2700</v>
          </cell>
          <cell r="B182" t="str">
            <v>ja</v>
          </cell>
          <cell r="C182" t="str">
            <v>攻撃力UP</v>
          </cell>
          <cell r="D182" t="str">
            <v>自身の攻撃力を300UP</v>
          </cell>
        </row>
        <row r="183">
          <cell r="A183">
            <v>2701</v>
          </cell>
          <cell r="B183" t="str">
            <v>ja</v>
          </cell>
          <cell r="C183" t="str">
            <v>攻撃力UP</v>
          </cell>
          <cell r="D183" t="str">
            <v>自身の攻撃力を500UP</v>
          </cell>
        </row>
        <row r="184">
          <cell r="A184">
            <v>2800</v>
          </cell>
          <cell r="B184" t="str">
            <v>ja</v>
          </cell>
          <cell r="C184" t="str">
            <v>防御力UP</v>
          </cell>
          <cell r="D184" t="str">
            <v>自身の防御力を250UP</v>
          </cell>
        </row>
        <row r="185">
          <cell r="A185">
            <v>2801</v>
          </cell>
          <cell r="B185" t="str">
            <v>ja</v>
          </cell>
          <cell r="C185" t="str">
            <v>防御力UP</v>
          </cell>
          <cell r="D185" t="str">
            <v>自身の防御力を350UP</v>
          </cell>
        </row>
        <row r="186">
          <cell r="A186">
            <v>2802</v>
          </cell>
          <cell r="B186" t="str">
            <v>ja</v>
          </cell>
          <cell r="C186" t="str">
            <v>防御力UP</v>
          </cell>
          <cell r="D186" t="str">
            <v>自身の防御力を300UP</v>
          </cell>
        </row>
        <row r="187">
          <cell r="A187">
            <v>2803</v>
          </cell>
          <cell r="B187" t="str">
            <v>ja</v>
          </cell>
          <cell r="C187" t="str">
            <v>防御力UP</v>
          </cell>
          <cell r="D187" t="str">
            <v>自身の防御力を400UP</v>
          </cell>
        </row>
        <row r="188">
          <cell r="A188">
            <v>2900</v>
          </cell>
          <cell r="B188" t="str">
            <v>ja</v>
          </cell>
          <cell r="C188" t="str">
            <v>フィーバー50 攻撃力小UP</v>
          </cell>
          <cell r="D188" t="str">
            <v>フィーバーゲージが50％以上の時、自身の攻撃力小UP</v>
          </cell>
        </row>
        <row r="189">
          <cell r="A189">
            <v>2901</v>
          </cell>
          <cell r="B189" t="str">
            <v>ja</v>
          </cell>
          <cell r="C189" t="str">
            <v>フィーバー40 攻撃力UP</v>
          </cell>
          <cell r="D189" t="str">
            <v>フィーバーゲージが40％以上の時、自身の攻撃力UP</v>
          </cell>
        </row>
        <row r="190">
          <cell r="A190">
            <v>9000</v>
          </cell>
          <cell r="B190" t="str">
            <v>ja</v>
          </cell>
          <cell r="C190" t="str">
            <v>ハップルチャレンジ ダメージUP</v>
          </cell>
          <cell r="D190" t="str">
            <v>ハップルチャレンジ内で自身の全ての攻撃の威力をUP</v>
          </cell>
        </row>
        <row r="191">
          <cell r="A191">
            <v>119402</v>
          </cell>
          <cell r="B191" t="str">
            <v>ja</v>
          </cell>
          <cell r="C191" t="str">
            <v>ハロウィンナイトパニック！ 威力UP</v>
          </cell>
          <cell r="D191" t="str">
            <v>ハロウィンナイトパニック！内で自身の全ての攻撃の威力を究極UP</v>
          </cell>
        </row>
        <row r="192">
          <cell r="A192">
            <v>808082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2000</v>
          </cell>
          <cell r="B193" t="str">
            <v>ja</v>
          </cell>
          <cell r="C193" t="str">
            <v>赤パネル出現率UP</v>
          </cell>
          <cell r="D193" t="str">
            <v>自身が先頭の時、赤パネルの出現率UP</v>
          </cell>
        </row>
        <row r="194">
          <cell r="A194">
            <v>2100</v>
          </cell>
          <cell r="B194" t="str">
            <v>ja</v>
          </cell>
          <cell r="C194" t="str">
            <v>緑パネル出現率UP</v>
          </cell>
          <cell r="D194" t="str">
            <v>自身が先頭の時、緑パネルの出現率UP</v>
          </cell>
        </row>
        <row r="195">
          <cell r="A195">
            <v>2101</v>
          </cell>
          <cell r="B195" t="str">
            <v>ja</v>
          </cell>
          <cell r="C195" t="str">
            <v>緑パネル出現率UP</v>
          </cell>
          <cell r="D195" t="str">
            <v>自身が先頭の時、緑パネルの出現率UP</v>
          </cell>
        </row>
        <row r="196">
          <cell r="A196">
            <v>2200</v>
          </cell>
          <cell r="B196" t="str">
            <v>ja</v>
          </cell>
          <cell r="C196" t="str">
            <v>青パネル出現率UP</v>
          </cell>
          <cell r="D196" t="str">
            <v>自身が先頭の時、青パネルの出現率UP</v>
          </cell>
        </row>
        <row r="197">
          <cell r="A197">
            <v>2201</v>
          </cell>
          <cell r="B197" t="str">
            <v>ja</v>
          </cell>
          <cell r="C197" t="str">
            <v>青パネル出現率UP</v>
          </cell>
          <cell r="D197" t="str">
            <v>自身が先頭の時、青パネルの出現率UP</v>
          </cell>
        </row>
        <row r="198">
          <cell r="A198">
            <v>2300</v>
          </cell>
          <cell r="B198" t="str">
            <v>ja</v>
          </cell>
          <cell r="C198" t="str">
            <v>黄パネル出現率UP</v>
          </cell>
          <cell r="D198" t="str">
            <v>自身が先頭の時、黄パネルの出現率UP</v>
          </cell>
        </row>
        <row r="199">
          <cell r="A199">
            <v>2400</v>
          </cell>
          <cell r="B199" t="str">
            <v>ja</v>
          </cell>
          <cell r="C199" t="str">
            <v>ハートボムパネルドロップ</v>
          </cell>
          <cell r="D199" t="str">
            <v>自身が先頭の時、ハートパネルを確率でハートボムパネルに変換しドロップ</v>
          </cell>
        </row>
        <row r="200">
          <cell r="A200">
            <v>2401</v>
          </cell>
          <cell r="B200" t="str">
            <v>ja</v>
          </cell>
          <cell r="C200" t="str">
            <v>赤ボムパネルドロップ</v>
          </cell>
          <cell r="D200" t="str">
            <v>自身が先頭の時、赤パネルを低確率で赤ボムパネルに変換しドロップ</v>
          </cell>
        </row>
        <row r="201">
          <cell r="A201">
            <v>2402</v>
          </cell>
          <cell r="B201" t="str">
            <v>ja</v>
          </cell>
          <cell r="C201" t="str">
            <v>緑ボムパネルドロップ</v>
          </cell>
          <cell r="D201" t="str">
            <v>自身が先頭の時、緑パネルを低確率で緑ボムパネルに変換しドロップ</v>
          </cell>
        </row>
        <row r="202">
          <cell r="A202">
            <v>2403</v>
          </cell>
          <cell r="B202" t="str">
            <v>ja</v>
          </cell>
          <cell r="C202" t="str">
            <v>青ボムパネルドロップ</v>
          </cell>
          <cell r="D202" t="str">
            <v>自身が先頭の時、青パネルを確率で青ボムパネルに変換しドロップ</v>
          </cell>
        </row>
        <row r="203">
          <cell r="A203">
            <v>2500</v>
          </cell>
          <cell r="B203" t="str">
            <v>ja</v>
          </cell>
          <cell r="C203" t="str">
            <v>青パネルドロップ</v>
          </cell>
          <cell r="D203" t="str">
            <v>自身が先頭の時、緑パネルを確率で青パネルに変換しドロップ</v>
          </cell>
        </row>
        <row r="204">
          <cell r="A204">
            <v>2501</v>
          </cell>
          <cell r="B204" t="str">
            <v>ja</v>
          </cell>
          <cell r="C204" t="str">
            <v>黄パネルドロップ</v>
          </cell>
          <cell r="D204" t="str">
            <v>自身が先頭の時、青パネルを確率で黄パネルに変換しドロップ</v>
          </cell>
        </row>
        <row r="205">
          <cell r="A205">
            <v>2502</v>
          </cell>
          <cell r="B205" t="str">
            <v>ja</v>
          </cell>
          <cell r="C205" t="str">
            <v>赤パネルドロップ</v>
          </cell>
          <cell r="D205" t="str">
            <v>自身が先頭の時、黄パネルを確率で赤パネルに変換しドロップ</v>
          </cell>
        </row>
        <row r="206">
          <cell r="A206">
            <v>2503</v>
          </cell>
          <cell r="B206" t="str">
            <v>ja</v>
          </cell>
          <cell r="C206" t="str">
            <v>黄パネルドロップ</v>
          </cell>
          <cell r="D206" t="str">
            <v>自身が先頭の時、赤パネルを確率で黄パネルに変換しドロップ</v>
          </cell>
        </row>
        <row r="207">
          <cell r="A207">
            <v>2504</v>
          </cell>
          <cell r="B207" t="str">
            <v>ja</v>
          </cell>
          <cell r="C207" t="str">
            <v>SCパネルドロップ</v>
          </cell>
          <cell r="D207" t="str">
            <v>自身が先頭の時、緑パネルを確率でSCパネルに変換しドロップ</v>
          </cell>
        </row>
        <row r="208">
          <cell r="A208">
            <v>2505</v>
          </cell>
          <cell r="B208" t="str">
            <v>ja</v>
          </cell>
          <cell r="C208" t="str">
            <v>緑ボムパネル(大)ドロップ</v>
          </cell>
          <cell r="D208" t="str">
            <v>自身が先頭の時、低確率で緑ボムパネル(大)をドロップ</v>
          </cell>
        </row>
        <row r="209">
          <cell r="A209">
            <v>2506</v>
          </cell>
          <cell r="B209" t="str">
            <v>ja</v>
          </cell>
          <cell r="C209" t="str">
            <v>ハートボムパネル(大)ドロップ</v>
          </cell>
          <cell r="D209" t="str">
            <v>自身が先頭の時、低確率でハートボムパネル(大)をドロップ</v>
          </cell>
        </row>
        <row r="210">
          <cell r="A210">
            <v>2507</v>
          </cell>
          <cell r="B210" t="str">
            <v>ja</v>
          </cell>
          <cell r="C210" t="str">
            <v>Cパネルドロップ</v>
          </cell>
          <cell r="D210" t="str">
            <v>自身が先頭の時、低確率でCパネルをドロップ</v>
          </cell>
        </row>
        <row r="211">
          <cell r="A211">
            <v>2508</v>
          </cell>
          <cell r="B211" t="str">
            <v>ja</v>
          </cell>
          <cell r="C211" t="str">
            <v>黄パネルドロップ</v>
          </cell>
          <cell r="D211" t="str">
            <v>自身が先頭の時、緑パネルを確率で黄パネルに変換しドロップ</v>
          </cell>
        </row>
        <row r="212">
          <cell r="A212">
            <v>2509</v>
          </cell>
          <cell r="B212" t="str">
            <v>ja</v>
          </cell>
          <cell r="C212" t="str">
            <v>赤ボムパネル(大)ドロップ</v>
          </cell>
          <cell r="D212" t="str">
            <v>自身が先頭の時、低確率で赤ボムパネル(大)をドロップ</v>
          </cell>
        </row>
        <row r="213">
          <cell r="A213">
            <v>2510</v>
          </cell>
          <cell r="B213" t="str">
            <v>ja</v>
          </cell>
          <cell r="C213" t="str">
            <v>青ボムパネル(大)ドロップ</v>
          </cell>
          <cell r="D213" t="str">
            <v>自身が先頭の時、低確率で青ボムパネル(大)をドロップ</v>
          </cell>
        </row>
        <row r="214">
          <cell r="A214">
            <v>2511</v>
          </cell>
          <cell r="B214" t="str">
            <v>ja</v>
          </cell>
          <cell r="C214" t="str">
            <v>緑ボムパネルドロップ</v>
          </cell>
          <cell r="D214" t="str">
            <v>自身が先頭の時、ハートパネルを確率で緑ボムパネルに変換しドロップ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  <row r="260">
          <cell r="A260">
            <v>500801</v>
          </cell>
          <cell r="B260" t="str">
            <v>ja</v>
          </cell>
          <cell r="C260" t="str">
            <v>パネルブレイク35 攻撃力小UP</v>
          </cell>
          <cell r="D260" t="str">
            <v>自身が先頭の時、1ターンの間に合計35個以上パネルを破壊した場合に攻撃力小UP</v>
          </cell>
        </row>
        <row r="261">
          <cell r="A261">
            <v>808082</v>
          </cell>
          <cell r="B261" t="str">
            <v>ja</v>
          </cell>
          <cell r="C261" t="str">
            <v>Cパネルドロップ</v>
          </cell>
          <cell r="D261" t="str">
            <v>自身が先頭の時、低確率でCパネルをドロップ</v>
          </cell>
        </row>
        <row r="262">
          <cell r="A262">
            <v>900000</v>
          </cell>
          <cell r="B262" t="str">
            <v>ja</v>
          </cell>
          <cell r="C262" t="str">
            <v>フィーバー100 プロテクトブレイク</v>
          </cell>
          <cell r="D262" t="str">
            <v>フィーバーゲージが100％以上の時、1ターンプロテクトブレイク</v>
          </cell>
        </row>
        <row r="263">
          <cell r="A263">
            <v>900001</v>
          </cell>
          <cell r="B263" t="str">
            <v>ja</v>
          </cell>
          <cell r="C263" t="str">
            <v>フィーバー100 お邪魔ブレイク</v>
          </cell>
          <cell r="D263" t="str">
            <v>フィーバーゲージが100％以上の時、1ターンお邪魔ブレイク</v>
          </cell>
        </row>
        <row r="264">
          <cell r="A264">
            <v>900402</v>
          </cell>
          <cell r="B264" t="str">
            <v>ja</v>
          </cell>
          <cell r="C264" t="str">
            <v>バリア3500</v>
          </cell>
          <cell r="D264" t="str">
            <v>戦闘開始時に、自身への直接ダメージを3500まで防ぐバリアを一度だけ展開(バリアは破壊されると復活しない)</v>
          </cell>
        </row>
        <row r="265">
          <cell r="A265">
            <v>810202</v>
          </cell>
          <cell r="B265" t="str">
            <v>ja</v>
          </cell>
          <cell r="C265" t="str">
            <v>パネルブレイク50 ダメージ軽減</v>
          </cell>
          <cell r="D265" t="str">
            <v>自身が先頭の時、1ターンの間に合計50個以上パネルを破壊した場合敵からのダメージを15%軽減（1ターンに1度だけ発動）</v>
          </cell>
        </row>
        <row r="266">
          <cell r="A266">
            <v>8004</v>
          </cell>
          <cell r="B266" t="str">
            <v>ja</v>
          </cell>
          <cell r="C266" t="str">
            <v>フロアスタート時 スキルブースト</v>
          </cell>
          <cell r="D266" t="str">
            <v>フロアスタート時、1ターンスキルブースト</v>
          </cell>
        </row>
        <row r="267">
          <cell r="A267">
            <v>8005</v>
          </cell>
          <cell r="B267" t="str">
            <v>ja</v>
          </cell>
          <cell r="C267" t="str">
            <v>ハートがハートボム大</v>
          </cell>
          <cell r="D267" t="str">
            <v>ハートがハートボム大</v>
          </cell>
        </row>
        <row r="268">
          <cell r="A268">
            <v>8006</v>
          </cell>
          <cell r="B268" t="str">
            <v>ja</v>
          </cell>
          <cell r="C268" t="str">
            <v>攻撃、回復、体力のCP短縮1</v>
          </cell>
          <cell r="D268" t="str">
            <v>攻撃、回復、体力のCP短縮1</v>
          </cell>
        </row>
        <row r="269">
          <cell r="A269">
            <v>8007</v>
          </cell>
          <cell r="B269" t="str">
            <v>ja</v>
          </cell>
          <cell r="C269" t="str">
            <v>自身の左ユニットが攻撃参加</v>
          </cell>
          <cell r="D269" t="str">
            <v>自身の左ユニットが攻撃参加</v>
          </cell>
        </row>
        <row r="270">
          <cell r="A270">
            <v>9000</v>
          </cell>
          <cell r="B270" t="str">
            <v>ja</v>
          </cell>
          <cell r="C270" t="str">
            <v>ハップルチャレンジ ダメージUP</v>
          </cell>
          <cell r="D270" t="str">
            <v>ハップルチャレンジ内で自身の全ての攻撃の威力をUP</v>
          </cell>
        </row>
        <row r="271">
          <cell r="A271">
            <v>9001</v>
          </cell>
          <cell r="B271" t="str">
            <v>ja</v>
          </cell>
          <cell r="C271" t="str">
            <v>クロネッカーチャレンジ ダメージUP</v>
          </cell>
          <cell r="D271" t="str">
            <v>クロネッカーチャレンジ内で自身の全ての攻撃の威力をUP</v>
          </cell>
        </row>
        <row r="272">
          <cell r="A272">
            <v>9002</v>
          </cell>
          <cell r="B272" t="str">
            <v>ja</v>
          </cell>
          <cell r="C272" t="str">
            <v>クロネッカーチャレンジ ダメージUP</v>
          </cell>
          <cell r="D272" t="str">
            <v>クロネッカーチャレンジ内で自身の全ての攻撃+カウンターの威力をUP</v>
          </cell>
        </row>
        <row r="273">
          <cell r="A273">
            <v>9003</v>
          </cell>
          <cell r="B273" t="str">
            <v>ja</v>
          </cell>
          <cell r="C273" t="str">
            <v>オイラーチャレンジ ダメージUP</v>
          </cell>
          <cell r="D273" t="str">
            <v>オイラーチャレンジ内で自身の全ての攻撃の威力をUP</v>
          </cell>
        </row>
        <row r="274">
          <cell r="A274">
            <v>9004</v>
          </cell>
          <cell r="B274" t="str">
            <v>ja</v>
          </cell>
          <cell r="C274" t="str">
            <v>オイラーチャレンジ ダメージ究極UP</v>
          </cell>
          <cell r="D274" t="str">
            <v>オイラーチャレンジ内で自身の全ての攻撃の威力を究極UP</v>
          </cell>
        </row>
        <row r="275">
          <cell r="A275">
            <v>9005</v>
          </cell>
          <cell r="B275" t="str">
            <v>ja</v>
          </cell>
          <cell r="C275" t="str">
            <v>ヘンペルチャレンジ ダメージUP</v>
          </cell>
          <cell r="D275" t="str">
            <v>ヘンペルチャレンジ内で自身の全ての攻撃の威力をUP</v>
          </cell>
        </row>
        <row r="276">
          <cell r="A276">
            <v>9006</v>
          </cell>
          <cell r="B276" t="str">
            <v>ja</v>
          </cell>
          <cell r="C276" t="str">
            <v>ヘンペルチャレンジ ダメージUP</v>
          </cell>
          <cell r="D276" t="str">
            <v>ヘンペルチャレンジ内で自身の全ての攻撃+カウンターの威力をUP</v>
          </cell>
        </row>
        <row r="277">
          <cell r="A277">
            <v>9007</v>
          </cell>
          <cell r="B277" t="str">
            <v>ja</v>
          </cell>
          <cell r="C277" t="str">
            <v>フロイトチャレンジ ダメージ究極UP</v>
          </cell>
          <cell r="D277" t="str">
            <v>フロイトチャレンジ内で自身の全ての攻撃の威力を究極UP</v>
          </cell>
        </row>
        <row r="278">
          <cell r="A278">
            <v>9008</v>
          </cell>
          <cell r="B278" t="str">
            <v>ja</v>
          </cell>
          <cell r="C278" t="str">
            <v>フロイトチャレンジ ダメージUP</v>
          </cell>
          <cell r="D278" t="str">
            <v>フロイトチャレンジ内で自身の全ての攻撃の威力をUP</v>
          </cell>
        </row>
        <row r="279">
          <cell r="A279">
            <v>9009</v>
          </cell>
          <cell r="B279" t="str">
            <v>ja</v>
          </cell>
          <cell r="C279" t="str">
            <v>フロイトチャレンジ ダメージUP</v>
          </cell>
          <cell r="D279" t="str">
            <v>フロイトチャレンジ内で自身の全ての攻撃+カウンターの威力をUP</v>
          </cell>
        </row>
        <row r="280">
          <cell r="A280">
            <v>119402</v>
          </cell>
          <cell r="B280" t="str">
            <v>ja</v>
          </cell>
          <cell r="C280" t="str">
            <v>ハロウィンナイトパニック！ 威力UP</v>
          </cell>
          <cell r="D280" t="str">
            <v>ハロウィンナイトパニック！内で自身の全ての攻撃の威力を究極UP</v>
          </cell>
        </row>
        <row r="281">
          <cell r="A281">
            <v>500801</v>
          </cell>
          <cell r="B281" t="str">
            <v>ja</v>
          </cell>
          <cell r="C281" t="str">
            <v>パネルブレイク35 攻撃力小UP</v>
          </cell>
          <cell r="D281" t="str">
            <v>自身が先頭の時、1ターンの間に合計35個以上パネルを破壊した場合に攻撃力小UP</v>
          </cell>
        </row>
        <row r="282">
          <cell r="A282">
            <v>808082</v>
          </cell>
          <cell r="B282" t="str">
            <v>ja</v>
          </cell>
          <cell r="C282" t="str">
            <v>Cパネルドロップ</v>
          </cell>
          <cell r="D282" t="str">
            <v>自身が先頭の時、低確率でCパネルをドロップ</v>
          </cell>
        </row>
        <row r="283">
          <cell r="A283">
            <v>900000</v>
          </cell>
          <cell r="B283" t="str">
            <v>ja</v>
          </cell>
          <cell r="C283" t="str">
            <v>フィーバー100 プロテクトブレイク</v>
          </cell>
          <cell r="D283" t="str">
            <v>フィーバーゲージが100％以上の時、1ターンプロテクトブレイク</v>
          </cell>
        </row>
        <row r="284">
          <cell r="A284">
            <v>900001</v>
          </cell>
          <cell r="B284" t="str">
            <v>ja</v>
          </cell>
          <cell r="C284" t="str">
            <v>フィーバー100 お邪魔ブレイク</v>
          </cell>
          <cell r="D284" t="str">
            <v>フィーバーゲージが100％以上の時、1ターンお邪魔ブレイク</v>
          </cell>
        </row>
        <row r="285">
          <cell r="A285">
            <v>900402</v>
          </cell>
          <cell r="B285" t="str">
            <v>ja</v>
          </cell>
          <cell r="C285" t="str">
            <v>バリア3500</v>
          </cell>
          <cell r="D285" t="str">
            <v>戦闘開始時に、自身への直接ダメージを3500まで防ぐバリアを一度だけ展開(バリアは破壊されると復活しない)</v>
          </cell>
        </row>
        <row r="286">
          <cell r="A286">
            <v>810202</v>
          </cell>
          <cell r="B286" t="str">
            <v>ja</v>
          </cell>
          <cell r="C286" t="str">
            <v>パネルブレイク50 ダメージ軽減</v>
          </cell>
          <cell r="D286" t="str">
            <v>自身が先頭の時、1ターンの間に合計50個以上パネルを破壊した場合敵からのダメージを15%軽減（1ターンに1度だけ発動）</v>
          </cell>
        </row>
        <row r="287">
          <cell r="A287">
            <v>811802</v>
          </cell>
          <cell r="B287" t="str">
            <v>ja</v>
          </cell>
          <cell r="C287" t="str">
            <v>ターン攻撃力UP</v>
          </cell>
          <cell r="D287" t="str">
            <v>最初の1ターン目と、その後6ターン毎に1ターン種族ドラゴン・ファンタジー・アニマルの攻撃力1000UP</v>
          </cell>
        </row>
        <row r="288">
          <cell r="A288">
            <v>812002</v>
          </cell>
          <cell r="B288" t="str">
            <v>ja</v>
          </cell>
          <cell r="C288" t="str">
            <v>ターンタップ増加</v>
          </cell>
          <cell r="D288" t="str">
            <v>最初の1ターン目と、その後6ターン毎に1ターン種族ドラゴン・ファンタジー・アニマルのタップ数1増加</v>
          </cell>
        </row>
        <row r="289">
          <cell r="A289">
            <v>811803</v>
          </cell>
          <cell r="B289" t="str">
            <v>ja</v>
          </cell>
          <cell r="C289" t="str">
            <v>端午クエスト ダメージUP</v>
          </cell>
          <cell r="D289" t="str">
            <v>端午クエスト内で自身の全ての攻撃の威力をUP</v>
          </cell>
        </row>
        <row r="290">
          <cell r="A290">
            <v>900802</v>
          </cell>
          <cell r="B290" t="str">
            <v>ja</v>
          </cell>
          <cell r="C290" t="str">
            <v>ターン攻撃力UP</v>
          </cell>
          <cell r="D290" t="str">
            <v>最初の1ターン目と、その後7ターン毎に1ターン赤属性の攻撃力777UP</v>
          </cell>
        </row>
        <row r="291">
          <cell r="A291">
            <v>9000</v>
          </cell>
          <cell r="B291" t="str">
            <v>ja</v>
          </cell>
          <cell r="C291" t="str">
            <v>ハップルチャレンジ ダメージUP</v>
          </cell>
          <cell r="D291" t="str">
            <v>ハップルチャレンジ内で自身の全ての攻撃の威力をUP</v>
          </cell>
        </row>
        <row r="292">
          <cell r="A292">
            <v>9001</v>
          </cell>
          <cell r="B292" t="str">
            <v>ja</v>
          </cell>
          <cell r="C292" t="str">
            <v>クロネッカーチャレンジ ダメージUP</v>
          </cell>
          <cell r="D292" t="str">
            <v>クロネッカーチャレンジ内で自身の全ての攻撃の威力をUP</v>
          </cell>
        </row>
        <row r="293">
          <cell r="A293">
            <v>9002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クロネッカーチャレンジ内で自身の全ての攻撃+カウンターの威力をUP</v>
          </cell>
        </row>
        <row r="294">
          <cell r="A294">
            <v>9003</v>
          </cell>
          <cell r="B294" t="str">
            <v>ja</v>
          </cell>
          <cell r="C294" t="str">
            <v>オイラーチャレンジ ダメージUP</v>
          </cell>
          <cell r="D294" t="str">
            <v>オイラーチャレンジ内で自身の全ての攻撃の威力をUP</v>
          </cell>
        </row>
        <row r="295">
          <cell r="A295">
            <v>9004</v>
          </cell>
          <cell r="B295" t="str">
            <v>ja</v>
          </cell>
          <cell r="C295" t="str">
            <v>オイラーチャレンジ ダメージ究極UP</v>
          </cell>
          <cell r="D295" t="str">
            <v>オイラーチャレンジ内で自身の全ての攻撃の威力を究極UP</v>
          </cell>
        </row>
        <row r="296">
          <cell r="A296">
            <v>9005</v>
          </cell>
          <cell r="B296" t="str">
            <v>ja</v>
          </cell>
          <cell r="C296" t="str">
            <v>ヘンペルチャレンジ ダメージUP</v>
          </cell>
          <cell r="D296" t="str">
            <v>ヘンペルチャレンジ内で自身の全ての攻撃の威力をUP</v>
          </cell>
        </row>
        <row r="297">
          <cell r="A297">
            <v>9006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ヘンペルチャレンジ内で自身の全ての攻撃+カウンターの威力をUP</v>
          </cell>
        </row>
        <row r="298">
          <cell r="A298">
            <v>9007</v>
          </cell>
          <cell r="B298" t="str">
            <v>ja</v>
          </cell>
          <cell r="C298" t="str">
            <v>フロイトチャレンジ ダメージ究極UP</v>
          </cell>
          <cell r="D298" t="str">
            <v>フロイトチャレンジ内で自身の全ての攻撃の威力を究極UP</v>
          </cell>
        </row>
        <row r="299">
          <cell r="A299">
            <v>9008</v>
          </cell>
          <cell r="B299" t="str">
            <v>ja</v>
          </cell>
          <cell r="C299" t="str">
            <v>フロイトチャレンジ ダメージUP</v>
          </cell>
          <cell r="D299" t="str">
            <v>フロイトチャレンジ内で自身の全ての攻撃の威力をUP</v>
          </cell>
        </row>
        <row r="300">
          <cell r="A300">
            <v>9009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フロイトチャレンジ内で自身の全ての攻撃+カウンターの威力をUP</v>
          </cell>
        </row>
        <row r="301">
          <cell r="A301">
            <v>9010</v>
          </cell>
          <cell r="B301" t="str">
            <v>ja</v>
          </cell>
          <cell r="C301" t="str">
            <v>ウエディングクエスト ダメージUP</v>
          </cell>
          <cell r="D301" t="str">
            <v>ウエディングクエスト内で自身の全ての攻撃の威力をUP</v>
          </cell>
        </row>
        <row r="302">
          <cell r="A302">
            <v>119402</v>
          </cell>
          <cell r="B302" t="str">
            <v>ja</v>
          </cell>
          <cell r="C302" t="str">
            <v>ハロウィンナイトパニック！ 威力UP</v>
          </cell>
          <cell r="D302" t="str">
            <v>ハロウィンナイトパニック！内で自身の全ての攻撃の威力を究極UP</v>
          </cell>
        </row>
        <row r="303">
          <cell r="A303">
            <v>500801</v>
          </cell>
          <cell r="B303" t="str">
            <v>ja</v>
          </cell>
          <cell r="C303" t="str">
            <v>パネルブレイク35 攻撃力小UP</v>
          </cell>
          <cell r="D303" t="str">
            <v>自身が先頭の時、1ターンの間に合計35個以上パネルを破壊した場合に攻撃力小UP</v>
          </cell>
        </row>
        <row r="304">
          <cell r="A304">
            <v>808082</v>
          </cell>
          <cell r="B304" t="str">
            <v>ja</v>
          </cell>
          <cell r="C304" t="str">
            <v>Cパネルドロップ</v>
          </cell>
          <cell r="D304" t="str">
            <v>自身が先頭の時、低確率でCパネルをドロップ</v>
          </cell>
        </row>
        <row r="305">
          <cell r="A305">
            <v>900000</v>
          </cell>
          <cell r="B305" t="str">
            <v>ja</v>
          </cell>
          <cell r="C305" t="str">
            <v>フィーバー100 プロテクトブレイク</v>
          </cell>
          <cell r="D305" t="str">
            <v>フィーバーゲージが100％以上の時、1ターンプロテクトブレイク</v>
          </cell>
        </row>
        <row r="306">
          <cell r="A306">
            <v>900001</v>
          </cell>
          <cell r="B306" t="str">
            <v>ja</v>
          </cell>
          <cell r="C306" t="str">
            <v>フィーバー100 お邪魔ブレイク</v>
          </cell>
          <cell r="D306" t="str">
            <v>フィーバーゲージが100％以上の時、1ターンお邪魔ブレイク</v>
          </cell>
        </row>
        <row r="307">
          <cell r="A307">
            <v>900402</v>
          </cell>
          <cell r="B307" t="str">
            <v>ja</v>
          </cell>
          <cell r="C307" t="str">
            <v>バリア3500</v>
          </cell>
          <cell r="D307" t="str">
            <v>戦闘開始時に、自身への直接ダメージを3500まで防ぐバリアを一度だけ展開(バリアは破壊されると復活しない)</v>
          </cell>
        </row>
        <row r="308">
          <cell r="A308">
            <v>810202</v>
          </cell>
          <cell r="B308" t="str">
            <v>ja</v>
          </cell>
          <cell r="C308" t="str">
            <v>パネルブレイク50 ダメージ軽減</v>
          </cell>
          <cell r="D308" t="str">
            <v>自身が先頭の時、1ターンの間に合計50個以上パネルを破壊した場合敵からのダメージを15%軽減（1ターンに1度だけ発動）</v>
          </cell>
        </row>
        <row r="309">
          <cell r="A309">
            <v>811802</v>
          </cell>
          <cell r="B309" t="str">
            <v>ja</v>
          </cell>
          <cell r="C309" t="str">
            <v>ターン攻撃力UP</v>
          </cell>
          <cell r="D309" t="str">
            <v>最初の1ターン目と、その後6ターン毎に1ターン種族ドラゴン・ファンタジー・アニマルの攻撃力1000UP</v>
          </cell>
        </row>
        <row r="310">
          <cell r="A310">
            <v>812002</v>
          </cell>
          <cell r="B310" t="str">
            <v>ja</v>
          </cell>
          <cell r="C310" t="str">
            <v>ターンタップ増加</v>
          </cell>
          <cell r="D310" t="str">
            <v>最初の1ターン目と、その後6ターン毎に1ターン種族ドラゴン・ファンタジー・アニマルのタップ数1増加</v>
          </cell>
        </row>
        <row r="311">
          <cell r="A311">
            <v>811803</v>
          </cell>
          <cell r="B311" t="str">
            <v>ja</v>
          </cell>
          <cell r="C311" t="str">
            <v>端午クエスト ダメージUP</v>
          </cell>
          <cell r="D311" t="str">
            <v>端午クエスト内で自身の全ての攻撃の威力をUP</v>
          </cell>
        </row>
        <row r="312">
          <cell r="A312">
            <v>900802</v>
          </cell>
          <cell r="B312" t="str">
            <v>ja</v>
          </cell>
          <cell r="C312" t="str">
            <v>ターン攻撃力UP</v>
          </cell>
          <cell r="D312" t="str">
            <v>最初の1ターン目と、その後7ターン毎に1ターン赤属性の攻撃力777UP</v>
          </cell>
        </row>
        <row r="313">
          <cell r="A313">
            <v>900402</v>
          </cell>
          <cell r="B313" t="str">
            <v>ja</v>
          </cell>
          <cell r="C313" t="str">
            <v>バリア3500</v>
          </cell>
          <cell r="D313" t="str">
            <v>戦闘開始時に、自身への直接ダメージを3500まで防ぐバリアを一度だけ展開(バリアは破壊されると復活しない)</v>
          </cell>
        </row>
        <row r="314">
          <cell r="A314">
            <v>810202</v>
          </cell>
          <cell r="B314" t="str">
            <v>ja</v>
          </cell>
          <cell r="C314" t="str">
            <v>パネルブレイク50 ダメージ軽減</v>
          </cell>
          <cell r="D314" t="str">
            <v>自身が先頭の時、1ターンの間に合計50個以上パネルを破壊した場合敵からのダメージを15%軽減（1ターンに1度だけ発動）</v>
          </cell>
        </row>
        <row r="315">
          <cell r="A315">
            <v>811802</v>
          </cell>
          <cell r="B315" t="str">
            <v>ja</v>
          </cell>
          <cell r="C315" t="str">
            <v>ターン攻撃力UP</v>
          </cell>
          <cell r="D315" t="str">
            <v>最初の1ターン目と、その後6ターン毎に1ターン種族ドラゴン・ファンタジー・アニマルの攻撃力1000UP</v>
          </cell>
        </row>
        <row r="316">
          <cell r="A316">
            <v>812002</v>
          </cell>
          <cell r="B316" t="str">
            <v>ja</v>
          </cell>
          <cell r="C316" t="str">
            <v>ターンタップ増加</v>
          </cell>
          <cell r="D316" t="str">
            <v>最初の1ターン目と、その後6ターン毎に1ターン種族ドラゴン・ファンタジー・アニマルのタップ数1増加</v>
          </cell>
        </row>
        <row r="317">
          <cell r="A317">
            <v>811803</v>
          </cell>
          <cell r="B317" t="str">
            <v>ja</v>
          </cell>
          <cell r="C317" t="str">
            <v>端午クエスト ダメージUP</v>
          </cell>
          <cell r="D317" t="str">
            <v>端午クエスト内で自身の全ての攻撃の威力をUP</v>
          </cell>
        </row>
        <row r="318">
          <cell r="A318">
            <v>900802</v>
          </cell>
          <cell r="B318" t="str">
            <v>ja</v>
          </cell>
          <cell r="C318" t="str">
            <v>ターン攻撃力UP</v>
          </cell>
          <cell r="D318" t="str">
            <v>最初の1ターン目と、その後7ターン毎に1ターン赤属性の攻撃力777UP</v>
          </cell>
        </row>
      </sheetData>
      <sheetData sheetId="2"/>
      <sheetData sheetId="3"/>
      <sheetData sheetId="4">
        <row r="1">
          <cell r="G1" t="str">
            <v>condition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19" sqref="C19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7" t="s">
        <v>125</v>
      </c>
      <c r="B1" s="107" t="s">
        <v>116</v>
      </c>
      <c r="C1" s="107" t="s">
        <v>117</v>
      </c>
      <c r="D1" s="107" t="s">
        <v>118</v>
      </c>
      <c r="E1" s="107" t="s">
        <v>119</v>
      </c>
      <c r="F1" s="107" t="s">
        <v>120</v>
      </c>
      <c r="G1" s="107" t="s">
        <v>121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9" x14ac:dyDescent="0.15">
      <c r="A2" s="109" t="s">
        <v>316</v>
      </c>
      <c r="B2" s="109" t="s">
        <v>129</v>
      </c>
      <c r="C2" s="167" t="s">
        <v>323</v>
      </c>
      <c r="D2" s="109" t="s">
        <v>128</v>
      </c>
      <c r="E2" s="108" t="str">
        <f>B2&amp;C2&amp;D2</f>
        <v>units_awekening_SP.tmp</v>
      </c>
      <c r="F2" s="109" t="s">
        <v>124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374</v>
      </c>
      <c r="S2" s="109"/>
      <c r="T2" s="109"/>
      <c r="U2" s="109"/>
      <c r="V2" s="109"/>
      <c r="W2" s="109"/>
    </row>
    <row r="3" spans="1:29" x14ac:dyDescent="0.15">
      <c r="A3" s="109" t="s">
        <v>316</v>
      </c>
      <c r="B3" s="109" t="s">
        <v>294</v>
      </c>
      <c r="C3" s="167" t="str">
        <f>C2</f>
        <v>awekening_SP</v>
      </c>
      <c r="D3" s="109" t="s">
        <v>128</v>
      </c>
      <c r="E3" s="108" t="str">
        <f>B3&amp;C3&amp;D3</f>
        <v>fork_awake_units_awekening_SP.tmp</v>
      </c>
      <c r="F3" s="109" t="s">
        <v>295</v>
      </c>
      <c r="G3" s="63" t="s">
        <v>17</v>
      </c>
      <c r="H3" s="64" t="s">
        <v>296</v>
      </c>
      <c r="I3" s="64" t="s">
        <v>297</v>
      </c>
      <c r="J3" s="64" t="s">
        <v>298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9" x14ac:dyDescent="0.15">
      <c r="A4" s="109" t="s">
        <v>316</v>
      </c>
      <c r="B4" s="109" t="s">
        <v>130</v>
      </c>
      <c r="C4" s="167" t="str">
        <f>C2</f>
        <v>awekening_SP</v>
      </c>
      <c r="D4" s="109" t="s">
        <v>128</v>
      </c>
      <c r="E4" s="108" t="str">
        <f>B4&amp;C4&amp;D4</f>
        <v>awake_materials_awekening_SP.tmp</v>
      </c>
      <c r="F4" s="109" t="s">
        <v>123</v>
      </c>
      <c r="G4" s="110" t="s">
        <v>38</v>
      </c>
      <c r="H4" s="111" t="s">
        <v>36</v>
      </c>
      <c r="I4" s="111" t="s">
        <v>37</v>
      </c>
      <c r="J4" s="113" t="s">
        <v>126</v>
      </c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</row>
    <row r="5" spans="1:29" x14ac:dyDescent="0.15">
      <c r="A5" s="109" t="s">
        <v>316</v>
      </c>
      <c r="B5" s="109" t="s">
        <v>293</v>
      </c>
      <c r="C5" s="167" t="str">
        <f>C4</f>
        <v>awekening_SP</v>
      </c>
      <c r="D5" s="109" t="s">
        <v>128</v>
      </c>
      <c r="E5" s="108" t="str">
        <f>B5&amp;C5&amp;D5</f>
        <v>fork_awake_materials_awekening_SP.tmp</v>
      </c>
      <c r="F5" s="109" t="s">
        <v>123</v>
      </c>
      <c r="G5" s="187" t="s">
        <v>299</v>
      </c>
      <c r="H5" s="187" t="s">
        <v>300</v>
      </c>
      <c r="I5" s="187" t="s">
        <v>36</v>
      </c>
      <c r="J5" s="187" t="s">
        <v>37</v>
      </c>
      <c r="K5" s="187" t="s">
        <v>301</v>
      </c>
      <c r="L5" s="187" t="s">
        <v>302</v>
      </c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</row>
    <row r="6" spans="1:29" x14ac:dyDescent="0.15">
      <c r="A6" s="109" t="s">
        <v>316</v>
      </c>
      <c r="B6" s="109" t="s">
        <v>131</v>
      </c>
      <c r="C6" s="167" t="str">
        <f>C4</f>
        <v>awekening_SP</v>
      </c>
      <c r="D6" s="109" t="s">
        <v>132</v>
      </c>
      <c r="E6" s="108" t="str">
        <f t="shared" ref="E6" si="0">B6&amp;C6&amp;D6</f>
        <v>unit_levels_calc_awekening_SP.tmp</v>
      </c>
      <c r="F6" s="109" t="s">
        <v>122</v>
      </c>
      <c r="G6" s="59" t="s">
        <v>17</v>
      </c>
      <c r="H6" s="60" t="s">
        <v>2</v>
      </c>
      <c r="I6" s="61" t="s">
        <v>79</v>
      </c>
      <c r="J6" s="61" t="s">
        <v>80</v>
      </c>
      <c r="K6" s="61" t="s">
        <v>81</v>
      </c>
      <c r="L6" s="61" t="s">
        <v>82</v>
      </c>
      <c r="M6" s="61" t="s">
        <v>87</v>
      </c>
      <c r="N6" s="61" t="s">
        <v>88</v>
      </c>
      <c r="O6" s="61" t="s">
        <v>89</v>
      </c>
      <c r="P6" s="61" t="s">
        <v>90</v>
      </c>
      <c r="Q6" s="61" t="s">
        <v>91</v>
      </c>
      <c r="R6" s="61" t="s">
        <v>94</v>
      </c>
      <c r="S6" s="61" t="s">
        <v>92</v>
      </c>
      <c r="T6" s="61" t="s">
        <v>93</v>
      </c>
      <c r="U6" s="61" t="s">
        <v>83</v>
      </c>
      <c r="V6" s="61" t="s">
        <v>84</v>
      </c>
      <c r="W6" s="61" t="s">
        <v>85</v>
      </c>
    </row>
    <row r="7" spans="1:29" x14ac:dyDescent="0.15">
      <c r="A7" s="109" t="s">
        <v>316</v>
      </c>
      <c r="B7" s="109" t="s">
        <v>143</v>
      </c>
      <c r="C7" s="167" t="str">
        <f t="shared" ref="C7:C15" si="1">C6</f>
        <v>awekening_SP</v>
      </c>
      <c r="D7" s="109" t="s">
        <v>144</v>
      </c>
      <c r="E7" s="108" t="str">
        <f>B7&amp;C7&amp;D7</f>
        <v>unit_skills_data_awekening_SP.tmp</v>
      </c>
      <c r="F7" s="109" t="s">
        <v>145</v>
      </c>
      <c r="G7" s="117" t="s">
        <v>20</v>
      </c>
      <c r="H7" s="117" t="s">
        <v>146</v>
      </c>
      <c r="I7" s="117" t="s">
        <v>2</v>
      </c>
      <c r="J7" s="117" t="s">
        <v>147</v>
      </c>
      <c r="K7" s="117" t="s">
        <v>148</v>
      </c>
      <c r="L7" s="117" t="s">
        <v>4</v>
      </c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9" x14ac:dyDescent="0.15">
      <c r="A8" s="109" t="s">
        <v>316</v>
      </c>
      <c r="B8" s="109" t="s">
        <v>149</v>
      </c>
      <c r="C8" s="167" t="str">
        <f t="shared" si="1"/>
        <v>awekening_SP</v>
      </c>
      <c r="D8" s="109" t="s">
        <v>128</v>
      </c>
      <c r="E8" s="108" t="str">
        <f>B8&amp;C8&amp;D8</f>
        <v>unit_skills_i18n_awekening_SP.tmp</v>
      </c>
      <c r="F8" s="109" t="s">
        <v>145</v>
      </c>
      <c r="G8" s="117" t="s">
        <v>150</v>
      </c>
      <c r="H8" s="117" t="s">
        <v>134</v>
      </c>
      <c r="I8" s="117" t="s">
        <v>151</v>
      </c>
      <c r="J8" s="117" t="s">
        <v>152</v>
      </c>
      <c r="K8" s="112"/>
      <c r="L8" s="112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9" x14ac:dyDescent="0.15">
      <c r="A9" s="109" t="s">
        <v>316</v>
      </c>
      <c r="B9" s="109" t="s">
        <v>153</v>
      </c>
      <c r="C9" s="167" t="str">
        <f t="shared" si="1"/>
        <v>awekening_SP</v>
      </c>
      <c r="D9" s="109" t="s">
        <v>154</v>
      </c>
      <c r="E9" s="108" t="str">
        <f>B9&amp;C9&amp;D9</f>
        <v>crash_skills_data_awekening_SP.tmp</v>
      </c>
      <c r="F9" s="109" t="s">
        <v>155</v>
      </c>
      <c r="G9" s="117" t="s">
        <v>156</v>
      </c>
      <c r="H9" s="117" t="s">
        <v>148</v>
      </c>
      <c r="I9" s="117" t="s">
        <v>4</v>
      </c>
      <c r="J9" s="112"/>
      <c r="K9" s="112"/>
      <c r="L9" s="112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9" x14ac:dyDescent="0.15">
      <c r="A10" s="109" t="s">
        <v>316</v>
      </c>
      <c r="B10" s="109" t="s">
        <v>157</v>
      </c>
      <c r="C10" s="167" t="str">
        <f t="shared" si="1"/>
        <v>awekening_SP</v>
      </c>
      <c r="D10" s="109" t="s">
        <v>158</v>
      </c>
      <c r="E10" s="108" t="str">
        <f t="shared" ref="E10" si="2">B10&amp;C10&amp;D10</f>
        <v>crash_skills_i18n_awekening_SP.tmp</v>
      </c>
      <c r="F10" s="109" t="s">
        <v>155</v>
      </c>
      <c r="G10" s="117" t="s">
        <v>159</v>
      </c>
      <c r="H10" s="117" t="s">
        <v>160</v>
      </c>
      <c r="I10" s="117" t="s">
        <v>161</v>
      </c>
      <c r="J10" s="117" t="s">
        <v>162</v>
      </c>
      <c r="K10" s="118"/>
      <c r="L10" s="118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</row>
    <row r="11" spans="1:29" x14ac:dyDescent="0.15">
      <c r="A11" s="109" t="s">
        <v>316</v>
      </c>
      <c r="B11" s="112" t="s">
        <v>135</v>
      </c>
      <c r="C11" s="167" t="str">
        <f t="shared" si="1"/>
        <v>awekening_SP</v>
      </c>
      <c r="D11" s="109" t="s">
        <v>158</v>
      </c>
      <c r="E11" s="108" t="str">
        <f t="shared" ref="E11:E12" si="3">B11&amp;C11&amp;D11</f>
        <v>unit_serifs_data_awekening_SP.tmp</v>
      </c>
      <c r="F11" s="112" t="s">
        <v>137</v>
      </c>
      <c r="G11" s="116" t="s">
        <v>138</v>
      </c>
      <c r="H11" s="117" t="s">
        <v>139</v>
      </c>
      <c r="I11" s="117" t="s">
        <v>133</v>
      </c>
      <c r="J11" s="115" t="s">
        <v>189</v>
      </c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9" x14ac:dyDescent="0.15">
      <c r="A12" s="109" t="s">
        <v>316</v>
      </c>
      <c r="B12" s="112" t="s">
        <v>136</v>
      </c>
      <c r="C12" s="167" t="str">
        <f t="shared" si="1"/>
        <v>awekening_SP</v>
      </c>
      <c r="D12" s="109" t="s">
        <v>158</v>
      </c>
      <c r="E12" s="108" t="str">
        <f t="shared" si="3"/>
        <v>unit_serifs_i18n_awekening_SP.tmp</v>
      </c>
      <c r="F12" s="112" t="s">
        <v>137</v>
      </c>
      <c r="G12" s="116" t="s">
        <v>140</v>
      </c>
      <c r="H12" s="117" t="s">
        <v>141</v>
      </c>
      <c r="I12" s="117" t="s">
        <v>142</v>
      </c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9" x14ac:dyDescent="0.15">
      <c r="A13" s="109" t="s">
        <v>352</v>
      </c>
      <c r="B13" s="109" t="s">
        <v>252</v>
      </c>
      <c r="C13" s="167" t="str">
        <f t="shared" si="1"/>
        <v>awekening_SP</v>
      </c>
      <c r="D13" s="109" t="s">
        <v>253</v>
      </c>
      <c r="E13" s="108" t="str">
        <f>B13&amp;C13&amp;D13</f>
        <v>abilities_awekening_SP.tmp</v>
      </c>
      <c r="F13" s="109" t="s">
        <v>254</v>
      </c>
      <c r="G13" s="168" t="s">
        <v>255</v>
      </c>
      <c r="H13" s="168" t="s">
        <v>256</v>
      </c>
      <c r="I13" s="168" t="s">
        <v>257</v>
      </c>
      <c r="J13" s="168"/>
      <c r="K13" s="16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</row>
    <row r="14" spans="1:29" x14ac:dyDescent="0.15">
      <c r="A14" s="109" t="s">
        <v>352</v>
      </c>
      <c r="B14" s="109" t="s">
        <v>258</v>
      </c>
      <c r="C14" s="167" t="str">
        <f t="shared" si="1"/>
        <v>awekening_SP</v>
      </c>
      <c r="D14" s="109" t="s">
        <v>128</v>
      </c>
      <c r="E14" s="108" t="str">
        <f>B14&amp;C14&amp;D14</f>
        <v>abilities_i18n_awekening_SP.tmp</v>
      </c>
      <c r="F14" s="109" t="s">
        <v>259</v>
      </c>
      <c r="G14" s="168" t="s">
        <v>255</v>
      </c>
      <c r="H14" s="168" t="s">
        <v>141</v>
      </c>
      <c r="I14" s="168" t="s">
        <v>260</v>
      </c>
      <c r="J14" s="168" t="s">
        <v>152</v>
      </c>
      <c r="K14" s="16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</row>
    <row r="15" spans="1:29" x14ac:dyDescent="0.15">
      <c r="A15" s="109" t="s">
        <v>316</v>
      </c>
      <c r="B15" s="109" t="s">
        <v>261</v>
      </c>
      <c r="C15" s="167" t="str">
        <f t="shared" si="1"/>
        <v>awekening_SP</v>
      </c>
      <c r="D15" s="109" t="s">
        <v>128</v>
      </c>
      <c r="E15" s="108" t="str">
        <f>B15&amp;C15&amp;D15</f>
        <v>unit_abilities_awekening_SP.tmp</v>
      </c>
      <c r="F15" s="109" t="s">
        <v>262</v>
      </c>
      <c r="G15" s="168" t="s">
        <v>138</v>
      </c>
      <c r="H15" s="170" t="s">
        <v>263</v>
      </c>
      <c r="I15" s="170" t="s">
        <v>264</v>
      </c>
      <c r="J15" s="171" t="s">
        <v>265</v>
      </c>
      <c r="K15" s="168" t="s">
        <v>266</v>
      </c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AL2" activePane="bottomRight" state="frozen"/>
      <selection pane="topRight" activeCell="J1" sqref="J1"/>
      <selection pane="bottomLeft" activeCell="A3" sqref="A3"/>
      <selection pane="bottomRight" activeCell="BA15" sqref="BA15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 collapsed="1"/>
    <col min="48" max="48" width="43.6640625" style="13" hidden="1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108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113</v>
      </c>
      <c r="AR1" s="96" t="s">
        <v>107</v>
      </c>
      <c r="AS1" s="80" t="s">
        <v>104</v>
      </c>
      <c r="AT1" s="91" t="s">
        <v>102</v>
      </c>
      <c r="AU1" s="80" t="s">
        <v>110</v>
      </c>
      <c r="AV1" s="96" t="s">
        <v>107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114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104" t="s">
        <v>86</v>
      </c>
      <c r="BR1" s="10" t="s">
        <v>373</v>
      </c>
    </row>
    <row r="2" spans="1:70" ht="26" customHeight="1" x14ac:dyDescent="0.15">
      <c r="A2" s="12">
        <v>1181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永存の究極論 ユークリッド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超覚醒ハーシェル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1">
        <f ca="1">VLOOKUP(I2,[1]属性!$A:$E,2,FALSE)</f>
        <v>1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1.02</v>
      </c>
      <c r="N2" s="11">
        <f ca="1">INDEX(コスト!$A$1:$I$21,MATCH(H2,コスト!$A$1:$A$21,FALSE),MATCH(G2,コスト!$A$1:$I$1,FALSE))</f>
        <v>55</v>
      </c>
      <c r="O2" s="11">
        <f ca="1">INDEX(レベル!$A$1:$I$22,MATCH(H2,レベル!$A$1:$A$22,FALSE),MATCH(G2,レベル!$A$1:$I$1,FALSE))</f>
        <v>99</v>
      </c>
      <c r="P2" s="48">
        <f ca="1">IF(G2 &gt;= 6, 99,G2*15)</f>
        <v>99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machine</v>
      </c>
      <c r="Z2" s="5" t="str">
        <f ca="1">VLOOKUP(Y2,[1]character_tribe_i18n!$A:$H,3,FALSE)</f>
        <v>マシン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 t="s">
        <v>182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v>688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ユークリッド</v>
      </c>
      <c r="AI2" s="11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11" t="str">
        <f ca="1">INDEX(経験値!$A$1:$I$21,MATCH(H2,経験値!$A$1:$A$21,FALSE),MATCH(G2,経験値!$A$1:$I$1,FALSE))</f>
        <v>required_exp_300</v>
      </c>
      <c r="AM2" s="8">
        <f ca="1">VLOOKUP(G2,経験値!$A$28:$B$32,2)</f>
        <v>6400</v>
      </c>
      <c r="AN2" s="17">
        <f ca="1">VLOOKUP(G2,ビット!$G$2:$H$7,2)</f>
        <v>900</v>
      </c>
      <c r="AO2" s="45"/>
      <c r="AP2" s="67">
        <v>1181</v>
      </c>
      <c r="AQ2" s="57" t="e">
        <f ca="1">VLOOKUP($AP2,OFFSET(unit_skills!$A$1,0,0,COUNTA(unit_skills!$A:$A),MATCH(AQ$1,unit_skills!$1:$1,0)-MATCH($AP$1,unit_skills!$1:$1,0)+1),MATCH(AQ$1,unit_skills!$1:$1,0)-MATCH($AP$1,unit_skills!$1:$1,0)+1,FALSE)</f>
        <v>#N/A</v>
      </c>
      <c r="AR2" s="57" t="e">
        <f ca="1">VLOOKUP($AP2,OFFSET(unit_skills!$A$1,0,0,COUNTA(unit_skills!$A:$A),MATCH(AR$1,unit_skills!$1:$1,0)-MATCH($AP$1,unit_skills!$1:$1,0)+1),MATCH(AR$1,unit_skills!$1:$1,0)-MATCH($AP$1,unit_skills!$1:$1,0)+1,FALSE)</f>
        <v>#N/A</v>
      </c>
      <c r="AS2" s="57" t="e">
        <f ca="1">VLOOKUP($AP2,OFFSET(unit_skills!$A$1,0,0,COUNTA(unit_skills!$A:$A),MATCH(AS$1,unit_skills!$1:$1,0)-MATCH($AP$1,unit_skills!$1:$1,0)+1),MATCH(AS$1,unit_skills!$1:$1,0)-MATCH($AP$1,unit_skills!$1:$1,0)+1,FALSE)</f>
        <v>#N/A</v>
      </c>
      <c r="AT2" s="41">
        <v>1181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極源論・マテマティクス・コア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1体に超大ダメージ_x000D_+HP大回復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0.93</v>
      </c>
      <c r="AZ2" s="68">
        <v>1.1000000000000001</v>
      </c>
      <c r="BA2" s="68">
        <v>0</v>
      </c>
      <c r="BB2" s="68">
        <v>0.97</v>
      </c>
      <c r="BC2" s="11">
        <f ca="1">INDEX('RC6SV'!$A$1:$G$21,MATCH(H2,'RC6SV'!$A$1:$A$21,FALSE),MATCH(G2,'RC6SV'!$A$1:$G$1,FALSE))</f>
        <v>14000</v>
      </c>
      <c r="BD2" s="48">
        <f t="shared" ref="BD2" ca="1" si="1">ROUND(BC2*IF(AJ2=1,0.95,IF(AJ2=2,1,IF(AJ2,1.05,0))),0)</f>
        <v>14000</v>
      </c>
      <c r="BE2" s="11">
        <f ca="1">ROUND(IFERROR(INDIRECT(ADDRESS(MATCH($A2,$AE:$AE,0),MATCH($BC$1,$1:$1,0))),0),0)</f>
        <v>0</v>
      </c>
      <c r="BF2" s="11">
        <f ca="1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3255</v>
      </c>
      <c r="BH2" s="16">
        <f ca="1">IF($BE2&lt;=0,ROUND(BL2*0.5,0), ROUND($BE2*T2*AB2*K2*AZ2*0.8*[1]ステータス!$C$2,0))</f>
        <v>2264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1732</v>
      </c>
      <c r="BK2" s="11">
        <f ca="1">ROUND(BD2*S2*AA2*J2*AY2*[1]ステータス!$B$2,0)</f>
        <v>6510</v>
      </c>
      <c r="BL2" s="11">
        <f ca="1">ROUND(BD2*T2*AB2*K2*AZ2*[1]ステータス!$C$2,0)</f>
        <v>4528</v>
      </c>
      <c r="BM2" s="11">
        <f ca="1">ROUND(BD2*U2*AC2*L2*BA2*[1]ステータス!$D$2,0)</f>
        <v>0</v>
      </c>
      <c r="BN2" s="11">
        <f ca="1">ROUND(BD2*V2*AD2*M2*BB2*[1]ステータス!$E$2,0)</f>
        <v>3463</v>
      </c>
      <c r="BO2" s="10">
        <v>0</v>
      </c>
      <c r="BP2" s="10">
        <v>1</v>
      </c>
      <c r="BQ2" s="38" t="s">
        <v>47</v>
      </c>
      <c r="BR2" s="10">
        <f ca="1">VLOOKUP(H2,ghosts_label!$A$2:$B$19,2,FALSE)</f>
        <v>30000</v>
      </c>
    </row>
    <row r="3" spans="1:70" ht="26" customHeight="1" x14ac:dyDescent="0.15">
      <c r="A3" s="12">
        <v>1184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電装の烙雷芯 ファラデー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超覚醒ハーシェル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1">
        <f ca="1">VLOOKUP(I3,[1]属性!$A:$E,2,FALSE)</f>
        <v>0.98</v>
      </c>
      <c r="K3" s="11">
        <f ca="1">VLOOKUP(I3,[1]属性!$A:$E,3,FALSE)</f>
        <v>1.01</v>
      </c>
      <c r="L3" s="11">
        <f ca="1">VLOOKUP(I3,[1]属性!$A:$E,4,FALSE)</f>
        <v>1</v>
      </c>
      <c r="M3" s="11">
        <f ca="1">VLOOKUP(I3,[1]属性!$A:$E,5,FALSE)</f>
        <v>1.01</v>
      </c>
      <c r="N3" s="11">
        <f ca="1">INDEX(コスト!$A$1:$I$21,MATCH(H3,コスト!$A$1:$A$21,FALSE),MATCH(G3,コスト!$A$1:$I$1,FALSE))</f>
        <v>55</v>
      </c>
      <c r="O3" s="11">
        <f ca="1">INDEX(レベル!$A$1:$I$22,MATCH(H3,レベル!$A$1:$A$22,FALSE),MATCH(G3,レベル!$A$1:$I$1,FALSE))</f>
        <v>99</v>
      </c>
      <c r="P3" s="48">
        <f ca="1">IF(G3 &gt;= 6, 99,G3*15)</f>
        <v>99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182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v>410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ファラデー</v>
      </c>
      <c r="AI3" s="11" t="str">
        <f>IF(AE3="NULL","NULL",VLOOKUP(G3,ビット!$A$2:$B$7,2))</f>
        <v>NULL</v>
      </c>
      <c r="AJ3" s="6">
        <v>2</v>
      </c>
      <c r="AK3" s="7" t="str">
        <f t="shared" ref="AK3" si="2">IF(AJ3=1,"早熟",IF(AJ3=2,"普通",IF(AJ3=3,"晩成","")))</f>
        <v>普通</v>
      </c>
      <c r="AL3" s="11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7">
        <f ca="1">VLOOKUP(G3,ビット!$G$2:$H$7,2)</f>
        <v>900</v>
      </c>
      <c r="AO3" s="45"/>
      <c r="AP3" s="67">
        <v>1184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億雷皆電・パルスドライヴァー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緑パネルを黄ボムパネルに変換+1ターンの間確率で先頭ユニットのCパネルをドロップ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v>1184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雷連覇・エレクトフィニッシュ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1.05</v>
      </c>
      <c r="AZ3" s="68">
        <v>0.94</v>
      </c>
      <c r="BA3" s="68">
        <v>0</v>
      </c>
      <c r="BB3" s="68">
        <v>1.01</v>
      </c>
      <c r="BC3" s="11">
        <f ca="1">INDEX('RC6SV'!$A$1:$G$21,MATCH(H3,'RC6SV'!$A$1:$A$21,FALSE),MATCH(G3,'RC6SV'!$A$1:$G$1,FALSE))</f>
        <v>14000</v>
      </c>
      <c r="BD3" s="48">
        <f t="shared" ref="BD3" ca="1" si="3">ROUND(BC3*IF(AJ3=1,0.95,IF(AJ3=2,1,IF(AJ3,1.05,0))),0)</f>
        <v>14000</v>
      </c>
      <c r="BE3" s="11">
        <f ca="1">ROUND(IFERROR(INDIRECT(ADDRESS(MATCH($A3,$AE:$AE,0),MATCH($BC$1,$1:$1,0))),0),0)</f>
        <v>0</v>
      </c>
      <c r="BF3" s="11">
        <f ca="1">ROUND(IFERROR(INDIRECT(ADDRESS(MATCH($A3,$AE:$AE,0),10)),INDIRECT(ADDRESS(MATCH($A3,$A:$A,0),10))),0)</f>
        <v>1</v>
      </c>
      <c r="BG3" s="16">
        <f ca="1">IF($BE3&lt;=0,ROUND(BK3*0.5,0), ROUND($BE3*S3*AA3*J3*AY3*0.8*[1]ステータス!$B$2,0))</f>
        <v>3602</v>
      </c>
      <c r="BH3" s="16">
        <f ca="1">IF($BE3&lt;=0,ROUND(BL3*0.5,0), ROUND($BE3*T3*AB3*K3*AZ3*0.8*[1]ステータス!$C$2,0))</f>
        <v>2652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1196</v>
      </c>
      <c r="BK3" s="11">
        <f ca="1">ROUND(BD3*S3*AA3*J3*AY3*[1]ステータス!$B$2,0)</f>
        <v>7203</v>
      </c>
      <c r="BL3" s="11">
        <f ca="1">ROUND(BD3*T3*AB3*K3*AZ3*[1]ステータス!$C$2,0)</f>
        <v>5303</v>
      </c>
      <c r="BM3" s="11">
        <f ca="1">ROUND(BD3*U3*AC3*L3*BA3*[1]ステータス!$D$2,0)</f>
        <v>0</v>
      </c>
      <c r="BN3" s="11">
        <f ca="1">ROUND(BD3*V3*AD3*M3*BB3*[1]ステータス!$E$2,0)</f>
        <v>2392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30000</v>
      </c>
    </row>
    <row r="4" spans="1:70" ht="26" customHeight="1" x14ac:dyDescent="0.15">
      <c r="A4" s="12">
        <v>1126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最終焉算の鋼砲 チューリング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アリス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INDEX(コスト!$A$1:$I$21,MATCH(H4,コスト!$A$1:$A$21,FALSE),MATCH(G4,コスト!$A$1:$I$1,FALSE))</f>
        <v>55</v>
      </c>
      <c r="O4" s="11">
        <f ca="1">INDEX(レベル!$A$1:$I$22,MATCH(H4,レベル!$A$1:$A$22,FALSE),MATCH(G4,レベル!$A$1:$I$1,FALSE))</f>
        <v>99</v>
      </c>
      <c r="P4" s="48">
        <f ca="1">IF(G4 &gt;= 6, 99,G4*15)</f>
        <v>99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1">
        <f ca="1">VLOOKUP(Q4,[1]character_type_i18n!$A:$H,4,FALSE)</f>
        <v>1.45</v>
      </c>
      <c r="T4" s="11">
        <f ca="1">VLOOKUP(Q4,[1]character_type_i18n!$A:$H,5,FALSE)</f>
        <v>0.85</v>
      </c>
      <c r="U4" s="11">
        <f ca="1">VLOOKUP(Q4,[1]character_type_i18n!$A:$H,6,FALSE)</f>
        <v>1</v>
      </c>
      <c r="V4" s="11">
        <f ca="1">VLOOKUP(Q4,[1]character_type_i18n!$A:$H,7,FALSE)</f>
        <v>0.7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academia</v>
      </c>
      <c r="X4" s="5" t="str">
        <f ca="1">VLOOKUP(W4,[1]character_tribe_i18n!$A:$H,3,FALSE)</f>
        <v>アカデミア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machine</v>
      </c>
      <c r="Z4" s="5" t="str">
        <f ca="1">VLOOKUP(Y4,[1]character_tribe_i18n!$A:$H,3,FALSE)</f>
        <v>マシン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 t="s">
        <v>182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v>487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暴創の造物 チューリング</v>
      </c>
      <c r="AI4" s="11" t="str">
        <f>IF(AE4="NULL","NULL",VLOOKUP(G4,ビット!$A$2:$B$7,2))</f>
        <v>NULL</v>
      </c>
      <c r="AJ4" s="6">
        <v>2</v>
      </c>
      <c r="AK4" s="7" t="str">
        <f t="shared" ref="AK4" si="4">IF(AJ4=1,"早熟",IF(AJ4=2,"普通",IF(AJ4=3,"晩成","")))</f>
        <v>普通</v>
      </c>
      <c r="AL4" s="11" t="str">
        <f ca="1">INDEX(経験値!$A$1:$I$21,MATCH(H4,経験値!$A$1:$A$21,FALSE),MATCH(G4,経験値!$A$1:$I$1,FALSE))</f>
        <v>required_exp_300</v>
      </c>
      <c r="AM4" s="8">
        <f ca="1">VLOOKUP(G4,経験値!$A$28:$B$32,2)</f>
        <v>6400</v>
      </c>
      <c r="AN4" s="17">
        <f ca="1">VLOOKUP(G4,ビット!$G$2:$H$7,2)</f>
        <v>900</v>
      </c>
      <c r="AO4" s="45"/>
      <c r="AP4" s="67">
        <v>1126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翠械のラストテーゼ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青・赤パネルをハートボム変換+2ターンタップ数を1増やし、黄パネルを吸収して防御力UP+ハート・黄パネルが出現しない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v>1126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エニグマ・エクスティンク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自分のHPの最大値に比例して単体に特大ダメージ_x000D_+HP大回復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0.87</v>
      </c>
      <c r="AZ4" s="68">
        <v>0.86</v>
      </c>
      <c r="BA4" s="68">
        <v>0</v>
      </c>
      <c r="BB4" s="68">
        <v>1.28</v>
      </c>
      <c r="BC4" s="11">
        <f ca="1">INDEX('RC6SV'!$A$1:$G$21,MATCH(H4,'RC6SV'!$A$1:$A$21,FALSE),MATCH(G4,'RC6SV'!$A$1:$G$1,FALSE))</f>
        <v>14000</v>
      </c>
      <c r="BD4" s="48">
        <f t="shared" ref="BD4" ca="1" si="5">ROUND(BC4*IF(AJ4=1,0.95,IF(AJ4=2,1,IF(AJ4,1.05,0))),0)</f>
        <v>14000</v>
      </c>
      <c r="BE4" s="11">
        <f ca="1">ROUND(IFERROR(INDIRECT(ADDRESS(MATCH($A4,$AE:$AE,0),MATCH($BC$1,$1:$1,0))),0),0)</f>
        <v>0</v>
      </c>
      <c r="BF4" s="11">
        <f ca="1">ROUND(IFERROR(INDIRECT(ADDRESS(MATCH($A4,$AE:$AE,0),10)),INDIRECT(ADDRESS(MATCH($A4,$A:$A,0),10))),0)</f>
        <v>1</v>
      </c>
      <c r="BG4" s="16">
        <f ca="1">IF($BE4&lt;=0,ROUND(BK4*0.5,0), ROUND($BE4*S4*AA4*J4*AY4*0.8*[1]ステータス!$B$2,0))</f>
        <v>4504</v>
      </c>
      <c r="BH4" s="16">
        <f ca="1">IF($BE4&lt;=0,ROUND(BL4*0.5,0), ROUND($BE4*T4*AB4*K4*AZ4*0.8*[1]ステータス!$C$2,0))</f>
        <v>1505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1568</v>
      </c>
      <c r="BK4" s="11">
        <f ca="1">ROUND(BD4*S4*AA4*J4*AY4*[1]ステータス!$B$2,0)</f>
        <v>9007</v>
      </c>
      <c r="BL4" s="11">
        <f ca="1">ROUND(BD4*T4*AB4*K4*AZ4*[1]ステータス!$C$2,0)</f>
        <v>3009</v>
      </c>
      <c r="BM4" s="11">
        <f ca="1">ROUND(BD4*U4*AC4*L4*BA4*[1]ステータス!$D$2,0)</f>
        <v>0</v>
      </c>
      <c r="BN4" s="11">
        <f ca="1">ROUND(BD4*V4*AD4*M4*BB4*[1]ステータス!$E$2,0)</f>
        <v>3136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30000</v>
      </c>
    </row>
    <row r="5" spans="1:70" ht="26" customHeight="1" x14ac:dyDescent="0.15">
      <c r="A5" s="12">
        <v>1125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累々たる世解 シュレディンガー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未定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アリス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世界観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INDEX(コスト!$A$1:$I$21,MATCH(H5,コスト!$A$1:$A$21,FALSE),MATCH(G5,コスト!$A$1:$I$1,FALSE))</f>
        <v>55</v>
      </c>
      <c r="O5" s="11">
        <f ca="1">INDEX(レベル!$A$1:$I$22,MATCH(H5,レベル!$A$1:$A$22,FALSE),MATCH(G5,レベル!$A$1:$I$1,FALSE))</f>
        <v>99</v>
      </c>
      <c r="P5" s="48">
        <f ca="1">IF(G5 &gt;= 6, 99,G5*15)</f>
        <v>99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1">
        <f ca="1">VLOOKUP(Q5,[1]character_type_i18n!$A:$H,4,FALSE)</f>
        <v>0.9</v>
      </c>
      <c r="T5" s="11">
        <f ca="1">VLOOKUP(Q5,[1]character_type_i18n!$A:$H,5,FALSE)</f>
        <v>0.9</v>
      </c>
      <c r="U5" s="11">
        <f ca="1">VLOOKUP(Q5,[1]character_type_i18n!$A:$H,6,FALSE)</f>
        <v>1</v>
      </c>
      <c r="V5" s="11">
        <f ca="1">VLOOKUP(Q5,[1]character_type_i18n!$A:$H,7,FALSE)</f>
        <v>0.9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academia</v>
      </c>
      <c r="X5" s="5" t="str">
        <f ca="1">VLOOKUP(W5,[1]character_tribe_i18n!$A:$H,3,FALSE)</f>
        <v>アカデミア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animal</v>
      </c>
      <c r="Z5" s="5" t="str">
        <f ca="1">VLOOKUP(Y5,[1]character_tribe_i18n!$A:$H,3,FALSE)</f>
        <v>アニマル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182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v>486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重なる世解 シュレディンガー</v>
      </c>
      <c r="AI5" s="11" t="str">
        <f>IF(AE5="NULL","NULL",VLOOKUP(G5,ビット!$A$2:$B$7,2))</f>
        <v>NULL</v>
      </c>
      <c r="AJ5" s="6">
        <v>2</v>
      </c>
      <c r="AK5" s="7" t="str">
        <f t="shared" ref="AK5" si="6">IF(AJ5=1,"早熟",IF(AJ5=2,"普通",IF(AJ5=3,"晩成","")))</f>
        <v>普通</v>
      </c>
      <c r="AL5" s="11" t="str">
        <f ca="1">INDEX(経験値!$A$1:$I$21,MATCH(H5,経験値!$A$1:$A$21,FALSE),MATCH(G5,経験値!$A$1:$I$1,FALSE))</f>
        <v>required_exp_300</v>
      </c>
      <c r="AM5" s="8">
        <f ca="1">VLOOKUP(G5,経験値!$A$28:$B$32,2)</f>
        <v>6400</v>
      </c>
      <c r="AN5" s="17">
        <f ca="1">VLOOKUP(G5,ビット!$G$2:$H$7,2)</f>
        <v>900</v>
      </c>
      <c r="AO5" s="45"/>
      <c r="AP5" s="67">
        <v>1125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緋猫のウェイヴファンクション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緑パネルを赤パネルに変換+2ターン全ユニットのCパネル生成短縮(効果激烈)し、1ターン緑パネルの出現率大DOWN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v>1125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シアニド・ネゲントロピー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1体に超大ダメージ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1.07</v>
      </c>
      <c r="AZ5" s="68">
        <v>1.177</v>
      </c>
      <c r="BA5" s="68">
        <v>0</v>
      </c>
      <c r="BB5" s="68">
        <v>1.1299999999999999</v>
      </c>
      <c r="BC5" s="11">
        <f ca="1">INDEX('RC6SV'!$A$1:$G$21,MATCH(H5,'RC6SV'!$A$1:$A$21,FALSE),MATCH(G5,'RC6SV'!$A$1:$G$1,FALSE))</f>
        <v>14000</v>
      </c>
      <c r="BD5" s="48">
        <f t="shared" ref="BD5" ca="1" si="7">ROUND(BC5*IF(AJ5=1,0.95,IF(AJ5=2,1,IF(AJ5,1.05,0))),0)</f>
        <v>14000</v>
      </c>
      <c r="BE5" s="11">
        <f ca="1">ROUND(IFERROR(INDIRECT(ADDRESS(MATCH($A5,$AE:$AE,0),MATCH($BC$1,$1:$1,0))),0),0)</f>
        <v>0</v>
      </c>
      <c r="BF5" s="11">
        <f ca="1">ROUND(IFERROR(INDIRECT(ADDRESS(MATCH($A5,$AE:$AE,0),10)),INDIRECT(ADDRESS(MATCH($A5,$A:$A,0),10))),0)</f>
        <v>1</v>
      </c>
      <c r="BG5" s="16">
        <f ca="1">IF($BE5&lt;=0,ROUND(BK5*0.5,0), ROUND($BE5*S5*AA5*J5*AY5*0.8*[1]ステータス!$B$2,0))</f>
        <v>3371</v>
      </c>
      <c r="BH5" s="16">
        <f ca="1">IF($BE5&lt;=0,ROUND(BL5*0.5,0), ROUND($BE5*T5*AB5*K5*AZ5*0.8*[1]ステータス!$C$2,0))</f>
        <v>2269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1744</v>
      </c>
      <c r="BK5" s="11">
        <f ca="1">ROUND(BD5*S5*AA5*J5*AY5*[1]ステータス!$B$2,0)</f>
        <v>6741</v>
      </c>
      <c r="BL5" s="11">
        <f ca="1">ROUND(BD5*T5*AB5*K5*AZ5*[1]ステータス!$C$2,0)</f>
        <v>4538</v>
      </c>
      <c r="BM5" s="11">
        <f ca="1">ROUND(BD5*U5*AC5*L5*BA5*[1]ステータス!$D$2,0)</f>
        <v>0</v>
      </c>
      <c r="BN5" s="11">
        <f ca="1">ROUND(BD5*V5*AD5*M5*BB5*[1]ステータス!$E$2,0)</f>
        <v>3488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30000</v>
      </c>
    </row>
  </sheetData>
  <autoFilter ref="A1:BQ1"/>
  <phoneticPr fontId="10"/>
  <conditionalFormatting sqref="BO1">
    <cfRule type="cellIs" dxfId="45" priority="120" stopIfTrue="1" operator="equal">
      <formula>1</formula>
    </cfRule>
  </conditionalFormatting>
  <conditionalFormatting sqref="BQ1">
    <cfRule type="cellIs" dxfId="44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4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F5" sqref="F5"/>
    </sheetView>
  </sheetViews>
  <sheetFormatPr baseColWidth="12" defaultColWidth="13" defaultRowHeight="21" customHeight="1" outlineLevelCol="1" x14ac:dyDescent="0.15"/>
  <cols>
    <col min="1" max="1" width="16.1640625" style="131" bestFit="1" customWidth="1"/>
    <col min="2" max="2" width="13" style="131" bestFit="1" customWidth="1"/>
    <col min="3" max="3" width="21.83203125" style="131" customWidth="1"/>
    <col min="4" max="4" width="41.83203125" style="131" customWidth="1"/>
    <col min="5" max="5" width="9" style="131" customWidth="1"/>
    <col min="6" max="6" width="7.83203125" style="131" bestFit="1" customWidth="1"/>
    <col min="7" max="7" width="8.1640625" style="131" bestFit="1" customWidth="1"/>
    <col min="8" max="8" width="13.6640625" style="131" bestFit="1" customWidth="1"/>
    <col min="9" max="10" width="51.6640625" style="131" customWidth="1"/>
    <col min="11" max="11" width="10.83203125" style="131" customWidth="1" outlineLevel="1"/>
    <col min="12" max="17" width="9.5" style="130" customWidth="1" outlineLevel="1"/>
    <col min="18" max="18" width="20.33203125" style="131" customWidth="1" outlineLevel="1"/>
    <col min="19" max="19" width="10.33203125" style="131" bestFit="1" customWidth="1"/>
    <col min="20" max="16384" width="13" style="131"/>
  </cols>
  <sheetData>
    <row r="1" spans="1:19" s="130" customFormat="1" ht="21" customHeight="1" x14ac:dyDescent="0.15">
      <c r="A1" s="119" t="s">
        <v>20</v>
      </c>
      <c r="B1" s="120" t="s">
        <v>134</v>
      </c>
      <c r="C1" s="121" t="s">
        <v>40</v>
      </c>
      <c r="D1" s="122" t="s">
        <v>163</v>
      </c>
      <c r="E1" s="122" t="s">
        <v>164</v>
      </c>
      <c r="F1" s="119" t="s">
        <v>146</v>
      </c>
      <c r="G1" s="123" t="s">
        <v>2</v>
      </c>
      <c r="H1" s="123" t="s">
        <v>165</v>
      </c>
      <c r="I1" s="123" t="s">
        <v>322</v>
      </c>
      <c r="J1" s="124" t="s">
        <v>183</v>
      </c>
      <c r="K1" s="123" t="s">
        <v>4</v>
      </c>
      <c r="L1" s="125" t="s">
        <v>166</v>
      </c>
      <c r="M1" s="126" t="s">
        <v>167</v>
      </c>
      <c r="N1" s="126" t="s">
        <v>168</v>
      </c>
      <c r="O1" s="126" t="s">
        <v>169</v>
      </c>
      <c r="P1" s="126" t="s">
        <v>170</v>
      </c>
      <c r="Q1" s="127" t="s">
        <v>171</v>
      </c>
      <c r="R1" s="128" t="s">
        <v>172</v>
      </c>
      <c r="S1" s="129" t="s">
        <v>173</v>
      </c>
    </row>
    <row r="2" spans="1:19" ht="21" customHeight="1" x14ac:dyDescent="0.15">
      <c r="A2" s="12">
        <v>1184</v>
      </c>
      <c r="B2" s="134" t="s">
        <v>184</v>
      </c>
      <c r="C2" s="135" t="s">
        <v>325</v>
      </c>
      <c r="D2" s="135" t="s">
        <v>339</v>
      </c>
      <c r="E2" s="136">
        <f t="shared" ref="E2" si="0">LEN(D2)</f>
        <v>40</v>
      </c>
      <c r="F2" s="118">
        <v>12</v>
      </c>
      <c r="G2" s="118">
        <v>7</v>
      </c>
      <c r="H2" s="137">
        <f>2001</f>
        <v>2001</v>
      </c>
      <c r="I2" s="118" t="s">
        <v>324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電装の烙雷芯 ファラデー</v>
      </c>
      <c r="K2" s="138">
        <f>IFERROR(VLOOKUP(A2,[1]characters!$A:$R,18),0)</f>
        <v>3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1126</v>
      </c>
      <c r="B3" s="134" t="s">
        <v>184</v>
      </c>
      <c r="C3" s="135" t="s">
        <v>341</v>
      </c>
      <c r="D3" s="135" t="s">
        <v>351</v>
      </c>
      <c r="E3" s="136">
        <f>LEN(D3)</f>
        <v>58</v>
      </c>
      <c r="F3" s="118">
        <v>13</v>
      </c>
      <c r="G3" s="118">
        <v>7</v>
      </c>
      <c r="H3" s="137">
        <f>2001</f>
        <v>2001</v>
      </c>
      <c r="I3" s="118" t="s">
        <v>348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最終焉算の鋼砲 チューリング</v>
      </c>
      <c r="K3" s="138">
        <f>IFERROR(VLOOKUP(A3,[1]characters!$A:$R,18),0)</f>
        <v>3</v>
      </c>
      <c r="L3" s="139"/>
      <c r="M3" s="140"/>
      <c r="N3" s="140"/>
      <c r="O3" s="140"/>
      <c r="P3" s="140"/>
      <c r="Q3" s="140"/>
      <c r="R3" s="135"/>
      <c r="S3" s="141"/>
    </row>
    <row r="4" spans="1:19" ht="21" customHeight="1" x14ac:dyDescent="0.15">
      <c r="A4" s="12">
        <v>1125</v>
      </c>
      <c r="B4" s="134" t="s">
        <v>184</v>
      </c>
      <c r="C4" s="135" t="s">
        <v>376</v>
      </c>
      <c r="D4" s="135" t="s">
        <v>383</v>
      </c>
      <c r="E4" s="136">
        <f>LEN(D4)</f>
        <v>56</v>
      </c>
      <c r="F4" s="118">
        <v>12</v>
      </c>
      <c r="G4" s="118">
        <v>7</v>
      </c>
      <c r="H4" s="137">
        <f>2001</f>
        <v>2001</v>
      </c>
      <c r="I4" s="118" t="s">
        <v>384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累々たる世解 シュレディンガー</v>
      </c>
      <c r="K4" s="138">
        <f>IFERROR(VLOOKUP(A4,[1]characters!$A:$R,18),0)</f>
        <v>3</v>
      </c>
      <c r="L4" s="139"/>
      <c r="M4" s="140"/>
      <c r="N4" s="140"/>
      <c r="O4" s="140"/>
      <c r="P4" s="140"/>
      <c r="Q4" s="140"/>
      <c r="R4" s="135"/>
      <c r="S4" s="141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5:E1048576">
    <cfRule type="cellIs" dxfId="43" priority="12" operator="greaterThan">
      <formula>41</formula>
    </cfRule>
  </conditionalFormatting>
  <conditionalFormatting sqref="E2">
    <cfRule type="cellIs" dxfId="42" priority="5" operator="greaterThan">
      <formula>41</formula>
    </cfRule>
  </conditionalFormatting>
  <conditionalFormatting sqref="E3">
    <cfRule type="cellIs" dxfId="41" priority="4" operator="greaterThan">
      <formula>41</formula>
    </cfRule>
  </conditionalFormatting>
  <conditionalFormatting sqref="E4">
    <cfRule type="cellIs" dxfId="40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1" sqref="C11"/>
    </sheetView>
  </sheetViews>
  <sheetFormatPr baseColWidth="12" defaultColWidth="13" defaultRowHeight="21" customHeight="1" x14ac:dyDescent="0.15"/>
  <cols>
    <col min="1" max="2" width="12.1640625" style="131" customWidth="1"/>
    <col min="3" max="3" width="48.83203125" style="132" customWidth="1"/>
    <col min="4" max="4" width="23.83203125" style="132" customWidth="1"/>
    <col min="5" max="5" width="10.5" style="132" customWidth="1"/>
    <col min="6" max="7" width="59.1640625" style="132" customWidth="1"/>
    <col min="8" max="8" width="6.83203125" style="131" bestFit="1" customWidth="1"/>
    <col min="9" max="9" width="20.33203125" style="131" customWidth="1"/>
    <col min="10" max="10" width="5" style="131" bestFit="1" customWidth="1"/>
    <col min="11" max="16384" width="13" style="131"/>
  </cols>
  <sheetData>
    <row r="1" spans="1:19" ht="21" customHeight="1" x14ac:dyDescent="0.15">
      <c r="A1" s="119" t="s">
        <v>181</v>
      </c>
      <c r="B1" s="120" t="s">
        <v>180</v>
      </c>
      <c r="C1" s="121" t="s">
        <v>179</v>
      </c>
      <c r="D1" s="122" t="s">
        <v>178</v>
      </c>
      <c r="E1" s="122" t="s">
        <v>177</v>
      </c>
      <c r="F1" s="123" t="s">
        <v>176</v>
      </c>
      <c r="G1" s="124" t="s">
        <v>183</v>
      </c>
      <c r="H1" s="123" t="s">
        <v>175</v>
      </c>
      <c r="I1" s="124" t="s">
        <v>174</v>
      </c>
      <c r="J1" s="128" t="s">
        <v>173</v>
      </c>
    </row>
    <row r="2" spans="1:19" ht="21" customHeight="1" x14ac:dyDescent="0.15">
      <c r="A2" s="12">
        <v>1181</v>
      </c>
      <c r="B2" s="134" t="s">
        <v>185</v>
      </c>
      <c r="C2" s="135" t="s">
        <v>326</v>
      </c>
      <c r="D2" s="135" t="s">
        <v>319</v>
      </c>
      <c r="E2" s="136">
        <f t="shared" ref="E2" si="0">LEN(D2)</f>
        <v>16</v>
      </c>
      <c r="F2" s="193" t="s">
        <v>340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永存の究極論 ユークリッド</v>
      </c>
      <c r="H2" s="137">
        <f>IFERROR(VLOOKUP(A2,[1]characters!$A:$R,18),0)</f>
        <v>3</v>
      </c>
      <c r="I2" s="137"/>
      <c r="J2" s="142"/>
      <c r="K2" s="138">
        <v>1</v>
      </c>
      <c r="L2" s="139"/>
      <c r="M2" s="140"/>
      <c r="N2" s="140"/>
      <c r="O2" s="140"/>
      <c r="P2" s="140"/>
      <c r="Q2" s="140"/>
      <c r="R2" s="135"/>
      <c r="S2" s="141"/>
    </row>
    <row r="3" spans="1:19" ht="21" customHeight="1" x14ac:dyDescent="0.15">
      <c r="A3" s="12">
        <v>1184</v>
      </c>
      <c r="B3" s="134" t="s">
        <v>185</v>
      </c>
      <c r="C3" s="135" t="s">
        <v>327</v>
      </c>
      <c r="D3" s="135" t="s">
        <v>320</v>
      </c>
      <c r="E3" s="136">
        <f t="shared" ref="E3" si="1">LEN(D3)</f>
        <v>9</v>
      </c>
      <c r="F3" s="118" t="s">
        <v>321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電装の烙雷芯 ファラデー</v>
      </c>
      <c r="H3" s="137">
        <f>IFERROR(VLOOKUP(A3,[1]characters!$A:$R,18),0)</f>
        <v>3</v>
      </c>
      <c r="I3" s="137"/>
      <c r="J3" s="142"/>
      <c r="K3" s="138">
        <v>1</v>
      </c>
      <c r="L3" s="139"/>
      <c r="M3" s="140"/>
      <c r="N3" s="140"/>
      <c r="O3" s="140"/>
      <c r="P3" s="140"/>
      <c r="Q3" s="140"/>
      <c r="R3" s="135"/>
      <c r="S3" s="141"/>
    </row>
    <row r="4" spans="1:19" ht="21" customHeight="1" x14ac:dyDescent="0.15">
      <c r="A4" s="12">
        <v>1126</v>
      </c>
      <c r="B4" s="134" t="s">
        <v>185</v>
      </c>
      <c r="C4" s="135" t="s">
        <v>342</v>
      </c>
      <c r="D4" s="135" t="s">
        <v>350</v>
      </c>
      <c r="E4" s="136">
        <f t="shared" ref="E4" si="2">LEN(D4)</f>
        <v>30</v>
      </c>
      <c r="F4" s="118" t="s">
        <v>349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最終焉算の鋼砲 チューリング</v>
      </c>
      <c r="H4" s="137">
        <f>IFERROR(VLOOKUP(A4,[1]characters!$A:$R,18),0)</f>
        <v>3</v>
      </c>
      <c r="I4" s="137"/>
      <c r="J4" s="142"/>
      <c r="K4" s="138">
        <v>1</v>
      </c>
      <c r="L4" s="139"/>
      <c r="M4" s="140"/>
      <c r="N4" s="140"/>
      <c r="O4" s="140"/>
      <c r="P4" s="140"/>
      <c r="Q4" s="140"/>
      <c r="R4" s="135"/>
      <c r="S4" s="141"/>
    </row>
    <row r="5" spans="1:19" ht="21" customHeight="1" x14ac:dyDescent="0.15">
      <c r="A5" s="12">
        <v>1125</v>
      </c>
      <c r="B5" s="134" t="s">
        <v>185</v>
      </c>
      <c r="C5" s="135" t="s">
        <v>377</v>
      </c>
      <c r="D5" s="135" t="s">
        <v>320</v>
      </c>
      <c r="E5" s="136">
        <f t="shared" ref="E5" si="3">LEN(D5)</f>
        <v>9</v>
      </c>
      <c r="F5" s="118" t="s">
        <v>375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累々たる世解 シュレディンガー</v>
      </c>
      <c r="H5" s="137">
        <f>IFERROR(VLOOKUP(A5,[1]characters!$A:$R,18),0)</f>
        <v>3</v>
      </c>
      <c r="I5" s="137"/>
      <c r="J5" s="142"/>
      <c r="K5" s="138">
        <v>1</v>
      </c>
      <c r="L5" s="139"/>
      <c r="M5" s="140"/>
      <c r="N5" s="140"/>
      <c r="O5" s="140"/>
      <c r="P5" s="140"/>
      <c r="Q5" s="140"/>
      <c r="R5" s="135"/>
      <c r="S5" s="141"/>
    </row>
  </sheetData>
  <sheetProtection selectLockedCells="1" selectUnlockedCells="1"/>
  <autoFilter ref="A1:J1"/>
  <phoneticPr fontId="22"/>
  <conditionalFormatting sqref="E2">
    <cfRule type="cellIs" dxfId="39" priority="6" operator="greaterThan">
      <formula>41</formula>
    </cfRule>
  </conditionalFormatting>
  <conditionalFormatting sqref="E3">
    <cfRule type="cellIs" dxfId="38" priority="5" operator="greaterThan">
      <formula>41</formula>
    </cfRule>
  </conditionalFormatting>
  <conditionalFormatting sqref="E4">
    <cfRule type="cellIs" dxfId="37" priority="4" operator="greaterThan">
      <formula>41</formula>
    </cfRule>
  </conditionalFormatting>
  <conditionalFormatting sqref="E5">
    <cfRule type="cellIs" dxfId="36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1"/>
  <sheetViews>
    <sheetView workbookViewId="0">
      <selection activeCell="G27" sqref="G27"/>
    </sheetView>
  </sheetViews>
  <sheetFormatPr baseColWidth="12" defaultRowHeight="15" outlineLevelCol="1" x14ac:dyDescent="0.15"/>
  <cols>
    <col min="2" max="2" width="12.83203125" style="144"/>
    <col min="4" max="4" width="12.83203125" style="144" customWidth="1" outlineLevel="1"/>
    <col min="5" max="5" width="12.83203125" style="144"/>
    <col min="8" max="8" width="26.33203125" bestFit="1" customWidth="1"/>
  </cols>
  <sheetData>
    <row r="1" spans="1:8" x14ac:dyDescent="0.15">
      <c r="A1" s="115" t="s">
        <v>186</v>
      </c>
      <c r="B1" s="143" t="s">
        <v>187</v>
      </c>
      <c r="C1" s="115" t="s">
        <v>188</v>
      </c>
      <c r="D1" s="143" t="s">
        <v>190</v>
      </c>
      <c r="E1" s="143" t="s">
        <v>191</v>
      </c>
      <c r="F1" s="113" t="s">
        <v>192</v>
      </c>
      <c r="G1" s="115" t="s">
        <v>189</v>
      </c>
      <c r="H1" s="113" t="s">
        <v>193</v>
      </c>
    </row>
    <row r="2" spans="1:8" x14ac:dyDescent="0.15">
      <c r="A2" s="109">
        <v>1181</v>
      </c>
      <c r="B2" s="143" t="str">
        <f>VLOOKUP(A2,[1]characters!$A:$C,3,FALSE)</f>
        <v>永存の究極論 ユークリッド</v>
      </c>
      <c r="C2" s="109" t="s">
        <v>194</v>
      </c>
      <c r="D2" s="143" t="str">
        <f t="shared" ref="D2:D10" si="0">A2&amp;C2</f>
        <v>1181skill</v>
      </c>
      <c r="E2" s="143" t="str">
        <f>A2&amp;+(COUNTIF(A2:A$22,A2)-1)</f>
        <v>11814</v>
      </c>
      <c r="F2" s="109" t="s">
        <v>196</v>
      </c>
      <c r="G2" s="109" t="s">
        <v>317</v>
      </c>
      <c r="H2" s="109" t="s">
        <v>328</v>
      </c>
    </row>
    <row r="3" spans="1:8" x14ac:dyDescent="0.15">
      <c r="A3" s="109">
        <v>1181</v>
      </c>
      <c r="B3" s="143" t="str">
        <f>VLOOKUP(A3,[1]characters!$A:$C,3,FALSE)</f>
        <v>永存の究極論 ユークリッド</v>
      </c>
      <c r="C3" s="109" t="s">
        <v>197</v>
      </c>
      <c r="D3" s="143" t="str">
        <f t="shared" ref="D3" si="1">A3&amp;C3</f>
        <v>1181cskill</v>
      </c>
      <c r="E3" s="143" t="str">
        <f>A3&amp;+(COUNTIF(A3:A$22,A3)-1)</f>
        <v>11813</v>
      </c>
      <c r="F3" s="109" t="s">
        <v>184</v>
      </c>
      <c r="G3" s="109" t="s">
        <v>317</v>
      </c>
      <c r="H3" s="109" t="s">
        <v>332</v>
      </c>
    </row>
    <row r="4" spans="1:8" x14ac:dyDescent="0.15">
      <c r="A4" s="109">
        <v>1181</v>
      </c>
      <c r="B4" s="143" t="str">
        <f>VLOOKUP(A4,[1]characters!$A:$C,3,FALSE)</f>
        <v>永存の究極論 ユークリッド</v>
      </c>
      <c r="C4" s="109" t="s">
        <v>197</v>
      </c>
      <c r="D4" s="143" t="str">
        <f t="shared" si="0"/>
        <v>1181cskill</v>
      </c>
      <c r="E4" s="143" t="str">
        <f>A4&amp;+(COUNTIF(A4:A$22,A4)-1)</f>
        <v>11812</v>
      </c>
      <c r="F4" s="109" t="s">
        <v>185</v>
      </c>
      <c r="G4" s="109" t="s">
        <v>195</v>
      </c>
      <c r="H4" s="109" t="s">
        <v>329</v>
      </c>
    </row>
    <row r="5" spans="1:8" x14ac:dyDescent="0.15">
      <c r="A5" s="109">
        <v>1181</v>
      </c>
      <c r="B5" s="143" t="str">
        <f>VLOOKUP(A5,[1]characters!$A:$C,3,FALSE)</f>
        <v>永存の究極論 ユークリッド</v>
      </c>
      <c r="C5" s="109" t="s">
        <v>197</v>
      </c>
      <c r="D5" s="143" t="str">
        <f t="shared" si="0"/>
        <v>1181cskill</v>
      </c>
      <c r="E5" s="143" t="str">
        <f>A5&amp;+(COUNTIF(A5:A$22,A5)-1)</f>
        <v>11811</v>
      </c>
      <c r="F5" s="109" t="s">
        <v>185</v>
      </c>
      <c r="G5" s="109" t="s">
        <v>317</v>
      </c>
      <c r="H5" s="109" t="s">
        <v>330</v>
      </c>
    </row>
    <row r="6" spans="1:8" x14ac:dyDescent="0.15">
      <c r="A6" s="109">
        <v>1181</v>
      </c>
      <c r="B6" s="143" t="str">
        <f>VLOOKUP(A6,[1]characters!$A:$C,3,FALSE)</f>
        <v>永存の究極論 ユークリッド</v>
      </c>
      <c r="C6" s="109" t="s">
        <v>197</v>
      </c>
      <c r="D6" s="143" t="str">
        <f t="shared" si="0"/>
        <v>1181cskill</v>
      </c>
      <c r="E6" s="143" t="str">
        <f>A6&amp;+(COUNTIF(A6:A$22,A6)-1)</f>
        <v>11810</v>
      </c>
      <c r="F6" s="109" t="s">
        <v>185</v>
      </c>
      <c r="G6" s="109" t="s">
        <v>317</v>
      </c>
      <c r="H6" s="109" t="s">
        <v>331</v>
      </c>
    </row>
    <row r="7" spans="1:8" x14ac:dyDescent="0.15">
      <c r="A7" s="109">
        <v>1184</v>
      </c>
      <c r="B7" s="143" t="str">
        <f>VLOOKUP(A7,[1]characters!$A:$C,3,FALSE)</f>
        <v>電装の烙雷芯 ファラデー</v>
      </c>
      <c r="C7" s="109" t="s">
        <v>194</v>
      </c>
      <c r="D7" s="143" t="str">
        <f t="shared" si="0"/>
        <v>1184skill</v>
      </c>
      <c r="E7" s="143" t="str">
        <f>A7&amp;+(COUNTIF(A7:A$22,A7)-1)</f>
        <v>11844</v>
      </c>
      <c r="F7" s="109" t="s">
        <v>196</v>
      </c>
      <c r="G7" s="109" t="s">
        <v>317</v>
      </c>
      <c r="H7" s="109" t="s">
        <v>338</v>
      </c>
    </row>
    <row r="8" spans="1:8" x14ac:dyDescent="0.15">
      <c r="A8" s="109">
        <v>1184</v>
      </c>
      <c r="B8" s="143" t="str">
        <f>VLOOKUP(A8,[1]characters!$A:$C,3,FALSE)</f>
        <v>電装の烙雷芯 ファラデー</v>
      </c>
      <c r="C8" s="109" t="s">
        <v>197</v>
      </c>
      <c r="D8" s="143" t="str">
        <f t="shared" si="0"/>
        <v>1184cskill</v>
      </c>
      <c r="E8" s="143" t="str">
        <f>A8&amp;+(COUNTIF(A8:A$22,A8)-1)</f>
        <v>11843</v>
      </c>
      <c r="F8" s="109" t="s">
        <v>185</v>
      </c>
      <c r="G8" s="109" t="s">
        <v>317</v>
      </c>
      <c r="H8" s="109" t="s">
        <v>337</v>
      </c>
    </row>
    <row r="9" spans="1:8" x14ac:dyDescent="0.15">
      <c r="A9" s="109">
        <v>1184</v>
      </c>
      <c r="B9" s="143" t="str">
        <f>VLOOKUP(A9,[1]characters!$A:$C,3,FALSE)</f>
        <v>電装の烙雷芯 ファラデー</v>
      </c>
      <c r="C9" s="109" t="s">
        <v>197</v>
      </c>
      <c r="D9" s="143" t="str">
        <f t="shared" si="0"/>
        <v>1184cskill</v>
      </c>
      <c r="E9" s="143" t="str">
        <f>A9&amp;+(COUNTIF(A9:A$22,A9)-1)</f>
        <v>11842</v>
      </c>
      <c r="F9" s="109" t="s">
        <v>185</v>
      </c>
      <c r="G9" s="109" t="s">
        <v>317</v>
      </c>
      <c r="H9" s="109" t="s">
        <v>333</v>
      </c>
    </row>
    <row r="10" spans="1:8" x14ac:dyDescent="0.15">
      <c r="A10" s="109">
        <v>1184</v>
      </c>
      <c r="B10" s="143" t="str">
        <f>VLOOKUP(A10,[1]characters!$A:$C,3,FALSE)</f>
        <v>電装の烙雷芯 ファラデー</v>
      </c>
      <c r="C10" s="109" t="s">
        <v>197</v>
      </c>
      <c r="D10" s="143" t="str">
        <f t="shared" si="0"/>
        <v>1184cskill</v>
      </c>
      <c r="E10" s="143" t="str">
        <f>A10&amp;+(COUNTIF(A10:A$22,A10)-1)</f>
        <v>11841</v>
      </c>
      <c r="F10" s="109" t="s">
        <v>185</v>
      </c>
      <c r="G10" s="109" t="s">
        <v>317</v>
      </c>
      <c r="H10" s="109" t="s">
        <v>334</v>
      </c>
    </row>
    <row r="11" spans="1:8" x14ac:dyDescent="0.15">
      <c r="A11" s="109">
        <v>1184</v>
      </c>
      <c r="B11" s="143" t="str">
        <f>VLOOKUP(A11,[1]characters!$A:$C,3,FALSE)</f>
        <v>電装の烙雷芯 ファラデー</v>
      </c>
      <c r="C11" s="109" t="s">
        <v>197</v>
      </c>
      <c r="D11" s="143" t="str">
        <f t="shared" ref="D11:D15" si="2">A11&amp;C11</f>
        <v>1184cskill</v>
      </c>
      <c r="E11" s="143" t="str">
        <f>A11&amp;+(COUNTIF(A11:A$22,A11)-1)</f>
        <v>11840</v>
      </c>
      <c r="F11" s="109" t="s">
        <v>184</v>
      </c>
      <c r="G11" s="109" t="s">
        <v>336</v>
      </c>
      <c r="H11" s="109" t="s">
        <v>335</v>
      </c>
    </row>
    <row r="12" spans="1:8" x14ac:dyDescent="0.15">
      <c r="A12" s="109">
        <v>1126</v>
      </c>
      <c r="B12" s="143" t="str">
        <f>VLOOKUP(A12,[1]characters!$A:$C,3,FALSE)</f>
        <v>最終焉算の鋼砲 チューリング</v>
      </c>
      <c r="C12" s="109" t="s">
        <v>194</v>
      </c>
      <c r="D12" s="143" t="str">
        <f t="shared" si="2"/>
        <v>1126skill</v>
      </c>
      <c r="E12" s="143" t="str">
        <f>A12&amp;+(COUNTIF(A12:A$22,A12)-1)</f>
        <v>11264</v>
      </c>
      <c r="F12" s="109" t="s">
        <v>196</v>
      </c>
      <c r="G12" s="109" t="s">
        <v>195</v>
      </c>
      <c r="H12" s="109" t="s">
        <v>343</v>
      </c>
    </row>
    <row r="13" spans="1:8" x14ac:dyDescent="0.15">
      <c r="A13" s="109">
        <v>1126</v>
      </c>
      <c r="B13" s="143" t="str">
        <f>VLOOKUP(A13,[1]characters!$A:$C,3,FALSE)</f>
        <v>最終焉算の鋼砲 チューリング</v>
      </c>
      <c r="C13" s="109" t="s">
        <v>197</v>
      </c>
      <c r="D13" s="143" t="str">
        <f t="shared" si="2"/>
        <v>1126cskill</v>
      </c>
      <c r="E13" s="143" t="str">
        <f>A13&amp;+(COUNTIF(A13:A$22,A13)-1)</f>
        <v>11263</v>
      </c>
      <c r="F13" s="109" t="s">
        <v>185</v>
      </c>
      <c r="G13" s="109" t="s">
        <v>195</v>
      </c>
      <c r="H13" s="109" t="s">
        <v>344</v>
      </c>
    </row>
    <row r="14" spans="1:8" x14ac:dyDescent="0.15">
      <c r="A14" s="109">
        <v>1126</v>
      </c>
      <c r="B14" s="143" t="str">
        <f>VLOOKUP(A14,[1]characters!$A:$C,3,FALSE)</f>
        <v>最終焉算の鋼砲 チューリング</v>
      </c>
      <c r="C14" s="109" t="s">
        <v>197</v>
      </c>
      <c r="D14" s="143" t="str">
        <f t="shared" si="2"/>
        <v>1126cskill</v>
      </c>
      <c r="E14" s="143" t="str">
        <f>A14&amp;+(COUNTIF(A14:A$22,A14)-1)</f>
        <v>11262</v>
      </c>
      <c r="F14" s="109" t="s">
        <v>185</v>
      </c>
      <c r="G14" s="109" t="s">
        <v>195</v>
      </c>
      <c r="H14" s="109" t="s">
        <v>347</v>
      </c>
    </row>
    <row r="15" spans="1:8" x14ac:dyDescent="0.15">
      <c r="A15" s="109">
        <v>1126</v>
      </c>
      <c r="B15" s="143" t="str">
        <f>VLOOKUP(A15,[1]characters!$A:$C,3,FALSE)</f>
        <v>最終焉算の鋼砲 チューリング</v>
      </c>
      <c r="C15" s="109" t="s">
        <v>197</v>
      </c>
      <c r="D15" s="143" t="str">
        <f t="shared" si="2"/>
        <v>1126cskill</v>
      </c>
      <c r="E15" s="143" t="str">
        <f>A15&amp;+(COUNTIF(A15:A$22,A15)-1)</f>
        <v>11261</v>
      </c>
      <c r="F15" s="109" t="s">
        <v>185</v>
      </c>
      <c r="G15" s="109" t="s">
        <v>195</v>
      </c>
      <c r="H15" s="109" t="s">
        <v>345</v>
      </c>
    </row>
    <row r="16" spans="1:8" x14ac:dyDescent="0.15">
      <c r="A16" s="109">
        <v>1126</v>
      </c>
      <c r="B16" s="143" t="str">
        <f>VLOOKUP(A16,[1]characters!$A:$C,3,FALSE)</f>
        <v>最終焉算の鋼砲 チューリング</v>
      </c>
      <c r="C16" s="109" t="s">
        <v>197</v>
      </c>
      <c r="D16" s="143" t="str">
        <f t="shared" ref="D16:D21" si="3">A16&amp;C16</f>
        <v>1126cskill</v>
      </c>
      <c r="E16" s="143" t="str">
        <f>A16&amp;+(COUNTIF(A16:A$22,A16)-1)</f>
        <v>11260</v>
      </c>
      <c r="F16" s="109" t="s">
        <v>184</v>
      </c>
      <c r="G16" s="109" t="s">
        <v>195</v>
      </c>
      <c r="H16" s="109" t="s">
        <v>346</v>
      </c>
    </row>
    <row r="17" spans="1:8" x14ac:dyDescent="0.15">
      <c r="A17" s="109">
        <v>1125</v>
      </c>
      <c r="B17" s="143" t="str">
        <f>VLOOKUP(A17,[1]characters!$A:$C,3,FALSE)</f>
        <v>累々たる世解 シュレディンガー</v>
      </c>
      <c r="C17" s="109" t="s">
        <v>194</v>
      </c>
      <c r="D17" s="143" t="str">
        <f t="shared" si="3"/>
        <v>1125skill</v>
      </c>
      <c r="E17" s="143" t="str">
        <f>A17&amp;+(COUNTIF(A17:A$22,A17)-1)</f>
        <v>11254</v>
      </c>
      <c r="F17" s="109" t="s">
        <v>196</v>
      </c>
      <c r="G17" s="109" t="s">
        <v>195</v>
      </c>
      <c r="H17" s="109" t="s">
        <v>378</v>
      </c>
    </row>
    <row r="18" spans="1:8" x14ac:dyDescent="0.15">
      <c r="A18" s="109">
        <v>1125</v>
      </c>
      <c r="B18" s="143" t="str">
        <f>VLOOKUP(A18,[1]characters!$A:$C,3,FALSE)</f>
        <v>累々たる世解 シュレディンガー</v>
      </c>
      <c r="C18" s="109" t="s">
        <v>197</v>
      </c>
      <c r="D18" s="143" t="str">
        <f t="shared" si="3"/>
        <v>1125cskill</v>
      </c>
      <c r="E18" s="143" t="str">
        <f>A18&amp;+(COUNTIF(A18:A$22,A18)-1)</f>
        <v>11253</v>
      </c>
      <c r="F18" s="109" t="s">
        <v>184</v>
      </c>
      <c r="G18" s="109" t="s">
        <v>195</v>
      </c>
      <c r="H18" s="109" t="s">
        <v>380</v>
      </c>
    </row>
    <row r="19" spans="1:8" x14ac:dyDescent="0.15">
      <c r="A19" s="109">
        <v>1125</v>
      </c>
      <c r="B19" s="143" t="str">
        <f>VLOOKUP(A19,[1]characters!$A:$C,3,FALSE)</f>
        <v>累々たる世解 シュレディンガー</v>
      </c>
      <c r="C19" s="109" t="s">
        <v>197</v>
      </c>
      <c r="D19" s="143" t="str">
        <f t="shared" si="3"/>
        <v>1125cskill</v>
      </c>
      <c r="E19" s="143" t="str">
        <f>A19&amp;+(COUNTIF(A19:A$22,A19)-1)</f>
        <v>11252</v>
      </c>
      <c r="F19" s="109" t="s">
        <v>185</v>
      </c>
      <c r="G19" s="109" t="s">
        <v>195</v>
      </c>
      <c r="H19" s="109" t="s">
        <v>381</v>
      </c>
    </row>
    <row r="20" spans="1:8" x14ac:dyDescent="0.15">
      <c r="A20" s="109">
        <v>1125</v>
      </c>
      <c r="B20" s="143" t="str">
        <f>VLOOKUP(A20,[1]characters!$A:$C,3,FALSE)</f>
        <v>累々たる世解 シュレディンガー</v>
      </c>
      <c r="C20" s="109" t="s">
        <v>197</v>
      </c>
      <c r="D20" s="143" t="str">
        <f t="shared" si="3"/>
        <v>1125cskill</v>
      </c>
      <c r="E20" s="143" t="str">
        <f>A20&amp;+(COUNTIF(A20:A$22,A20)-1)</f>
        <v>11251</v>
      </c>
      <c r="F20" s="109" t="s">
        <v>185</v>
      </c>
      <c r="G20" s="109" t="s">
        <v>195</v>
      </c>
      <c r="H20" s="109" t="s">
        <v>382</v>
      </c>
    </row>
    <row r="21" spans="1:8" x14ac:dyDescent="0.15">
      <c r="A21" s="109">
        <v>1125</v>
      </c>
      <c r="B21" s="143" t="str">
        <f>VLOOKUP(A21,[1]characters!$A:$C,3,FALSE)</f>
        <v>累々たる世解 シュレディンガー</v>
      </c>
      <c r="C21" s="109" t="s">
        <v>197</v>
      </c>
      <c r="D21" s="143" t="str">
        <f t="shared" si="3"/>
        <v>1125cskill</v>
      </c>
      <c r="E21" s="143" t="str">
        <f>A21&amp;+(COUNTIF(A21:A$22,A21)-1)</f>
        <v>11250</v>
      </c>
      <c r="F21" s="109" t="s">
        <v>185</v>
      </c>
      <c r="G21" s="109" t="s">
        <v>195</v>
      </c>
      <c r="H21" s="109" t="s">
        <v>379</v>
      </c>
    </row>
  </sheetData>
  <phoneticPr fontId="22"/>
  <dataValidations count="2">
    <dataValidation type="list" allowBlank="1" showInputMessage="1" showErrorMessage="1" sqref="G2:G21">
      <formula1>"maru,giza,kumo"</formula1>
    </dataValidation>
    <dataValidation type="list" allowBlank="1" showInputMessage="1" showErrorMessage="1" sqref="C2:C2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1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13" sqref="A13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22" style="13" hidden="1" customWidth="1" outlineLevel="1"/>
    <col min="11" max="11" width="14.1640625" style="13" hidden="1" customWidth="1" outlineLevel="1"/>
    <col min="12" max="12" width="12.33203125" style="13" hidden="1" customWidth="1" outlineLevel="1"/>
    <col min="13" max="15" width="13.6640625" style="13" hidden="1" customWidth="1" outlineLevel="1"/>
    <col min="16" max="16" width="15.1640625" style="13" customWidth="1"/>
    <col min="17" max="17" width="20.1640625" style="12" bestFit="1" customWidth="1"/>
    <col min="18" max="18" width="18.83203125" style="13" bestFit="1" customWidth="1"/>
    <col min="19" max="20" width="18.83203125" style="13" customWidth="1"/>
    <col min="21" max="21" width="15.1640625" style="13" customWidth="1"/>
    <col min="22" max="16384" width="8.83203125" style="12"/>
  </cols>
  <sheetData>
    <row r="1" spans="1:21" ht="21" customHeight="1" x14ac:dyDescent="0.15">
      <c r="A1" s="81" t="s">
        <v>276</v>
      </c>
      <c r="B1" s="95" t="s">
        <v>277</v>
      </c>
      <c r="C1" s="86" t="s">
        <v>278</v>
      </c>
      <c r="D1" s="86" t="s">
        <v>279</v>
      </c>
      <c r="E1" s="86" t="s">
        <v>280</v>
      </c>
      <c r="F1" s="86" t="s">
        <v>281</v>
      </c>
      <c r="G1" s="86" t="s">
        <v>1</v>
      </c>
      <c r="H1" s="180" t="s">
        <v>19</v>
      </c>
      <c r="I1" s="86" t="s">
        <v>0</v>
      </c>
      <c r="J1" s="85" t="s">
        <v>282</v>
      </c>
      <c r="K1" s="86" t="s">
        <v>277</v>
      </c>
      <c r="L1" s="87" t="s">
        <v>49</v>
      </c>
      <c r="M1" s="87" t="s">
        <v>48</v>
      </c>
      <c r="N1" s="87" t="s">
        <v>283</v>
      </c>
      <c r="O1" s="87" t="s">
        <v>284</v>
      </c>
      <c r="P1" s="92" t="s">
        <v>285</v>
      </c>
      <c r="Q1" s="91" t="s">
        <v>286</v>
      </c>
      <c r="R1" s="80" t="s">
        <v>277</v>
      </c>
      <c r="S1" s="92" t="s">
        <v>287</v>
      </c>
      <c r="T1" s="80" t="s">
        <v>277</v>
      </c>
      <c r="U1" s="92" t="s">
        <v>288</v>
      </c>
    </row>
    <row r="2" spans="1:21" ht="21" customHeight="1" x14ac:dyDescent="0.15">
      <c r="A2" s="181">
        <v>689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根原論理 ユークリッド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ガチャ:フィーバーフェス04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7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1" t="e">
        <f>VLOOKUP(#REF!,[1]character_tribe_i18n!$A:$H,4,FALSE)</f>
        <v>#REF!</v>
      </c>
      <c r="M2" s="11" t="e">
        <f>VLOOKUP(#REF!,[1]character_tribe_i18n!$A:$H,5,FALSE)</f>
        <v>#REF!</v>
      </c>
      <c r="N2" s="11" t="e">
        <f>VLOOKUP(#REF!,[1]character_tribe_i18n!$A:$H,6,FALSE)</f>
        <v>#REF!</v>
      </c>
      <c r="O2" s="11" t="e">
        <f>VLOOKUP(#REF!,[1]character_tribe_i18n!$A:$H,7,FALSE)</f>
        <v>#REF!</v>
      </c>
      <c r="P2" s="181" t="str">
        <f>VLOOKUP(Q2,[1]characters!$A:$AC,20)</f>
        <v>super</v>
      </c>
      <c r="Q2" s="9">
        <v>1181</v>
      </c>
      <c r="R2" s="62" t="str">
        <f ca="1">IF(Q2="NULL","",VLOOKUP($Q2,OFFSET([1]characters!$A$1,0,0,COUNTA([1]characters!$A:$A),MATCH(R$1,[1]characters!$1:$1,0)-MATCH($A$1,[1]characters!$1:$1,0)+1),MATCH(R$1,[1]characters!$1:$1,0)-MATCH($A$1,[1]characters!$1:$1,0)+1,FALSE))</f>
        <v>永存の究極論 ユークリッド</v>
      </c>
      <c r="S2" s="5">
        <f t="shared" ref="S2:S10" ca="1" si="0">IF(ISNA(MATCH(A2,Q:Q,0)),A2,INDIRECT(ADDRESS(MATCH(A2,Q:Q,0),COLUMN())))</f>
        <v>689</v>
      </c>
      <c r="T2" s="62" t="str">
        <f ca="1">VLOOKUP($S2,OFFSET([1]characters!$A$1,0,0,COUNTA([1]characters!$A:$A),MATCH(T$1,[1]characters!$1:$1,0)-MATCH($A$1,[1]characters!$1:$1,0)+1),MATCH(T$1,[1]characters!$1:$1,0)-MATCH($A$1,[1]characters!$1:$1,0)+1,FALSE)</f>
        <v>根原論理 ユークリッド</v>
      </c>
      <c r="U2" s="11">
        <f ca="1">IF(Q2="NULL","NULL",VLOOKUP(G2,[2]ビット!$A$2:$B$7,2))</f>
        <v>200000</v>
      </c>
    </row>
    <row r="3" spans="1:21" ht="21" customHeight="1" x14ac:dyDescent="0.15">
      <c r="A3" s="181">
        <v>411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電隷の始祖 ファラデー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ガチャ:フィーバーフェス03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7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1" t="e">
        <f>VLOOKUP(#REF!,[1]character_tribe_i18n!$A:$H,4,FALSE)</f>
        <v>#REF!</v>
      </c>
      <c r="M3" s="11" t="e">
        <f>VLOOKUP(#REF!,[1]character_tribe_i18n!$A:$H,5,FALSE)</f>
        <v>#REF!</v>
      </c>
      <c r="N3" s="11" t="e">
        <f>VLOOKUP(#REF!,[1]character_tribe_i18n!$A:$H,6,FALSE)</f>
        <v>#REF!</v>
      </c>
      <c r="O3" s="11" t="e">
        <f>VLOOKUP(#REF!,[1]character_tribe_i18n!$A:$H,7,FALSE)</f>
        <v>#REF!</v>
      </c>
      <c r="P3" s="181" t="str">
        <f>VLOOKUP(Q3,[1]characters!$A:$AC,20)</f>
        <v>super</v>
      </c>
      <c r="Q3" s="9">
        <v>1184</v>
      </c>
      <c r="R3" s="62" t="str">
        <f ca="1">IF(Q3="NULL","",VLOOKUP($Q3,OFFSET([1]characters!$A$1,0,0,COUNTA([1]characters!$A:$A),MATCH(R$1,[1]characters!$1:$1,0)-MATCH($A$1,[1]characters!$1:$1,0)+1),MATCH(R$1,[1]characters!$1:$1,0)-MATCH($A$1,[1]characters!$1:$1,0)+1,FALSE))</f>
        <v>電装の烙雷芯 ファラデー</v>
      </c>
      <c r="S3" s="5">
        <f t="shared" ca="1" si="0"/>
        <v>411</v>
      </c>
      <c r="T3" s="62" t="str">
        <f ca="1">VLOOKUP($S3,OFFSET([1]characters!$A$1,0,0,COUNTA([1]characters!$A:$A),MATCH(T$1,[1]characters!$1:$1,0)-MATCH($A$1,[1]characters!$1:$1,0)+1),MATCH(T$1,[1]characters!$1:$1,0)-MATCH($A$1,[1]characters!$1:$1,0)+1,FALSE)</f>
        <v>電隷の始祖 ファラデー</v>
      </c>
      <c r="U3" s="11">
        <f ca="1">IF(Q3="NULL","NULL",VLOOKUP(G3,[2]ビット!$A$2:$B$7,2))</f>
        <v>200000</v>
      </c>
    </row>
    <row r="4" spans="1:21" ht="21" customHeight="1" x14ac:dyDescent="0.15">
      <c r="A4" s="181">
        <v>690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不朽の極論 ユークリッド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ガチャ:フィーバーフェス04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7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1" t="e">
        <f>VLOOKUP(#REF!,[1]character_tribe_i18n!$A:$H,4,FALSE)</f>
        <v>#REF!</v>
      </c>
      <c r="M4" s="11" t="e">
        <f>VLOOKUP(#REF!,[1]character_tribe_i18n!$A:$H,5,FALSE)</f>
        <v>#REF!</v>
      </c>
      <c r="N4" s="11" t="e">
        <f>VLOOKUP(#REF!,[1]character_tribe_i18n!$A:$H,6,FALSE)</f>
        <v>#REF!</v>
      </c>
      <c r="O4" s="11" t="e">
        <f>VLOOKUP(#REF!,[1]character_tribe_i18n!$A:$H,7,FALSE)</f>
        <v>#REF!</v>
      </c>
      <c r="P4" s="181" t="str">
        <f>VLOOKUP(Q4,[1]characters!$A:$AC,20)</f>
        <v>super</v>
      </c>
      <c r="Q4" s="9">
        <v>1181</v>
      </c>
      <c r="R4" s="62" t="str">
        <f ca="1">IF(Q4="NULL","",VLOOKUP($Q4,OFFSET([1]characters!$A$1,0,0,COUNTA([1]characters!$A:$A),MATCH(R$1,[1]characters!$1:$1,0)-MATCH($A$1,[1]characters!$1:$1,0)+1),MATCH(R$1,[1]characters!$1:$1,0)-MATCH($A$1,[1]characters!$1:$1,0)+1,FALSE))</f>
        <v>永存の究極論 ユークリッド</v>
      </c>
      <c r="S4" s="5">
        <f t="shared" ca="1" si="0"/>
        <v>689</v>
      </c>
      <c r="T4" s="62" t="str">
        <f ca="1">VLOOKUP($S4,OFFSET([1]characters!$A$1,0,0,COUNTA([1]characters!$A:$A),MATCH(T$1,[1]characters!$1:$1,0)-MATCH($A$1,[1]characters!$1:$1,0)+1),MATCH(T$1,[1]characters!$1:$1,0)-MATCH($A$1,[1]characters!$1:$1,0)+1,FALSE)</f>
        <v>根原論理 ユークリッド</v>
      </c>
      <c r="U4" s="11">
        <f ca="1">IF(Q4="NULL","NULL",VLOOKUP(G4,[2]ビット!$A$2:$B$7,2))</f>
        <v>200000</v>
      </c>
    </row>
    <row r="5" spans="1:21" ht="21" customHeight="1" x14ac:dyDescent="0.15">
      <c r="A5" s="181">
        <v>804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豪電の守護芯 ファラデー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各属性相性良3・黄・R422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57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1" t="e">
        <f>VLOOKUP(#REF!,[1]character_tribe_i18n!$A:$H,4,FALSE)</f>
        <v>#REF!</v>
      </c>
      <c r="M5" s="11" t="e">
        <f>VLOOKUP(#REF!,[1]character_tribe_i18n!$A:$H,5,FALSE)</f>
        <v>#REF!</v>
      </c>
      <c r="N5" s="11" t="e">
        <f>VLOOKUP(#REF!,[1]character_tribe_i18n!$A:$H,6,FALSE)</f>
        <v>#REF!</v>
      </c>
      <c r="O5" s="11" t="e">
        <f>VLOOKUP(#REF!,[1]character_tribe_i18n!$A:$H,7,FALSE)</f>
        <v>#REF!</v>
      </c>
      <c r="P5" s="181" t="str">
        <f>VLOOKUP(Q5,[1]characters!$A:$AC,20)</f>
        <v>super</v>
      </c>
      <c r="Q5" s="9">
        <v>1184</v>
      </c>
      <c r="R5" s="62" t="str">
        <f ca="1">IF(Q5="NULL","",VLOOKUP($Q5,OFFSET([1]characters!$A$1,0,0,COUNTA([1]characters!$A:$A),MATCH(R$1,[1]characters!$1:$1,0)-MATCH($A$1,[1]characters!$1:$1,0)+1),MATCH(R$1,[1]characters!$1:$1,0)-MATCH($A$1,[1]characters!$1:$1,0)+1,FALSE))</f>
        <v>電装の烙雷芯 ファラデー</v>
      </c>
      <c r="S5" s="5">
        <f t="shared" ca="1" si="0"/>
        <v>411</v>
      </c>
      <c r="T5" s="62" t="str">
        <f ca="1">VLOOKUP($S5,OFFSET([1]characters!$A$1,0,0,COUNTA([1]characters!$A:$A),MATCH(T$1,[1]characters!$1:$1,0)-MATCH($A$1,[1]characters!$1:$1,0)+1),MATCH(T$1,[1]characters!$1:$1,0)-MATCH($A$1,[1]characters!$1:$1,0)+1,FALSE)</f>
        <v>電隷の始祖 ファラデー</v>
      </c>
      <c r="U5" s="11">
        <f ca="1">IF(Q5="NULL","NULL",VLOOKUP(G5,[2]ビット!$A$2:$B$7,2))</f>
        <v>200000</v>
      </c>
    </row>
    <row r="6" spans="1:21" ht="21" customHeight="1" x14ac:dyDescent="0.15">
      <c r="A6" s="181">
        <v>1181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永存の究極論 ユークリッド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超覚醒ハーシェル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アリス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57" t="str">
        <f ca="1">VLOOKUP($A6,OFFSET([1]characters!$A$1,0,0,COUNTA([1]characters!$A:$A),MATCH(J$1,[1]characters!$1:$1,0)-MATCH($A$1,[1]characters!$1:$1,0)+1),MATCH(J$1,[1]characters!$1:$1,0)-MATCH($A$1,[1]characters!$1:$1,0)+1,FALSE)</f>
        <v>machine</v>
      </c>
      <c r="K6" s="5" t="str">
        <f ca="1">VLOOKUP(J6,[1]character_tribe_i18n!$A:$H,3,FALSE)</f>
        <v>マシン</v>
      </c>
      <c r="L6" s="11" t="e">
        <f>VLOOKUP(#REF!,[1]character_tribe_i18n!$A:$H,4,FALSE)</f>
        <v>#REF!</v>
      </c>
      <c r="M6" s="11" t="e">
        <f>VLOOKUP(#REF!,[1]character_tribe_i18n!$A:$H,5,FALSE)</f>
        <v>#REF!</v>
      </c>
      <c r="N6" s="11" t="e">
        <f>VLOOKUP(#REF!,[1]character_tribe_i18n!$A:$H,6,FALSE)</f>
        <v>#REF!</v>
      </c>
      <c r="O6" s="11" t="e">
        <f>VLOOKUP(#REF!,[1]character_tribe_i18n!$A:$H,7,FALSE)</f>
        <v>#REF!</v>
      </c>
      <c r="P6" s="181" t="str">
        <f>VLOOKUP(Q6,[1]characters!$A:$AC,20)</f>
        <v>normal</v>
      </c>
      <c r="Q6" s="9">
        <v>690</v>
      </c>
      <c r="R6" s="62" t="str">
        <f ca="1">IF(Q6="NULL","",VLOOKUP($Q6,OFFSET([1]characters!$A$1,0,0,COUNTA([1]characters!$A:$A),MATCH(R$1,[1]characters!$1:$1,0)-MATCH($A$1,[1]characters!$1:$1,0)+1),MATCH(R$1,[1]characters!$1:$1,0)-MATCH($A$1,[1]characters!$1:$1,0)+1,FALSE))</f>
        <v>不朽の極論 ユークリッド</v>
      </c>
      <c r="S6" s="5">
        <f t="shared" ca="1" si="0"/>
        <v>689</v>
      </c>
      <c r="T6" s="62" t="str">
        <f ca="1">VLOOKUP($S6,OFFSET([1]characters!$A$1,0,0,COUNTA([1]characters!$A:$A),MATCH(T$1,[1]characters!$1:$1,0)-MATCH($A$1,[1]characters!$1:$1,0)+1),MATCH(T$1,[1]characters!$1:$1,0)-MATCH($A$1,[1]characters!$1:$1,0)+1,FALSE)</f>
        <v>根原論理 ユークリッド</v>
      </c>
      <c r="U6" s="11">
        <f ca="1">IF(Q6="NULL","NULL",VLOOKUP(G6,[2]ビット!$A$2:$B$7,2))</f>
        <v>200000</v>
      </c>
    </row>
    <row r="7" spans="1:21" ht="21" customHeight="1" x14ac:dyDescent="0.15">
      <c r="A7" s="181">
        <v>1184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電装の烙雷芯 ファラデー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超覚醒ハーシェル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アリス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世界観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PremiumSSS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57" t="str">
        <f ca="1">VLOOKUP($A7,OFFSET([1]characters!$A$1,0,0,COUNTA([1]characters!$A:$A),MATCH(J$1,[1]characters!$1:$1,0)-MATCH($A$1,[1]characters!$1:$1,0)+1),MATCH(J$1,[1]characters!$1:$1,0)-MATCH($A$1,[1]characters!$1:$1,0)+1,FALSE)</f>
        <v>none</v>
      </c>
      <c r="K7" s="5" t="str">
        <f ca="1">VLOOKUP(J7,[1]character_tribe_i18n!$A:$H,3,FALSE)</f>
        <v>種族なし</v>
      </c>
      <c r="L7" s="11" t="e">
        <f>VLOOKUP(#REF!,[1]character_tribe_i18n!$A:$H,4,FALSE)</f>
        <v>#REF!</v>
      </c>
      <c r="M7" s="11" t="e">
        <f>VLOOKUP(#REF!,[1]character_tribe_i18n!$A:$H,5,FALSE)</f>
        <v>#REF!</v>
      </c>
      <c r="N7" s="11" t="e">
        <f>VLOOKUP(#REF!,[1]character_tribe_i18n!$A:$H,6,FALSE)</f>
        <v>#REF!</v>
      </c>
      <c r="O7" s="11" t="e">
        <f>VLOOKUP(#REF!,[1]character_tribe_i18n!$A:$H,7,FALSE)</f>
        <v>#REF!</v>
      </c>
      <c r="P7" s="181" t="str">
        <f>VLOOKUP(Q7,[1]characters!$A:$AC,20)</f>
        <v>normal</v>
      </c>
      <c r="Q7" s="9">
        <v>804</v>
      </c>
      <c r="R7" s="62" t="str">
        <f ca="1">IF(Q7="NULL","",VLOOKUP($Q7,OFFSET([1]characters!$A$1,0,0,COUNTA([1]characters!$A:$A),MATCH(R$1,[1]characters!$1:$1,0)-MATCH($A$1,[1]characters!$1:$1,0)+1),MATCH(R$1,[1]characters!$1:$1,0)-MATCH($A$1,[1]characters!$1:$1,0)+1,FALSE))</f>
        <v>豪電の守護芯 ファラデー</v>
      </c>
      <c r="S7" s="5">
        <f t="shared" ca="1" si="0"/>
        <v>411</v>
      </c>
      <c r="T7" s="62" t="str">
        <f ca="1">VLOOKUP($S7,OFFSET([1]characters!$A$1,0,0,COUNTA([1]characters!$A:$A),MATCH(T$1,[1]characters!$1:$1,0)-MATCH($A$1,[1]characters!$1:$1,0)+1),MATCH(T$1,[1]characters!$1:$1,0)-MATCH($A$1,[1]characters!$1:$1,0)+1,FALSE)</f>
        <v>電隷の始祖 ファラデー</v>
      </c>
      <c r="U7" s="11">
        <f ca="1">IF(Q7="NULL","NULL",VLOOKUP(G7,[2]ビット!$A$2:$B$7,2))</f>
        <v>200000</v>
      </c>
    </row>
    <row r="8" spans="1:21" ht="21" customHeight="1" x14ac:dyDescent="0.15">
      <c r="A8" s="181">
        <v>487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暴創の造物 チューリング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ガチャ:緑フェス01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PremiumSSS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green</v>
      </c>
      <c r="J8" s="57" t="str">
        <f ca="1">VLOOKUP($A8,OFFSET([1]characters!$A$1,0,0,COUNTA([1]characters!$A:$A),MATCH(J$1,[1]characters!$1:$1,0)-MATCH($A$1,[1]characters!$1:$1,0)+1),MATCH(J$1,[1]characters!$1:$1,0)-MATCH($A$1,[1]characters!$1:$1,0)+1,FALSE)</f>
        <v>machine</v>
      </c>
      <c r="K8" s="5" t="str">
        <f ca="1">VLOOKUP(J8,[1]character_tribe_i18n!$A:$H,3,FALSE)</f>
        <v>マシン</v>
      </c>
      <c r="L8" s="11" t="e">
        <f>VLOOKUP(#REF!,[1]character_tribe_i18n!$A:$H,4,FALSE)</f>
        <v>#REF!</v>
      </c>
      <c r="M8" s="11" t="e">
        <f>VLOOKUP(#REF!,[1]character_tribe_i18n!$A:$H,5,FALSE)</f>
        <v>#REF!</v>
      </c>
      <c r="N8" s="11" t="e">
        <f>VLOOKUP(#REF!,[1]character_tribe_i18n!$A:$H,6,FALSE)</f>
        <v>#REF!</v>
      </c>
      <c r="O8" s="11" t="e">
        <f>VLOOKUP(#REF!,[1]character_tribe_i18n!$A:$H,7,FALSE)</f>
        <v>#REF!</v>
      </c>
      <c r="P8" s="181" t="str">
        <f>VLOOKUP(Q8,[1]characters!$A:$AC,20)</f>
        <v>super</v>
      </c>
      <c r="Q8" s="9">
        <v>1126</v>
      </c>
      <c r="R8" s="62" t="str">
        <f ca="1">IF(Q8="NULL","",VLOOKUP($Q8,OFFSET([1]characters!$A$1,0,0,COUNTA([1]characters!$A:$A),MATCH(R$1,[1]characters!$1:$1,0)-MATCH($A$1,[1]characters!$1:$1,0)+1),MATCH(R$1,[1]characters!$1:$1,0)-MATCH($A$1,[1]characters!$1:$1,0)+1,FALSE))</f>
        <v>最終焉算の鋼砲 チューリング</v>
      </c>
      <c r="S8" s="5">
        <f t="shared" ca="1" si="0"/>
        <v>487</v>
      </c>
      <c r="T8" s="62" t="str">
        <f ca="1">VLOOKUP($S8,OFFSET([1]characters!$A$1,0,0,COUNTA([1]characters!$A:$A),MATCH(T$1,[1]characters!$1:$1,0)-MATCH($A$1,[1]characters!$1:$1,0)+1),MATCH(T$1,[1]characters!$1:$1,0)-MATCH($A$1,[1]characters!$1:$1,0)+1,FALSE)</f>
        <v>暴創の造物 チューリング</v>
      </c>
      <c r="U8" s="11">
        <f ca="1">IF(Q8="NULL","NULL",VLOOKUP(G8,[2]ビット!$A$2:$B$7,2))</f>
        <v>200000</v>
      </c>
    </row>
    <row r="9" spans="1:21" ht="21" customHeight="1" x14ac:dyDescent="0.15">
      <c r="A9" s="181">
        <v>799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電讃の魔機 チューリング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各属性相性良3・黄・R417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PremiumSSS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green</v>
      </c>
      <c r="J9" s="57" t="str">
        <f ca="1">VLOOKUP($A9,OFFSET([1]characters!$A$1,0,0,COUNTA([1]characters!$A:$A),MATCH(J$1,[1]characters!$1:$1,0)-MATCH($A$1,[1]characters!$1:$1,0)+1),MATCH(J$1,[1]characters!$1:$1,0)-MATCH($A$1,[1]characters!$1:$1,0)+1,FALSE)</f>
        <v>machine</v>
      </c>
      <c r="K9" s="5" t="str">
        <f ca="1">VLOOKUP(J9,[1]character_tribe_i18n!$A:$H,3,FALSE)</f>
        <v>マシン</v>
      </c>
      <c r="L9" s="11" t="e">
        <f>VLOOKUP(#REF!,[1]character_tribe_i18n!$A:$H,4,FALSE)</f>
        <v>#REF!</v>
      </c>
      <c r="M9" s="11" t="e">
        <f>VLOOKUP(#REF!,[1]character_tribe_i18n!$A:$H,5,FALSE)</f>
        <v>#REF!</v>
      </c>
      <c r="N9" s="11" t="e">
        <f>VLOOKUP(#REF!,[1]character_tribe_i18n!$A:$H,6,FALSE)</f>
        <v>#REF!</v>
      </c>
      <c r="O9" s="11" t="e">
        <f>VLOOKUP(#REF!,[1]character_tribe_i18n!$A:$H,7,FALSE)</f>
        <v>#REF!</v>
      </c>
      <c r="P9" s="181" t="str">
        <f>VLOOKUP(Q9,[1]characters!$A:$AC,20)</f>
        <v>super</v>
      </c>
      <c r="Q9" s="9">
        <v>1126</v>
      </c>
      <c r="R9" s="62" t="str">
        <f ca="1">IF(Q9="NULL","",VLOOKUP($Q9,OFFSET([1]characters!$A$1,0,0,COUNTA([1]characters!$A:$A),MATCH(R$1,[1]characters!$1:$1,0)-MATCH($A$1,[1]characters!$1:$1,0)+1),MATCH(R$1,[1]characters!$1:$1,0)-MATCH($A$1,[1]characters!$1:$1,0)+1,FALSE))</f>
        <v>最終焉算の鋼砲 チューリング</v>
      </c>
      <c r="S9" s="5">
        <f t="shared" ca="1" si="0"/>
        <v>487</v>
      </c>
      <c r="T9" s="62" t="str">
        <f ca="1">VLOOKUP($S9,OFFSET([1]characters!$A$1,0,0,COUNTA([1]characters!$A:$A),MATCH(T$1,[1]characters!$1:$1,0)-MATCH($A$1,[1]characters!$1:$1,0)+1),MATCH(T$1,[1]characters!$1:$1,0)-MATCH($A$1,[1]characters!$1:$1,0)+1,FALSE)</f>
        <v>暴創の造物 チューリング</v>
      </c>
      <c r="U9" s="11">
        <f ca="1">IF(Q9="NULL","NULL",VLOOKUP(G9,[2]ビット!$A$2:$B$7,2))</f>
        <v>200000</v>
      </c>
    </row>
    <row r="10" spans="1:21" ht="21" customHeight="1" x14ac:dyDescent="0.15">
      <c r="A10" s="181">
        <v>1126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最終焉算の鋼砲 チューリング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未定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アリス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世界観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6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PremiumSSS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green</v>
      </c>
      <c r="J10" s="57" t="str">
        <f ca="1">VLOOKUP($A10,OFFSET([1]characters!$A$1,0,0,COUNTA([1]characters!$A:$A),MATCH(J$1,[1]characters!$1:$1,0)-MATCH($A$1,[1]characters!$1:$1,0)+1),MATCH(J$1,[1]characters!$1:$1,0)-MATCH($A$1,[1]characters!$1:$1,0)+1,FALSE)</f>
        <v>machine</v>
      </c>
      <c r="K10" s="5" t="str">
        <f ca="1">VLOOKUP(J10,[1]character_tribe_i18n!$A:$H,3,FALSE)</f>
        <v>マシン</v>
      </c>
      <c r="L10" s="11" t="e">
        <f>VLOOKUP(#REF!,[1]character_tribe_i18n!$A:$H,4,FALSE)</f>
        <v>#REF!</v>
      </c>
      <c r="M10" s="11" t="e">
        <f>VLOOKUP(#REF!,[1]character_tribe_i18n!$A:$H,5,FALSE)</f>
        <v>#REF!</v>
      </c>
      <c r="N10" s="11" t="e">
        <f>VLOOKUP(#REF!,[1]character_tribe_i18n!$A:$H,6,FALSE)</f>
        <v>#REF!</v>
      </c>
      <c r="O10" s="11" t="e">
        <f>VLOOKUP(#REF!,[1]character_tribe_i18n!$A:$H,7,FALSE)</f>
        <v>#REF!</v>
      </c>
      <c r="P10" s="181" t="str">
        <f>VLOOKUP(Q10,[1]characters!$A:$AC,20)</f>
        <v>normal</v>
      </c>
      <c r="Q10" s="9">
        <v>799</v>
      </c>
      <c r="R10" s="62" t="str">
        <f ca="1">IF(Q10="NULL","",VLOOKUP($Q10,OFFSET([1]characters!$A$1,0,0,COUNTA([1]characters!$A:$A),MATCH(R$1,[1]characters!$1:$1,0)-MATCH($A$1,[1]characters!$1:$1,0)+1),MATCH(R$1,[1]characters!$1:$1,0)-MATCH($A$1,[1]characters!$1:$1,0)+1,FALSE))</f>
        <v>電讃の魔機 チューリング</v>
      </c>
      <c r="S10" s="5">
        <f t="shared" ca="1" si="0"/>
        <v>487</v>
      </c>
      <c r="T10" s="62" t="str">
        <f ca="1">VLOOKUP($S10,OFFSET([1]characters!$A$1,0,0,COUNTA([1]characters!$A:$A),MATCH(T$1,[1]characters!$1:$1,0)-MATCH($A$1,[1]characters!$1:$1,0)+1),MATCH(T$1,[1]characters!$1:$1,0)-MATCH($A$1,[1]characters!$1:$1,0)+1,FALSE)</f>
        <v>暴創の造物 チューリング</v>
      </c>
      <c r="U10" s="11">
        <f ca="1">IF(Q10="NULL","NULL",VLOOKUP(G10,[2]ビット!$A$2:$B$7,2))</f>
        <v>200000</v>
      </c>
    </row>
    <row r="11" spans="1:21" ht="21" customHeight="1" x14ac:dyDescent="0.15">
      <c r="A11" s="181">
        <v>486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重なる世解 シュレディンガー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ガチャ:赤フェス01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PremiumSSS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red</v>
      </c>
      <c r="J11" s="57" t="str">
        <f ca="1">VLOOKUP($A11,OFFSET([1]characters!$A$1,0,0,COUNTA([1]characters!$A:$A),MATCH(J$1,[1]characters!$1:$1,0)-MATCH($A$1,[1]characters!$1:$1,0)+1),MATCH(J$1,[1]characters!$1:$1,0)-MATCH($A$1,[1]characters!$1:$1,0)+1,FALSE)</f>
        <v>none</v>
      </c>
      <c r="K11" s="5" t="str">
        <f ca="1">VLOOKUP(J11,[1]character_tribe_i18n!$A:$H,3,FALSE)</f>
        <v>種族なし</v>
      </c>
      <c r="L11" s="11" t="e">
        <f>VLOOKUP(#REF!,[1]character_tribe_i18n!$A:$H,4,FALSE)</f>
        <v>#REF!</v>
      </c>
      <c r="M11" s="11" t="e">
        <f>VLOOKUP(#REF!,[1]character_tribe_i18n!$A:$H,5,FALSE)</f>
        <v>#REF!</v>
      </c>
      <c r="N11" s="11" t="e">
        <f>VLOOKUP(#REF!,[1]character_tribe_i18n!$A:$H,6,FALSE)</f>
        <v>#REF!</v>
      </c>
      <c r="O11" s="11" t="e">
        <f>VLOOKUP(#REF!,[1]character_tribe_i18n!$A:$H,7,FALSE)</f>
        <v>#REF!</v>
      </c>
      <c r="P11" s="181" t="str">
        <f>VLOOKUP(Q11,[1]characters!$A:$AC,20)</f>
        <v>super</v>
      </c>
      <c r="Q11" s="9">
        <v>1125</v>
      </c>
      <c r="R11" s="62" t="str">
        <f ca="1">IF(Q11="NULL","",VLOOKUP($Q11,OFFSET([1]characters!$A$1,0,0,COUNTA([1]characters!$A:$A),MATCH(R$1,[1]characters!$1:$1,0)-MATCH($A$1,[1]characters!$1:$1,0)+1),MATCH(R$1,[1]characters!$1:$1,0)-MATCH($A$1,[1]characters!$1:$1,0)+1,FALSE))</f>
        <v>累々たる世解 シュレディンガー</v>
      </c>
      <c r="S11" s="5">
        <f t="shared" ref="S11:S13" ca="1" si="1">IF(ISNA(MATCH(A11,Q:Q,0)),A11,INDIRECT(ADDRESS(MATCH(A11,Q:Q,0),COLUMN())))</f>
        <v>486</v>
      </c>
      <c r="T11" s="62" t="str">
        <f ca="1">VLOOKUP($S11,OFFSET([1]characters!$A$1,0,0,COUNTA([1]characters!$A:$A),MATCH(T$1,[1]characters!$1:$1,0)-MATCH($A$1,[1]characters!$1:$1,0)+1),MATCH(T$1,[1]characters!$1:$1,0)-MATCH($A$1,[1]characters!$1:$1,0)+1,FALSE)</f>
        <v>重なる世解 シュレディンガー</v>
      </c>
      <c r="U11" s="11">
        <f ca="1">IF(Q11="NULL","NULL",VLOOKUP(G11,[2]ビット!$A$2:$B$7,2))</f>
        <v>200000</v>
      </c>
    </row>
    <row r="12" spans="1:21" ht="21" customHeight="1" x14ac:dyDescent="0.15">
      <c r="A12" s="181">
        <v>797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崩烙の世解 シュレディンガー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各属性相性良3・黄・R415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PremiumSSS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red</v>
      </c>
      <c r="J12" s="57" t="str">
        <f ca="1">VLOOKUP($A12,OFFSET([1]characters!$A$1,0,0,COUNTA([1]characters!$A:$A),MATCH(J$1,[1]characters!$1:$1,0)-MATCH($A$1,[1]characters!$1:$1,0)+1),MATCH(J$1,[1]characters!$1:$1,0)-MATCH($A$1,[1]characters!$1:$1,0)+1,FALSE)</f>
        <v>none</v>
      </c>
      <c r="K12" s="5" t="str">
        <f ca="1">VLOOKUP(J12,[1]character_tribe_i18n!$A:$H,3,FALSE)</f>
        <v>種族なし</v>
      </c>
      <c r="L12" s="11" t="e">
        <f>VLOOKUP(#REF!,[1]character_tribe_i18n!$A:$H,4,FALSE)</f>
        <v>#REF!</v>
      </c>
      <c r="M12" s="11" t="e">
        <f>VLOOKUP(#REF!,[1]character_tribe_i18n!$A:$H,5,FALSE)</f>
        <v>#REF!</v>
      </c>
      <c r="N12" s="11" t="e">
        <f>VLOOKUP(#REF!,[1]character_tribe_i18n!$A:$H,6,FALSE)</f>
        <v>#REF!</v>
      </c>
      <c r="O12" s="11" t="e">
        <f>VLOOKUP(#REF!,[1]character_tribe_i18n!$A:$H,7,FALSE)</f>
        <v>#REF!</v>
      </c>
      <c r="P12" s="181" t="str">
        <f>VLOOKUP(Q12,[1]characters!$A:$AC,20)</f>
        <v>super</v>
      </c>
      <c r="Q12" s="9">
        <v>1125</v>
      </c>
      <c r="R12" s="62" t="str">
        <f ca="1">IF(Q12="NULL","",VLOOKUP($Q12,OFFSET([1]characters!$A$1,0,0,COUNTA([1]characters!$A:$A),MATCH(R$1,[1]characters!$1:$1,0)-MATCH($A$1,[1]characters!$1:$1,0)+1),MATCH(R$1,[1]characters!$1:$1,0)-MATCH($A$1,[1]characters!$1:$1,0)+1,FALSE))</f>
        <v>累々たる世解 シュレディンガー</v>
      </c>
      <c r="S12" s="5">
        <f t="shared" ca="1" si="1"/>
        <v>486</v>
      </c>
      <c r="T12" s="62" t="str">
        <f ca="1">VLOOKUP($S12,OFFSET([1]characters!$A$1,0,0,COUNTA([1]characters!$A:$A),MATCH(T$1,[1]characters!$1:$1,0)-MATCH($A$1,[1]characters!$1:$1,0)+1),MATCH(T$1,[1]characters!$1:$1,0)-MATCH($A$1,[1]characters!$1:$1,0)+1,FALSE)</f>
        <v>重なる世解 シュレディンガー</v>
      </c>
      <c r="U12" s="11">
        <f ca="1">IF(Q12="NULL","NULL",VLOOKUP(G12,[2]ビット!$A$2:$B$7,2))</f>
        <v>200000</v>
      </c>
    </row>
    <row r="13" spans="1:21" ht="21" customHeight="1" x14ac:dyDescent="0.15">
      <c r="A13" s="181">
        <v>1125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累々たる世解 シュレディンガー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未定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アリス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世界観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不明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6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PremiumSSS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57" t="str">
        <f ca="1">VLOOKUP($A13,OFFSET([1]characters!$A$1,0,0,COUNTA([1]characters!$A:$A),MATCH(J$1,[1]characters!$1:$1,0)-MATCH($A$1,[1]characters!$1:$1,0)+1),MATCH(J$1,[1]characters!$1:$1,0)-MATCH($A$1,[1]characters!$1:$1,0)+1,FALSE)</f>
        <v>animal</v>
      </c>
      <c r="K13" s="5" t="str">
        <f ca="1">VLOOKUP(J13,[1]character_tribe_i18n!$A:$H,3,FALSE)</f>
        <v>アニマル</v>
      </c>
      <c r="L13" s="11" t="e">
        <f>VLOOKUP(#REF!,[1]character_tribe_i18n!$A:$H,4,FALSE)</f>
        <v>#REF!</v>
      </c>
      <c r="M13" s="11" t="e">
        <f>VLOOKUP(#REF!,[1]character_tribe_i18n!$A:$H,5,FALSE)</f>
        <v>#REF!</v>
      </c>
      <c r="N13" s="11" t="e">
        <f>VLOOKUP(#REF!,[1]character_tribe_i18n!$A:$H,6,FALSE)</f>
        <v>#REF!</v>
      </c>
      <c r="O13" s="11" t="e">
        <f>VLOOKUP(#REF!,[1]character_tribe_i18n!$A:$H,7,FALSE)</f>
        <v>#REF!</v>
      </c>
      <c r="P13" s="181" t="str">
        <f>VLOOKUP(Q13,[1]characters!$A:$AC,20)</f>
        <v>normal</v>
      </c>
      <c r="Q13" s="9">
        <v>797</v>
      </c>
      <c r="R13" s="62" t="str">
        <f ca="1">IF(Q13="NULL","",VLOOKUP($Q13,OFFSET([1]characters!$A$1,0,0,COUNTA([1]characters!$A:$A),MATCH(R$1,[1]characters!$1:$1,0)-MATCH($A$1,[1]characters!$1:$1,0)+1),MATCH(R$1,[1]characters!$1:$1,0)-MATCH($A$1,[1]characters!$1:$1,0)+1,FALSE))</f>
        <v>崩烙の世解 シュレディンガー</v>
      </c>
      <c r="S13" s="5">
        <f t="shared" ca="1" si="1"/>
        <v>486</v>
      </c>
      <c r="T13" s="62" t="str">
        <f ca="1">VLOOKUP($S13,OFFSET([1]characters!$A$1,0,0,COUNTA([1]characters!$A:$A),MATCH(T$1,[1]characters!$1:$1,0)-MATCH($A$1,[1]characters!$1:$1,0)+1),MATCH(T$1,[1]characters!$1:$1,0)-MATCH($A$1,[1]characters!$1:$1,0)+1,FALSE)</f>
        <v>重なる世解 シュレディンガー</v>
      </c>
      <c r="U13" s="11">
        <f ca="1">IF(Q13="NULL","NULL",VLOOKUP(G13,[2]ビット!$A$2:$B$7,2))</f>
        <v>200000</v>
      </c>
    </row>
  </sheetData>
  <autoFilter ref="A1:U2"/>
  <phoneticPr fontId="22"/>
  <conditionalFormatting sqref="W1:W2 W14:W1048576">
    <cfRule type="cellIs" dxfId="35" priority="18" operator="equal">
      <formula>"FALSE"</formula>
    </cfRule>
  </conditionalFormatting>
  <conditionalFormatting sqref="W3">
    <cfRule type="cellIs" dxfId="34" priority="17" operator="equal">
      <formula>"FALSE"</formula>
    </cfRule>
  </conditionalFormatting>
  <conditionalFormatting sqref="W4">
    <cfRule type="cellIs" dxfId="33" priority="16" operator="equal">
      <formula>"FALSE"</formula>
    </cfRule>
  </conditionalFormatting>
  <conditionalFormatting sqref="W5">
    <cfRule type="cellIs" dxfId="32" priority="15" operator="equal">
      <formula>"FALSE"</formula>
    </cfRule>
  </conditionalFormatting>
  <conditionalFormatting sqref="W6">
    <cfRule type="cellIs" dxfId="31" priority="14" operator="equal">
      <formula>"FALSE"</formula>
    </cfRule>
  </conditionalFormatting>
  <conditionalFormatting sqref="W7">
    <cfRule type="cellIs" dxfId="30" priority="13" operator="equal">
      <formula>"FALSE"</formula>
    </cfRule>
  </conditionalFormatting>
  <conditionalFormatting sqref="W8">
    <cfRule type="cellIs" dxfId="29" priority="12" operator="equal">
      <formula>"FALSE"</formula>
    </cfRule>
  </conditionalFormatting>
  <conditionalFormatting sqref="W9">
    <cfRule type="cellIs" dxfId="28" priority="11" operator="equal">
      <formula>"FALSE"</formula>
    </cfRule>
  </conditionalFormatting>
  <conditionalFormatting sqref="W10">
    <cfRule type="cellIs" dxfId="27" priority="10" operator="equal">
      <formula>"FALSE"</formula>
    </cfRule>
  </conditionalFormatting>
  <conditionalFormatting sqref="W11">
    <cfRule type="cellIs" dxfId="26" priority="3" operator="equal">
      <formula>"FALSE"</formula>
    </cfRule>
  </conditionalFormatting>
  <conditionalFormatting sqref="W12">
    <cfRule type="cellIs" dxfId="25" priority="2" operator="equal">
      <formula>"FALSE"</formula>
    </cfRule>
  </conditionalFormatting>
  <conditionalFormatting sqref="W13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33"/>
  <sheetViews>
    <sheetView showGridLines="0" zoomScale="115" workbookViewId="0">
      <pane ySplit="1" topLeftCell="A24" activePane="bottomLeft" state="frozen"/>
      <selection pane="bottomLeft" activeCell="I29" sqref="I29:I30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5" t="s">
        <v>99</v>
      </c>
      <c r="B1" s="42" t="s">
        <v>38</v>
      </c>
      <c r="C1" s="182" t="s">
        <v>289</v>
      </c>
      <c r="D1" s="20" t="s">
        <v>40</v>
      </c>
      <c r="E1" s="20" t="s">
        <v>42</v>
      </c>
      <c r="F1" s="20" t="s">
        <v>43</v>
      </c>
      <c r="G1" s="182" t="s">
        <v>290</v>
      </c>
      <c r="H1" s="20" t="s">
        <v>40</v>
      </c>
      <c r="I1" s="43" t="s">
        <v>36</v>
      </c>
      <c r="J1" s="20" t="s">
        <v>41</v>
      </c>
      <c r="K1" s="19" t="s">
        <v>37</v>
      </c>
      <c r="L1" s="185" t="s">
        <v>127</v>
      </c>
      <c r="M1" s="186" t="s">
        <v>292</v>
      </c>
    </row>
    <row r="2" spans="1:14" ht="21" customHeight="1" x14ac:dyDescent="0.15">
      <c r="A2" s="65" t="str">
        <f>B2&amp;"_"&amp;I2</f>
        <v>689_310</v>
      </c>
      <c r="B2" s="44">
        <v>689</v>
      </c>
      <c r="C2" s="183">
        <f>B2</f>
        <v>689</v>
      </c>
      <c r="D2" s="57" t="str">
        <f ca="1">VLOOKUP($C2,OFFSET([1]characters!$A$1,0,0,COUNTA([1]characters!$A:$A),MATCH(D$1,[1]characters!$1:$1,0)-MATCH($C$1,[1]characters!$1:$1,0)+1),MATCH(D$1,[1]characters!$1:$1,0)-MATCH($C$1,[1]characters!$1:$1,0)+1,FALSE)</f>
        <v>根原論理 ユークリッド</v>
      </c>
      <c r="E2" s="57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7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84">
        <v>1181</v>
      </c>
      <c r="H2" s="57" t="str">
        <f ca="1">VLOOKUP($G2,OFFSET([1]characters!$A$1,0,0,COUNTA([1]characters!$A:$A),MATCH(H$1,[1]characters!$1:$1,0)-MATCH($C$1,[1]characters!$1:$1,0)+1),MATCH(H$1,[1]characters!$1:$1,0)-MATCH($C$1,[1]characters!$1:$1,0)+1,FALSE)</f>
        <v>永存の究極論 ユークリッド</v>
      </c>
      <c r="I2" s="192">
        <v>310</v>
      </c>
      <c r="J2" s="57" t="str">
        <f ca="1">VLOOKUP($I2,OFFSET([1]characters!$A$1,0,0,COUNTA([1]characters!$A:$A),MATCH(J$1,[1]characters!$1:$1,0)-MATCH($C$1,[1]characters!$1:$1,0)+1),MATCH(J$1,[1]characters!$1:$1,0)-MATCH($C$1,[1]characters!$1:$1,0)+1,FALSE)</f>
        <v>リードシクティス</v>
      </c>
      <c r="K2" s="18">
        <v>1</v>
      </c>
      <c r="L2" s="114">
        <v>3</v>
      </c>
      <c r="M2" s="114">
        <v>100</v>
      </c>
      <c r="N2" s="2" t="s">
        <v>291</v>
      </c>
    </row>
    <row r="3" spans="1:14" ht="21" customHeight="1" x14ac:dyDescent="0.15">
      <c r="A3" s="65" t="str">
        <f t="shared" ref="A3:A4" si="0">B3&amp;"_"&amp;I3</f>
        <v>689_860</v>
      </c>
      <c r="B3" s="44">
        <v>689</v>
      </c>
      <c r="C3" s="183">
        <f t="shared" ref="C3:C12" si="1">B3</f>
        <v>689</v>
      </c>
      <c r="D3" s="57" t="str">
        <f ca="1">VLOOKUP($C3,OFFSET([1]characters!$A$1,0,0,COUNTA([1]characters!$A:$A),MATCH(D$1,[1]characters!$1:$1,0)-MATCH($C$1,[1]characters!$1:$1,0)+1),MATCH(D$1,[1]characters!$1:$1,0)-MATCH($C$1,[1]characters!$1:$1,0)+1,FALSE)</f>
        <v>根原論理 ユークリッド</v>
      </c>
      <c r="E3" s="57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7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84">
        <v>1181</v>
      </c>
      <c r="H3" s="57" t="str">
        <f ca="1">VLOOKUP($G3,OFFSET([1]characters!$A$1,0,0,COUNTA([1]characters!$A:$A),MATCH(H$1,[1]characters!$1:$1,0)-MATCH($C$1,[1]characters!$1:$1,0)+1),MATCH(H$1,[1]characters!$1:$1,0)-MATCH($C$1,[1]characters!$1:$1,0)+1,FALSE)</f>
        <v>永存の究極論 ユークリッド</v>
      </c>
      <c r="I3" s="192">
        <v>860</v>
      </c>
      <c r="J3" s="57" t="str">
        <f ca="1">VLOOKUP($I3,OFFSET([1]characters!$A$1,0,0,COUNTA([1]characters!$A:$A),MATCH(J$1,[1]characters!$1:$1,0)-MATCH($C$1,[1]characters!$1:$1,0)+1),MATCH(J$1,[1]characters!$1:$1,0)-MATCH($C$1,[1]characters!$1:$1,0)+1,FALSE)</f>
        <v>叶望の幻燈 ジーナ</v>
      </c>
      <c r="K3" s="18">
        <v>1</v>
      </c>
      <c r="L3" s="114">
        <v>3</v>
      </c>
      <c r="M3" s="114">
        <v>100</v>
      </c>
      <c r="N3" s="2" t="s">
        <v>291</v>
      </c>
    </row>
    <row r="4" spans="1:14" ht="21" customHeight="1" x14ac:dyDescent="0.15">
      <c r="A4" s="65" t="str">
        <f t="shared" si="0"/>
        <v>689_656</v>
      </c>
      <c r="B4" s="44">
        <v>689</v>
      </c>
      <c r="C4" s="183">
        <f t="shared" si="1"/>
        <v>689</v>
      </c>
      <c r="D4" s="57" t="str">
        <f ca="1">VLOOKUP($C4,OFFSET([1]characters!$A$1,0,0,COUNTA([1]characters!$A:$A),MATCH(D$1,[1]characters!$1:$1,0)-MATCH($C$1,[1]characters!$1:$1,0)+1),MATCH(D$1,[1]characters!$1:$1,0)-MATCH($C$1,[1]characters!$1:$1,0)+1,FALSE)</f>
        <v>根原論理 ユークリッド</v>
      </c>
      <c r="E4" s="57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7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84">
        <v>1181</v>
      </c>
      <c r="H4" s="57" t="str">
        <f ca="1">VLOOKUP($G4,OFFSET([1]characters!$A$1,0,0,COUNTA([1]characters!$A:$A),MATCH(H$1,[1]characters!$1:$1,0)-MATCH($C$1,[1]characters!$1:$1,0)+1),MATCH(H$1,[1]characters!$1:$1,0)-MATCH($C$1,[1]characters!$1:$1,0)+1,FALSE)</f>
        <v>永存の究極論 ユークリッド</v>
      </c>
      <c r="I4" s="192">
        <v>656</v>
      </c>
      <c r="J4" s="57" t="str">
        <f ca="1">VLOOKUP($I4,OFFSET([1]characters!$A$1,0,0,COUNTA([1]characters!$A:$A),MATCH(J$1,[1]characters!$1:$1,0)-MATCH($C$1,[1]characters!$1:$1,0)+1),MATCH(J$1,[1]characters!$1:$1,0)-MATCH($C$1,[1]characters!$1:$1,0)+1,FALSE)</f>
        <v>シヴァ</v>
      </c>
      <c r="K4" s="18">
        <v>1</v>
      </c>
      <c r="L4" s="114">
        <v>1</v>
      </c>
      <c r="M4" s="114">
        <v>100</v>
      </c>
      <c r="N4" s="2" t="s">
        <v>291</v>
      </c>
    </row>
    <row r="5" spans="1:14" ht="21" customHeight="1" x14ac:dyDescent="0.15">
      <c r="A5" s="65" t="str">
        <f>B5&amp;"_"&amp;I5</f>
        <v>690_310</v>
      </c>
      <c r="B5" s="44">
        <v>690</v>
      </c>
      <c r="C5" s="183">
        <f>B5</f>
        <v>690</v>
      </c>
      <c r="D5" s="57" t="str">
        <f ca="1">VLOOKUP($C5,OFFSET([1]characters!$A$1,0,0,COUNTA([1]characters!$A:$A),MATCH(D$1,[1]characters!$1:$1,0)-MATCH($C$1,[1]characters!$1:$1,0)+1),MATCH(D$1,[1]characters!$1:$1,0)-MATCH($C$1,[1]characters!$1:$1,0)+1,FALSE)</f>
        <v>不朽の極論 ユークリッド</v>
      </c>
      <c r="E5" s="57">
        <f ca="1">VLOOKUP($C5,OFFSET([1]characters!$A$1,0,0,COUNTA([1]characters!$A:$A),MATCH(E$1,[1]characters!$1:$1,0)-MATCH($C$1,[1]characters!$1:$1,0)+1),MATCH(E$1,[1]characters!$1:$1,0)-MATCH($C$1,[1]characters!$1:$1,0)+1,FALSE)</f>
        <v>6</v>
      </c>
      <c r="F5" s="57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84">
        <v>1181</v>
      </c>
      <c r="H5" s="57" t="str">
        <f ca="1">VLOOKUP($G5,OFFSET([1]characters!$A$1,0,0,COUNTA([1]characters!$A:$A),MATCH(H$1,[1]characters!$1:$1,0)-MATCH($C$1,[1]characters!$1:$1,0)+1),MATCH(H$1,[1]characters!$1:$1,0)-MATCH($C$1,[1]characters!$1:$1,0)+1,FALSE)</f>
        <v>永存の究極論 ユークリッド</v>
      </c>
      <c r="I5" s="192">
        <v>310</v>
      </c>
      <c r="J5" s="57" t="str">
        <f ca="1">VLOOKUP($I5,OFFSET([1]characters!$A$1,0,0,COUNTA([1]characters!$A:$A),MATCH(J$1,[1]characters!$1:$1,0)-MATCH($C$1,[1]characters!$1:$1,0)+1),MATCH(J$1,[1]characters!$1:$1,0)-MATCH($C$1,[1]characters!$1:$1,0)+1,FALSE)</f>
        <v>リードシクティス</v>
      </c>
      <c r="K5" s="18">
        <v>1</v>
      </c>
      <c r="L5" s="114">
        <v>2</v>
      </c>
      <c r="M5" s="114">
        <v>100</v>
      </c>
      <c r="N5" s="2" t="s">
        <v>291</v>
      </c>
    </row>
    <row r="6" spans="1:14" ht="21" customHeight="1" x14ac:dyDescent="0.15">
      <c r="A6" s="65" t="str">
        <f t="shared" ref="A6" si="2">B6&amp;"_"&amp;I6</f>
        <v>690_860</v>
      </c>
      <c r="B6" s="44">
        <v>690</v>
      </c>
      <c r="C6" s="183">
        <f t="shared" ref="C6" si="3">B6</f>
        <v>690</v>
      </c>
      <c r="D6" s="57" t="str">
        <f ca="1">VLOOKUP($C6,OFFSET([1]characters!$A$1,0,0,COUNTA([1]characters!$A:$A),MATCH(D$1,[1]characters!$1:$1,0)-MATCH($C$1,[1]characters!$1:$1,0)+1),MATCH(D$1,[1]characters!$1:$1,0)-MATCH($C$1,[1]characters!$1:$1,0)+1,FALSE)</f>
        <v>不朽の極論 ユークリッド</v>
      </c>
      <c r="E6" s="57">
        <f ca="1">VLOOKUP($C6,OFFSET([1]characters!$A$1,0,0,COUNTA([1]characters!$A:$A),MATCH(E$1,[1]characters!$1:$1,0)-MATCH($C$1,[1]characters!$1:$1,0)+1),MATCH(E$1,[1]characters!$1:$1,0)-MATCH($C$1,[1]characters!$1:$1,0)+1,FALSE)</f>
        <v>6</v>
      </c>
      <c r="F6" s="57" t="str">
        <f ca="1">VLOOKUP($C6,OFFSET([1]characters!$A$1,0,0,COUNTA([1]characters!$A:$A),MATCH(F$1,[1]characters!$1:$1,0)-MATCH($C$1,[1]characters!$1:$1,0)+1),MATCH(F$1,[1]characters!$1:$1,0)-MATCH($C$1,[1]characters!$1:$1,0)+1,FALSE)</f>
        <v>PremiumSSS</v>
      </c>
      <c r="G6" s="184">
        <v>1181</v>
      </c>
      <c r="H6" s="57" t="str">
        <f ca="1">VLOOKUP($G6,OFFSET([1]characters!$A$1,0,0,COUNTA([1]characters!$A:$A),MATCH(H$1,[1]characters!$1:$1,0)-MATCH($C$1,[1]characters!$1:$1,0)+1),MATCH(H$1,[1]characters!$1:$1,0)-MATCH($C$1,[1]characters!$1:$1,0)+1,FALSE)</f>
        <v>永存の究極論 ユークリッド</v>
      </c>
      <c r="I6" s="192">
        <v>860</v>
      </c>
      <c r="J6" s="57" t="str">
        <f ca="1">VLOOKUP($I6,OFFSET([1]characters!$A$1,0,0,COUNTA([1]characters!$A:$A),MATCH(J$1,[1]characters!$1:$1,0)-MATCH($C$1,[1]characters!$1:$1,0)+1),MATCH(J$1,[1]characters!$1:$1,0)-MATCH($C$1,[1]characters!$1:$1,0)+1,FALSE)</f>
        <v>叶望の幻燈 ジーナ</v>
      </c>
      <c r="K6" s="18">
        <v>1</v>
      </c>
      <c r="L6" s="114">
        <v>2</v>
      </c>
      <c r="M6" s="114">
        <v>100</v>
      </c>
      <c r="N6" s="2" t="s">
        <v>291</v>
      </c>
    </row>
    <row r="7" spans="1:14" ht="21" customHeight="1" x14ac:dyDescent="0.15">
      <c r="A7" s="65" t="str">
        <f>B7&amp;"_"&amp;I7</f>
        <v>1181_110</v>
      </c>
      <c r="B7" s="44">
        <v>1181</v>
      </c>
      <c r="C7" s="183">
        <f>B7</f>
        <v>1181</v>
      </c>
      <c r="D7" s="57" t="str">
        <f ca="1">VLOOKUP($C7,OFFSET([1]characters!$A$1,0,0,COUNTA([1]characters!$A:$A),MATCH(D$1,[1]characters!$1:$1,0)-MATCH($C$1,[1]characters!$1:$1,0)+1),MATCH(D$1,[1]characters!$1:$1,0)-MATCH($C$1,[1]characters!$1:$1,0)+1,FALSE)</f>
        <v>永存の究極論 ユークリッド</v>
      </c>
      <c r="E7" s="57">
        <f ca="1">VLOOKUP($C7,OFFSET([1]characters!$A$1,0,0,COUNTA([1]characters!$A:$A),MATCH(E$1,[1]characters!$1:$1,0)-MATCH($C$1,[1]characters!$1:$1,0)+1),MATCH(E$1,[1]characters!$1:$1,0)-MATCH($C$1,[1]characters!$1:$1,0)+1,FALSE)</f>
        <v>6</v>
      </c>
      <c r="F7" s="57" t="str">
        <f ca="1">VLOOKUP($C7,OFFSET([1]characters!$A$1,0,0,COUNTA([1]characters!$A:$A),MATCH(F$1,[1]characters!$1:$1,0)-MATCH($C$1,[1]characters!$1:$1,0)+1),MATCH(F$1,[1]characters!$1:$1,0)-MATCH($C$1,[1]characters!$1:$1,0)+1,FALSE)</f>
        <v>PremiumSSS</v>
      </c>
      <c r="G7" s="184">
        <v>690</v>
      </c>
      <c r="H7" s="57" t="str">
        <f ca="1">VLOOKUP($G7,OFFSET([1]characters!$A$1,0,0,COUNTA([1]characters!$A:$A),MATCH(H$1,[1]characters!$1:$1,0)-MATCH($C$1,[1]characters!$1:$1,0)+1),MATCH(H$1,[1]characters!$1:$1,0)-MATCH($C$1,[1]characters!$1:$1,0)+1,FALSE)</f>
        <v>不朽の極論 ユークリッド</v>
      </c>
      <c r="I7" s="192">
        <v>110</v>
      </c>
      <c r="J7" s="57" t="str">
        <f ca="1">VLOOKUP($I7,OFFSET([1]characters!$A$1,0,0,COUNTA([1]characters!$A:$A),MATCH(J$1,[1]characters!$1:$1,0)-MATCH($C$1,[1]characters!$1:$1,0)+1),MATCH(J$1,[1]characters!$1:$1,0)-MATCH($C$1,[1]characters!$1:$1,0)+1,FALSE)</f>
        <v>ブルーラビット</v>
      </c>
      <c r="K7" s="18">
        <v>1</v>
      </c>
      <c r="L7" s="114">
        <v>1</v>
      </c>
      <c r="M7" s="114">
        <v>10</v>
      </c>
      <c r="N7" s="2" t="s">
        <v>291</v>
      </c>
    </row>
    <row r="8" spans="1:14" ht="21" customHeight="1" x14ac:dyDescent="0.15">
      <c r="A8" s="65" t="str">
        <f>B8&amp;"_"&amp;I8</f>
        <v>1181_111</v>
      </c>
      <c r="B8" s="44">
        <v>1181</v>
      </c>
      <c r="C8" s="183">
        <f>B8</f>
        <v>1181</v>
      </c>
      <c r="D8" s="57" t="str">
        <f ca="1">VLOOKUP($C8,OFFSET([1]characters!$A$1,0,0,COUNTA([1]characters!$A:$A),MATCH(D$1,[1]characters!$1:$1,0)-MATCH($C$1,[1]characters!$1:$1,0)+1),MATCH(D$1,[1]characters!$1:$1,0)-MATCH($C$1,[1]characters!$1:$1,0)+1,FALSE)</f>
        <v>永存の究極論 ユークリッド</v>
      </c>
      <c r="E8" s="57">
        <f ca="1">VLOOKUP($C8,OFFSET([1]characters!$A$1,0,0,COUNTA([1]characters!$A:$A),MATCH(E$1,[1]characters!$1:$1,0)-MATCH($C$1,[1]characters!$1:$1,0)+1),MATCH(E$1,[1]characters!$1:$1,0)-MATCH($C$1,[1]characters!$1:$1,0)+1,FALSE)</f>
        <v>6</v>
      </c>
      <c r="F8" s="57" t="str">
        <f ca="1">VLOOKUP($C8,OFFSET([1]characters!$A$1,0,0,COUNTA([1]characters!$A:$A),MATCH(F$1,[1]characters!$1:$1,0)-MATCH($C$1,[1]characters!$1:$1,0)+1),MATCH(F$1,[1]characters!$1:$1,0)-MATCH($C$1,[1]characters!$1:$1,0)+1,FALSE)</f>
        <v>PremiumSSS</v>
      </c>
      <c r="G8" s="184">
        <v>690</v>
      </c>
      <c r="H8" s="57" t="str">
        <f ca="1">VLOOKUP($G8,OFFSET([1]characters!$A$1,0,0,COUNTA([1]characters!$A:$A),MATCH(H$1,[1]characters!$1:$1,0)-MATCH($C$1,[1]characters!$1:$1,0)+1),MATCH(H$1,[1]characters!$1:$1,0)-MATCH($C$1,[1]characters!$1:$1,0)+1,FALSE)</f>
        <v>不朽の極論 ユークリッド</v>
      </c>
      <c r="I8" s="192">
        <v>111</v>
      </c>
      <c r="J8" s="57" t="str">
        <f ca="1">VLOOKUP($I8,OFFSET([1]characters!$A$1,0,0,COUNTA([1]characters!$A:$A),MATCH(J$1,[1]characters!$1:$1,0)-MATCH($C$1,[1]characters!$1:$1,0)+1),MATCH(J$1,[1]characters!$1:$1,0)-MATCH($C$1,[1]characters!$1:$1,0)+1,FALSE)</f>
        <v>ブルーキャタップ</v>
      </c>
      <c r="K8" s="18">
        <v>1</v>
      </c>
      <c r="L8" s="114">
        <v>1</v>
      </c>
      <c r="M8" s="114">
        <v>10</v>
      </c>
      <c r="N8" s="2" t="s">
        <v>291</v>
      </c>
    </row>
    <row r="9" spans="1:14" ht="21" customHeight="1" x14ac:dyDescent="0.15">
      <c r="A9" s="65" t="str">
        <f>B9&amp;"_"&amp;I9</f>
        <v>1181_112</v>
      </c>
      <c r="B9" s="44">
        <v>1181</v>
      </c>
      <c r="C9" s="183">
        <f>B9</f>
        <v>1181</v>
      </c>
      <c r="D9" s="57" t="str">
        <f ca="1">VLOOKUP($C9,OFFSET([1]characters!$A$1,0,0,COUNTA([1]characters!$A:$A),MATCH(D$1,[1]characters!$1:$1,0)-MATCH($C$1,[1]characters!$1:$1,0)+1),MATCH(D$1,[1]characters!$1:$1,0)-MATCH($C$1,[1]characters!$1:$1,0)+1,FALSE)</f>
        <v>永存の究極論 ユークリッド</v>
      </c>
      <c r="E9" s="57">
        <f ca="1">VLOOKUP($C9,OFFSET([1]characters!$A$1,0,0,COUNTA([1]characters!$A:$A),MATCH(E$1,[1]characters!$1:$1,0)-MATCH($C$1,[1]characters!$1:$1,0)+1),MATCH(E$1,[1]characters!$1:$1,0)-MATCH($C$1,[1]characters!$1:$1,0)+1,FALSE)</f>
        <v>6</v>
      </c>
      <c r="F9" s="57" t="str">
        <f ca="1">VLOOKUP($C9,OFFSET([1]characters!$A$1,0,0,COUNTA([1]characters!$A:$A),MATCH(F$1,[1]characters!$1:$1,0)-MATCH($C$1,[1]characters!$1:$1,0)+1),MATCH(F$1,[1]characters!$1:$1,0)-MATCH($C$1,[1]characters!$1:$1,0)+1,FALSE)</f>
        <v>PremiumSSS</v>
      </c>
      <c r="G9" s="184">
        <v>690</v>
      </c>
      <c r="H9" s="57" t="str">
        <f ca="1">VLOOKUP($G9,OFFSET([1]characters!$A$1,0,0,COUNTA([1]characters!$A:$A),MATCH(H$1,[1]characters!$1:$1,0)-MATCH($C$1,[1]characters!$1:$1,0)+1),MATCH(H$1,[1]characters!$1:$1,0)-MATCH($C$1,[1]characters!$1:$1,0)+1,FALSE)</f>
        <v>不朽の極論 ユークリッド</v>
      </c>
      <c r="I9" s="192">
        <v>112</v>
      </c>
      <c r="J9" s="57" t="str">
        <f ca="1">VLOOKUP($I9,OFFSET([1]characters!$A$1,0,0,COUNTA([1]characters!$A:$A),MATCH(J$1,[1]characters!$1:$1,0)-MATCH($C$1,[1]characters!$1:$1,0)+1),MATCH(J$1,[1]characters!$1:$1,0)-MATCH($C$1,[1]characters!$1:$1,0)+1,FALSE)</f>
        <v>水のマッドハッター</v>
      </c>
      <c r="K9" s="18">
        <v>1</v>
      </c>
      <c r="L9" s="114">
        <v>1</v>
      </c>
      <c r="M9" s="114">
        <v>10</v>
      </c>
      <c r="N9" s="2" t="s">
        <v>291</v>
      </c>
    </row>
    <row r="10" spans="1:14" ht="21" customHeight="1" x14ac:dyDescent="0.15">
      <c r="A10" s="65" t="str">
        <f>B10&amp;"_"&amp;I10</f>
        <v>411_424</v>
      </c>
      <c r="B10" s="44">
        <v>411</v>
      </c>
      <c r="C10" s="183">
        <f>B10</f>
        <v>411</v>
      </c>
      <c r="D10" s="57" t="str">
        <f ca="1">VLOOKUP($C10,OFFSET([1]characters!$A$1,0,0,COUNTA([1]characters!$A:$A),MATCH(D$1,[1]characters!$1:$1,0)-MATCH($C$1,[1]characters!$1:$1,0)+1),MATCH(D$1,[1]characters!$1:$1,0)-MATCH($C$1,[1]characters!$1:$1,0)+1,FALSE)</f>
        <v>電隷の始祖 ファラデー</v>
      </c>
      <c r="E10" s="57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7" t="str">
        <f ca="1">VLOOKUP($C10,OFFSET([1]characters!$A$1,0,0,COUNTA([1]characters!$A:$A),MATCH(F$1,[1]characters!$1:$1,0)-MATCH($C$1,[1]characters!$1:$1,0)+1),MATCH(F$1,[1]characters!$1:$1,0)-MATCH($C$1,[1]characters!$1:$1,0)+1,FALSE)</f>
        <v>PremiumSSS</v>
      </c>
      <c r="G10" s="184">
        <v>1184</v>
      </c>
      <c r="H10" s="57" t="str">
        <f ca="1">VLOOKUP($G10,OFFSET([1]characters!$A$1,0,0,COUNTA([1]characters!$A:$A),MATCH(H$1,[1]characters!$1:$1,0)-MATCH($C$1,[1]characters!$1:$1,0)+1),MATCH(H$1,[1]characters!$1:$1,0)-MATCH($C$1,[1]characters!$1:$1,0)+1,FALSE)</f>
        <v>電装の烙雷芯 ファラデー</v>
      </c>
      <c r="I10" s="192">
        <v>424</v>
      </c>
      <c r="J10" s="57" t="str">
        <f ca="1">VLOOKUP($I10,OFFSET([1]characters!$A$1,0,0,COUNTA([1]characters!$A:$A),MATCH(J$1,[1]characters!$1:$1,0)-MATCH($C$1,[1]characters!$1:$1,0)+1),MATCH(J$1,[1]characters!$1:$1,0)-MATCH($C$1,[1]characters!$1:$1,0)+1,FALSE)</f>
        <v>フック</v>
      </c>
      <c r="K10" s="18">
        <v>1</v>
      </c>
      <c r="L10" s="114">
        <v>3</v>
      </c>
      <c r="M10" s="114">
        <v>100</v>
      </c>
      <c r="N10" s="2" t="s">
        <v>291</v>
      </c>
    </row>
    <row r="11" spans="1:14" ht="21" customHeight="1" x14ac:dyDescent="0.15">
      <c r="A11" s="65" t="str">
        <f t="shared" ref="A11:A12" si="4">B11&amp;"_"&amp;I11</f>
        <v>411_740</v>
      </c>
      <c r="B11" s="44">
        <v>411</v>
      </c>
      <c r="C11" s="183">
        <f t="shared" si="1"/>
        <v>411</v>
      </c>
      <c r="D11" s="57" t="str">
        <f ca="1">VLOOKUP($C11,OFFSET([1]characters!$A$1,0,0,COUNTA([1]characters!$A:$A),MATCH(D$1,[1]characters!$1:$1,0)-MATCH($C$1,[1]characters!$1:$1,0)+1),MATCH(D$1,[1]characters!$1:$1,0)-MATCH($C$1,[1]characters!$1:$1,0)+1,FALSE)</f>
        <v>電隷の始祖 ファラデー</v>
      </c>
      <c r="E11" s="57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7" t="str">
        <f ca="1">VLOOKUP($C11,OFFSET([1]characters!$A$1,0,0,COUNTA([1]characters!$A:$A),MATCH(F$1,[1]characters!$1:$1,0)-MATCH($C$1,[1]characters!$1:$1,0)+1),MATCH(F$1,[1]characters!$1:$1,0)-MATCH($C$1,[1]characters!$1:$1,0)+1,FALSE)</f>
        <v>PremiumSSS</v>
      </c>
      <c r="G11" s="184">
        <v>1184</v>
      </c>
      <c r="H11" s="57" t="str">
        <f ca="1">VLOOKUP($G11,OFFSET([1]characters!$A$1,0,0,COUNTA([1]characters!$A:$A),MATCH(H$1,[1]characters!$1:$1,0)-MATCH($C$1,[1]characters!$1:$1,0)+1),MATCH(H$1,[1]characters!$1:$1,0)-MATCH($C$1,[1]characters!$1:$1,0)+1,FALSE)</f>
        <v>電装の烙雷芯 ファラデー</v>
      </c>
      <c r="I11" s="192">
        <v>740</v>
      </c>
      <c r="J11" s="57" t="str">
        <f ca="1">VLOOKUP($I11,OFFSET([1]characters!$A$1,0,0,COUNTA([1]characters!$A:$A),MATCH(J$1,[1]characters!$1:$1,0)-MATCH($C$1,[1]characters!$1:$1,0)+1),MATCH(J$1,[1]characters!$1:$1,0)-MATCH($C$1,[1]characters!$1:$1,0)+1,FALSE)</f>
        <v>テュポーン</v>
      </c>
      <c r="K11" s="18">
        <v>1</v>
      </c>
      <c r="L11" s="114">
        <v>3</v>
      </c>
      <c r="M11" s="114">
        <v>100</v>
      </c>
      <c r="N11" s="2" t="s">
        <v>291</v>
      </c>
    </row>
    <row r="12" spans="1:14" ht="21" customHeight="1" x14ac:dyDescent="0.15">
      <c r="A12" s="65" t="str">
        <f t="shared" si="4"/>
        <v>411_1098</v>
      </c>
      <c r="B12" s="44">
        <v>411</v>
      </c>
      <c r="C12" s="183">
        <f t="shared" si="1"/>
        <v>411</v>
      </c>
      <c r="D12" s="57" t="str">
        <f ca="1">VLOOKUP($C12,OFFSET([1]characters!$A$1,0,0,COUNTA([1]characters!$A:$A),MATCH(D$1,[1]characters!$1:$1,0)-MATCH($C$1,[1]characters!$1:$1,0)+1),MATCH(D$1,[1]characters!$1:$1,0)-MATCH($C$1,[1]characters!$1:$1,0)+1,FALSE)</f>
        <v>電隷の始祖 ファラデー</v>
      </c>
      <c r="E12" s="57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7" t="str">
        <f ca="1">VLOOKUP($C12,OFFSET([1]characters!$A$1,0,0,COUNTA([1]characters!$A:$A),MATCH(F$1,[1]characters!$1:$1,0)-MATCH($C$1,[1]characters!$1:$1,0)+1),MATCH(F$1,[1]characters!$1:$1,0)-MATCH($C$1,[1]characters!$1:$1,0)+1,FALSE)</f>
        <v>PremiumSSS</v>
      </c>
      <c r="G12" s="184">
        <v>1184</v>
      </c>
      <c r="H12" s="57" t="str">
        <f ca="1">VLOOKUP($G12,OFFSET([1]characters!$A$1,0,0,COUNTA([1]characters!$A:$A),MATCH(H$1,[1]characters!$1:$1,0)-MATCH($C$1,[1]characters!$1:$1,0)+1),MATCH(H$1,[1]characters!$1:$1,0)-MATCH($C$1,[1]characters!$1:$1,0)+1,FALSE)</f>
        <v>電装の烙雷芯 ファラデー</v>
      </c>
      <c r="I12" s="192">
        <v>1098</v>
      </c>
      <c r="J12" s="57" t="str">
        <f ca="1">VLOOKUP($I12,OFFSET([1]characters!$A$1,0,0,COUNTA([1]characters!$A:$A),MATCH(J$1,[1]characters!$1:$1,0)-MATCH($C$1,[1]characters!$1:$1,0)+1),MATCH(J$1,[1]characters!$1:$1,0)-MATCH($C$1,[1]characters!$1:$1,0)+1,FALSE)</f>
        <v>ルピカ</v>
      </c>
      <c r="K12" s="18">
        <v>1</v>
      </c>
      <c r="L12" s="114">
        <v>1</v>
      </c>
      <c r="M12" s="114">
        <v>100</v>
      </c>
      <c r="N12" s="2" t="s">
        <v>291</v>
      </c>
    </row>
    <row r="13" spans="1:14" ht="21" customHeight="1" x14ac:dyDescent="0.15">
      <c r="A13" s="65" t="str">
        <f>B13&amp;"_"&amp;I13</f>
        <v>804_424</v>
      </c>
      <c r="B13" s="44">
        <v>804</v>
      </c>
      <c r="C13" s="183">
        <f>B13</f>
        <v>804</v>
      </c>
      <c r="D13" s="57" t="str">
        <f ca="1">VLOOKUP($C13,OFFSET([1]characters!$A$1,0,0,COUNTA([1]characters!$A:$A),MATCH(D$1,[1]characters!$1:$1,0)-MATCH($C$1,[1]characters!$1:$1,0)+1),MATCH(D$1,[1]characters!$1:$1,0)-MATCH($C$1,[1]characters!$1:$1,0)+1,FALSE)</f>
        <v>豪電の守護芯 ファラデー</v>
      </c>
      <c r="E13" s="57">
        <f ca="1">VLOOKUP($C13,OFFSET([1]characters!$A$1,0,0,COUNTA([1]characters!$A:$A),MATCH(E$1,[1]characters!$1:$1,0)-MATCH($C$1,[1]characters!$1:$1,0)+1),MATCH(E$1,[1]characters!$1:$1,0)-MATCH($C$1,[1]characters!$1:$1,0)+1,FALSE)</f>
        <v>6</v>
      </c>
      <c r="F13" s="57" t="str">
        <f ca="1">VLOOKUP($C13,OFFSET([1]characters!$A$1,0,0,COUNTA([1]characters!$A:$A),MATCH(F$1,[1]characters!$1:$1,0)-MATCH($C$1,[1]characters!$1:$1,0)+1),MATCH(F$1,[1]characters!$1:$1,0)-MATCH($C$1,[1]characters!$1:$1,0)+1,FALSE)</f>
        <v>PremiumSSS</v>
      </c>
      <c r="G13" s="184">
        <v>1184</v>
      </c>
      <c r="H13" s="57" t="str">
        <f ca="1">VLOOKUP($G13,OFFSET([1]characters!$A$1,0,0,COUNTA([1]characters!$A:$A),MATCH(H$1,[1]characters!$1:$1,0)-MATCH($C$1,[1]characters!$1:$1,0)+1),MATCH(H$1,[1]characters!$1:$1,0)-MATCH($C$1,[1]characters!$1:$1,0)+1,FALSE)</f>
        <v>電装の烙雷芯 ファラデー</v>
      </c>
      <c r="I13" s="192">
        <v>424</v>
      </c>
      <c r="J13" s="57" t="str">
        <f ca="1">VLOOKUP($I13,OFFSET([1]characters!$A$1,0,0,COUNTA([1]characters!$A:$A),MATCH(J$1,[1]characters!$1:$1,0)-MATCH($C$1,[1]characters!$1:$1,0)+1),MATCH(J$1,[1]characters!$1:$1,0)-MATCH($C$1,[1]characters!$1:$1,0)+1,FALSE)</f>
        <v>フック</v>
      </c>
      <c r="K13" s="18">
        <v>1</v>
      </c>
      <c r="L13" s="114">
        <v>2</v>
      </c>
      <c r="M13" s="114">
        <v>100</v>
      </c>
      <c r="N13" s="2" t="s">
        <v>291</v>
      </c>
    </row>
    <row r="14" spans="1:14" ht="21" customHeight="1" x14ac:dyDescent="0.15">
      <c r="A14" s="65" t="str">
        <f t="shared" ref="A14" si="5">B14&amp;"_"&amp;I14</f>
        <v>804_740</v>
      </c>
      <c r="B14" s="44">
        <v>804</v>
      </c>
      <c r="C14" s="183">
        <f t="shared" ref="C14" si="6">B14</f>
        <v>804</v>
      </c>
      <c r="D14" s="57" t="str">
        <f ca="1">VLOOKUP($C14,OFFSET([1]characters!$A$1,0,0,COUNTA([1]characters!$A:$A),MATCH(D$1,[1]characters!$1:$1,0)-MATCH($C$1,[1]characters!$1:$1,0)+1),MATCH(D$1,[1]characters!$1:$1,0)-MATCH($C$1,[1]characters!$1:$1,0)+1,FALSE)</f>
        <v>豪電の守護芯 ファラデー</v>
      </c>
      <c r="E14" s="57">
        <f ca="1">VLOOKUP($C14,OFFSET([1]characters!$A$1,0,0,COUNTA([1]characters!$A:$A),MATCH(E$1,[1]characters!$1:$1,0)-MATCH($C$1,[1]characters!$1:$1,0)+1),MATCH(E$1,[1]characters!$1:$1,0)-MATCH($C$1,[1]characters!$1:$1,0)+1,FALSE)</f>
        <v>6</v>
      </c>
      <c r="F14" s="57" t="str">
        <f ca="1">VLOOKUP($C14,OFFSET([1]characters!$A$1,0,0,COUNTA([1]characters!$A:$A),MATCH(F$1,[1]characters!$1:$1,0)-MATCH($C$1,[1]characters!$1:$1,0)+1),MATCH(F$1,[1]characters!$1:$1,0)-MATCH($C$1,[1]characters!$1:$1,0)+1,FALSE)</f>
        <v>PremiumSSS</v>
      </c>
      <c r="G14" s="184">
        <v>1184</v>
      </c>
      <c r="H14" s="57" t="str">
        <f ca="1">VLOOKUP($G14,OFFSET([1]characters!$A$1,0,0,COUNTA([1]characters!$A:$A),MATCH(H$1,[1]characters!$1:$1,0)-MATCH($C$1,[1]characters!$1:$1,0)+1),MATCH(H$1,[1]characters!$1:$1,0)-MATCH($C$1,[1]characters!$1:$1,0)+1,FALSE)</f>
        <v>電装の烙雷芯 ファラデー</v>
      </c>
      <c r="I14" s="192">
        <v>740</v>
      </c>
      <c r="J14" s="57" t="str">
        <f ca="1">VLOOKUP($I14,OFFSET([1]characters!$A$1,0,0,COUNTA([1]characters!$A:$A),MATCH(J$1,[1]characters!$1:$1,0)-MATCH($C$1,[1]characters!$1:$1,0)+1),MATCH(J$1,[1]characters!$1:$1,0)-MATCH($C$1,[1]characters!$1:$1,0)+1,FALSE)</f>
        <v>テュポーン</v>
      </c>
      <c r="K14" s="18">
        <v>1</v>
      </c>
      <c r="L14" s="114">
        <v>2</v>
      </c>
      <c r="M14" s="114">
        <v>100</v>
      </c>
      <c r="N14" s="2" t="s">
        <v>291</v>
      </c>
    </row>
    <row r="15" spans="1:14" ht="21" customHeight="1" x14ac:dyDescent="0.15">
      <c r="A15" s="65" t="str">
        <f t="shared" ref="A15" si="7">B15&amp;"_"&amp;I15</f>
        <v>1184_114</v>
      </c>
      <c r="B15" s="44">
        <v>1184</v>
      </c>
      <c r="C15" s="183">
        <f t="shared" ref="C15" si="8">B15</f>
        <v>1184</v>
      </c>
      <c r="D15" s="57" t="str">
        <f ca="1">VLOOKUP($C15,OFFSET([1]characters!$A$1,0,0,COUNTA([1]characters!$A:$A),MATCH(D$1,[1]characters!$1:$1,0)-MATCH($C$1,[1]characters!$1:$1,0)+1),MATCH(D$1,[1]characters!$1:$1,0)-MATCH($C$1,[1]characters!$1:$1,0)+1,FALSE)</f>
        <v>電装の烙雷芯 ファラデー</v>
      </c>
      <c r="E15" s="57">
        <f ca="1">VLOOKUP($C15,OFFSET([1]characters!$A$1,0,0,COUNTA([1]characters!$A:$A),MATCH(E$1,[1]characters!$1:$1,0)-MATCH($C$1,[1]characters!$1:$1,0)+1),MATCH(E$1,[1]characters!$1:$1,0)-MATCH($C$1,[1]characters!$1:$1,0)+1,FALSE)</f>
        <v>6</v>
      </c>
      <c r="F15" s="57" t="str">
        <f ca="1">VLOOKUP($C15,OFFSET([1]characters!$A$1,0,0,COUNTA([1]characters!$A:$A),MATCH(F$1,[1]characters!$1:$1,0)-MATCH($C$1,[1]characters!$1:$1,0)+1),MATCH(F$1,[1]characters!$1:$1,0)-MATCH($C$1,[1]characters!$1:$1,0)+1,FALSE)</f>
        <v>PremiumSSS</v>
      </c>
      <c r="G15" s="184">
        <v>804</v>
      </c>
      <c r="H15" s="57" t="str">
        <f ca="1">VLOOKUP($G15,OFFSET([1]characters!$A$1,0,0,COUNTA([1]characters!$A:$A),MATCH(H$1,[1]characters!$1:$1,0)-MATCH($C$1,[1]characters!$1:$1,0)+1),MATCH(H$1,[1]characters!$1:$1,0)-MATCH($C$1,[1]characters!$1:$1,0)+1,FALSE)</f>
        <v>豪電の守護芯 ファラデー</v>
      </c>
      <c r="I15" s="192">
        <v>114</v>
      </c>
      <c r="J15" s="57" t="str">
        <f ca="1">VLOOKUP($I15,OFFSET([1]characters!$A$1,0,0,COUNTA([1]characters!$A:$A),MATCH(J$1,[1]characters!$1:$1,0)-MATCH($C$1,[1]characters!$1:$1,0)+1),MATCH(J$1,[1]characters!$1:$1,0)-MATCH($C$1,[1]characters!$1:$1,0)+1,FALSE)</f>
        <v>イエローラビット</v>
      </c>
      <c r="K15" s="18">
        <v>1</v>
      </c>
      <c r="L15" s="114">
        <v>1</v>
      </c>
      <c r="M15" s="114">
        <v>10</v>
      </c>
      <c r="N15" s="2" t="s">
        <v>291</v>
      </c>
    </row>
    <row r="16" spans="1:14" ht="21" customHeight="1" x14ac:dyDescent="0.15">
      <c r="A16" s="65" t="str">
        <f t="shared" ref="A16" si="9">B16&amp;"_"&amp;I16</f>
        <v>1184_115</v>
      </c>
      <c r="B16" s="44">
        <v>1184</v>
      </c>
      <c r="C16" s="183">
        <f t="shared" ref="C16" si="10">B16</f>
        <v>1184</v>
      </c>
      <c r="D16" s="57" t="str">
        <f ca="1">VLOOKUP($C16,OFFSET([1]characters!$A$1,0,0,COUNTA([1]characters!$A:$A),MATCH(D$1,[1]characters!$1:$1,0)-MATCH($C$1,[1]characters!$1:$1,0)+1),MATCH(D$1,[1]characters!$1:$1,0)-MATCH($C$1,[1]characters!$1:$1,0)+1,FALSE)</f>
        <v>電装の烙雷芯 ファラデー</v>
      </c>
      <c r="E16" s="57">
        <f ca="1">VLOOKUP($C16,OFFSET([1]characters!$A$1,0,0,COUNTA([1]characters!$A:$A),MATCH(E$1,[1]characters!$1:$1,0)-MATCH($C$1,[1]characters!$1:$1,0)+1),MATCH(E$1,[1]characters!$1:$1,0)-MATCH($C$1,[1]characters!$1:$1,0)+1,FALSE)</f>
        <v>6</v>
      </c>
      <c r="F16" s="57" t="str">
        <f ca="1">VLOOKUP($C16,OFFSET([1]characters!$A$1,0,0,COUNTA([1]characters!$A:$A),MATCH(F$1,[1]characters!$1:$1,0)-MATCH($C$1,[1]characters!$1:$1,0)+1),MATCH(F$1,[1]characters!$1:$1,0)-MATCH($C$1,[1]characters!$1:$1,0)+1,FALSE)</f>
        <v>PremiumSSS</v>
      </c>
      <c r="G16" s="184">
        <v>804</v>
      </c>
      <c r="H16" s="57" t="str">
        <f ca="1">VLOOKUP($G16,OFFSET([1]characters!$A$1,0,0,COUNTA([1]characters!$A:$A),MATCH(H$1,[1]characters!$1:$1,0)-MATCH($C$1,[1]characters!$1:$1,0)+1),MATCH(H$1,[1]characters!$1:$1,0)-MATCH($C$1,[1]characters!$1:$1,0)+1,FALSE)</f>
        <v>豪電の守護芯 ファラデー</v>
      </c>
      <c r="I16" s="192">
        <v>115</v>
      </c>
      <c r="J16" s="57" t="str">
        <f ca="1">VLOOKUP($I16,OFFSET([1]characters!$A$1,0,0,COUNTA([1]characters!$A:$A),MATCH(J$1,[1]characters!$1:$1,0)-MATCH($C$1,[1]characters!$1:$1,0)+1),MATCH(J$1,[1]characters!$1:$1,0)-MATCH($C$1,[1]characters!$1:$1,0)+1,FALSE)</f>
        <v>イエローキャタップ</v>
      </c>
      <c r="K16" s="18">
        <v>1</v>
      </c>
      <c r="L16" s="114">
        <v>1</v>
      </c>
      <c r="M16" s="114">
        <v>10</v>
      </c>
      <c r="N16" s="2" t="s">
        <v>291</v>
      </c>
    </row>
    <row r="17" spans="1:14" ht="21" customHeight="1" x14ac:dyDescent="0.15">
      <c r="A17" s="65" t="str">
        <f t="shared" ref="A17" si="11">B17&amp;"_"&amp;I17</f>
        <v>1184_116</v>
      </c>
      <c r="B17" s="44">
        <v>1184</v>
      </c>
      <c r="C17" s="183">
        <f t="shared" ref="C17" si="12">B17</f>
        <v>1184</v>
      </c>
      <c r="D17" s="57" t="str">
        <f ca="1">VLOOKUP($C17,OFFSET([1]characters!$A$1,0,0,COUNTA([1]characters!$A:$A),MATCH(D$1,[1]characters!$1:$1,0)-MATCH($C$1,[1]characters!$1:$1,0)+1),MATCH(D$1,[1]characters!$1:$1,0)-MATCH($C$1,[1]characters!$1:$1,0)+1,FALSE)</f>
        <v>電装の烙雷芯 ファラデー</v>
      </c>
      <c r="E17" s="57">
        <f ca="1">VLOOKUP($C17,OFFSET([1]characters!$A$1,0,0,COUNTA([1]characters!$A:$A),MATCH(E$1,[1]characters!$1:$1,0)-MATCH($C$1,[1]characters!$1:$1,0)+1),MATCH(E$1,[1]characters!$1:$1,0)-MATCH($C$1,[1]characters!$1:$1,0)+1,FALSE)</f>
        <v>6</v>
      </c>
      <c r="F17" s="57" t="str">
        <f ca="1">VLOOKUP($C17,OFFSET([1]characters!$A$1,0,0,COUNTA([1]characters!$A:$A),MATCH(F$1,[1]characters!$1:$1,0)-MATCH($C$1,[1]characters!$1:$1,0)+1),MATCH(F$1,[1]characters!$1:$1,0)-MATCH($C$1,[1]characters!$1:$1,0)+1,FALSE)</f>
        <v>PremiumSSS</v>
      </c>
      <c r="G17" s="184">
        <v>804</v>
      </c>
      <c r="H17" s="57" t="str">
        <f ca="1">VLOOKUP($G17,OFFSET([1]characters!$A$1,0,0,COUNTA([1]characters!$A:$A),MATCH(H$1,[1]characters!$1:$1,0)-MATCH($C$1,[1]characters!$1:$1,0)+1),MATCH(H$1,[1]characters!$1:$1,0)-MATCH($C$1,[1]characters!$1:$1,0)+1,FALSE)</f>
        <v>豪電の守護芯 ファラデー</v>
      </c>
      <c r="I17" s="192">
        <v>116</v>
      </c>
      <c r="J17" s="57" t="str">
        <f ca="1">VLOOKUP($I17,OFFSET([1]characters!$A$1,0,0,COUNTA([1]characters!$A:$A),MATCH(J$1,[1]characters!$1:$1,0)-MATCH($C$1,[1]characters!$1:$1,0)+1),MATCH(J$1,[1]characters!$1:$1,0)-MATCH($C$1,[1]characters!$1:$1,0)+1,FALSE)</f>
        <v>雷のマッドハッター</v>
      </c>
      <c r="K17" s="18">
        <v>1</v>
      </c>
      <c r="L17" s="114">
        <v>1</v>
      </c>
      <c r="M17" s="114">
        <v>10</v>
      </c>
      <c r="N17" s="2" t="s">
        <v>291</v>
      </c>
    </row>
    <row r="18" spans="1:14" ht="21" customHeight="1" x14ac:dyDescent="0.15">
      <c r="A18" s="65" t="str">
        <f>B18&amp;"_"&amp;I18</f>
        <v>487_294</v>
      </c>
      <c r="B18" s="44">
        <v>487</v>
      </c>
      <c r="C18" s="183">
        <f>B18</f>
        <v>487</v>
      </c>
      <c r="D18" s="57" t="str">
        <f ca="1">VLOOKUP($C18,OFFSET([1]characters!$A$1,0,0,COUNTA([1]characters!$A:$A),MATCH(D$1,[1]characters!$1:$1,0)-MATCH($C$1,[1]characters!$1:$1,0)+1),MATCH(D$1,[1]characters!$1:$1,0)-MATCH($C$1,[1]characters!$1:$1,0)+1,FALSE)</f>
        <v>暴創の造物 チューリング</v>
      </c>
      <c r="E18" s="57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7" t="str">
        <f ca="1">VLOOKUP($C18,OFFSET([1]characters!$A$1,0,0,COUNTA([1]characters!$A:$A),MATCH(F$1,[1]characters!$1:$1,0)-MATCH($C$1,[1]characters!$1:$1,0)+1),MATCH(F$1,[1]characters!$1:$1,0)-MATCH($C$1,[1]characters!$1:$1,0)+1,FALSE)</f>
        <v>PremiumSSS</v>
      </c>
      <c r="G18" s="184">
        <v>1126</v>
      </c>
      <c r="H18" s="57" t="str">
        <f ca="1">VLOOKUP($G18,OFFSET([1]characters!$A$1,0,0,COUNTA([1]characters!$A:$A),MATCH(H$1,[1]characters!$1:$1,0)-MATCH($C$1,[1]characters!$1:$1,0)+1),MATCH(H$1,[1]characters!$1:$1,0)-MATCH($C$1,[1]characters!$1:$1,0)+1,FALSE)</f>
        <v>最終焉算の鋼砲 チューリング</v>
      </c>
      <c r="I18" s="192">
        <v>294</v>
      </c>
      <c r="J18" s="57" t="str">
        <f ca="1">VLOOKUP($I18,OFFSET([1]characters!$A$1,0,0,COUNTA([1]characters!$A:$A),MATCH(J$1,[1]characters!$1:$1,0)-MATCH($C$1,[1]characters!$1:$1,0)+1),MATCH(J$1,[1]characters!$1:$1,0)-MATCH($C$1,[1]characters!$1:$1,0)+1,FALSE)</f>
        <v>ウルフ・ザ・レッドイーター</v>
      </c>
      <c r="K18" s="18">
        <v>1</v>
      </c>
      <c r="L18" s="18">
        <v>3</v>
      </c>
      <c r="M18" s="114">
        <v>100</v>
      </c>
      <c r="N18" s="2" t="s">
        <v>291</v>
      </c>
    </row>
    <row r="19" spans="1:14" ht="21" customHeight="1" x14ac:dyDescent="0.15">
      <c r="A19" s="65" t="str">
        <f t="shared" ref="A19:A20" si="13">B19&amp;"_"&amp;I19</f>
        <v>487_644</v>
      </c>
      <c r="B19" s="44">
        <v>487</v>
      </c>
      <c r="C19" s="183">
        <f t="shared" ref="C19:C20" si="14">B19</f>
        <v>487</v>
      </c>
      <c r="D19" s="57" t="str">
        <f ca="1">VLOOKUP($C19,OFFSET([1]characters!$A$1,0,0,COUNTA([1]characters!$A:$A),MATCH(D$1,[1]characters!$1:$1,0)-MATCH($C$1,[1]characters!$1:$1,0)+1),MATCH(D$1,[1]characters!$1:$1,0)-MATCH($C$1,[1]characters!$1:$1,0)+1,FALSE)</f>
        <v>暴創の造物 チューリング</v>
      </c>
      <c r="E19" s="57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7" t="str">
        <f ca="1">VLOOKUP($C19,OFFSET([1]characters!$A$1,0,0,COUNTA([1]characters!$A:$A),MATCH(F$1,[1]characters!$1:$1,0)-MATCH($C$1,[1]characters!$1:$1,0)+1),MATCH(F$1,[1]characters!$1:$1,0)-MATCH($C$1,[1]characters!$1:$1,0)+1,FALSE)</f>
        <v>PremiumSSS</v>
      </c>
      <c r="G19" s="184">
        <v>1126</v>
      </c>
      <c r="H19" s="57" t="str">
        <f ca="1">VLOOKUP($G19,OFFSET([1]characters!$A$1,0,0,COUNTA([1]characters!$A:$A),MATCH(H$1,[1]characters!$1:$1,0)-MATCH($C$1,[1]characters!$1:$1,0)+1),MATCH(H$1,[1]characters!$1:$1,0)-MATCH($C$1,[1]characters!$1:$1,0)+1,FALSE)</f>
        <v>最終焉算の鋼砲 チューリング</v>
      </c>
      <c r="I19" s="192">
        <v>644</v>
      </c>
      <c r="J19" s="57" t="str">
        <f ca="1">VLOOKUP($I19,OFFSET([1]characters!$A$1,0,0,COUNTA([1]characters!$A:$A),MATCH(J$1,[1]characters!$1:$1,0)-MATCH($C$1,[1]characters!$1:$1,0)+1),MATCH(J$1,[1]characters!$1:$1,0)-MATCH($C$1,[1]characters!$1:$1,0)+1,FALSE)</f>
        <v>滑瓢 ショウキ</v>
      </c>
      <c r="K19" s="18">
        <v>1</v>
      </c>
      <c r="L19" s="18">
        <v>3</v>
      </c>
      <c r="M19" s="114">
        <v>100</v>
      </c>
      <c r="N19" s="2" t="s">
        <v>291</v>
      </c>
    </row>
    <row r="20" spans="1:14" ht="21" customHeight="1" x14ac:dyDescent="0.15">
      <c r="A20" s="65" t="str">
        <f t="shared" si="13"/>
        <v>487_1008</v>
      </c>
      <c r="B20" s="44">
        <v>487</v>
      </c>
      <c r="C20" s="183">
        <f t="shared" si="14"/>
        <v>487</v>
      </c>
      <c r="D20" s="57" t="str">
        <f ca="1">VLOOKUP($C20,OFFSET([1]characters!$A$1,0,0,COUNTA([1]characters!$A:$A),MATCH(D$1,[1]characters!$1:$1,0)-MATCH($C$1,[1]characters!$1:$1,0)+1),MATCH(D$1,[1]characters!$1:$1,0)-MATCH($C$1,[1]characters!$1:$1,0)+1,FALSE)</f>
        <v>暴創の造物 チューリング</v>
      </c>
      <c r="E20" s="57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7" t="str">
        <f ca="1">VLOOKUP($C20,OFFSET([1]characters!$A$1,0,0,COUNTA([1]characters!$A:$A),MATCH(F$1,[1]characters!$1:$1,0)-MATCH($C$1,[1]characters!$1:$1,0)+1),MATCH(F$1,[1]characters!$1:$1,0)-MATCH($C$1,[1]characters!$1:$1,0)+1,FALSE)</f>
        <v>PremiumSSS</v>
      </c>
      <c r="G20" s="184">
        <v>1126</v>
      </c>
      <c r="H20" s="57" t="str">
        <f ca="1">VLOOKUP($G20,OFFSET([1]characters!$A$1,0,0,COUNTA([1]characters!$A:$A),MATCH(H$1,[1]characters!$1:$1,0)-MATCH($C$1,[1]characters!$1:$1,0)+1),MATCH(H$1,[1]characters!$1:$1,0)-MATCH($C$1,[1]characters!$1:$1,0)+1,FALSE)</f>
        <v>最終焉算の鋼砲 チューリング</v>
      </c>
      <c r="I20" s="192">
        <v>1008</v>
      </c>
      <c r="J20" s="57" t="str">
        <f ca="1">VLOOKUP($I20,OFFSET([1]characters!$A$1,0,0,COUNTA([1]characters!$A:$A),MATCH(J$1,[1]characters!$1:$1,0)-MATCH($C$1,[1]characters!$1:$1,0)+1),MATCH(J$1,[1]characters!$1:$1,0)-MATCH($C$1,[1]characters!$1:$1,0)+1,FALSE)</f>
        <v>オシリス</v>
      </c>
      <c r="K20" s="18">
        <v>1</v>
      </c>
      <c r="L20" s="18">
        <v>1</v>
      </c>
      <c r="M20" s="114">
        <v>100</v>
      </c>
      <c r="N20" s="2" t="s">
        <v>291</v>
      </c>
    </row>
    <row r="21" spans="1:14" ht="21" customHeight="1" x14ac:dyDescent="0.15">
      <c r="A21" s="65" t="str">
        <f>B21&amp;"_"&amp;I21</f>
        <v>799_294</v>
      </c>
      <c r="B21" s="44">
        <v>799</v>
      </c>
      <c r="C21" s="183">
        <f>B21</f>
        <v>799</v>
      </c>
      <c r="D21" s="57" t="str">
        <f ca="1">VLOOKUP($C21,OFFSET([1]characters!$A$1,0,0,COUNTA([1]characters!$A:$A),MATCH(D$1,[1]characters!$1:$1,0)-MATCH($C$1,[1]characters!$1:$1,0)+1),MATCH(D$1,[1]characters!$1:$1,0)-MATCH($C$1,[1]characters!$1:$1,0)+1,FALSE)</f>
        <v>電讃の魔機 チューリング</v>
      </c>
      <c r="E21" s="57">
        <f ca="1">VLOOKUP($C21,OFFSET([1]characters!$A$1,0,0,COUNTA([1]characters!$A:$A),MATCH(E$1,[1]characters!$1:$1,0)-MATCH($C$1,[1]characters!$1:$1,0)+1),MATCH(E$1,[1]characters!$1:$1,0)-MATCH($C$1,[1]characters!$1:$1,0)+1,FALSE)</f>
        <v>6</v>
      </c>
      <c r="F21" s="57" t="str">
        <f ca="1">VLOOKUP($C21,OFFSET([1]characters!$A$1,0,0,COUNTA([1]characters!$A:$A),MATCH(F$1,[1]characters!$1:$1,0)-MATCH($C$1,[1]characters!$1:$1,0)+1),MATCH(F$1,[1]characters!$1:$1,0)-MATCH($C$1,[1]characters!$1:$1,0)+1,FALSE)</f>
        <v>PremiumSSS</v>
      </c>
      <c r="G21" s="184">
        <v>1126</v>
      </c>
      <c r="H21" s="57" t="str">
        <f ca="1">VLOOKUP($G21,OFFSET([1]characters!$A$1,0,0,COUNTA([1]characters!$A:$A),MATCH(H$1,[1]characters!$1:$1,0)-MATCH($C$1,[1]characters!$1:$1,0)+1),MATCH(H$1,[1]characters!$1:$1,0)-MATCH($C$1,[1]characters!$1:$1,0)+1,FALSE)</f>
        <v>最終焉算の鋼砲 チューリング</v>
      </c>
      <c r="I21" s="192">
        <v>294</v>
      </c>
      <c r="J21" s="57" t="str">
        <f ca="1">VLOOKUP($I21,OFFSET([1]characters!$A$1,0,0,COUNTA([1]characters!$A:$A),MATCH(J$1,[1]characters!$1:$1,0)-MATCH($C$1,[1]characters!$1:$1,0)+1),MATCH(J$1,[1]characters!$1:$1,0)-MATCH($C$1,[1]characters!$1:$1,0)+1,FALSE)</f>
        <v>ウルフ・ザ・レッドイーター</v>
      </c>
      <c r="K21" s="18">
        <v>1</v>
      </c>
      <c r="L21" s="18">
        <v>2</v>
      </c>
      <c r="M21" s="114">
        <v>100</v>
      </c>
      <c r="N21" s="2" t="s">
        <v>291</v>
      </c>
    </row>
    <row r="22" spans="1:14" ht="21" customHeight="1" x14ac:dyDescent="0.15">
      <c r="A22" s="65" t="str">
        <f t="shared" ref="A22:A25" si="15">B22&amp;"_"&amp;I22</f>
        <v>799_644</v>
      </c>
      <c r="B22" s="44">
        <v>799</v>
      </c>
      <c r="C22" s="183">
        <f t="shared" ref="C22:C25" si="16">B22</f>
        <v>799</v>
      </c>
      <c r="D22" s="57" t="str">
        <f ca="1">VLOOKUP($C22,OFFSET([1]characters!$A$1,0,0,COUNTA([1]characters!$A:$A),MATCH(D$1,[1]characters!$1:$1,0)-MATCH($C$1,[1]characters!$1:$1,0)+1),MATCH(D$1,[1]characters!$1:$1,0)-MATCH($C$1,[1]characters!$1:$1,0)+1,FALSE)</f>
        <v>電讃の魔機 チューリング</v>
      </c>
      <c r="E22" s="57">
        <f ca="1">VLOOKUP($C22,OFFSET([1]characters!$A$1,0,0,COUNTA([1]characters!$A:$A),MATCH(E$1,[1]characters!$1:$1,0)-MATCH($C$1,[1]characters!$1:$1,0)+1),MATCH(E$1,[1]characters!$1:$1,0)-MATCH($C$1,[1]characters!$1:$1,0)+1,FALSE)</f>
        <v>6</v>
      </c>
      <c r="F22" s="57" t="str">
        <f ca="1">VLOOKUP($C22,OFFSET([1]characters!$A$1,0,0,COUNTA([1]characters!$A:$A),MATCH(F$1,[1]characters!$1:$1,0)-MATCH($C$1,[1]characters!$1:$1,0)+1),MATCH(F$1,[1]characters!$1:$1,0)-MATCH($C$1,[1]characters!$1:$1,0)+1,FALSE)</f>
        <v>PremiumSSS</v>
      </c>
      <c r="G22" s="184">
        <v>1126</v>
      </c>
      <c r="H22" s="57" t="str">
        <f ca="1">VLOOKUP($G22,OFFSET([1]characters!$A$1,0,0,COUNTA([1]characters!$A:$A),MATCH(H$1,[1]characters!$1:$1,0)-MATCH($C$1,[1]characters!$1:$1,0)+1),MATCH(H$1,[1]characters!$1:$1,0)-MATCH($C$1,[1]characters!$1:$1,0)+1,FALSE)</f>
        <v>最終焉算の鋼砲 チューリング</v>
      </c>
      <c r="I22" s="192">
        <v>644</v>
      </c>
      <c r="J22" s="57" t="str">
        <f ca="1">VLOOKUP($I22,OFFSET([1]characters!$A$1,0,0,COUNTA([1]characters!$A:$A),MATCH(J$1,[1]characters!$1:$1,0)-MATCH($C$1,[1]characters!$1:$1,0)+1),MATCH(J$1,[1]characters!$1:$1,0)-MATCH($C$1,[1]characters!$1:$1,0)+1,FALSE)</f>
        <v>滑瓢 ショウキ</v>
      </c>
      <c r="K22" s="18">
        <v>1</v>
      </c>
      <c r="L22" s="18">
        <v>2</v>
      </c>
      <c r="M22" s="114">
        <v>100</v>
      </c>
      <c r="N22" s="2" t="s">
        <v>291</v>
      </c>
    </row>
    <row r="23" spans="1:14" ht="21" customHeight="1" x14ac:dyDescent="0.15">
      <c r="A23" s="65" t="str">
        <f t="shared" si="15"/>
        <v>1126_106</v>
      </c>
      <c r="B23" s="44">
        <v>1126</v>
      </c>
      <c r="C23" s="183">
        <f t="shared" si="16"/>
        <v>1126</v>
      </c>
      <c r="D23" s="57" t="str">
        <f ca="1">VLOOKUP($C23,OFFSET([1]characters!$A$1,0,0,COUNTA([1]characters!$A:$A),MATCH(D$1,[1]characters!$1:$1,0)-MATCH($C$1,[1]characters!$1:$1,0)+1),MATCH(D$1,[1]characters!$1:$1,0)-MATCH($C$1,[1]characters!$1:$1,0)+1,FALSE)</f>
        <v>最終焉算の鋼砲 チューリング</v>
      </c>
      <c r="E23" s="57">
        <f ca="1">VLOOKUP($C23,OFFSET([1]characters!$A$1,0,0,COUNTA([1]characters!$A:$A),MATCH(E$1,[1]characters!$1:$1,0)-MATCH($C$1,[1]characters!$1:$1,0)+1),MATCH(E$1,[1]characters!$1:$1,0)-MATCH($C$1,[1]characters!$1:$1,0)+1,FALSE)</f>
        <v>6</v>
      </c>
      <c r="F23" s="57" t="str">
        <f ca="1">VLOOKUP($C23,OFFSET([1]characters!$A$1,0,0,COUNTA([1]characters!$A:$A),MATCH(F$1,[1]characters!$1:$1,0)-MATCH($C$1,[1]characters!$1:$1,0)+1),MATCH(F$1,[1]characters!$1:$1,0)-MATCH($C$1,[1]characters!$1:$1,0)+1,FALSE)</f>
        <v>PremiumSSS</v>
      </c>
      <c r="G23" s="184">
        <v>799</v>
      </c>
      <c r="H23" s="57" t="str">
        <f ca="1">VLOOKUP($G23,OFFSET([1]characters!$A$1,0,0,COUNTA([1]characters!$A:$A),MATCH(H$1,[1]characters!$1:$1,0)-MATCH($C$1,[1]characters!$1:$1,0)+1),MATCH(H$1,[1]characters!$1:$1,0)-MATCH($C$1,[1]characters!$1:$1,0)+1,FALSE)</f>
        <v>電讃の魔機 チューリング</v>
      </c>
      <c r="I23" s="192">
        <v>106</v>
      </c>
      <c r="J23" s="57" t="str">
        <f ca="1">VLOOKUP($I23,OFFSET([1]characters!$A$1,0,0,COUNTA([1]characters!$A:$A),MATCH(J$1,[1]characters!$1:$1,0)-MATCH($C$1,[1]characters!$1:$1,0)+1),MATCH(J$1,[1]characters!$1:$1,0)-MATCH($C$1,[1]characters!$1:$1,0)+1,FALSE)</f>
        <v>グリーンラビット</v>
      </c>
      <c r="K23" s="18">
        <v>1</v>
      </c>
      <c r="L23" s="18">
        <v>1</v>
      </c>
      <c r="M23" s="114">
        <v>10</v>
      </c>
      <c r="N23" s="2" t="s">
        <v>291</v>
      </c>
    </row>
    <row r="24" spans="1:14" ht="21" customHeight="1" x14ac:dyDescent="0.15">
      <c r="A24" s="65" t="str">
        <f t="shared" si="15"/>
        <v>1126_107</v>
      </c>
      <c r="B24" s="44">
        <v>1126</v>
      </c>
      <c r="C24" s="183">
        <f t="shared" si="16"/>
        <v>1126</v>
      </c>
      <c r="D24" s="57" t="str">
        <f ca="1">VLOOKUP($C24,OFFSET([1]characters!$A$1,0,0,COUNTA([1]characters!$A:$A),MATCH(D$1,[1]characters!$1:$1,0)-MATCH($C$1,[1]characters!$1:$1,0)+1),MATCH(D$1,[1]characters!$1:$1,0)-MATCH($C$1,[1]characters!$1:$1,0)+1,FALSE)</f>
        <v>最終焉算の鋼砲 チューリング</v>
      </c>
      <c r="E24" s="57">
        <f ca="1">VLOOKUP($C24,OFFSET([1]characters!$A$1,0,0,COUNTA([1]characters!$A:$A),MATCH(E$1,[1]characters!$1:$1,0)-MATCH($C$1,[1]characters!$1:$1,0)+1),MATCH(E$1,[1]characters!$1:$1,0)-MATCH($C$1,[1]characters!$1:$1,0)+1,FALSE)</f>
        <v>6</v>
      </c>
      <c r="F24" s="57" t="str">
        <f ca="1">VLOOKUP($C24,OFFSET([1]characters!$A$1,0,0,COUNTA([1]characters!$A:$A),MATCH(F$1,[1]characters!$1:$1,0)-MATCH($C$1,[1]characters!$1:$1,0)+1),MATCH(F$1,[1]characters!$1:$1,0)-MATCH($C$1,[1]characters!$1:$1,0)+1,FALSE)</f>
        <v>PremiumSSS</v>
      </c>
      <c r="G24" s="184">
        <v>799</v>
      </c>
      <c r="H24" s="57" t="str">
        <f ca="1">VLOOKUP($G24,OFFSET([1]characters!$A$1,0,0,COUNTA([1]characters!$A:$A),MATCH(H$1,[1]characters!$1:$1,0)-MATCH($C$1,[1]characters!$1:$1,0)+1),MATCH(H$1,[1]characters!$1:$1,0)-MATCH($C$1,[1]characters!$1:$1,0)+1,FALSE)</f>
        <v>電讃の魔機 チューリング</v>
      </c>
      <c r="I24" s="192">
        <v>107</v>
      </c>
      <c r="J24" s="57" t="str">
        <f ca="1">VLOOKUP($I24,OFFSET([1]characters!$A$1,0,0,COUNTA([1]characters!$A:$A),MATCH(J$1,[1]characters!$1:$1,0)-MATCH($C$1,[1]characters!$1:$1,0)+1),MATCH(J$1,[1]characters!$1:$1,0)-MATCH($C$1,[1]characters!$1:$1,0)+1,FALSE)</f>
        <v>グリーンキャタップ</v>
      </c>
      <c r="K24" s="18">
        <v>1</v>
      </c>
      <c r="L24" s="18">
        <v>1</v>
      </c>
      <c r="M24" s="114">
        <v>10</v>
      </c>
      <c r="N24" s="2" t="s">
        <v>291</v>
      </c>
    </row>
    <row r="25" spans="1:14" ht="21" customHeight="1" x14ac:dyDescent="0.15">
      <c r="A25" s="65" t="str">
        <f t="shared" si="15"/>
        <v>1126_108</v>
      </c>
      <c r="B25" s="44">
        <v>1126</v>
      </c>
      <c r="C25" s="183">
        <f t="shared" si="16"/>
        <v>1126</v>
      </c>
      <c r="D25" s="57" t="str">
        <f ca="1">VLOOKUP($C25,OFFSET([1]characters!$A$1,0,0,COUNTA([1]characters!$A:$A),MATCH(D$1,[1]characters!$1:$1,0)-MATCH($C$1,[1]characters!$1:$1,0)+1),MATCH(D$1,[1]characters!$1:$1,0)-MATCH($C$1,[1]characters!$1:$1,0)+1,FALSE)</f>
        <v>最終焉算の鋼砲 チューリング</v>
      </c>
      <c r="E25" s="57">
        <f ca="1">VLOOKUP($C25,OFFSET([1]characters!$A$1,0,0,COUNTA([1]characters!$A:$A),MATCH(E$1,[1]characters!$1:$1,0)-MATCH($C$1,[1]characters!$1:$1,0)+1),MATCH(E$1,[1]characters!$1:$1,0)-MATCH($C$1,[1]characters!$1:$1,0)+1,FALSE)</f>
        <v>6</v>
      </c>
      <c r="F25" s="57" t="str">
        <f ca="1">VLOOKUP($C25,OFFSET([1]characters!$A$1,0,0,COUNTA([1]characters!$A:$A),MATCH(F$1,[1]characters!$1:$1,0)-MATCH($C$1,[1]characters!$1:$1,0)+1),MATCH(F$1,[1]characters!$1:$1,0)-MATCH($C$1,[1]characters!$1:$1,0)+1,FALSE)</f>
        <v>PremiumSSS</v>
      </c>
      <c r="G25" s="184">
        <v>799</v>
      </c>
      <c r="H25" s="57" t="str">
        <f ca="1">VLOOKUP($G25,OFFSET([1]characters!$A$1,0,0,COUNTA([1]characters!$A:$A),MATCH(H$1,[1]characters!$1:$1,0)-MATCH($C$1,[1]characters!$1:$1,0)+1),MATCH(H$1,[1]characters!$1:$1,0)-MATCH($C$1,[1]characters!$1:$1,0)+1,FALSE)</f>
        <v>電讃の魔機 チューリング</v>
      </c>
      <c r="I25" s="192">
        <v>108</v>
      </c>
      <c r="J25" s="57" t="str">
        <f ca="1">VLOOKUP($I25,OFFSET([1]characters!$A$1,0,0,COUNTA([1]characters!$A:$A),MATCH(J$1,[1]characters!$1:$1,0)-MATCH($C$1,[1]characters!$1:$1,0)+1),MATCH(J$1,[1]characters!$1:$1,0)-MATCH($C$1,[1]characters!$1:$1,0)+1,FALSE)</f>
        <v>森のマッドハッター</v>
      </c>
      <c r="K25" s="18">
        <v>1</v>
      </c>
      <c r="L25" s="18">
        <v>1</v>
      </c>
      <c r="M25" s="114">
        <v>10</v>
      </c>
      <c r="N25" s="2" t="s">
        <v>291</v>
      </c>
    </row>
    <row r="26" spans="1:14" ht="21" customHeight="1" x14ac:dyDescent="0.15">
      <c r="A26" s="65" t="str">
        <f>B26&amp;"_"&amp;I26</f>
        <v>486_286</v>
      </c>
      <c r="B26" s="44">
        <v>486</v>
      </c>
      <c r="C26" s="183">
        <f>B26</f>
        <v>486</v>
      </c>
      <c r="D26" s="57" t="str">
        <f ca="1">VLOOKUP($C26,OFFSET([1]characters!$A$1,0,0,COUNTA([1]characters!$A:$A),MATCH(D$1,[1]characters!$1:$1,0)-MATCH($C$1,[1]characters!$1:$1,0)+1),MATCH(D$1,[1]characters!$1:$1,0)-MATCH($C$1,[1]characters!$1:$1,0)+1,FALSE)</f>
        <v>重なる世解 シュレディンガー</v>
      </c>
      <c r="E26" s="57">
        <f ca="1">VLOOKUP($C26,OFFSET([1]characters!$A$1,0,0,COUNTA([1]characters!$A:$A),MATCH(E$1,[1]characters!$1:$1,0)-MATCH($C$1,[1]characters!$1:$1,0)+1),MATCH(E$1,[1]characters!$1:$1,0)-MATCH($C$1,[1]characters!$1:$1,0)+1,FALSE)</f>
        <v>5</v>
      </c>
      <c r="F26" s="57" t="str">
        <f ca="1">VLOOKUP($C26,OFFSET([1]characters!$A$1,0,0,COUNTA([1]characters!$A:$A),MATCH(F$1,[1]characters!$1:$1,0)-MATCH($C$1,[1]characters!$1:$1,0)+1),MATCH(F$1,[1]characters!$1:$1,0)-MATCH($C$1,[1]characters!$1:$1,0)+1,FALSE)</f>
        <v>PremiumSSS</v>
      </c>
      <c r="G26" s="184">
        <v>1125</v>
      </c>
      <c r="H26" s="57" t="str">
        <f ca="1">VLOOKUP($G26,OFFSET([1]characters!$A$1,0,0,COUNTA([1]characters!$A:$A),MATCH(H$1,[1]characters!$1:$1,0)-MATCH($C$1,[1]characters!$1:$1,0)+1),MATCH(H$1,[1]characters!$1:$1,0)-MATCH($C$1,[1]characters!$1:$1,0)+1,FALSE)</f>
        <v>累々たる世解 シュレディンガー</v>
      </c>
      <c r="I26" s="192">
        <v>286</v>
      </c>
      <c r="J26" s="57" t="str">
        <f ca="1">VLOOKUP($I26,OFFSET([1]characters!$A$1,0,0,COUNTA([1]characters!$A:$A),MATCH(J$1,[1]characters!$1:$1,0)-MATCH($C$1,[1]characters!$1:$1,0)+1),MATCH(J$1,[1]characters!$1:$1,0)-MATCH($C$1,[1]characters!$1:$1,0)+1,FALSE)</f>
        <v>ヒュドラ</v>
      </c>
      <c r="K26" s="18">
        <v>1</v>
      </c>
      <c r="L26" s="18">
        <v>3</v>
      </c>
      <c r="M26" s="114">
        <v>100</v>
      </c>
      <c r="N26" s="2" t="s">
        <v>291</v>
      </c>
    </row>
    <row r="27" spans="1:14" ht="21" customHeight="1" x14ac:dyDescent="0.15">
      <c r="A27" s="65" t="str">
        <f t="shared" ref="A27:A28" si="17">B27&amp;"_"&amp;I27</f>
        <v>486_278</v>
      </c>
      <c r="B27" s="44">
        <v>486</v>
      </c>
      <c r="C27" s="183">
        <f t="shared" ref="C27:C28" si="18">B27</f>
        <v>486</v>
      </c>
      <c r="D27" s="57" t="str">
        <f ca="1">VLOOKUP($C27,OFFSET([1]characters!$A$1,0,0,COUNTA([1]characters!$A:$A),MATCH(D$1,[1]characters!$1:$1,0)-MATCH($C$1,[1]characters!$1:$1,0)+1),MATCH(D$1,[1]characters!$1:$1,0)-MATCH($C$1,[1]characters!$1:$1,0)+1,FALSE)</f>
        <v>重なる世解 シュレディンガー</v>
      </c>
      <c r="E27" s="57">
        <f ca="1">VLOOKUP($C27,OFFSET([1]characters!$A$1,0,0,COUNTA([1]characters!$A:$A),MATCH(E$1,[1]characters!$1:$1,0)-MATCH($C$1,[1]characters!$1:$1,0)+1),MATCH(E$1,[1]characters!$1:$1,0)-MATCH($C$1,[1]characters!$1:$1,0)+1,FALSE)</f>
        <v>5</v>
      </c>
      <c r="F27" s="57" t="str">
        <f ca="1">VLOOKUP($C27,OFFSET([1]characters!$A$1,0,0,COUNTA([1]characters!$A:$A),MATCH(F$1,[1]characters!$1:$1,0)-MATCH($C$1,[1]characters!$1:$1,0)+1),MATCH(F$1,[1]characters!$1:$1,0)-MATCH($C$1,[1]characters!$1:$1,0)+1,FALSE)</f>
        <v>PremiumSSS</v>
      </c>
      <c r="G27" s="184">
        <v>1125</v>
      </c>
      <c r="H27" s="57" t="str">
        <f ca="1">VLOOKUP($G27,OFFSET([1]characters!$A$1,0,0,COUNTA([1]characters!$A:$A),MATCH(H$1,[1]characters!$1:$1,0)-MATCH($C$1,[1]characters!$1:$1,0)+1),MATCH(H$1,[1]characters!$1:$1,0)-MATCH($C$1,[1]characters!$1:$1,0)+1,FALSE)</f>
        <v>累々たる世解 シュレディンガー</v>
      </c>
      <c r="I27" s="192">
        <v>278</v>
      </c>
      <c r="J27" s="57" t="str">
        <f ca="1">VLOOKUP($I27,OFFSET([1]characters!$A$1,0,0,COUNTA([1]characters!$A:$A),MATCH(J$1,[1]characters!$1:$1,0)-MATCH($C$1,[1]characters!$1:$1,0)+1),MATCH(J$1,[1]characters!$1:$1,0)-MATCH($C$1,[1]characters!$1:$1,0)+1,FALSE)</f>
        <v>アマテラス</v>
      </c>
      <c r="K27" s="18">
        <v>1</v>
      </c>
      <c r="L27" s="18">
        <v>3</v>
      </c>
      <c r="M27" s="114">
        <v>100</v>
      </c>
      <c r="N27" s="2" t="s">
        <v>291</v>
      </c>
    </row>
    <row r="28" spans="1:14" ht="21" customHeight="1" x14ac:dyDescent="0.15">
      <c r="A28" s="65" t="str">
        <f t="shared" si="17"/>
        <v>486_575</v>
      </c>
      <c r="B28" s="44">
        <v>486</v>
      </c>
      <c r="C28" s="183">
        <f t="shared" si="18"/>
        <v>486</v>
      </c>
      <c r="D28" s="57" t="str">
        <f ca="1">VLOOKUP($C28,OFFSET([1]characters!$A$1,0,0,COUNTA([1]characters!$A:$A),MATCH(D$1,[1]characters!$1:$1,0)-MATCH($C$1,[1]characters!$1:$1,0)+1),MATCH(D$1,[1]characters!$1:$1,0)-MATCH($C$1,[1]characters!$1:$1,0)+1,FALSE)</f>
        <v>重なる世解 シュレディンガー</v>
      </c>
      <c r="E28" s="57">
        <f ca="1">VLOOKUP($C28,OFFSET([1]characters!$A$1,0,0,COUNTA([1]characters!$A:$A),MATCH(E$1,[1]characters!$1:$1,0)-MATCH($C$1,[1]characters!$1:$1,0)+1),MATCH(E$1,[1]characters!$1:$1,0)-MATCH($C$1,[1]characters!$1:$1,0)+1,FALSE)</f>
        <v>5</v>
      </c>
      <c r="F28" s="57" t="str">
        <f ca="1">VLOOKUP($C28,OFFSET([1]characters!$A$1,0,0,COUNTA([1]characters!$A:$A),MATCH(F$1,[1]characters!$1:$1,0)-MATCH($C$1,[1]characters!$1:$1,0)+1),MATCH(F$1,[1]characters!$1:$1,0)-MATCH($C$1,[1]characters!$1:$1,0)+1,FALSE)</f>
        <v>PremiumSSS</v>
      </c>
      <c r="G28" s="184">
        <v>1125</v>
      </c>
      <c r="H28" s="57" t="str">
        <f ca="1">VLOOKUP($G28,OFFSET([1]characters!$A$1,0,0,COUNTA([1]characters!$A:$A),MATCH(H$1,[1]characters!$1:$1,0)-MATCH($C$1,[1]characters!$1:$1,0)+1),MATCH(H$1,[1]characters!$1:$1,0)-MATCH($C$1,[1]characters!$1:$1,0)+1,FALSE)</f>
        <v>累々たる世解 シュレディンガー</v>
      </c>
      <c r="I28" s="192">
        <v>575</v>
      </c>
      <c r="J28" s="57" t="str">
        <f ca="1">VLOOKUP($I28,OFFSET([1]characters!$A$1,0,0,COUNTA([1]characters!$A:$A),MATCH(J$1,[1]characters!$1:$1,0)-MATCH($C$1,[1]characters!$1:$1,0)+1),MATCH(J$1,[1]characters!$1:$1,0)-MATCH($C$1,[1]characters!$1:$1,0)+1,FALSE)</f>
        <v>フレイ</v>
      </c>
      <c r="K28" s="18">
        <v>1</v>
      </c>
      <c r="L28" s="18">
        <v>1</v>
      </c>
      <c r="M28" s="114">
        <v>100</v>
      </c>
      <c r="N28" s="2" t="s">
        <v>291</v>
      </c>
    </row>
    <row r="29" spans="1:14" ht="21" customHeight="1" x14ac:dyDescent="0.15">
      <c r="A29" s="65" t="str">
        <f>B29&amp;"_"&amp;I29</f>
        <v>797_286</v>
      </c>
      <c r="B29" s="44">
        <v>797</v>
      </c>
      <c r="C29" s="183">
        <f>B29</f>
        <v>797</v>
      </c>
      <c r="D29" s="57" t="str">
        <f ca="1">VLOOKUP($C29,OFFSET([1]characters!$A$1,0,0,COUNTA([1]characters!$A:$A),MATCH(D$1,[1]characters!$1:$1,0)-MATCH($C$1,[1]characters!$1:$1,0)+1),MATCH(D$1,[1]characters!$1:$1,0)-MATCH($C$1,[1]characters!$1:$1,0)+1,FALSE)</f>
        <v>崩烙の世解 シュレディンガー</v>
      </c>
      <c r="E29" s="57">
        <f ca="1">VLOOKUP($C29,OFFSET([1]characters!$A$1,0,0,COUNTA([1]characters!$A:$A),MATCH(E$1,[1]characters!$1:$1,0)-MATCH($C$1,[1]characters!$1:$1,0)+1),MATCH(E$1,[1]characters!$1:$1,0)-MATCH($C$1,[1]characters!$1:$1,0)+1,FALSE)</f>
        <v>6</v>
      </c>
      <c r="F29" s="57" t="str">
        <f ca="1">VLOOKUP($C29,OFFSET([1]characters!$A$1,0,0,COUNTA([1]characters!$A:$A),MATCH(F$1,[1]characters!$1:$1,0)-MATCH($C$1,[1]characters!$1:$1,0)+1),MATCH(F$1,[1]characters!$1:$1,0)-MATCH($C$1,[1]characters!$1:$1,0)+1,FALSE)</f>
        <v>PremiumSSS</v>
      </c>
      <c r="G29" s="184">
        <v>1125</v>
      </c>
      <c r="H29" s="57" t="str">
        <f ca="1">VLOOKUP($G29,OFFSET([1]characters!$A$1,0,0,COUNTA([1]characters!$A:$A),MATCH(H$1,[1]characters!$1:$1,0)-MATCH($C$1,[1]characters!$1:$1,0)+1),MATCH(H$1,[1]characters!$1:$1,0)-MATCH($C$1,[1]characters!$1:$1,0)+1,FALSE)</f>
        <v>累々たる世解 シュレディンガー</v>
      </c>
      <c r="I29" s="192">
        <v>286</v>
      </c>
      <c r="J29" s="57" t="str">
        <f ca="1">VLOOKUP($I29,OFFSET([1]characters!$A$1,0,0,COUNTA([1]characters!$A:$A),MATCH(J$1,[1]characters!$1:$1,0)-MATCH($C$1,[1]characters!$1:$1,0)+1),MATCH(J$1,[1]characters!$1:$1,0)-MATCH($C$1,[1]characters!$1:$1,0)+1,FALSE)</f>
        <v>ヒュドラ</v>
      </c>
      <c r="K29" s="18">
        <v>1</v>
      </c>
      <c r="L29" s="18">
        <v>2</v>
      </c>
      <c r="M29" s="114">
        <v>100</v>
      </c>
      <c r="N29" s="2" t="s">
        <v>291</v>
      </c>
    </row>
    <row r="30" spans="1:14" ht="21" customHeight="1" x14ac:dyDescent="0.15">
      <c r="A30" s="65" t="str">
        <f t="shared" ref="A30:A33" si="19">B30&amp;"_"&amp;I30</f>
        <v>797_278</v>
      </c>
      <c r="B30" s="44">
        <v>797</v>
      </c>
      <c r="C30" s="183">
        <f t="shared" ref="C30:C33" si="20">B30</f>
        <v>797</v>
      </c>
      <c r="D30" s="57" t="str">
        <f ca="1">VLOOKUP($C30,OFFSET([1]characters!$A$1,0,0,COUNTA([1]characters!$A:$A),MATCH(D$1,[1]characters!$1:$1,0)-MATCH($C$1,[1]characters!$1:$1,0)+1),MATCH(D$1,[1]characters!$1:$1,0)-MATCH($C$1,[1]characters!$1:$1,0)+1,FALSE)</f>
        <v>崩烙の世解 シュレディンガー</v>
      </c>
      <c r="E30" s="57">
        <f ca="1">VLOOKUP($C30,OFFSET([1]characters!$A$1,0,0,COUNTA([1]characters!$A:$A),MATCH(E$1,[1]characters!$1:$1,0)-MATCH($C$1,[1]characters!$1:$1,0)+1),MATCH(E$1,[1]characters!$1:$1,0)-MATCH($C$1,[1]characters!$1:$1,0)+1,FALSE)</f>
        <v>6</v>
      </c>
      <c r="F30" s="57" t="str">
        <f ca="1">VLOOKUP($C30,OFFSET([1]characters!$A$1,0,0,COUNTA([1]characters!$A:$A),MATCH(F$1,[1]characters!$1:$1,0)-MATCH($C$1,[1]characters!$1:$1,0)+1),MATCH(F$1,[1]characters!$1:$1,0)-MATCH($C$1,[1]characters!$1:$1,0)+1,FALSE)</f>
        <v>PremiumSSS</v>
      </c>
      <c r="G30" s="184">
        <v>1125</v>
      </c>
      <c r="H30" s="57" t="str">
        <f ca="1">VLOOKUP($G30,OFFSET([1]characters!$A$1,0,0,COUNTA([1]characters!$A:$A),MATCH(H$1,[1]characters!$1:$1,0)-MATCH($C$1,[1]characters!$1:$1,0)+1),MATCH(H$1,[1]characters!$1:$1,0)-MATCH($C$1,[1]characters!$1:$1,0)+1,FALSE)</f>
        <v>累々たる世解 シュレディンガー</v>
      </c>
      <c r="I30" s="192">
        <v>278</v>
      </c>
      <c r="J30" s="57" t="str">
        <f ca="1">VLOOKUP($I30,OFFSET([1]characters!$A$1,0,0,COUNTA([1]characters!$A:$A),MATCH(J$1,[1]characters!$1:$1,0)-MATCH($C$1,[1]characters!$1:$1,0)+1),MATCH(J$1,[1]characters!$1:$1,0)-MATCH($C$1,[1]characters!$1:$1,0)+1,FALSE)</f>
        <v>アマテラス</v>
      </c>
      <c r="K30" s="18">
        <v>1</v>
      </c>
      <c r="L30" s="18">
        <v>2</v>
      </c>
      <c r="M30" s="114">
        <v>100</v>
      </c>
      <c r="N30" s="2" t="s">
        <v>291</v>
      </c>
    </row>
    <row r="31" spans="1:14" ht="21" customHeight="1" x14ac:dyDescent="0.15">
      <c r="A31" s="65" t="str">
        <f t="shared" si="19"/>
        <v>1125_102</v>
      </c>
      <c r="B31" s="44">
        <v>1125</v>
      </c>
      <c r="C31" s="183">
        <f t="shared" si="20"/>
        <v>1125</v>
      </c>
      <c r="D31" s="57" t="str">
        <f ca="1">VLOOKUP($C31,OFFSET([1]characters!$A$1,0,0,COUNTA([1]characters!$A:$A),MATCH(D$1,[1]characters!$1:$1,0)-MATCH($C$1,[1]characters!$1:$1,0)+1),MATCH(D$1,[1]characters!$1:$1,0)-MATCH($C$1,[1]characters!$1:$1,0)+1,FALSE)</f>
        <v>累々たる世解 シュレディンガー</v>
      </c>
      <c r="E31" s="57">
        <f ca="1">VLOOKUP($C31,OFFSET([1]characters!$A$1,0,0,COUNTA([1]characters!$A:$A),MATCH(E$1,[1]characters!$1:$1,0)-MATCH($C$1,[1]characters!$1:$1,0)+1),MATCH(E$1,[1]characters!$1:$1,0)-MATCH($C$1,[1]characters!$1:$1,0)+1,FALSE)</f>
        <v>6</v>
      </c>
      <c r="F31" s="57" t="str">
        <f ca="1">VLOOKUP($C31,OFFSET([1]characters!$A$1,0,0,COUNTA([1]characters!$A:$A),MATCH(F$1,[1]characters!$1:$1,0)-MATCH($C$1,[1]characters!$1:$1,0)+1),MATCH(F$1,[1]characters!$1:$1,0)-MATCH($C$1,[1]characters!$1:$1,0)+1,FALSE)</f>
        <v>PremiumSSS</v>
      </c>
      <c r="G31" s="184">
        <v>797</v>
      </c>
      <c r="H31" s="57" t="str">
        <f ca="1">VLOOKUP($G31,OFFSET([1]characters!$A$1,0,0,COUNTA([1]characters!$A:$A),MATCH(H$1,[1]characters!$1:$1,0)-MATCH($C$1,[1]characters!$1:$1,0)+1),MATCH(H$1,[1]characters!$1:$1,0)-MATCH($C$1,[1]characters!$1:$1,0)+1,FALSE)</f>
        <v>崩烙の世解 シュレディンガー</v>
      </c>
      <c r="I31" s="192">
        <v>102</v>
      </c>
      <c r="J31" s="57" t="str">
        <f ca="1">VLOOKUP($I31,OFFSET([1]characters!$A$1,0,0,COUNTA([1]characters!$A:$A),MATCH(J$1,[1]characters!$1:$1,0)-MATCH($C$1,[1]characters!$1:$1,0)+1),MATCH(J$1,[1]characters!$1:$1,0)-MATCH($C$1,[1]characters!$1:$1,0)+1,FALSE)</f>
        <v>レッドラビット</v>
      </c>
      <c r="K31" s="18">
        <v>1</v>
      </c>
      <c r="L31" s="18">
        <v>1</v>
      </c>
      <c r="M31" s="114">
        <v>10</v>
      </c>
      <c r="N31" s="2" t="s">
        <v>291</v>
      </c>
    </row>
    <row r="32" spans="1:14" ht="21" customHeight="1" x14ac:dyDescent="0.15">
      <c r="A32" s="65" t="str">
        <f t="shared" si="19"/>
        <v>1125_103</v>
      </c>
      <c r="B32" s="44">
        <v>1125</v>
      </c>
      <c r="C32" s="183">
        <f t="shared" si="20"/>
        <v>1125</v>
      </c>
      <c r="D32" s="57" t="str">
        <f ca="1">VLOOKUP($C32,OFFSET([1]characters!$A$1,0,0,COUNTA([1]characters!$A:$A),MATCH(D$1,[1]characters!$1:$1,0)-MATCH($C$1,[1]characters!$1:$1,0)+1),MATCH(D$1,[1]characters!$1:$1,0)-MATCH($C$1,[1]characters!$1:$1,0)+1,FALSE)</f>
        <v>累々たる世解 シュレディンガー</v>
      </c>
      <c r="E32" s="57">
        <f ca="1">VLOOKUP($C32,OFFSET([1]characters!$A$1,0,0,COUNTA([1]characters!$A:$A),MATCH(E$1,[1]characters!$1:$1,0)-MATCH($C$1,[1]characters!$1:$1,0)+1),MATCH(E$1,[1]characters!$1:$1,0)-MATCH($C$1,[1]characters!$1:$1,0)+1,FALSE)</f>
        <v>6</v>
      </c>
      <c r="F32" s="57" t="str">
        <f ca="1">VLOOKUP($C32,OFFSET([1]characters!$A$1,0,0,COUNTA([1]characters!$A:$A),MATCH(F$1,[1]characters!$1:$1,0)-MATCH($C$1,[1]characters!$1:$1,0)+1),MATCH(F$1,[1]characters!$1:$1,0)-MATCH($C$1,[1]characters!$1:$1,0)+1,FALSE)</f>
        <v>PremiumSSS</v>
      </c>
      <c r="G32" s="184">
        <v>797</v>
      </c>
      <c r="H32" s="57" t="str">
        <f ca="1">VLOOKUP($G32,OFFSET([1]characters!$A$1,0,0,COUNTA([1]characters!$A:$A),MATCH(H$1,[1]characters!$1:$1,0)-MATCH($C$1,[1]characters!$1:$1,0)+1),MATCH(H$1,[1]characters!$1:$1,0)-MATCH($C$1,[1]characters!$1:$1,0)+1,FALSE)</f>
        <v>崩烙の世解 シュレディンガー</v>
      </c>
      <c r="I32" s="192">
        <v>103</v>
      </c>
      <c r="J32" s="57" t="str">
        <f ca="1">VLOOKUP($I32,OFFSET([1]characters!$A$1,0,0,COUNTA([1]characters!$A:$A),MATCH(J$1,[1]characters!$1:$1,0)-MATCH($C$1,[1]characters!$1:$1,0)+1),MATCH(J$1,[1]characters!$1:$1,0)-MATCH($C$1,[1]characters!$1:$1,0)+1,FALSE)</f>
        <v>レッドキャタップ</v>
      </c>
      <c r="K32" s="18">
        <v>1</v>
      </c>
      <c r="L32" s="18">
        <v>1</v>
      </c>
      <c r="M32" s="114">
        <v>10</v>
      </c>
      <c r="N32" s="2" t="s">
        <v>291</v>
      </c>
    </row>
    <row r="33" spans="1:14" ht="21" customHeight="1" x14ac:dyDescent="0.15">
      <c r="A33" s="65" t="str">
        <f t="shared" si="19"/>
        <v>1125_104</v>
      </c>
      <c r="B33" s="44">
        <v>1125</v>
      </c>
      <c r="C33" s="183">
        <f t="shared" si="20"/>
        <v>1125</v>
      </c>
      <c r="D33" s="57" t="str">
        <f ca="1">VLOOKUP($C33,OFFSET([1]characters!$A$1,0,0,COUNTA([1]characters!$A:$A),MATCH(D$1,[1]characters!$1:$1,0)-MATCH($C$1,[1]characters!$1:$1,0)+1),MATCH(D$1,[1]characters!$1:$1,0)-MATCH($C$1,[1]characters!$1:$1,0)+1,FALSE)</f>
        <v>累々たる世解 シュレディンガー</v>
      </c>
      <c r="E33" s="57">
        <f ca="1">VLOOKUP($C33,OFFSET([1]characters!$A$1,0,0,COUNTA([1]characters!$A:$A),MATCH(E$1,[1]characters!$1:$1,0)-MATCH($C$1,[1]characters!$1:$1,0)+1),MATCH(E$1,[1]characters!$1:$1,0)-MATCH($C$1,[1]characters!$1:$1,0)+1,FALSE)</f>
        <v>6</v>
      </c>
      <c r="F33" s="57" t="str">
        <f ca="1">VLOOKUP($C33,OFFSET([1]characters!$A$1,0,0,COUNTA([1]characters!$A:$A),MATCH(F$1,[1]characters!$1:$1,0)-MATCH($C$1,[1]characters!$1:$1,0)+1),MATCH(F$1,[1]characters!$1:$1,0)-MATCH($C$1,[1]characters!$1:$1,0)+1,FALSE)</f>
        <v>PremiumSSS</v>
      </c>
      <c r="G33" s="184">
        <v>797</v>
      </c>
      <c r="H33" s="57" t="str">
        <f ca="1">VLOOKUP($G33,OFFSET([1]characters!$A$1,0,0,COUNTA([1]characters!$A:$A),MATCH(H$1,[1]characters!$1:$1,0)-MATCH($C$1,[1]characters!$1:$1,0)+1),MATCH(H$1,[1]characters!$1:$1,0)-MATCH($C$1,[1]characters!$1:$1,0)+1,FALSE)</f>
        <v>崩烙の世解 シュレディンガー</v>
      </c>
      <c r="I33" s="192">
        <v>104</v>
      </c>
      <c r="J33" s="57" t="str">
        <f ca="1">VLOOKUP($I33,OFFSET([1]characters!$A$1,0,0,COUNTA([1]characters!$A:$A),MATCH(J$1,[1]characters!$1:$1,0)-MATCH($C$1,[1]characters!$1:$1,0)+1),MATCH(J$1,[1]characters!$1:$1,0)-MATCH($C$1,[1]characters!$1:$1,0)+1,FALSE)</f>
        <v>炎のマッドハッター</v>
      </c>
      <c r="K33" s="18">
        <v>1</v>
      </c>
      <c r="L33" s="18">
        <v>1</v>
      </c>
      <c r="M33" s="114">
        <v>10</v>
      </c>
      <c r="N33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A11" sqref="A11:XFD11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3" customFormat="1" ht="21" customHeight="1" x14ac:dyDescent="0.15">
      <c r="A1" s="172" t="s">
        <v>303</v>
      </c>
      <c r="B1" s="120" t="s">
        <v>304</v>
      </c>
      <c r="C1" s="121" t="s">
        <v>305</v>
      </c>
      <c r="D1" s="122" t="s">
        <v>306</v>
      </c>
      <c r="E1" s="122" t="s">
        <v>307</v>
      </c>
      <c r="F1" s="122" t="s">
        <v>308</v>
      </c>
      <c r="G1" s="122" t="s">
        <v>309</v>
      </c>
      <c r="H1" s="122" t="s">
        <v>310</v>
      </c>
      <c r="I1" s="178" t="s">
        <v>311</v>
      </c>
      <c r="J1" s="173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9"/>
  <sheetViews>
    <sheetView workbookViewId="0">
      <selection activeCell="D9" sqref="D9"/>
    </sheetView>
  </sheetViews>
  <sheetFormatPr baseColWidth="12" defaultRowHeight="15" x14ac:dyDescent="0.15"/>
  <cols>
    <col min="5" max="5" width="22.6640625" customWidth="1"/>
    <col min="6" max="6" width="35.33203125" customWidth="1"/>
  </cols>
  <sheetData>
    <row r="1" spans="1:8" s="23" customFormat="1" ht="21" customHeight="1" x14ac:dyDescent="0.15">
      <c r="A1" s="172" t="s">
        <v>138</v>
      </c>
      <c r="B1" s="175" t="s">
        <v>267</v>
      </c>
      <c r="C1" s="120" t="s">
        <v>268</v>
      </c>
      <c r="D1" s="120" t="s">
        <v>269</v>
      </c>
      <c r="E1" s="176" t="s">
        <v>270</v>
      </c>
      <c r="F1" s="176" t="s">
        <v>271</v>
      </c>
      <c r="G1" s="123" t="s">
        <v>272</v>
      </c>
      <c r="H1" s="172" t="s">
        <v>273</v>
      </c>
    </row>
    <row r="2" spans="1:8" s="4" customFormat="1" ht="21" customHeight="1" x14ac:dyDescent="0.15">
      <c r="A2" s="174">
        <v>1181</v>
      </c>
      <c r="B2" s="177" t="str">
        <f>VLOOKUP(A2,[1]characters!$A:$C,3)</f>
        <v>永存の究極論 ユークリッド</v>
      </c>
      <c r="C2" s="174">
        <v>1</v>
      </c>
      <c r="D2" s="174">
        <v>105</v>
      </c>
      <c r="E2" s="178" t="str">
        <f>IF(ISERROR(VLOOKUP(D2,[3]abilities!A:D,3,FALSE))=FALSE,VLOOKUP(D2,[3]abilities!A:D,3),IF(ISERROR(VLOOKUP(D2,abilities!A:D,3,FALSE))=FALSE,VLOOKUP(D2,abilities!A:D,3),"なし"))</f>
        <v>お邪魔ブレイク</v>
      </c>
      <c r="F2" s="178" t="str">
        <f>IF(ISERROR(VLOOKUP(D2,[3]abilities!A:D,4,FALSE))=FALSE,VLOOKUP(D2,[3]abilities!A:D,4),IF(ISERROR(VLOOKUP(D2,abilities!A:D,4,FALSE))=FALSE,VLOOKUP(D2,abilities!A:D,4),"なし"))</f>
        <v>自身が先頭の時、お邪魔パネルを破壊できる</v>
      </c>
      <c r="G2" s="179" t="s">
        <v>274</v>
      </c>
      <c r="H2" s="179" t="s">
        <v>275</v>
      </c>
    </row>
    <row r="3" spans="1:8" s="4" customFormat="1" ht="21" customHeight="1" x14ac:dyDescent="0.15">
      <c r="A3" s="174">
        <v>1181</v>
      </c>
      <c r="B3" s="177" t="str">
        <f>VLOOKUP(A3,[1]characters!$A:$C,3)</f>
        <v>永存の究極論 ユークリッド</v>
      </c>
      <c r="C3" s="174">
        <v>2</v>
      </c>
      <c r="D3" s="174">
        <v>203</v>
      </c>
      <c r="E3" s="178" t="str">
        <f>IF(ISERROR(VLOOKUP(D3,[3]abilities!A:D,3,FALSE))=FALSE,VLOOKUP(D3,[3]abilities!A:D,3),IF(ISERROR(VLOOKUP(D3,abilities!A:D,3,FALSE))=FALSE,VLOOKUP(D3,abilities!A:D,3),"なし"))</f>
        <v>爆風軽減無効</v>
      </c>
      <c r="F3" s="178" t="str">
        <f>IF(ISERROR(VLOOKUP(D3,[3]abilities!A:D,4,FALSE))=FALSE,VLOOKUP(D3,[3]abilities!A:D,4),IF(ISERROR(VLOOKUP(D3,abilities!A:D,4,FALSE))=FALSE,VLOOKUP(D3,abilities!A:D,4),"なし"))</f>
        <v>自身が先頭の時、爆風軽減を無効化する</v>
      </c>
      <c r="G3" s="179" t="s">
        <v>318</v>
      </c>
      <c r="H3" s="179" t="s">
        <v>275</v>
      </c>
    </row>
    <row r="4" spans="1:8" s="4" customFormat="1" ht="21" customHeight="1" x14ac:dyDescent="0.15">
      <c r="A4" s="174">
        <v>1184</v>
      </c>
      <c r="B4" s="177" t="str">
        <f>VLOOKUP(A4,[1]characters!$A:$C,3)</f>
        <v>電装の烙雷芯 ファラデー</v>
      </c>
      <c r="C4" s="174">
        <v>1</v>
      </c>
      <c r="D4" s="174">
        <v>102</v>
      </c>
      <c r="E4" s="178" t="str">
        <f>IF(ISERROR(VLOOKUP(D4,[3]abilities!A:D,3,FALSE))=FALSE,VLOOKUP(D4,[3]abilities!A:D,3),IF(ISERROR(VLOOKUP(D4,abilities!A:D,3,FALSE))=FALSE,VLOOKUP(D4,abilities!A:D,3),"なし"))</f>
        <v>プロテクトブレイク</v>
      </c>
      <c r="F4" s="178" t="str">
        <f>IF(ISERROR(VLOOKUP(D4,[3]abilities!A:D,4,FALSE))=FALSE,VLOOKUP(D4,[3]abilities!A:D,4),IF(ISERROR(VLOOKUP(D4,abilities!A:D,4,FALSE))=FALSE,VLOOKUP(D4,abilities!A:D,4),"なし"))</f>
        <v>自身が先頭の時、プロテクトを無視してパネル破壊できる</v>
      </c>
      <c r="G4" s="179" t="s">
        <v>274</v>
      </c>
      <c r="H4" s="179" t="s">
        <v>275</v>
      </c>
    </row>
    <row r="5" spans="1:8" s="4" customFormat="1" ht="21" customHeight="1" x14ac:dyDescent="0.15">
      <c r="A5" s="174">
        <v>1184</v>
      </c>
      <c r="B5" s="177" t="str">
        <f>VLOOKUP(A5,[1]characters!$A:$C,3)</f>
        <v>電装の烙雷芯 ファラデー</v>
      </c>
      <c r="C5" s="174">
        <v>2</v>
      </c>
      <c r="D5" s="174">
        <v>800</v>
      </c>
      <c r="E5" s="178" t="str">
        <f>IF(ISERROR(VLOOKUP(D5,[3]abilities!A:D,3,FALSE))=FALSE,VLOOKUP(D5,[3]abilities!A:D,3),IF(ISERROR(VLOOKUP(D5,abilities!A:D,3,FALSE))=FALSE,VLOOKUP(D5,abilities!A:D,3),"なし"))</f>
        <v>パネルブレイク30 攻撃力UP</v>
      </c>
      <c r="F5" s="178" t="str">
        <f>IF(ISERROR(VLOOKUP(D5,[3]abilities!A:D,4,FALSE))=FALSE,VLOOKUP(D5,[3]abilities!A:D,4),IF(ISERROR(VLOOKUP(D5,abilities!A:D,4,FALSE))=FALSE,VLOOKUP(D5,abilities!A:D,4),"なし"))</f>
        <v>自身が先頭の時、1ターンの間に合計30個以上パネルを破壊した場合に攻撃力UP</v>
      </c>
      <c r="G5" s="179" t="s">
        <v>318</v>
      </c>
      <c r="H5" s="179" t="s">
        <v>275</v>
      </c>
    </row>
    <row r="6" spans="1:8" s="4" customFormat="1" ht="21" customHeight="1" x14ac:dyDescent="0.15">
      <c r="A6" s="174">
        <v>1126</v>
      </c>
      <c r="B6" s="177" t="str">
        <f>VLOOKUP(A6,[1]characters!$A:$C,3)</f>
        <v>最終焉算の鋼砲 チューリング</v>
      </c>
      <c r="C6" s="174">
        <v>1</v>
      </c>
      <c r="D6" s="174">
        <v>200</v>
      </c>
      <c r="E6" s="178" t="str">
        <f>IF(ISERROR(VLOOKUP(D6,[3]abilities!A:D,3,FALSE))=FALSE,VLOOKUP(D6,[3]abilities!A:D,3),IF(ISERROR(VLOOKUP(D6,abilities!A:D,3,FALSE))=FALSE,VLOOKUP(D6,abilities!A:D,3),"なし"))</f>
        <v>ウィルス無効</v>
      </c>
      <c r="F6" s="178" t="str">
        <f>IF(ISERROR(VLOOKUP(D6,[3]abilities!A:D,4,FALSE))=FALSE,VLOOKUP(D6,[3]abilities!A:D,4),IF(ISERROR(VLOOKUP(D6,abilities!A:D,4,FALSE))=FALSE,VLOOKUP(D6,abilities!A:D,4),"なし"))</f>
        <v>自身にかかるウィルスを無効化する</v>
      </c>
      <c r="G6" s="179" t="s">
        <v>274</v>
      </c>
      <c r="H6" s="179" t="s">
        <v>275</v>
      </c>
    </row>
    <row r="7" spans="1:8" s="4" customFormat="1" ht="21" customHeight="1" x14ac:dyDescent="0.15">
      <c r="A7" s="174">
        <v>1126</v>
      </c>
      <c r="B7" s="177" t="str">
        <f>VLOOKUP(A7,[1]characters!$A:$C,3)</f>
        <v>最終焉算の鋼砲 チューリング</v>
      </c>
      <c r="C7" s="174">
        <v>2</v>
      </c>
      <c r="D7" s="174">
        <v>901</v>
      </c>
      <c r="E7" s="178" t="str">
        <f>IF(ISERROR(VLOOKUP(D7,[3]abilities!A:D,3,FALSE))=FALSE,VLOOKUP(D7,[3]abilities!A:D,3),IF(ISERROR(VLOOKUP(D7,abilities!A:D,3,FALSE))=FALSE,VLOOKUP(D7,abilities!A:D,3),"なし"))</f>
        <v>チェイン12 回復力UP</v>
      </c>
      <c r="F7" s="178" t="str">
        <f>IF(ISERROR(VLOOKUP(D7,[3]abilities!A:D,4,FALSE))=FALSE,VLOOKUP(D7,[3]abilities!A:D,4),IF(ISERROR(VLOOKUP(D7,abilities!A:D,4,FALSE))=FALSE,VLOOKUP(D7,abilities!A:D,4),"なし"))</f>
        <v>自身が先頭の時、1タップで12個以上パネルを繋げた場合に回復力UP</v>
      </c>
      <c r="G7" s="179" t="s">
        <v>274</v>
      </c>
      <c r="H7" s="179" t="s">
        <v>275</v>
      </c>
    </row>
    <row r="8" spans="1:8" s="4" customFormat="1" ht="21" customHeight="1" x14ac:dyDescent="0.15">
      <c r="A8" s="174">
        <v>1125</v>
      </c>
      <c r="B8" s="177" t="str">
        <f>VLOOKUP(A8,[1]characters!$A:$C,3)</f>
        <v>累々たる世解 シュレディンガー</v>
      </c>
      <c r="C8" s="174">
        <v>1</v>
      </c>
      <c r="D8" s="174">
        <v>102</v>
      </c>
      <c r="E8" s="178" t="str">
        <f>IF(ISERROR(VLOOKUP(D8,[3]abilities!A:D,3,FALSE))=FALSE,VLOOKUP(D8,[3]abilities!A:D,3),IF(ISERROR(VLOOKUP(D8,abilities!A:D,3,FALSE))=FALSE,VLOOKUP(D8,abilities!A:D,3),"なし"))</f>
        <v>プロテクトブレイク</v>
      </c>
      <c r="F8" s="178" t="str">
        <f>IF(ISERROR(VLOOKUP(D8,[3]abilities!A:D,4,FALSE))=FALSE,VLOOKUP(D8,[3]abilities!A:D,4),IF(ISERROR(VLOOKUP(D8,abilities!A:D,4,FALSE))=FALSE,VLOOKUP(D8,abilities!A:D,4),"なし"))</f>
        <v>自身が先頭の時、プロテクトを無視してパネル破壊できる</v>
      </c>
      <c r="G8" s="179" t="s">
        <v>274</v>
      </c>
      <c r="H8" s="179" t="s">
        <v>275</v>
      </c>
    </row>
    <row r="9" spans="1:8" s="4" customFormat="1" ht="21" customHeight="1" x14ac:dyDescent="0.15">
      <c r="A9" s="174">
        <v>1125</v>
      </c>
      <c r="B9" s="177" t="str">
        <f>VLOOKUP(A9,[1]characters!$A:$C,3)</f>
        <v>累々たる世解 シュレディンガー</v>
      </c>
      <c r="C9" s="174">
        <v>2</v>
      </c>
      <c r="D9" s="174">
        <v>105</v>
      </c>
      <c r="E9" s="178" t="str">
        <f>IF(ISERROR(VLOOKUP(D9,[3]abilities!A:D,3,FALSE))=FALSE,VLOOKUP(D9,[3]abilities!A:D,3),IF(ISERROR(VLOOKUP(D9,abilities!A:D,3,FALSE))=FALSE,VLOOKUP(D9,abilities!A:D,3),"なし"))</f>
        <v>お邪魔ブレイク</v>
      </c>
      <c r="F9" s="178" t="str">
        <f>IF(ISERROR(VLOOKUP(D9,[3]abilities!A:D,4,FALSE))=FALSE,VLOOKUP(D9,[3]abilities!A:D,4),IF(ISERROR(VLOOKUP(D9,abilities!A:D,4,FALSE))=FALSE,VLOOKUP(D9,abilities!A:D,4),"なし"))</f>
        <v>自身が先頭の時、お邪魔パネルを破壊できる</v>
      </c>
      <c r="G9" s="179" t="s">
        <v>274</v>
      </c>
      <c r="H9" s="179" t="s">
        <v>275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C16" sqref="C16"/>
    </sheetView>
  </sheetViews>
  <sheetFormatPr baseColWidth="12" defaultRowHeight="15" x14ac:dyDescent="0.15"/>
  <sheetData>
    <row r="1" spans="1:2" x14ac:dyDescent="0.15">
      <c r="A1" t="s">
        <v>353</v>
      </c>
      <c r="B1" t="s">
        <v>354</v>
      </c>
    </row>
    <row r="2" spans="1:2" x14ac:dyDescent="0.15">
      <c r="A2" t="s">
        <v>355</v>
      </c>
      <c r="B2">
        <v>1</v>
      </c>
    </row>
    <row r="3" spans="1:2" x14ac:dyDescent="0.15">
      <c r="A3" t="s">
        <v>356</v>
      </c>
      <c r="B3">
        <v>1</v>
      </c>
    </row>
    <row r="4" spans="1:2" x14ac:dyDescent="0.15">
      <c r="A4" t="s">
        <v>357</v>
      </c>
      <c r="B4">
        <v>1</v>
      </c>
    </row>
    <row r="5" spans="1:2" x14ac:dyDescent="0.15">
      <c r="A5" t="s">
        <v>358</v>
      </c>
      <c r="B5">
        <v>1</v>
      </c>
    </row>
    <row r="6" spans="1:2" x14ac:dyDescent="0.15">
      <c r="A6" t="s">
        <v>359</v>
      </c>
      <c r="B6">
        <v>1</v>
      </c>
    </row>
    <row r="7" spans="1:2" x14ac:dyDescent="0.15">
      <c r="A7" t="s">
        <v>360</v>
      </c>
      <c r="B7">
        <v>1</v>
      </c>
    </row>
    <row r="8" spans="1:2" x14ac:dyDescent="0.15">
      <c r="A8" t="s">
        <v>361</v>
      </c>
      <c r="B8">
        <v>1</v>
      </c>
    </row>
    <row r="9" spans="1:2" x14ac:dyDescent="0.15">
      <c r="A9" t="s">
        <v>362</v>
      </c>
      <c r="B9">
        <v>1</v>
      </c>
    </row>
    <row r="10" spans="1:2" x14ac:dyDescent="0.15">
      <c r="A10" t="s">
        <v>363</v>
      </c>
      <c r="B10">
        <v>1</v>
      </c>
    </row>
    <row r="11" spans="1:2" x14ac:dyDescent="0.15">
      <c r="A11" t="s">
        <v>364</v>
      </c>
      <c r="B11">
        <v>1</v>
      </c>
    </row>
    <row r="12" spans="1:2" x14ac:dyDescent="0.15">
      <c r="A12" t="s">
        <v>365</v>
      </c>
      <c r="B12">
        <v>1</v>
      </c>
    </row>
    <row r="13" spans="1:2" x14ac:dyDescent="0.15">
      <c r="A13" t="s">
        <v>366</v>
      </c>
      <c r="B13">
        <v>0</v>
      </c>
    </row>
    <row r="14" spans="1:2" x14ac:dyDescent="0.15">
      <c r="A14" t="s">
        <v>367</v>
      </c>
      <c r="B14">
        <v>500</v>
      </c>
    </row>
    <row r="15" spans="1:2" x14ac:dyDescent="0.15">
      <c r="A15" t="s">
        <v>368</v>
      </c>
      <c r="B15">
        <v>600</v>
      </c>
    </row>
    <row r="16" spans="1:2" x14ac:dyDescent="0.15">
      <c r="A16" t="s">
        <v>369</v>
      </c>
      <c r="B16">
        <v>700</v>
      </c>
    </row>
    <row r="17" spans="1:2" x14ac:dyDescent="0.15">
      <c r="A17" t="s">
        <v>370</v>
      </c>
      <c r="B17">
        <v>5500</v>
      </c>
    </row>
    <row r="18" spans="1:2" x14ac:dyDescent="0.15">
      <c r="A18" t="s">
        <v>371</v>
      </c>
      <c r="B18">
        <v>6000</v>
      </c>
    </row>
    <row r="19" spans="1:2" x14ac:dyDescent="0.15">
      <c r="A19" t="s">
        <v>372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0" t="s">
        <v>233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234</v>
      </c>
      <c r="B2" s="147"/>
      <c r="C2" s="148"/>
      <c r="D2" s="149" t="s">
        <v>235</v>
      </c>
      <c r="E2" s="149">
        <v>30</v>
      </c>
      <c r="F2" s="149">
        <v>40</v>
      </c>
      <c r="G2" s="149">
        <f>15+F2</f>
        <v>55</v>
      </c>
      <c r="H2" s="148"/>
      <c r="I2" s="148"/>
    </row>
    <row r="3" spans="1:9" s="4" customFormat="1" ht="21" customHeight="1" x14ac:dyDescent="0.15">
      <c r="A3" s="146" t="s">
        <v>236</v>
      </c>
      <c r="B3" s="150"/>
      <c r="C3" s="151"/>
      <c r="D3" s="152" t="s">
        <v>235</v>
      </c>
      <c r="E3" s="152">
        <v>25</v>
      </c>
      <c r="F3" s="152">
        <v>35</v>
      </c>
      <c r="G3" s="149">
        <f t="shared" ref="G3:G4" si="0">15+F3</f>
        <v>50</v>
      </c>
      <c r="H3" s="151"/>
      <c r="I3" s="151"/>
    </row>
    <row r="4" spans="1:9" s="4" customFormat="1" ht="21" customHeight="1" x14ac:dyDescent="0.15">
      <c r="A4" s="146" t="s">
        <v>237</v>
      </c>
      <c r="B4" s="153"/>
      <c r="C4" s="154"/>
      <c r="D4" s="155">
        <v>10</v>
      </c>
      <c r="E4" s="155">
        <v>20</v>
      </c>
      <c r="F4" s="155">
        <v>30</v>
      </c>
      <c r="G4" s="155">
        <f t="shared" si="0"/>
        <v>45</v>
      </c>
      <c r="H4" s="154"/>
      <c r="I4" s="154"/>
    </row>
    <row r="5" spans="1:9" s="4" customFormat="1" ht="21" customHeight="1" x14ac:dyDescent="0.15">
      <c r="A5" s="165" t="s">
        <v>238</v>
      </c>
      <c r="B5" s="160"/>
      <c r="C5" s="161"/>
      <c r="D5" s="28">
        <v>9</v>
      </c>
      <c r="E5" s="28">
        <v>18</v>
      </c>
      <c r="F5" s="28">
        <v>28</v>
      </c>
      <c r="G5" s="39">
        <v>38</v>
      </c>
      <c r="H5" s="161"/>
      <c r="I5" s="161"/>
    </row>
    <row r="6" spans="1:9" s="4" customFormat="1" ht="21" customHeight="1" x14ac:dyDescent="0.15">
      <c r="A6" s="165" t="s">
        <v>239</v>
      </c>
      <c r="B6" s="160"/>
      <c r="C6" s="161"/>
      <c r="D6" s="28">
        <v>7</v>
      </c>
      <c r="E6" s="28">
        <v>16</v>
      </c>
      <c r="F6" s="69" t="s">
        <v>11</v>
      </c>
      <c r="G6" s="69" t="s">
        <v>11</v>
      </c>
      <c r="H6" s="161"/>
      <c r="I6" s="161"/>
    </row>
    <row r="7" spans="1:9" ht="21" customHeight="1" x14ac:dyDescent="0.15">
      <c r="A7" s="74" t="s">
        <v>240</v>
      </c>
      <c r="B7" s="47" t="s">
        <v>11</v>
      </c>
      <c r="C7" s="47" t="s">
        <v>11</v>
      </c>
      <c r="D7" s="39" t="s">
        <v>235</v>
      </c>
      <c r="E7" s="39" t="s">
        <v>235</v>
      </c>
      <c r="F7" s="39" t="s">
        <v>235</v>
      </c>
      <c r="G7" s="39" t="s">
        <v>235</v>
      </c>
      <c r="H7" s="39" t="s">
        <v>235</v>
      </c>
      <c r="I7" s="39" t="s">
        <v>235</v>
      </c>
    </row>
    <row r="8" spans="1:9" ht="21" customHeight="1" x14ac:dyDescent="0.15">
      <c r="A8" s="75" t="s">
        <v>241</v>
      </c>
      <c r="B8" s="47" t="s">
        <v>11</v>
      </c>
      <c r="C8" s="47" t="s">
        <v>11</v>
      </c>
      <c r="D8" s="39" t="s">
        <v>235</v>
      </c>
      <c r="E8" s="39">
        <v>30</v>
      </c>
      <c r="F8" s="39">
        <v>40</v>
      </c>
      <c r="G8" s="39">
        <f>15+F8</f>
        <v>55</v>
      </c>
      <c r="H8" s="39" t="s">
        <v>235</v>
      </c>
      <c r="I8" s="39" t="s">
        <v>235</v>
      </c>
    </row>
    <row r="9" spans="1:9" s="46" customFormat="1" ht="21" customHeight="1" x14ac:dyDescent="0.15">
      <c r="A9" s="76" t="s">
        <v>313</v>
      </c>
      <c r="B9" s="28" t="s">
        <v>11</v>
      </c>
      <c r="C9" s="28" t="s">
        <v>11</v>
      </c>
      <c r="D9" s="106" t="s">
        <v>109</v>
      </c>
      <c r="E9" s="106" t="s">
        <v>109</v>
      </c>
      <c r="F9" s="106">
        <v>38</v>
      </c>
      <c r="G9" s="39">
        <f>15+F9</f>
        <v>53</v>
      </c>
      <c r="H9" s="106" t="s">
        <v>109</v>
      </c>
      <c r="I9" s="106" t="s">
        <v>109</v>
      </c>
    </row>
    <row r="10" spans="1:9" s="46" customFormat="1" ht="21" customHeight="1" x14ac:dyDescent="0.15">
      <c r="A10" s="76" t="s">
        <v>242</v>
      </c>
      <c r="B10" s="28" t="s">
        <v>11</v>
      </c>
      <c r="C10" s="28" t="s">
        <v>11</v>
      </c>
      <c r="D10" s="106" t="s">
        <v>235</v>
      </c>
      <c r="E10" s="106">
        <v>25</v>
      </c>
      <c r="F10" s="106">
        <v>35</v>
      </c>
      <c r="G10" s="39">
        <f t="shared" ref="G10:G11" si="1">15+F10</f>
        <v>50</v>
      </c>
      <c r="H10" s="106" t="s">
        <v>235</v>
      </c>
      <c r="I10" s="106" t="s">
        <v>235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8">
        <v>10</v>
      </c>
      <c r="E11" s="28">
        <v>20</v>
      </c>
      <c r="F11" s="28">
        <v>30</v>
      </c>
      <c r="G11" s="39">
        <f t="shared" si="1"/>
        <v>45</v>
      </c>
      <c r="H11" s="69" t="s">
        <v>11</v>
      </c>
      <c r="I11" s="69" t="s">
        <v>11</v>
      </c>
    </row>
    <row r="12" spans="1:9" ht="21" customHeight="1" x14ac:dyDescent="0.15">
      <c r="A12" s="76" t="s">
        <v>243</v>
      </c>
      <c r="B12" s="69" t="s">
        <v>11</v>
      </c>
      <c r="C12" s="69" t="s">
        <v>11</v>
      </c>
      <c r="D12" s="28">
        <v>9</v>
      </c>
      <c r="E12" s="28">
        <v>18</v>
      </c>
      <c r="F12" s="28">
        <v>28</v>
      </c>
      <c r="G12" s="39">
        <v>38</v>
      </c>
      <c r="H12" s="69" t="s">
        <v>11</v>
      </c>
      <c r="I12" s="69" t="s">
        <v>11</v>
      </c>
    </row>
    <row r="13" spans="1:9" ht="21" customHeight="1" x14ac:dyDescent="0.15">
      <c r="A13" s="76" t="s">
        <v>244</v>
      </c>
      <c r="B13" s="69" t="s">
        <v>11</v>
      </c>
      <c r="C13" s="69" t="s">
        <v>11</v>
      </c>
      <c r="D13" s="28">
        <v>7</v>
      </c>
      <c r="E13" s="28">
        <v>16</v>
      </c>
      <c r="F13" s="189">
        <v>26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105" t="s">
        <v>245</v>
      </c>
      <c r="B14" s="69" t="s">
        <v>11</v>
      </c>
      <c r="C14" s="69" t="s">
        <v>11</v>
      </c>
      <c r="D14" s="28">
        <v>8</v>
      </c>
      <c r="E14" s="28">
        <v>17</v>
      </c>
      <c r="F14" s="28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246</v>
      </c>
      <c r="B15" s="69" t="s">
        <v>11</v>
      </c>
      <c r="C15" s="69" t="s">
        <v>11</v>
      </c>
      <c r="D15" s="28">
        <v>8</v>
      </c>
      <c r="E15" s="28">
        <v>17</v>
      </c>
      <c r="F15" s="28">
        <v>26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247</v>
      </c>
      <c r="B16" s="69" t="s">
        <v>11</v>
      </c>
      <c r="C16" s="69" t="s">
        <v>11</v>
      </c>
      <c r="D16" s="28">
        <v>6</v>
      </c>
      <c r="E16" s="28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248</v>
      </c>
      <c r="B17" s="69" t="s">
        <v>11</v>
      </c>
      <c r="C17" s="28">
        <v>4</v>
      </c>
      <c r="D17" s="28">
        <v>6</v>
      </c>
      <c r="E17" s="28">
        <v>14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8">
        <v>2</v>
      </c>
      <c r="C18" s="28">
        <v>4</v>
      </c>
      <c r="D18" s="28">
        <v>6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31">
        <v>1</v>
      </c>
      <c r="C19" s="31">
        <v>2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78" t="s">
        <v>249</v>
      </c>
      <c r="B20" s="26">
        <v>1</v>
      </c>
      <c r="C20" s="26">
        <v>1</v>
      </c>
      <c r="D20" s="70" t="s">
        <v>11</v>
      </c>
      <c r="E20" s="70" t="s">
        <v>11</v>
      </c>
      <c r="F20" s="70" t="s">
        <v>11</v>
      </c>
      <c r="G20" s="70" t="s">
        <v>11</v>
      </c>
      <c r="H20" s="70" t="s">
        <v>11</v>
      </c>
      <c r="I20" s="70" t="s">
        <v>11</v>
      </c>
    </row>
    <row r="21" spans="1:9" ht="21" customHeight="1" x14ac:dyDescent="0.15">
      <c r="A21" s="37" t="s">
        <v>250</v>
      </c>
      <c r="B21" s="36">
        <v>99</v>
      </c>
      <c r="C21" s="36">
        <v>99</v>
      </c>
      <c r="D21" s="36">
        <v>99</v>
      </c>
      <c r="E21" s="36">
        <v>99</v>
      </c>
      <c r="F21" s="36">
        <v>99</v>
      </c>
      <c r="G21" s="36">
        <v>99</v>
      </c>
      <c r="H21" s="36">
        <v>99</v>
      </c>
      <c r="I21" s="36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G13" sqref="G13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ht="21" customHeight="1" x14ac:dyDescent="0.15">
      <c r="A1" s="32" t="s">
        <v>10</v>
      </c>
      <c r="B1" s="22">
        <v>1</v>
      </c>
      <c r="C1" s="22">
        <v>2</v>
      </c>
      <c r="D1" s="22">
        <v>3</v>
      </c>
      <c r="E1" s="22">
        <v>4</v>
      </c>
      <c r="F1" s="22">
        <v>5</v>
      </c>
      <c r="G1" s="22">
        <v>6</v>
      </c>
      <c r="H1" s="22">
        <v>7</v>
      </c>
      <c r="I1" s="22">
        <v>8</v>
      </c>
    </row>
    <row r="2" spans="1:9" s="4" customFormat="1" ht="21" customHeight="1" x14ac:dyDescent="0.15">
      <c r="A2" s="146" t="s">
        <v>234</v>
      </c>
      <c r="B2" s="162"/>
      <c r="C2" s="148"/>
      <c r="D2" s="156" t="s">
        <v>109</v>
      </c>
      <c r="E2" s="156">
        <v>60</v>
      </c>
      <c r="F2" s="156">
        <v>80</v>
      </c>
      <c r="G2" s="156">
        <v>99</v>
      </c>
      <c r="H2" s="148"/>
      <c r="I2" s="148"/>
    </row>
    <row r="3" spans="1:9" s="4" customFormat="1" ht="21" customHeight="1" x14ac:dyDescent="0.15">
      <c r="A3" s="146" t="s">
        <v>236</v>
      </c>
      <c r="B3" s="163"/>
      <c r="C3" s="151"/>
      <c r="D3" s="156" t="s">
        <v>109</v>
      </c>
      <c r="E3" s="156">
        <v>60</v>
      </c>
      <c r="F3" s="156">
        <v>80</v>
      </c>
      <c r="G3" s="156">
        <v>99</v>
      </c>
      <c r="H3" s="151"/>
      <c r="I3" s="151"/>
    </row>
    <row r="4" spans="1:9" s="4" customFormat="1" ht="21" customHeight="1" x14ac:dyDescent="0.15">
      <c r="A4" s="146" t="s">
        <v>230</v>
      </c>
      <c r="B4" s="164"/>
      <c r="C4" s="154"/>
      <c r="D4" s="156">
        <v>40</v>
      </c>
      <c r="E4" s="156">
        <v>60</v>
      </c>
      <c r="F4" s="156">
        <v>80</v>
      </c>
      <c r="G4" s="156">
        <v>99</v>
      </c>
      <c r="H4" s="154"/>
      <c r="I4" s="154"/>
    </row>
    <row r="5" spans="1:9" s="4" customFormat="1" ht="21" customHeight="1" x14ac:dyDescent="0.15">
      <c r="A5" s="165" t="s">
        <v>238</v>
      </c>
      <c r="B5" s="160"/>
      <c r="C5" s="161"/>
      <c r="D5" s="156">
        <v>40</v>
      </c>
      <c r="E5" s="156">
        <v>60</v>
      </c>
      <c r="F5" s="156">
        <v>80</v>
      </c>
      <c r="G5" s="156">
        <v>99</v>
      </c>
      <c r="H5" s="161"/>
      <c r="I5" s="161"/>
    </row>
    <row r="6" spans="1:9" s="4" customFormat="1" ht="21" customHeight="1" x14ac:dyDescent="0.15">
      <c r="A6" s="165" t="s">
        <v>239</v>
      </c>
      <c r="B6" s="160"/>
      <c r="C6" s="161"/>
      <c r="D6" s="156">
        <v>40</v>
      </c>
      <c r="E6" s="156">
        <v>60</v>
      </c>
      <c r="F6" s="156" t="s">
        <v>109</v>
      </c>
      <c r="G6" s="156" t="s">
        <v>109</v>
      </c>
      <c r="H6" s="161"/>
      <c r="I6" s="161"/>
    </row>
    <row r="7" spans="1:9" ht="21" customHeight="1" x14ac:dyDescent="0.15">
      <c r="A7" s="74" t="s">
        <v>206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9" ht="21" customHeight="1" x14ac:dyDescent="0.15">
      <c r="A8" s="75" t="s">
        <v>241</v>
      </c>
      <c r="B8" s="40" t="s">
        <v>109</v>
      </c>
      <c r="C8" s="40" t="s">
        <v>109</v>
      </c>
      <c r="D8" s="40" t="s">
        <v>109</v>
      </c>
      <c r="E8" s="40">
        <v>60</v>
      </c>
      <c r="F8" s="40">
        <v>80</v>
      </c>
      <c r="G8" s="40">
        <v>99</v>
      </c>
      <c r="H8" s="40" t="s">
        <v>109</v>
      </c>
      <c r="I8" s="40" t="s">
        <v>109</v>
      </c>
    </row>
    <row r="9" spans="1:9" s="46" customFormat="1" ht="21" customHeight="1" x14ac:dyDescent="0.15">
      <c r="A9" s="76" t="s">
        <v>314</v>
      </c>
      <c r="B9" s="66" t="s">
        <v>109</v>
      </c>
      <c r="C9" s="66" t="s">
        <v>109</v>
      </c>
      <c r="D9" s="66" t="s">
        <v>109</v>
      </c>
      <c r="E9" s="66" t="s">
        <v>109</v>
      </c>
      <c r="F9" s="66">
        <v>80</v>
      </c>
      <c r="G9" s="66">
        <v>99</v>
      </c>
      <c r="H9" s="66" t="s">
        <v>109</v>
      </c>
      <c r="I9" s="66" t="s">
        <v>109</v>
      </c>
    </row>
    <row r="10" spans="1:9" s="46" customFormat="1" ht="21" customHeight="1" x14ac:dyDescent="0.15">
      <c r="A10" s="76" t="s">
        <v>242</v>
      </c>
      <c r="B10" s="66" t="s">
        <v>109</v>
      </c>
      <c r="C10" s="66" t="s">
        <v>109</v>
      </c>
      <c r="D10" s="66" t="s">
        <v>109</v>
      </c>
      <c r="E10" s="66">
        <v>60</v>
      </c>
      <c r="F10" s="66">
        <v>80</v>
      </c>
      <c r="G10" s="66">
        <v>99</v>
      </c>
      <c r="H10" s="66" t="s">
        <v>109</v>
      </c>
      <c r="I10" s="66" t="s">
        <v>109</v>
      </c>
    </row>
    <row r="11" spans="1:9" ht="21" customHeight="1" x14ac:dyDescent="0.15">
      <c r="A11" s="76" t="s">
        <v>9</v>
      </c>
      <c r="B11" s="71" t="s">
        <v>109</v>
      </c>
      <c r="C11" s="71" t="s">
        <v>109</v>
      </c>
      <c r="D11" s="36">
        <v>40</v>
      </c>
      <c r="E11" s="36">
        <v>60</v>
      </c>
      <c r="F11" s="36">
        <v>80</v>
      </c>
      <c r="G11" s="40">
        <v>99</v>
      </c>
      <c r="H11" s="71" t="s">
        <v>109</v>
      </c>
      <c r="I11" s="71" t="s">
        <v>109</v>
      </c>
    </row>
    <row r="12" spans="1:9" ht="21" customHeight="1" x14ac:dyDescent="0.15">
      <c r="A12" s="76" t="s">
        <v>209</v>
      </c>
      <c r="B12" s="71" t="s">
        <v>109</v>
      </c>
      <c r="C12" s="71" t="s">
        <v>109</v>
      </c>
      <c r="D12" s="36">
        <v>40</v>
      </c>
      <c r="E12" s="36">
        <v>60</v>
      </c>
      <c r="F12" s="36">
        <v>80</v>
      </c>
      <c r="G12" s="66">
        <v>99</v>
      </c>
      <c r="H12" s="71" t="s">
        <v>109</v>
      </c>
      <c r="I12" s="71" t="s">
        <v>109</v>
      </c>
    </row>
    <row r="13" spans="1:9" ht="21" customHeight="1" x14ac:dyDescent="0.15">
      <c r="A13" s="76" t="s">
        <v>205</v>
      </c>
      <c r="B13" s="71" t="s">
        <v>109</v>
      </c>
      <c r="C13" s="71" t="s">
        <v>109</v>
      </c>
      <c r="D13" s="36">
        <v>40</v>
      </c>
      <c r="E13" s="36">
        <v>60</v>
      </c>
      <c r="F13" s="190">
        <v>80</v>
      </c>
      <c r="G13" s="71" t="s">
        <v>109</v>
      </c>
      <c r="H13" s="71" t="s">
        <v>109</v>
      </c>
      <c r="I13" s="71" t="s">
        <v>109</v>
      </c>
    </row>
    <row r="14" spans="1:9" ht="21" customHeight="1" x14ac:dyDescent="0.15">
      <c r="A14" s="105" t="s">
        <v>245</v>
      </c>
      <c r="B14" s="71" t="s">
        <v>109</v>
      </c>
      <c r="C14" s="71" t="s">
        <v>109</v>
      </c>
      <c r="D14" s="36">
        <v>40</v>
      </c>
      <c r="E14" s="36">
        <v>60</v>
      </c>
      <c r="F14" s="36">
        <v>80</v>
      </c>
      <c r="G14" s="71" t="s">
        <v>109</v>
      </c>
      <c r="H14" s="71" t="s">
        <v>109</v>
      </c>
      <c r="I14" s="71" t="s">
        <v>109</v>
      </c>
    </row>
    <row r="15" spans="1:9" ht="21" customHeight="1" x14ac:dyDescent="0.15">
      <c r="A15" s="76" t="s">
        <v>246</v>
      </c>
      <c r="B15" s="71" t="s">
        <v>109</v>
      </c>
      <c r="C15" s="71" t="s">
        <v>109</v>
      </c>
      <c r="D15" s="36">
        <v>40</v>
      </c>
      <c r="E15" s="36">
        <v>60</v>
      </c>
      <c r="F15" s="36">
        <v>80</v>
      </c>
      <c r="G15" s="71" t="s">
        <v>109</v>
      </c>
      <c r="H15" s="71" t="s">
        <v>109</v>
      </c>
      <c r="I15" s="71" t="s">
        <v>109</v>
      </c>
    </row>
    <row r="16" spans="1:9" ht="21" customHeight="1" x14ac:dyDescent="0.15">
      <c r="A16" s="76" t="s">
        <v>105</v>
      </c>
      <c r="B16" s="71" t="s">
        <v>109</v>
      </c>
      <c r="C16" s="36">
        <v>30</v>
      </c>
      <c r="D16" s="36">
        <v>40</v>
      </c>
      <c r="E16" s="36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248</v>
      </c>
      <c r="B17" s="71" t="s">
        <v>109</v>
      </c>
      <c r="C17" s="36">
        <v>30</v>
      </c>
      <c r="D17" s="36">
        <v>40</v>
      </c>
      <c r="E17" s="36">
        <v>60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6" t="s">
        <v>8</v>
      </c>
      <c r="B18" s="36">
        <v>15</v>
      </c>
      <c r="C18" s="36">
        <v>30</v>
      </c>
      <c r="D18" s="36">
        <v>40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7" t="s">
        <v>7</v>
      </c>
      <c r="B19" s="36">
        <v>15</v>
      </c>
      <c r="C19" s="36">
        <v>30</v>
      </c>
      <c r="D19" s="36">
        <v>40</v>
      </c>
      <c r="E19" s="71" t="s">
        <v>215</v>
      </c>
      <c r="F19" s="71" t="s">
        <v>215</v>
      </c>
      <c r="G19" s="71" t="s">
        <v>215</v>
      </c>
      <c r="H19" s="71" t="s">
        <v>215</v>
      </c>
      <c r="I19" s="71" t="s">
        <v>215</v>
      </c>
    </row>
    <row r="20" spans="1:9" ht="21" customHeight="1" x14ac:dyDescent="0.15">
      <c r="A20" s="78" t="s">
        <v>249</v>
      </c>
      <c r="B20" s="36">
        <v>10</v>
      </c>
      <c r="C20" s="36">
        <v>20</v>
      </c>
      <c r="D20" s="71" t="s">
        <v>215</v>
      </c>
      <c r="E20" s="71" t="s">
        <v>215</v>
      </c>
      <c r="F20" s="71" t="s">
        <v>215</v>
      </c>
      <c r="G20" s="71" t="s">
        <v>215</v>
      </c>
      <c r="H20" s="71" t="s">
        <v>215</v>
      </c>
      <c r="I20" s="71" t="s">
        <v>215</v>
      </c>
    </row>
    <row r="21" spans="1:9" ht="21" customHeight="1" x14ac:dyDescent="0.15">
      <c r="A21" s="37" t="s">
        <v>250</v>
      </c>
      <c r="B21" s="36">
        <v>1</v>
      </c>
      <c r="C21" s="36">
        <v>1</v>
      </c>
      <c r="D21" s="36">
        <v>1</v>
      </c>
      <c r="E21" s="36">
        <v>1</v>
      </c>
      <c r="F21" s="36">
        <v>1</v>
      </c>
      <c r="G21" s="36">
        <v>1</v>
      </c>
      <c r="H21" s="36">
        <v>1</v>
      </c>
      <c r="I21" s="36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3" sqref="F13"/>
    </sheetView>
  </sheetViews>
  <sheetFormatPr baseColWidth="12" defaultColWidth="13" defaultRowHeight="21" customHeight="1" x14ac:dyDescent="0.15"/>
  <cols>
    <col min="1" max="16384" width="13" style="23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s="4" customFormat="1" ht="21" customHeight="1" x14ac:dyDescent="0.15">
      <c r="A2" s="146" t="s">
        <v>234</v>
      </c>
      <c r="B2" s="147"/>
      <c r="C2" s="148"/>
      <c r="D2" s="156" t="s">
        <v>109</v>
      </c>
      <c r="E2" s="157" t="s">
        <v>59</v>
      </c>
      <c r="F2" s="157" t="s">
        <v>59</v>
      </c>
      <c r="G2" s="157" t="s">
        <v>251</v>
      </c>
      <c r="H2" s="148"/>
      <c r="I2" s="148"/>
    </row>
    <row r="3" spans="1:11" s="4" customFormat="1" ht="21" customHeight="1" x14ac:dyDescent="0.15">
      <c r="A3" s="146" t="s">
        <v>236</v>
      </c>
      <c r="B3" s="150"/>
      <c r="C3" s="151"/>
      <c r="D3" s="157" t="s">
        <v>59</v>
      </c>
      <c r="E3" s="157" t="s">
        <v>59</v>
      </c>
      <c r="F3" s="157" t="s">
        <v>59</v>
      </c>
      <c r="G3" s="157" t="s">
        <v>229</v>
      </c>
      <c r="H3" s="151"/>
      <c r="I3" s="151"/>
    </row>
    <row r="4" spans="1:11" s="4" customFormat="1" ht="21" customHeight="1" x14ac:dyDescent="0.15">
      <c r="A4" s="146" t="s">
        <v>230</v>
      </c>
      <c r="B4" s="153"/>
      <c r="C4" s="154"/>
      <c r="D4" s="158" t="s">
        <v>59</v>
      </c>
      <c r="E4" s="158" t="s">
        <v>59</v>
      </c>
      <c r="F4" s="158" t="s">
        <v>59</v>
      </c>
      <c r="G4" s="157" t="s">
        <v>229</v>
      </c>
      <c r="H4" s="154"/>
      <c r="I4" s="154"/>
    </row>
    <row r="5" spans="1:11" s="4" customFormat="1" ht="21" customHeight="1" x14ac:dyDescent="0.15">
      <c r="A5" s="165" t="s">
        <v>238</v>
      </c>
      <c r="B5" s="160"/>
      <c r="C5" s="161"/>
      <c r="D5" s="158" t="s">
        <v>59</v>
      </c>
      <c r="E5" s="158" t="s">
        <v>59</v>
      </c>
      <c r="F5" s="158" t="s">
        <v>59</v>
      </c>
      <c r="G5" s="157" t="s">
        <v>219</v>
      </c>
      <c r="H5" s="161"/>
      <c r="I5" s="161"/>
    </row>
    <row r="6" spans="1:11" s="4" customFormat="1" ht="21" customHeight="1" x14ac:dyDescent="0.15">
      <c r="A6" s="165" t="s">
        <v>239</v>
      </c>
      <c r="B6" s="160"/>
      <c r="C6" s="161"/>
      <c r="D6" s="166" t="s">
        <v>60</v>
      </c>
      <c r="E6" s="166" t="s">
        <v>60</v>
      </c>
      <c r="F6" s="156" t="s">
        <v>109</v>
      </c>
      <c r="G6" s="156" t="s">
        <v>109</v>
      </c>
      <c r="H6" s="161"/>
      <c r="I6" s="161"/>
    </row>
    <row r="7" spans="1:11" ht="21" customHeight="1" x14ac:dyDescent="0.15">
      <c r="A7" s="74" t="s">
        <v>206</v>
      </c>
      <c r="B7" s="40" t="s">
        <v>109</v>
      </c>
      <c r="C7" s="40" t="s">
        <v>109</v>
      </c>
      <c r="D7" s="40" t="s">
        <v>109</v>
      </c>
      <c r="E7" s="40" t="s">
        <v>109</v>
      </c>
      <c r="F7" s="40" t="s">
        <v>109</v>
      </c>
      <c r="G7" s="40" t="s">
        <v>109</v>
      </c>
      <c r="H7" s="40" t="s">
        <v>109</v>
      </c>
      <c r="I7" s="40" t="s">
        <v>109</v>
      </c>
    </row>
    <row r="8" spans="1:11" ht="21" customHeight="1" x14ac:dyDescent="0.15">
      <c r="A8" s="75" t="s">
        <v>241</v>
      </c>
      <c r="B8" s="40" t="s">
        <v>109</v>
      </c>
      <c r="C8" s="40" t="s">
        <v>109</v>
      </c>
      <c r="D8" s="40" t="s">
        <v>216</v>
      </c>
      <c r="E8" s="52" t="s">
        <v>115</v>
      </c>
      <c r="F8" s="52" t="s">
        <v>115</v>
      </c>
      <c r="G8" s="52" t="s">
        <v>217</v>
      </c>
      <c r="H8" s="40" t="s">
        <v>216</v>
      </c>
      <c r="I8" s="40" t="s">
        <v>109</v>
      </c>
    </row>
    <row r="9" spans="1:11" s="46" customFormat="1" ht="21" customHeight="1" x14ac:dyDescent="0.15">
      <c r="A9" s="76" t="s">
        <v>313</v>
      </c>
      <c r="B9" s="66" t="s">
        <v>109</v>
      </c>
      <c r="C9" s="66" t="s">
        <v>109</v>
      </c>
      <c r="D9" s="66" t="s">
        <v>109</v>
      </c>
      <c r="E9" s="66" t="s">
        <v>109</v>
      </c>
      <c r="F9" s="52" t="s">
        <v>59</v>
      </c>
      <c r="G9" s="52" t="s">
        <v>115</v>
      </c>
      <c r="H9" s="66" t="s">
        <v>109</v>
      </c>
      <c r="I9" s="66" t="s">
        <v>109</v>
      </c>
    </row>
    <row r="10" spans="1:11" s="46" customFormat="1" ht="21" customHeight="1" x14ac:dyDescent="0.15">
      <c r="A10" s="76" t="s">
        <v>242</v>
      </c>
      <c r="B10" s="66" t="s">
        <v>109</v>
      </c>
      <c r="C10" s="66" t="s">
        <v>109</v>
      </c>
      <c r="D10" s="66" t="s">
        <v>109</v>
      </c>
      <c r="E10" s="52" t="s">
        <v>59</v>
      </c>
      <c r="F10" s="52" t="s">
        <v>59</v>
      </c>
      <c r="G10" s="52" t="s">
        <v>115</v>
      </c>
      <c r="H10" s="66" t="s">
        <v>218</v>
      </c>
      <c r="I10" s="66" t="s">
        <v>218</v>
      </c>
    </row>
    <row r="11" spans="1:11" ht="21" customHeight="1" x14ac:dyDescent="0.15">
      <c r="A11" s="76" t="s">
        <v>9</v>
      </c>
      <c r="B11" s="71" t="s">
        <v>109</v>
      </c>
      <c r="C11" s="71" t="s">
        <v>109</v>
      </c>
      <c r="D11" s="52" t="s">
        <v>59</v>
      </c>
      <c r="E11" s="52" t="s">
        <v>59</v>
      </c>
      <c r="F11" s="52" t="s">
        <v>59</v>
      </c>
      <c r="G11" s="52" t="s">
        <v>219</v>
      </c>
      <c r="H11" s="71" t="s">
        <v>218</v>
      </c>
      <c r="I11" s="71" t="s">
        <v>218</v>
      </c>
      <c r="K11" s="27" t="s">
        <v>12</v>
      </c>
    </row>
    <row r="12" spans="1:11" ht="21" customHeight="1" x14ac:dyDescent="0.15">
      <c r="A12" s="76" t="s">
        <v>209</v>
      </c>
      <c r="B12" s="71" t="s">
        <v>109</v>
      </c>
      <c r="C12" s="71" t="s">
        <v>109</v>
      </c>
      <c r="D12" s="53" t="s">
        <v>59</v>
      </c>
      <c r="E12" s="53" t="s">
        <v>59</v>
      </c>
      <c r="F12" s="53" t="s">
        <v>59</v>
      </c>
      <c r="G12" s="52" t="s">
        <v>219</v>
      </c>
      <c r="H12" s="71" t="s">
        <v>218</v>
      </c>
      <c r="I12" s="71" t="s">
        <v>218</v>
      </c>
      <c r="K12" s="29" t="s">
        <v>13</v>
      </c>
    </row>
    <row r="13" spans="1:11" ht="21" customHeight="1" x14ac:dyDescent="0.15">
      <c r="A13" s="76" t="s">
        <v>205</v>
      </c>
      <c r="B13" s="71" t="s">
        <v>109</v>
      </c>
      <c r="C13" s="71" t="s">
        <v>109</v>
      </c>
      <c r="D13" s="54" t="s">
        <v>60</v>
      </c>
      <c r="E13" s="54" t="s">
        <v>60</v>
      </c>
      <c r="F13" s="191" t="s">
        <v>59</v>
      </c>
      <c r="G13" s="71" t="s">
        <v>109</v>
      </c>
      <c r="H13" s="71" t="s">
        <v>109</v>
      </c>
      <c r="I13" s="71" t="s">
        <v>109</v>
      </c>
      <c r="K13" s="72" t="s">
        <v>35</v>
      </c>
    </row>
    <row r="14" spans="1:11" ht="21" customHeight="1" x14ac:dyDescent="0.15">
      <c r="A14" s="105" t="s">
        <v>245</v>
      </c>
      <c r="B14" s="71" t="s">
        <v>109</v>
      </c>
      <c r="C14" s="71" t="s">
        <v>109</v>
      </c>
      <c r="D14" s="55" t="s">
        <v>59</v>
      </c>
      <c r="E14" s="55" t="s">
        <v>59</v>
      </c>
      <c r="F14" s="55" t="s">
        <v>59</v>
      </c>
      <c r="G14" s="71" t="s">
        <v>109</v>
      </c>
      <c r="H14" s="71" t="s">
        <v>109</v>
      </c>
      <c r="I14" s="71" t="s">
        <v>109</v>
      </c>
      <c r="K14" s="73"/>
    </row>
    <row r="15" spans="1:11" ht="21" customHeight="1" x14ac:dyDescent="0.15">
      <c r="A15" s="76" t="s">
        <v>246</v>
      </c>
      <c r="B15" s="71" t="s">
        <v>109</v>
      </c>
      <c r="C15" s="71" t="s">
        <v>109</v>
      </c>
      <c r="D15" s="55" t="s">
        <v>59</v>
      </c>
      <c r="E15" s="55" t="s">
        <v>59</v>
      </c>
      <c r="F15" s="55" t="s">
        <v>59</v>
      </c>
      <c r="G15" s="71" t="s">
        <v>109</v>
      </c>
      <c r="H15" s="71" t="s">
        <v>109</v>
      </c>
      <c r="I15" s="71" t="s">
        <v>109</v>
      </c>
    </row>
    <row r="16" spans="1:11" ht="21" customHeight="1" x14ac:dyDescent="0.15">
      <c r="A16" s="76" t="s">
        <v>105</v>
      </c>
      <c r="B16" s="71" t="s">
        <v>109</v>
      </c>
      <c r="C16" s="71" t="s">
        <v>109</v>
      </c>
      <c r="D16" s="55" t="s">
        <v>60</v>
      </c>
      <c r="E16" s="55" t="s">
        <v>60</v>
      </c>
      <c r="F16" s="71" t="s">
        <v>109</v>
      </c>
      <c r="G16" s="71" t="s">
        <v>109</v>
      </c>
      <c r="H16" s="71" t="s">
        <v>109</v>
      </c>
      <c r="I16" s="71" t="s">
        <v>109</v>
      </c>
    </row>
    <row r="17" spans="1:9" ht="21" customHeight="1" x14ac:dyDescent="0.15">
      <c r="A17" s="76" t="s">
        <v>248</v>
      </c>
      <c r="B17" s="71" t="s">
        <v>109</v>
      </c>
      <c r="C17" s="55" t="s">
        <v>60</v>
      </c>
      <c r="D17" s="55" t="s">
        <v>60</v>
      </c>
      <c r="E17" s="55" t="s">
        <v>60</v>
      </c>
      <c r="F17" s="71" t="s">
        <v>109</v>
      </c>
      <c r="G17" s="71" t="s">
        <v>109</v>
      </c>
      <c r="H17" s="71" t="s">
        <v>109</v>
      </c>
      <c r="I17" s="71" t="s">
        <v>109</v>
      </c>
    </row>
    <row r="18" spans="1:9" ht="21" customHeight="1" x14ac:dyDescent="0.15">
      <c r="A18" s="76" t="s">
        <v>8</v>
      </c>
      <c r="B18" s="56" t="s">
        <v>61</v>
      </c>
      <c r="C18" s="56" t="s">
        <v>61</v>
      </c>
      <c r="D18" s="56" t="s">
        <v>61</v>
      </c>
      <c r="E18" s="71" t="s">
        <v>109</v>
      </c>
      <c r="F18" s="71" t="s">
        <v>109</v>
      </c>
      <c r="G18" s="71" t="s">
        <v>109</v>
      </c>
      <c r="H18" s="71" t="s">
        <v>109</v>
      </c>
      <c r="I18" s="71" t="s">
        <v>109</v>
      </c>
    </row>
    <row r="19" spans="1:9" ht="21" customHeight="1" x14ac:dyDescent="0.15">
      <c r="A19" s="77" t="s">
        <v>7</v>
      </c>
      <c r="B19" s="51" t="s">
        <v>62</v>
      </c>
      <c r="C19" s="51" t="s">
        <v>62</v>
      </c>
      <c r="D19" s="71" t="s">
        <v>109</v>
      </c>
      <c r="E19" s="71" t="s">
        <v>109</v>
      </c>
      <c r="F19" s="71" t="s">
        <v>109</v>
      </c>
      <c r="G19" s="71" t="s">
        <v>109</v>
      </c>
      <c r="H19" s="71" t="s">
        <v>109</v>
      </c>
      <c r="I19" s="71" t="s">
        <v>109</v>
      </c>
    </row>
    <row r="20" spans="1:9" ht="21" customHeight="1" x14ac:dyDescent="0.15">
      <c r="A20" s="78" t="s">
        <v>249</v>
      </c>
      <c r="B20" s="53" t="s">
        <v>63</v>
      </c>
      <c r="C20" s="53" t="s">
        <v>63</v>
      </c>
      <c r="D20" s="71" t="s">
        <v>109</v>
      </c>
      <c r="E20" s="71" t="s">
        <v>109</v>
      </c>
      <c r="F20" s="71" t="s">
        <v>109</v>
      </c>
      <c r="G20" s="71" t="s">
        <v>109</v>
      </c>
      <c r="H20" s="71" t="s">
        <v>109</v>
      </c>
      <c r="I20" s="71" t="s">
        <v>109</v>
      </c>
    </row>
    <row r="21" spans="1:9" ht="21" customHeight="1" x14ac:dyDescent="0.15">
      <c r="A21" s="37" t="s">
        <v>250</v>
      </c>
      <c r="B21" s="79" t="s">
        <v>47</v>
      </c>
      <c r="C21" s="79" t="s">
        <v>47</v>
      </c>
      <c r="D21" s="79" t="s">
        <v>47</v>
      </c>
      <c r="E21" s="79" t="s">
        <v>47</v>
      </c>
      <c r="F21" s="79" t="s">
        <v>47</v>
      </c>
      <c r="G21" s="79" t="s">
        <v>47</v>
      </c>
      <c r="H21" s="79" t="s">
        <v>47</v>
      </c>
      <c r="I21" s="79" t="s">
        <v>47</v>
      </c>
    </row>
    <row r="26" spans="1:9" ht="21" customHeight="1" x14ac:dyDescent="0.15">
      <c r="A26" s="23" t="s">
        <v>14</v>
      </c>
    </row>
    <row r="27" spans="1:9" ht="21" customHeight="1" x14ac:dyDescent="0.15">
      <c r="A27" s="21" t="s">
        <v>64</v>
      </c>
      <c r="B27" s="21" t="s">
        <v>65</v>
      </c>
    </row>
    <row r="28" spans="1:9" ht="21" customHeight="1" x14ac:dyDescent="0.15">
      <c r="A28" s="24">
        <v>1</v>
      </c>
      <c r="B28" s="24">
        <v>200</v>
      </c>
    </row>
    <row r="29" spans="1:9" ht="21" customHeight="1" x14ac:dyDescent="0.15">
      <c r="A29" s="24">
        <v>2</v>
      </c>
      <c r="B29" s="24">
        <v>600</v>
      </c>
    </row>
    <row r="30" spans="1:9" ht="21" customHeight="1" x14ac:dyDescent="0.15">
      <c r="A30" s="24">
        <v>3</v>
      </c>
      <c r="B30" s="24">
        <v>1500</v>
      </c>
    </row>
    <row r="31" spans="1:9" ht="21" customHeight="1" x14ac:dyDescent="0.15">
      <c r="A31" s="24">
        <v>4</v>
      </c>
      <c r="B31" s="24">
        <v>3400</v>
      </c>
    </row>
    <row r="32" spans="1:9" ht="21" customHeight="1" x14ac:dyDescent="0.15">
      <c r="A32" s="24">
        <v>5</v>
      </c>
      <c r="B32" s="24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L21" sqref="L21"/>
    </sheetView>
  </sheetViews>
  <sheetFormatPr baseColWidth="12" defaultColWidth="13" defaultRowHeight="21" customHeight="1" x14ac:dyDescent="0.15"/>
  <cols>
    <col min="1" max="1" width="13" style="4"/>
    <col min="2" max="16384" width="13" style="23"/>
  </cols>
  <sheetData>
    <row r="1" spans="1:9" s="4" customFormat="1" ht="21" customHeight="1" x14ac:dyDescent="0.15">
      <c r="A1" s="32" t="s">
        <v>10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</row>
    <row r="2" spans="1:9" s="4" customFormat="1" ht="21" customHeight="1" x14ac:dyDescent="0.15">
      <c r="A2" s="146" t="s">
        <v>227</v>
      </c>
      <c r="B2" s="147"/>
      <c r="C2" s="148"/>
      <c r="D2" s="159" t="s">
        <v>11</v>
      </c>
      <c r="E2" s="159">
        <v>8000</v>
      </c>
      <c r="F2" s="159">
        <v>10000</v>
      </c>
      <c r="G2" s="159">
        <v>14000</v>
      </c>
      <c r="H2" s="148"/>
      <c r="I2" s="148"/>
    </row>
    <row r="3" spans="1:9" s="4" customFormat="1" ht="21" customHeight="1" x14ac:dyDescent="0.15">
      <c r="A3" s="146" t="s">
        <v>228</v>
      </c>
      <c r="B3" s="150"/>
      <c r="C3" s="151"/>
      <c r="D3" s="159" t="s">
        <v>11</v>
      </c>
      <c r="E3" s="159">
        <v>7500</v>
      </c>
      <c r="F3" s="159">
        <v>9500</v>
      </c>
      <c r="G3" s="159">
        <v>13000</v>
      </c>
      <c r="H3" s="151"/>
      <c r="I3" s="151"/>
    </row>
    <row r="4" spans="1:9" s="4" customFormat="1" ht="21" customHeight="1" x14ac:dyDescent="0.15">
      <c r="A4" s="146" t="s">
        <v>230</v>
      </c>
      <c r="B4" s="153"/>
      <c r="C4" s="154"/>
      <c r="D4" s="159">
        <v>5000</v>
      </c>
      <c r="E4" s="159">
        <v>7000</v>
      </c>
      <c r="F4" s="159">
        <v>9000</v>
      </c>
      <c r="G4" s="159">
        <v>12000</v>
      </c>
      <c r="H4" s="154"/>
      <c r="I4" s="154"/>
    </row>
    <row r="5" spans="1:9" s="4" customFormat="1" ht="21" customHeight="1" x14ac:dyDescent="0.15">
      <c r="A5" s="165" t="s">
        <v>231</v>
      </c>
      <c r="B5" s="160"/>
      <c r="C5" s="161"/>
      <c r="D5" s="159">
        <v>4900</v>
      </c>
      <c r="E5" s="159">
        <v>6700</v>
      </c>
      <c r="F5" s="159">
        <v>8500</v>
      </c>
      <c r="G5" s="159">
        <v>11000</v>
      </c>
      <c r="H5" s="161"/>
      <c r="I5" s="161"/>
    </row>
    <row r="6" spans="1:9" s="4" customFormat="1" ht="21" customHeight="1" x14ac:dyDescent="0.15">
      <c r="A6" s="165" t="s">
        <v>232</v>
      </c>
      <c r="B6" s="160"/>
      <c r="C6" s="161"/>
      <c r="D6" s="159">
        <v>4800</v>
      </c>
      <c r="E6" s="159">
        <v>6600</v>
      </c>
      <c r="F6" s="159" t="s">
        <v>11</v>
      </c>
      <c r="G6" s="159" t="s">
        <v>11</v>
      </c>
      <c r="H6" s="161"/>
      <c r="I6" s="161"/>
    </row>
    <row r="7" spans="1:9" ht="21" customHeight="1" x14ac:dyDescent="0.15">
      <c r="A7" s="74" t="s">
        <v>206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207</v>
      </c>
      <c r="B8" s="47" t="s">
        <v>11</v>
      </c>
      <c r="C8" s="47" t="s">
        <v>11</v>
      </c>
      <c r="D8" s="47" t="s">
        <v>11</v>
      </c>
      <c r="E8" s="47">
        <v>8000</v>
      </c>
      <c r="F8" s="28">
        <v>10000</v>
      </c>
      <c r="G8" s="47">
        <v>14000</v>
      </c>
      <c r="H8" s="47" t="s">
        <v>11</v>
      </c>
      <c r="I8" s="47" t="s">
        <v>11</v>
      </c>
    </row>
    <row r="9" spans="1:9" s="46" customFormat="1" ht="21" customHeight="1" x14ac:dyDescent="0.15">
      <c r="A9" s="188" t="s">
        <v>315</v>
      </c>
      <c r="B9" s="28" t="s">
        <v>11</v>
      </c>
      <c r="C9" s="28" t="s">
        <v>11</v>
      </c>
      <c r="D9" s="28" t="s">
        <v>11</v>
      </c>
      <c r="E9" s="28" t="s">
        <v>11</v>
      </c>
      <c r="F9" s="28">
        <v>10000</v>
      </c>
      <c r="G9" s="47">
        <v>14000</v>
      </c>
      <c r="H9" s="28" t="s">
        <v>11</v>
      </c>
      <c r="I9" s="28" t="s">
        <v>11</v>
      </c>
    </row>
    <row r="10" spans="1:9" s="46" customFormat="1" ht="21" customHeight="1" x14ac:dyDescent="0.15">
      <c r="A10" s="76" t="s">
        <v>208</v>
      </c>
      <c r="B10" s="28" t="s">
        <v>11</v>
      </c>
      <c r="C10" s="28" t="s">
        <v>11</v>
      </c>
      <c r="D10" s="28" t="s">
        <v>11</v>
      </c>
      <c r="E10" s="28">
        <v>7500</v>
      </c>
      <c r="F10" s="28">
        <v>9500</v>
      </c>
      <c r="G10" s="47">
        <v>13000</v>
      </c>
      <c r="H10" s="28" t="s">
        <v>11</v>
      </c>
      <c r="I10" s="28" t="s">
        <v>11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8">
        <v>5000</v>
      </c>
      <c r="E11" s="28">
        <v>7000</v>
      </c>
      <c r="F11" s="28">
        <v>9000</v>
      </c>
      <c r="G11" s="47">
        <v>12000</v>
      </c>
      <c r="H11" s="69" t="s">
        <v>11</v>
      </c>
      <c r="I11" s="69" t="s">
        <v>11</v>
      </c>
    </row>
    <row r="12" spans="1:9" ht="21" customHeight="1" x14ac:dyDescent="0.15">
      <c r="A12" s="76" t="s">
        <v>209</v>
      </c>
      <c r="B12" s="69" t="s">
        <v>11</v>
      </c>
      <c r="C12" s="69" t="s">
        <v>11</v>
      </c>
      <c r="D12" s="28">
        <v>4900</v>
      </c>
      <c r="E12" s="28">
        <v>6700</v>
      </c>
      <c r="F12" s="28">
        <v>8500</v>
      </c>
      <c r="G12" s="47">
        <v>11000</v>
      </c>
      <c r="H12" s="69" t="s">
        <v>11</v>
      </c>
      <c r="I12" s="69" t="s">
        <v>11</v>
      </c>
    </row>
    <row r="13" spans="1:9" ht="21" customHeight="1" x14ac:dyDescent="0.15">
      <c r="A13" s="76" t="s">
        <v>106</v>
      </c>
      <c r="B13" s="69" t="s">
        <v>11</v>
      </c>
      <c r="C13" s="69" t="s">
        <v>11</v>
      </c>
      <c r="D13" s="28">
        <v>4800</v>
      </c>
      <c r="E13" s="28">
        <v>6600</v>
      </c>
      <c r="F13" s="189">
        <v>9000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210</v>
      </c>
      <c r="B14" s="69" t="s">
        <v>11</v>
      </c>
      <c r="C14" s="69" t="s">
        <v>11</v>
      </c>
      <c r="D14" s="69" t="s">
        <v>11</v>
      </c>
      <c r="E14" s="28">
        <v>6300</v>
      </c>
      <c r="F14" s="69" t="s">
        <v>11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211</v>
      </c>
      <c r="B15" s="69" t="s">
        <v>11</v>
      </c>
      <c r="C15" s="69" t="s">
        <v>11</v>
      </c>
      <c r="D15" s="28">
        <v>4600</v>
      </c>
      <c r="E15" s="28">
        <v>5800</v>
      </c>
      <c r="F15" s="28">
        <v>7600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105</v>
      </c>
      <c r="B16" s="69" t="s">
        <v>11</v>
      </c>
      <c r="C16" s="69" t="s">
        <v>11</v>
      </c>
      <c r="D16" s="28">
        <v>4400</v>
      </c>
      <c r="E16" s="28">
        <v>5600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212</v>
      </c>
      <c r="B17" s="69" t="s">
        <v>11</v>
      </c>
      <c r="C17" s="28">
        <v>3000</v>
      </c>
      <c r="D17" s="28">
        <v>4200</v>
      </c>
      <c r="E17" s="28">
        <v>5400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8">
        <v>2000</v>
      </c>
      <c r="C18" s="28">
        <v>2800</v>
      </c>
      <c r="D18" s="28">
        <v>4000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28">
        <v>1750</v>
      </c>
      <c r="C19" s="28">
        <v>2550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77" t="s">
        <v>213</v>
      </c>
      <c r="B20" s="28">
        <v>1500</v>
      </c>
      <c r="C20" s="28">
        <v>2300</v>
      </c>
      <c r="D20" s="69" t="s">
        <v>11</v>
      </c>
      <c r="E20" s="69" t="s">
        <v>11</v>
      </c>
      <c r="F20" s="69" t="s">
        <v>11</v>
      </c>
      <c r="G20" s="69" t="s">
        <v>11</v>
      </c>
      <c r="H20" s="69" t="s">
        <v>11</v>
      </c>
      <c r="I20" s="69" t="s">
        <v>11</v>
      </c>
    </row>
    <row r="21" spans="1:9" ht="21" customHeight="1" x14ac:dyDescent="0.15">
      <c r="A21" s="37" t="s">
        <v>214</v>
      </c>
      <c r="B21" s="36">
        <v>1000</v>
      </c>
      <c r="C21" s="36">
        <v>1000</v>
      </c>
      <c r="D21" s="36">
        <v>1000</v>
      </c>
      <c r="E21" s="36">
        <v>1000</v>
      </c>
      <c r="F21" s="36">
        <v>1000</v>
      </c>
      <c r="G21" s="36">
        <v>1000</v>
      </c>
      <c r="H21" s="36">
        <v>1000</v>
      </c>
      <c r="I21" s="36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G18" sqref="G18"/>
    </sheetView>
  </sheetViews>
  <sheetFormatPr baseColWidth="12" defaultColWidth="13" defaultRowHeight="21" customHeight="1" x14ac:dyDescent="0.15"/>
  <cols>
    <col min="1" max="16384" width="13" style="23"/>
  </cols>
  <sheetData>
    <row r="1" spans="1:8" ht="21" customHeight="1" x14ac:dyDescent="0.15">
      <c r="A1" s="23" t="s">
        <v>111</v>
      </c>
      <c r="G1" s="23" t="s">
        <v>112</v>
      </c>
    </row>
    <row r="2" spans="1:8" ht="21" customHeight="1" x14ac:dyDescent="0.15">
      <c r="A2" s="21" t="s">
        <v>15</v>
      </c>
      <c r="B2" s="21" t="s">
        <v>16</v>
      </c>
      <c r="G2" s="21" t="s">
        <v>15</v>
      </c>
      <c r="H2" s="21" t="s">
        <v>16</v>
      </c>
    </row>
    <row r="3" spans="1:8" ht="21" customHeight="1" x14ac:dyDescent="0.15">
      <c r="A3" s="24">
        <v>1</v>
      </c>
      <c r="B3" s="33">
        <v>5000</v>
      </c>
      <c r="G3" s="24">
        <v>1</v>
      </c>
      <c r="H3" s="24">
        <v>75</v>
      </c>
    </row>
    <row r="4" spans="1:8" ht="21" customHeight="1" x14ac:dyDescent="0.15">
      <c r="A4" s="24">
        <v>2</v>
      </c>
      <c r="B4" s="25">
        <v>10000</v>
      </c>
      <c r="G4" s="24">
        <v>2</v>
      </c>
      <c r="H4" s="24">
        <v>150</v>
      </c>
    </row>
    <row r="5" spans="1:8" ht="21" customHeight="1" x14ac:dyDescent="0.15">
      <c r="A5" s="24">
        <v>3</v>
      </c>
      <c r="B5" s="25">
        <v>20000</v>
      </c>
      <c r="G5" s="24">
        <v>3</v>
      </c>
      <c r="H5" s="24">
        <v>300</v>
      </c>
    </row>
    <row r="6" spans="1:8" ht="21" customHeight="1" x14ac:dyDescent="0.15">
      <c r="A6" s="24">
        <v>4</v>
      </c>
      <c r="B6" s="25">
        <v>50000</v>
      </c>
      <c r="G6" s="24">
        <v>4</v>
      </c>
      <c r="H6" s="24">
        <v>600</v>
      </c>
    </row>
    <row r="7" spans="1:8" ht="21" customHeight="1" x14ac:dyDescent="0.15">
      <c r="A7" s="24">
        <v>5</v>
      </c>
      <c r="B7" s="25">
        <v>200000</v>
      </c>
      <c r="G7" s="24">
        <v>5</v>
      </c>
      <c r="H7" s="24">
        <v>900</v>
      </c>
    </row>
    <row r="8" spans="1:8" ht="21" customHeight="1" x14ac:dyDescent="0.15">
      <c r="A8" s="24">
        <v>6</v>
      </c>
      <c r="B8" s="34">
        <v>0</v>
      </c>
      <c r="G8" s="24">
        <v>6</v>
      </c>
      <c r="H8" s="35">
        <v>1200</v>
      </c>
    </row>
    <row r="9" spans="1:8" ht="21" customHeight="1" x14ac:dyDescent="0.15">
      <c r="A9" s="24">
        <v>7</v>
      </c>
      <c r="B9" s="34"/>
      <c r="G9" s="24">
        <v>7</v>
      </c>
      <c r="H9" s="34"/>
    </row>
    <row r="10" spans="1:8" ht="21" customHeight="1" x14ac:dyDescent="0.15">
      <c r="A10" s="24">
        <v>8</v>
      </c>
      <c r="B10" s="34"/>
      <c r="G10" s="24">
        <v>8</v>
      </c>
      <c r="H10" s="34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198</v>
      </c>
      <c r="B2" s="12">
        <v>591</v>
      </c>
    </row>
    <row r="3" spans="1:4" x14ac:dyDescent="0.15">
      <c r="A3" t="s">
        <v>199</v>
      </c>
      <c r="B3" s="133">
        <v>592</v>
      </c>
    </row>
    <row r="4" spans="1:4" x14ac:dyDescent="0.15">
      <c r="A4" t="s">
        <v>200</v>
      </c>
      <c r="B4" s="133">
        <v>593</v>
      </c>
    </row>
    <row r="7" spans="1:4" x14ac:dyDescent="0.15">
      <c r="A7" t="s">
        <v>201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220</v>
      </c>
    </row>
    <row r="13" spans="1:4" x14ac:dyDescent="0.15">
      <c r="B13" t="s">
        <v>224</v>
      </c>
      <c r="C13" t="s">
        <v>225</v>
      </c>
      <c r="D13" t="s">
        <v>226</v>
      </c>
    </row>
    <row r="14" spans="1:4" x14ac:dyDescent="0.15">
      <c r="A14" t="s">
        <v>222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202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203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204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5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2017-06-06T07:25:39Z</dcterms:modified>
</cp:coreProperties>
</file>